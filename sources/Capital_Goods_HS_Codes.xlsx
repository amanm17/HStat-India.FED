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fedevorganisation.sharepoint.com/sites/FoundationforEconomicDevelopment/Shared Documents/General/02. Non-State specific/Machinery and Capital Goods/Data/VG - Python Files/"/>
    </mc:Choice>
  </mc:AlternateContent>
  <xr:revisionPtr revIDLastSave="0" documentId="8_{4B39BC02-6DBE-4E0F-89E2-ABAE400EB1FF}" xr6:coauthVersionLast="47" xr6:coauthVersionMax="47" xr10:uidLastSave="{00000000-0000-0000-0000-000000000000}"/>
  <bookViews>
    <workbookView xWindow="-110" yWindow="-110" windowWidth="19420" windowHeight="10300" firstSheet="4" activeTab="4" xr2:uid="{C6056E35-FE52-4124-894F-71B6B201FF6B}"/>
  </bookViews>
  <sheets>
    <sheet name="Sector Mapping" sheetId="1" state="hidden" r:id="rId1"/>
    <sheet name="Capital Goods" sheetId="6" r:id="rId2"/>
    <sheet name="Parts &amp; Accessories" sheetId="7" r:id="rId3"/>
    <sheet name="Removed HS Codes" sheetId="8" r:id="rId4"/>
    <sheet name="Old HS Codes" sheetId="9" r:id="rId5"/>
  </sheets>
  <externalReferences>
    <externalReference r:id="rId6"/>
    <externalReference r:id="rId7"/>
  </externalReferences>
  <definedNames>
    <definedName name="_xlnm._FilterDatabase" localSheetId="1" hidden="1">'Capital Goods'!$B$4:$H$454</definedName>
    <definedName name="_xlnm._FilterDatabase" localSheetId="4" hidden="1">'Old HS Codes'!$B$4:$R$579</definedName>
    <definedName name="_xlnm._FilterDatabase" localSheetId="0" hidden="1">'Sector Mapping'!$B$4:$J$579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79" i="9" l="1"/>
  <c r="L579" i="9"/>
  <c r="K579" i="9"/>
  <c r="M578" i="9"/>
  <c r="L578" i="9"/>
  <c r="K578" i="9"/>
  <c r="B578" i="9"/>
  <c r="M577" i="9"/>
  <c r="L577" i="9"/>
  <c r="K577" i="9"/>
  <c r="B577" i="9"/>
  <c r="M576" i="9"/>
  <c r="L576" i="9"/>
  <c r="K576" i="9"/>
  <c r="B576" i="9"/>
  <c r="M575" i="9"/>
  <c r="L575" i="9"/>
  <c r="K575" i="9"/>
  <c r="B575" i="9"/>
  <c r="M574" i="9"/>
  <c r="L574" i="9"/>
  <c r="K574" i="9"/>
  <c r="B574" i="9"/>
  <c r="M573" i="9"/>
  <c r="L573" i="9"/>
  <c r="K573" i="9"/>
  <c r="B573" i="9"/>
  <c r="M572" i="9"/>
  <c r="L572" i="9"/>
  <c r="K572" i="9"/>
  <c r="B572" i="9"/>
  <c r="M571" i="9"/>
  <c r="L571" i="9"/>
  <c r="K571" i="9"/>
  <c r="B571" i="9"/>
  <c r="M570" i="9"/>
  <c r="L570" i="9"/>
  <c r="K570" i="9"/>
  <c r="M569" i="9"/>
  <c r="L569" i="9"/>
  <c r="K569" i="9"/>
  <c r="M568" i="9"/>
  <c r="L568" i="9"/>
  <c r="K568" i="9"/>
  <c r="B568" i="9"/>
  <c r="M567" i="9"/>
  <c r="L567" i="9"/>
  <c r="K567" i="9"/>
  <c r="B567" i="9"/>
  <c r="M566" i="9"/>
  <c r="L566" i="9"/>
  <c r="K566" i="9"/>
  <c r="B566" i="9"/>
  <c r="M565" i="9"/>
  <c r="L565" i="9"/>
  <c r="K565" i="9"/>
  <c r="B565" i="9"/>
  <c r="M564" i="9"/>
  <c r="L564" i="9"/>
  <c r="K564" i="9"/>
  <c r="M563" i="9"/>
  <c r="L563" i="9"/>
  <c r="K563" i="9"/>
  <c r="B563" i="9"/>
  <c r="M562" i="9"/>
  <c r="L562" i="9"/>
  <c r="K562" i="9"/>
  <c r="B562" i="9"/>
  <c r="M561" i="9"/>
  <c r="L561" i="9"/>
  <c r="K561" i="9"/>
  <c r="B561" i="9"/>
  <c r="M560" i="9"/>
  <c r="L560" i="9"/>
  <c r="K560" i="9"/>
  <c r="B560" i="9"/>
  <c r="M559" i="9"/>
  <c r="L559" i="9"/>
  <c r="K559" i="9"/>
  <c r="B559" i="9"/>
  <c r="M558" i="9"/>
  <c r="L558" i="9"/>
  <c r="K558" i="9"/>
  <c r="B558" i="9"/>
  <c r="M557" i="9"/>
  <c r="L557" i="9"/>
  <c r="K557" i="9"/>
  <c r="B557" i="9"/>
  <c r="M556" i="9"/>
  <c r="L556" i="9"/>
  <c r="K556" i="9"/>
  <c r="B556" i="9"/>
  <c r="M555" i="9"/>
  <c r="L555" i="9"/>
  <c r="K555" i="9"/>
  <c r="B555" i="9"/>
  <c r="M554" i="9"/>
  <c r="L554" i="9"/>
  <c r="K554" i="9"/>
  <c r="B554" i="9"/>
  <c r="M553" i="9"/>
  <c r="L553" i="9"/>
  <c r="K553" i="9"/>
  <c r="B553" i="9"/>
  <c r="M552" i="9"/>
  <c r="L552" i="9"/>
  <c r="K552" i="9"/>
  <c r="B552" i="9"/>
  <c r="M551" i="9"/>
  <c r="L551" i="9"/>
  <c r="K551" i="9"/>
  <c r="B551" i="9"/>
  <c r="M550" i="9"/>
  <c r="L550" i="9"/>
  <c r="K550" i="9"/>
  <c r="B550" i="9"/>
  <c r="M549" i="9"/>
  <c r="L549" i="9"/>
  <c r="K549" i="9"/>
  <c r="B549" i="9"/>
  <c r="M548" i="9"/>
  <c r="L548" i="9"/>
  <c r="K548" i="9"/>
  <c r="B548" i="9"/>
  <c r="M547" i="9"/>
  <c r="L547" i="9"/>
  <c r="K547" i="9"/>
  <c r="B547" i="9"/>
  <c r="M546" i="9"/>
  <c r="L546" i="9"/>
  <c r="K546" i="9"/>
  <c r="B546" i="9"/>
  <c r="M545" i="9"/>
  <c r="L545" i="9"/>
  <c r="K545" i="9"/>
  <c r="B545" i="9"/>
  <c r="M544" i="9"/>
  <c r="L544" i="9"/>
  <c r="K544" i="9"/>
  <c r="B544" i="9"/>
  <c r="M543" i="9"/>
  <c r="L543" i="9"/>
  <c r="K543" i="9"/>
  <c r="B543" i="9"/>
  <c r="M542" i="9"/>
  <c r="L542" i="9"/>
  <c r="K542" i="9"/>
  <c r="B542" i="9"/>
  <c r="M541" i="9"/>
  <c r="L541" i="9"/>
  <c r="K541" i="9"/>
  <c r="B541" i="9"/>
  <c r="M540" i="9"/>
  <c r="L540" i="9"/>
  <c r="K540" i="9"/>
  <c r="B540" i="9"/>
  <c r="M539" i="9"/>
  <c r="L539" i="9"/>
  <c r="K539" i="9"/>
  <c r="B539" i="9"/>
  <c r="M538" i="9"/>
  <c r="L538" i="9"/>
  <c r="K538" i="9"/>
  <c r="B538" i="9"/>
  <c r="M537" i="9"/>
  <c r="L537" i="9"/>
  <c r="K537" i="9"/>
  <c r="B537" i="9"/>
  <c r="M536" i="9"/>
  <c r="L536" i="9"/>
  <c r="K536" i="9"/>
  <c r="B536" i="9"/>
  <c r="M535" i="9"/>
  <c r="L535" i="9"/>
  <c r="K535" i="9"/>
  <c r="B535" i="9"/>
  <c r="M534" i="9"/>
  <c r="L534" i="9"/>
  <c r="K534" i="9"/>
  <c r="B534" i="9"/>
  <c r="M533" i="9"/>
  <c r="L533" i="9"/>
  <c r="K533" i="9"/>
  <c r="B533" i="9"/>
  <c r="M532" i="9"/>
  <c r="L532" i="9"/>
  <c r="K532" i="9"/>
  <c r="B532" i="9"/>
  <c r="M531" i="9"/>
  <c r="L531" i="9"/>
  <c r="K531" i="9"/>
  <c r="B531" i="9"/>
  <c r="M530" i="9"/>
  <c r="L530" i="9"/>
  <c r="K530" i="9"/>
  <c r="B530" i="9"/>
  <c r="M529" i="9"/>
  <c r="L529" i="9"/>
  <c r="K529" i="9"/>
  <c r="B529" i="9"/>
  <c r="M528" i="9"/>
  <c r="L528" i="9"/>
  <c r="K528" i="9"/>
  <c r="B528" i="9"/>
  <c r="M527" i="9"/>
  <c r="L527" i="9"/>
  <c r="K527" i="9"/>
  <c r="B527" i="9"/>
  <c r="M526" i="9"/>
  <c r="L526" i="9"/>
  <c r="K526" i="9"/>
  <c r="B526" i="9"/>
  <c r="M525" i="9"/>
  <c r="L525" i="9"/>
  <c r="K525" i="9"/>
  <c r="B525" i="9"/>
  <c r="M524" i="9"/>
  <c r="L524" i="9"/>
  <c r="K524" i="9"/>
  <c r="B524" i="9"/>
  <c r="M523" i="9"/>
  <c r="L523" i="9"/>
  <c r="K523" i="9"/>
  <c r="B523" i="9"/>
  <c r="M522" i="9"/>
  <c r="L522" i="9"/>
  <c r="K522" i="9"/>
  <c r="B522" i="9"/>
  <c r="M521" i="9"/>
  <c r="L521" i="9"/>
  <c r="K521" i="9"/>
  <c r="B521" i="9"/>
  <c r="M520" i="9"/>
  <c r="L520" i="9"/>
  <c r="K520" i="9"/>
  <c r="B520" i="9"/>
  <c r="M519" i="9"/>
  <c r="L519" i="9"/>
  <c r="K519" i="9"/>
  <c r="B519" i="9"/>
  <c r="M518" i="9"/>
  <c r="L518" i="9"/>
  <c r="K518" i="9"/>
  <c r="B518" i="9"/>
  <c r="M517" i="9"/>
  <c r="L517" i="9"/>
  <c r="K517" i="9"/>
  <c r="B517" i="9"/>
  <c r="M516" i="9"/>
  <c r="L516" i="9"/>
  <c r="K516" i="9"/>
  <c r="B516" i="9"/>
  <c r="M515" i="9"/>
  <c r="L515" i="9"/>
  <c r="K515" i="9"/>
  <c r="B515" i="9"/>
  <c r="M514" i="9"/>
  <c r="L514" i="9"/>
  <c r="K514" i="9"/>
  <c r="B514" i="9"/>
  <c r="M513" i="9"/>
  <c r="L513" i="9"/>
  <c r="K513" i="9"/>
  <c r="B513" i="9"/>
  <c r="M512" i="9"/>
  <c r="L512" i="9"/>
  <c r="K512" i="9"/>
  <c r="B512" i="9"/>
  <c r="M511" i="9"/>
  <c r="L511" i="9"/>
  <c r="K511" i="9"/>
  <c r="B511" i="9"/>
  <c r="M510" i="9"/>
  <c r="L510" i="9"/>
  <c r="K510" i="9"/>
  <c r="B510" i="9"/>
  <c r="M509" i="9"/>
  <c r="L509" i="9"/>
  <c r="K509" i="9"/>
  <c r="B509" i="9"/>
  <c r="M508" i="9"/>
  <c r="L508" i="9"/>
  <c r="K508" i="9"/>
  <c r="B508" i="9"/>
  <c r="M507" i="9"/>
  <c r="L507" i="9"/>
  <c r="K507" i="9"/>
  <c r="B507" i="9"/>
  <c r="M506" i="9"/>
  <c r="L506" i="9"/>
  <c r="K506" i="9"/>
  <c r="B506" i="9"/>
  <c r="M505" i="9"/>
  <c r="L505" i="9"/>
  <c r="K505" i="9"/>
  <c r="B505" i="9"/>
  <c r="M504" i="9"/>
  <c r="L504" i="9"/>
  <c r="K504" i="9"/>
  <c r="B504" i="9"/>
  <c r="M503" i="9"/>
  <c r="L503" i="9"/>
  <c r="K503" i="9"/>
  <c r="B503" i="9"/>
  <c r="M502" i="9"/>
  <c r="L502" i="9"/>
  <c r="K502" i="9"/>
  <c r="B502" i="9"/>
  <c r="M501" i="9"/>
  <c r="L501" i="9"/>
  <c r="K501" i="9"/>
  <c r="B501" i="9"/>
  <c r="M500" i="9"/>
  <c r="L500" i="9"/>
  <c r="K500" i="9"/>
  <c r="B500" i="9"/>
  <c r="M499" i="9"/>
  <c r="L499" i="9"/>
  <c r="K499" i="9"/>
  <c r="B499" i="9"/>
  <c r="M498" i="9"/>
  <c r="L498" i="9"/>
  <c r="K498" i="9"/>
  <c r="B498" i="9"/>
  <c r="M497" i="9"/>
  <c r="L497" i="9"/>
  <c r="K497" i="9"/>
  <c r="B497" i="9"/>
  <c r="M496" i="9"/>
  <c r="L496" i="9"/>
  <c r="K496" i="9"/>
  <c r="B496" i="9"/>
  <c r="M495" i="9"/>
  <c r="L495" i="9"/>
  <c r="K495" i="9"/>
  <c r="B495" i="9"/>
  <c r="M494" i="9"/>
  <c r="L494" i="9"/>
  <c r="K494" i="9"/>
  <c r="B494" i="9"/>
  <c r="M493" i="9"/>
  <c r="L493" i="9"/>
  <c r="K493" i="9"/>
  <c r="B493" i="9"/>
  <c r="M492" i="9"/>
  <c r="L492" i="9"/>
  <c r="K492" i="9"/>
  <c r="B492" i="9"/>
  <c r="M491" i="9"/>
  <c r="L491" i="9"/>
  <c r="K491" i="9"/>
  <c r="B491" i="9"/>
  <c r="M490" i="9"/>
  <c r="L490" i="9"/>
  <c r="K490" i="9"/>
  <c r="B490" i="9"/>
  <c r="M489" i="9"/>
  <c r="L489" i="9"/>
  <c r="K489" i="9"/>
  <c r="B489" i="9"/>
  <c r="M488" i="9"/>
  <c r="L488" i="9"/>
  <c r="K488" i="9"/>
  <c r="B488" i="9"/>
  <c r="M487" i="9"/>
  <c r="L487" i="9"/>
  <c r="K487" i="9"/>
  <c r="B487" i="9"/>
  <c r="M486" i="9"/>
  <c r="L486" i="9"/>
  <c r="K486" i="9"/>
  <c r="B486" i="9"/>
  <c r="M485" i="9"/>
  <c r="L485" i="9"/>
  <c r="K485" i="9"/>
  <c r="B485" i="9"/>
  <c r="M484" i="9"/>
  <c r="L484" i="9"/>
  <c r="K484" i="9"/>
  <c r="B484" i="9"/>
  <c r="M483" i="9"/>
  <c r="L483" i="9"/>
  <c r="K483" i="9"/>
  <c r="B483" i="9"/>
  <c r="M482" i="9"/>
  <c r="L482" i="9"/>
  <c r="K482" i="9"/>
  <c r="B482" i="9"/>
  <c r="M481" i="9"/>
  <c r="L481" i="9"/>
  <c r="K481" i="9"/>
  <c r="B481" i="9"/>
  <c r="M480" i="9"/>
  <c r="L480" i="9"/>
  <c r="K480" i="9"/>
  <c r="B480" i="9"/>
  <c r="M479" i="9"/>
  <c r="L479" i="9"/>
  <c r="K479" i="9"/>
  <c r="B479" i="9"/>
  <c r="M478" i="9"/>
  <c r="L478" i="9"/>
  <c r="K478" i="9"/>
  <c r="B478" i="9"/>
  <c r="M477" i="9"/>
  <c r="L477" i="9"/>
  <c r="K477" i="9"/>
  <c r="B477" i="9"/>
  <c r="M476" i="9"/>
  <c r="L476" i="9"/>
  <c r="K476" i="9"/>
  <c r="B476" i="9"/>
  <c r="M475" i="9"/>
  <c r="L475" i="9"/>
  <c r="K475" i="9"/>
  <c r="B475" i="9"/>
  <c r="M474" i="9"/>
  <c r="L474" i="9"/>
  <c r="K474" i="9"/>
  <c r="B474" i="9"/>
  <c r="M473" i="9"/>
  <c r="L473" i="9"/>
  <c r="K473" i="9"/>
  <c r="B473" i="9"/>
  <c r="M472" i="9"/>
  <c r="L472" i="9"/>
  <c r="K472" i="9"/>
  <c r="B472" i="9"/>
  <c r="M471" i="9"/>
  <c r="L471" i="9"/>
  <c r="K471" i="9"/>
  <c r="B471" i="9"/>
  <c r="M470" i="9"/>
  <c r="L470" i="9"/>
  <c r="K470" i="9"/>
  <c r="B470" i="9"/>
  <c r="M469" i="9"/>
  <c r="L469" i="9"/>
  <c r="K469" i="9"/>
  <c r="B469" i="9"/>
  <c r="M468" i="9"/>
  <c r="L468" i="9"/>
  <c r="K468" i="9"/>
  <c r="B468" i="9"/>
  <c r="M467" i="9"/>
  <c r="L467" i="9"/>
  <c r="K467" i="9"/>
  <c r="B467" i="9"/>
  <c r="M466" i="9"/>
  <c r="L466" i="9"/>
  <c r="K466" i="9"/>
  <c r="B466" i="9"/>
  <c r="M465" i="9"/>
  <c r="L465" i="9"/>
  <c r="K465" i="9"/>
  <c r="B465" i="9"/>
  <c r="M464" i="9"/>
  <c r="L464" i="9"/>
  <c r="K464" i="9"/>
  <c r="B464" i="9"/>
  <c r="M463" i="9"/>
  <c r="L463" i="9"/>
  <c r="K463" i="9"/>
  <c r="B463" i="9"/>
  <c r="M462" i="9"/>
  <c r="L462" i="9"/>
  <c r="K462" i="9"/>
  <c r="B462" i="9"/>
  <c r="M461" i="9"/>
  <c r="L461" i="9"/>
  <c r="K461" i="9"/>
  <c r="B461" i="9"/>
  <c r="M460" i="9"/>
  <c r="L460" i="9"/>
  <c r="K460" i="9"/>
  <c r="B460" i="9"/>
  <c r="M459" i="9"/>
  <c r="L459" i="9"/>
  <c r="K459" i="9"/>
  <c r="B459" i="9"/>
  <c r="M458" i="9"/>
  <c r="L458" i="9"/>
  <c r="K458" i="9"/>
  <c r="B458" i="9"/>
  <c r="M457" i="9"/>
  <c r="L457" i="9"/>
  <c r="K457" i="9"/>
  <c r="B457" i="9"/>
  <c r="M456" i="9"/>
  <c r="L456" i="9"/>
  <c r="K456" i="9"/>
  <c r="B456" i="9"/>
  <c r="M455" i="9"/>
  <c r="L455" i="9"/>
  <c r="K455" i="9"/>
  <c r="B455" i="9"/>
  <c r="M454" i="9"/>
  <c r="L454" i="9"/>
  <c r="K454" i="9"/>
  <c r="B454" i="9"/>
  <c r="M453" i="9"/>
  <c r="L453" i="9"/>
  <c r="K453" i="9"/>
  <c r="B453" i="9"/>
  <c r="M452" i="9"/>
  <c r="L452" i="9"/>
  <c r="K452" i="9"/>
  <c r="B452" i="9"/>
  <c r="M451" i="9"/>
  <c r="L451" i="9"/>
  <c r="K451" i="9"/>
  <c r="B451" i="9"/>
  <c r="M450" i="9"/>
  <c r="L450" i="9"/>
  <c r="K450" i="9"/>
  <c r="B450" i="9"/>
  <c r="M449" i="9"/>
  <c r="L449" i="9"/>
  <c r="K449" i="9"/>
  <c r="B449" i="9"/>
  <c r="M448" i="9"/>
  <c r="L448" i="9"/>
  <c r="K448" i="9"/>
  <c r="B448" i="9"/>
  <c r="M447" i="9"/>
  <c r="L447" i="9"/>
  <c r="K447" i="9"/>
  <c r="B447" i="9"/>
  <c r="M446" i="9"/>
  <c r="L446" i="9"/>
  <c r="K446" i="9"/>
  <c r="B446" i="9"/>
  <c r="M445" i="9"/>
  <c r="L445" i="9"/>
  <c r="K445" i="9"/>
  <c r="B445" i="9"/>
  <c r="M444" i="9"/>
  <c r="L444" i="9"/>
  <c r="K444" i="9"/>
  <c r="B444" i="9"/>
  <c r="M443" i="9"/>
  <c r="L443" i="9"/>
  <c r="K443" i="9"/>
  <c r="B443" i="9"/>
  <c r="M442" i="9"/>
  <c r="L442" i="9"/>
  <c r="K442" i="9"/>
  <c r="B442" i="9"/>
  <c r="M441" i="9"/>
  <c r="L441" i="9"/>
  <c r="K441" i="9"/>
  <c r="B441" i="9"/>
  <c r="M440" i="9"/>
  <c r="L440" i="9"/>
  <c r="K440" i="9"/>
  <c r="B440" i="9"/>
  <c r="M439" i="9"/>
  <c r="L439" i="9"/>
  <c r="K439" i="9"/>
  <c r="B439" i="9"/>
  <c r="M438" i="9"/>
  <c r="L438" i="9"/>
  <c r="K438" i="9"/>
  <c r="B438" i="9"/>
  <c r="M437" i="9"/>
  <c r="L437" i="9"/>
  <c r="K437" i="9"/>
  <c r="B437" i="9"/>
  <c r="M436" i="9"/>
  <c r="L436" i="9"/>
  <c r="K436" i="9"/>
  <c r="B436" i="9"/>
  <c r="M435" i="9"/>
  <c r="L435" i="9"/>
  <c r="K435" i="9"/>
  <c r="B435" i="9"/>
  <c r="M434" i="9"/>
  <c r="L434" i="9"/>
  <c r="K434" i="9"/>
  <c r="B434" i="9"/>
  <c r="M433" i="9"/>
  <c r="L433" i="9"/>
  <c r="K433" i="9"/>
  <c r="B433" i="9"/>
  <c r="M432" i="9"/>
  <c r="L432" i="9"/>
  <c r="K432" i="9"/>
  <c r="B432" i="9"/>
  <c r="M431" i="9"/>
  <c r="L431" i="9"/>
  <c r="K431" i="9"/>
  <c r="B431" i="9"/>
  <c r="M430" i="9"/>
  <c r="L430" i="9"/>
  <c r="K430" i="9"/>
  <c r="B430" i="9"/>
  <c r="M429" i="9"/>
  <c r="L429" i="9"/>
  <c r="K429" i="9"/>
  <c r="B429" i="9"/>
  <c r="M428" i="9"/>
  <c r="L428" i="9"/>
  <c r="K428" i="9"/>
  <c r="B428" i="9"/>
  <c r="M427" i="9"/>
  <c r="L427" i="9"/>
  <c r="K427" i="9"/>
  <c r="B427" i="9"/>
  <c r="M426" i="9"/>
  <c r="L426" i="9"/>
  <c r="K426" i="9"/>
  <c r="B426" i="9"/>
  <c r="M425" i="9"/>
  <c r="L425" i="9"/>
  <c r="K425" i="9"/>
  <c r="B425" i="9"/>
  <c r="M424" i="9"/>
  <c r="L424" i="9"/>
  <c r="K424" i="9"/>
  <c r="B424" i="9"/>
  <c r="M423" i="9"/>
  <c r="L423" i="9"/>
  <c r="K423" i="9"/>
  <c r="B423" i="9"/>
  <c r="M422" i="9"/>
  <c r="L422" i="9"/>
  <c r="K422" i="9"/>
  <c r="B422" i="9"/>
  <c r="M421" i="9"/>
  <c r="L421" i="9"/>
  <c r="K421" i="9"/>
  <c r="B421" i="9"/>
  <c r="M420" i="9"/>
  <c r="L420" i="9"/>
  <c r="K420" i="9"/>
  <c r="B420" i="9"/>
  <c r="M419" i="9"/>
  <c r="L419" i="9"/>
  <c r="K419" i="9"/>
  <c r="B419" i="9"/>
  <c r="M418" i="9"/>
  <c r="L418" i="9"/>
  <c r="K418" i="9"/>
  <c r="B418" i="9"/>
  <c r="M417" i="9"/>
  <c r="L417" i="9"/>
  <c r="K417" i="9"/>
  <c r="B417" i="9"/>
  <c r="M416" i="9"/>
  <c r="L416" i="9"/>
  <c r="K416" i="9"/>
  <c r="B416" i="9"/>
  <c r="M415" i="9"/>
  <c r="L415" i="9"/>
  <c r="K415" i="9"/>
  <c r="B415" i="9"/>
  <c r="M414" i="9"/>
  <c r="L414" i="9"/>
  <c r="K414" i="9"/>
  <c r="B414" i="9"/>
  <c r="M413" i="9"/>
  <c r="L413" i="9"/>
  <c r="K413" i="9"/>
  <c r="B413" i="9"/>
  <c r="M412" i="9"/>
  <c r="L412" i="9"/>
  <c r="K412" i="9"/>
  <c r="B412" i="9"/>
  <c r="M411" i="9"/>
  <c r="L411" i="9"/>
  <c r="K411" i="9"/>
  <c r="B411" i="9"/>
  <c r="M410" i="9"/>
  <c r="L410" i="9"/>
  <c r="K410" i="9"/>
  <c r="B410" i="9"/>
  <c r="M409" i="9"/>
  <c r="L409" i="9"/>
  <c r="K409" i="9"/>
  <c r="B409" i="9"/>
  <c r="M408" i="9"/>
  <c r="L408" i="9"/>
  <c r="K408" i="9"/>
  <c r="B408" i="9"/>
  <c r="M407" i="9"/>
  <c r="L407" i="9"/>
  <c r="K407" i="9"/>
  <c r="B407" i="9"/>
  <c r="M406" i="9"/>
  <c r="L406" i="9"/>
  <c r="K406" i="9"/>
  <c r="B406" i="9"/>
  <c r="M405" i="9"/>
  <c r="L405" i="9"/>
  <c r="K405" i="9"/>
  <c r="B405" i="9"/>
  <c r="M404" i="9"/>
  <c r="L404" i="9"/>
  <c r="K404" i="9"/>
  <c r="B404" i="9"/>
  <c r="M403" i="9"/>
  <c r="L403" i="9"/>
  <c r="K403" i="9"/>
  <c r="B403" i="9"/>
  <c r="M402" i="9"/>
  <c r="L402" i="9"/>
  <c r="K402" i="9"/>
  <c r="B402" i="9"/>
  <c r="M401" i="9"/>
  <c r="L401" i="9"/>
  <c r="K401" i="9"/>
  <c r="B401" i="9"/>
  <c r="M400" i="9"/>
  <c r="L400" i="9"/>
  <c r="K400" i="9"/>
  <c r="B400" i="9"/>
  <c r="M399" i="9"/>
  <c r="L399" i="9"/>
  <c r="K399" i="9"/>
  <c r="B399" i="9"/>
  <c r="M398" i="9"/>
  <c r="L398" i="9"/>
  <c r="K398" i="9"/>
  <c r="B398" i="9"/>
  <c r="M397" i="9"/>
  <c r="L397" i="9"/>
  <c r="K397" i="9"/>
  <c r="B397" i="9"/>
  <c r="M396" i="9"/>
  <c r="L396" i="9"/>
  <c r="K396" i="9"/>
  <c r="B396" i="9"/>
  <c r="M395" i="9"/>
  <c r="L395" i="9"/>
  <c r="K395" i="9"/>
  <c r="B395" i="9"/>
  <c r="M394" i="9"/>
  <c r="L394" i="9"/>
  <c r="K394" i="9"/>
  <c r="B394" i="9"/>
  <c r="M393" i="9"/>
  <c r="L393" i="9"/>
  <c r="K393" i="9"/>
  <c r="B393" i="9"/>
  <c r="M392" i="9"/>
  <c r="L392" i="9"/>
  <c r="K392" i="9"/>
  <c r="B392" i="9"/>
  <c r="M391" i="9"/>
  <c r="L391" i="9"/>
  <c r="K391" i="9"/>
  <c r="B391" i="9"/>
  <c r="M390" i="9"/>
  <c r="L390" i="9"/>
  <c r="K390" i="9"/>
  <c r="B390" i="9"/>
  <c r="M389" i="9"/>
  <c r="L389" i="9"/>
  <c r="K389" i="9"/>
  <c r="B389" i="9"/>
  <c r="M388" i="9"/>
  <c r="L388" i="9"/>
  <c r="K388" i="9"/>
  <c r="B388" i="9"/>
  <c r="M387" i="9"/>
  <c r="L387" i="9"/>
  <c r="K387" i="9"/>
  <c r="B387" i="9"/>
  <c r="M386" i="9"/>
  <c r="L386" i="9"/>
  <c r="K386" i="9"/>
  <c r="B386" i="9"/>
  <c r="M385" i="9"/>
  <c r="L385" i="9"/>
  <c r="K385" i="9"/>
  <c r="B385" i="9"/>
  <c r="M384" i="9"/>
  <c r="L384" i="9"/>
  <c r="K384" i="9"/>
  <c r="B384" i="9"/>
  <c r="M383" i="9"/>
  <c r="L383" i="9"/>
  <c r="K383" i="9"/>
  <c r="B383" i="9"/>
  <c r="M382" i="9"/>
  <c r="L382" i="9"/>
  <c r="K382" i="9"/>
  <c r="B382" i="9"/>
  <c r="M381" i="9"/>
  <c r="L381" i="9"/>
  <c r="K381" i="9"/>
  <c r="B381" i="9"/>
  <c r="M380" i="9"/>
  <c r="L380" i="9"/>
  <c r="K380" i="9"/>
  <c r="B380" i="9"/>
  <c r="M379" i="9"/>
  <c r="L379" i="9"/>
  <c r="K379" i="9"/>
  <c r="B379" i="9"/>
  <c r="M378" i="9"/>
  <c r="L378" i="9"/>
  <c r="K378" i="9"/>
  <c r="B378" i="9"/>
  <c r="M377" i="9"/>
  <c r="L377" i="9"/>
  <c r="K377" i="9"/>
  <c r="B377" i="9"/>
  <c r="M376" i="9"/>
  <c r="L376" i="9"/>
  <c r="K376" i="9"/>
  <c r="B376" i="9"/>
  <c r="M375" i="9"/>
  <c r="L375" i="9"/>
  <c r="K375" i="9"/>
  <c r="B375" i="9"/>
  <c r="M374" i="9"/>
  <c r="L374" i="9"/>
  <c r="K374" i="9"/>
  <c r="B374" i="9"/>
  <c r="M373" i="9"/>
  <c r="L373" i="9"/>
  <c r="K373" i="9"/>
  <c r="B373" i="9"/>
  <c r="M372" i="9"/>
  <c r="L372" i="9"/>
  <c r="K372" i="9"/>
  <c r="B372" i="9"/>
  <c r="M371" i="9"/>
  <c r="L371" i="9"/>
  <c r="K371" i="9"/>
  <c r="B371" i="9"/>
  <c r="M370" i="9"/>
  <c r="L370" i="9"/>
  <c r="K370" i="9"/>
  <c r="B370" i="9"/>
  <c r="M369" i="9"/>
  <c r="L369" i="9"/>
  <c r="K369" i="9"/>
  <c r="B369" i="9"/>
  <c r="M368" i="9"/>
  <c r="L368" i="9"/>
  <c r="K368" i="9"/>
  <c r="B368" i="9"/>
  <c r="M367" i="9"/>
  <c r="L367" i="9"/>
  <c r="K367" i="9"/>
  <c r="B367" i="9"/>
  <c r="M366" i="9"/>
  <c r="L366" i="9"/>
  <c r="K366" i="9"/>
  <c r="B366" i="9"/>
  <c r="M365" i="9"/>
  <c r="L365" i="9"/>
  <c r="K365" i="9"/>
  <c r="B365" i="9"/>
  <c r="M364" i="9"/>
  <c r="L364" i="9"/>
  <c r="K364" i="9"/>
  <c r="B364" i="9"/>
  <c r="M363" i="9"/>
  <c r="L363" i="9"/>
  <c r="K363" i="9"/>
  <c r="B363" i="9"/>
  <c r="M362" i="9"/>
  <c r="L362" i="9"/>
  <c r="K362" i="9"/>
  <c r="B362" i="9"/>
  <c r="M361" i="9"/>
  <c r="L361" i="9"/>
  <c r="K361" i="9"/>
  <c r="B361" i="9"/>
  <c r="M360" i="9"/>
  <c r="L360" i="9"/>
  <c r="K360" i="9"/>
  <c r="B360" i="9"/>
  <c r="M359" i="9"/>
  <c r="L359" i="9"/>
  <c r="K359" i="9"/>
  <c r="B359" i="9"/>
  <c r="M358" i="9"/>
  <c r="L358" i="9"/>
  <c r="K358" i="9"/>
  <c r="B358" i="9"/>
  <c r="M357" i="9"/>
  <c r="L357" i="9"/>
  <c r="K357" i="9"/>
  <c r="B357" i="9"/>
  <c r="M356" i="9"/>
  <c r="L356" i="9"/>
  <c r="K356" i="9"/>
  <c r="B356" i="9"/>
  <c r="M355" i="9"/>
  <c r="L355" i="9"/>
  <c r="K355" i="9"/>
  <c r="B355" i="9"/>
  <c r="M354" i="9"/>
  <c r="L354" i="9"/>
  <c r="K354" i="9"/>
  <c r="B354" i="9"/>
  <c r="M353" i="9"/>
  <c r="L353" i="9"/>
  <c r="K353" i="9"/>
  <c r="B353" i="9"/>
  <c r="M352" i="9"/>
  <c r="L352" i="9"/>
  <c r="K352" i="9"/>
  <c r="B352" i="9"/>
  <c r="M351" i="9"/>
  <c r="L351" i="9"/>
  <c r="K351" i="9"/>
  <c r="B351" i="9"/>
  <c r="M350" i="9"/>
  <c r="L350" i="9"/>
  <c r="K350" i="9"/>
  <c r="B350" i="9"/>
  <c r="M349" i="9"/>
  <c r="L349" i="9"/>
  <c r="K349" i="9"/>
  <c r="B349" i="9"/>
  <c r="M348" i="9"/>
  <c r="L348" i="9"/>
  <c r="K348" i="9"/>
  <c r="B348" i="9"/>
  <c r="M347" i="9"/>
  <c r="L347" i="9"/>
  <c r="K347" i="9"/>
  <c r="B347" i="9"/>
  <c r="M346" i="9"/>
  <c r="L346" i="9"/>
  <c r="K346" i="9"/>
  <c r="B346" i="9"/>
  <c r="M345" i="9"/>
  <c r="L345" i="9"/>
  <c r="K345" i="9"/>
  <c r="B345" i="9"/>
  <c r="M344" i="9"/>
  <c r="L344" i="9"/>
  <c r="K344" i="9"/>
  <c r="B344" i="9"/>
  <c r="M343" i="9"/>
  <c r="L343" i="9"/>
  <c r="K343" i="9"/>
  <c r="B343" i="9"/>
  <c r="M342" i="9"/>
  <c r="L342" i="9"/>
  <c r="K342" i="9"/>
  <c r="B342" i="9"/>
  <c r="M341" i="9"/>
  <c r="L341" i="9"/>
  <c r="K341" i="9"/>
  <c r="B341" i="9"/>
  <c r="M340" i="9"/>
  <c r="L340" i="9"/>
  <c r="K340" i="9"/>
  <c r="B340" i="9"/>
  <c r="M339" i="9"/>
  <c r="L339" i="9"/>
  <c r="K339" i="9"/>
  <c r="B339" i="9"/>
  <c r="M338" i="9"/>
  <c r="L338" i="9"/>
  <c r="K338" i="9"/>
  <c r="B338" i="9"/>
  <c r="M337" i="9"/>
  <c r="L337" i="9"/>
  <c r="K337" i="9"/>
  <c r="B337" i="9"/>
  <c r="M336" i="9"/>
  <c r="L336" i="9"/>
  <c r="K336" i="9"/>
  <c r="B336" i="9"/>
  <c r="M335" i="9"/>
  <c r="L335" i="9"/>
  <c r="K335" i="9"/>
  <c r="B335" i="9"/>
  <c r="M334" i="9"/>
  <c r="L334" i="9"/>
  <c r="K334" i="9"/>
  <c r="B334" i="9"/>
  <c r="M333" i="9"/>
  <c r="L333" i="9"/>
  <c r="K333" i="9"/>
  <c r="B333" i="9"/>
  <c r="M332" i="9"/>
  <c r="L332" i="9"/>
  <c r="K332" i="9"/>
  <c r="B332" i="9"/>
  <c r="M331" i="9"/>
  <c r="L331" i="9"/>
  <c r="K331" i="9"/>
  <c r="B331" i="9"/>
  <c r="M330" i="9"/>
  <c r="L330" i="9"/>
  <c r="K330" i="9"/>
  <c r="B330" i="9"/>
  <c r="M329" i="9"/>
  <c r="L329" i="9"/>
  <c r="K329" i="9"/>
  <c r="B329" i="9"/>
  <c r="M328" i="9"/>
  <c r="L328" i="9"/>
  <c r="K328" i="9"/>
  <c r="B328" i="9"/>
  <c r="M327" i="9"/>
  <c r="L327" i="9"/>
  <c r="K327" i="9"/>
  <c r="B327" i="9"/>
  <c r="M326" i="9"/>
  <c r="L326" i="9"/>
  <c r="K326" i="9"/>
  <c r="B326" i="9"/>
  <c r="M325" i="9"/>
  <c r="L325" i="9"/>
  <c r="K325" i="9"/>
  <c r="B325" i="9"/>
  <c r="M324" i="9"/>
  <c r="L324" i="9"/>
  <c r="K324" i="9"/>
  <c r="B324" i="9"/>
  <c r="M323" i="9"/>
  <c r="L323" i="9"/>
  <c r="K323" i="9"/>
  <c r="B323" i="9"/>
  <c r="M322" i="9"/>
  <c r="L322" i="9"/>
  <c r="K322" i="9"/>
  <c r="B322" i="9"/>
  <c r="M321" i="9"/>
  <c r="L321" i="9"/>
  <c r="K321" i="9"/>
  <c r="B321" i="9"/>
  <c r="M320" i="9"/>
  <c r="L320" i="9"/>
  <c r="K320" i="9"/>
  <c r="B320" i="9"/>
  <c r="M319" i="9"/>
  <c r="L319" i="9"/>
  <c r="K319" i="9"/>
  <c r="B319" i="9"/>
  <c r="M318" i="9"/>
  <c r="L318" i="9"/>
  <c r="K318" i="9"/>
  <c r="B318" i="9"/>
  <c r="M317" i="9"/>
  <c r="L317" i="9"/>
  <c r="K317" i="9"/>
  <c r="B317" i="9"/>
  <c r="M316" i="9"/>
  <c r="L316" i="9"/>
  <c r="K316" i="9"/>
  <c r="B316" i="9"/>
  <c r="M315" i="9"/>
  <c r="L315" i="9"/>
  <c r="K315" i="9"/>
  <c r="B315" i="9"/>
  <c r="M314" i="9"/>
  <c r="L314" i="9"/>
  <c r="K314" i="9"/>
  <c r="B314" i="9"/>
  <c r="M313" i="9"/>
  <c r="L313" i="9"/>
  <c r="K313" i="9"/>
  <c r="B313" i="9"/>
  <c r="M312" i="9"/>
  <c r="L312" i="9"/>
  <c r="K312" i="9"/>
  <c r="B312" i="9"/>
  <c r="M311" i="9"/>
  <c r="L311" i="9"/>
  <c r="K311" i="9"/>
  <c r="B311" i="9"/>
  <c r="M310" i="9"/>
  <c r="L310" i="9"/>
  <c r="K310" i="9"/>
  <c r="B310" i="9"/>
  <c r="M309" i="9"/>
  <c r="L309" i="9"/>
  <c r="K309" i="9"/>
  <c r="B309" i="9"/>
  <c r="M308" i="9"/>
  <c r="L308" i="9"/>
  <c r="K308" i="9"/>
  <c r="B308" i="9"/>
  <c r="M307" i="9"/>
  <c r="L307" i="9"/>
  <c r="K307" i="9"/>
  <c r="B307" i="9"/>
  <c r="M306" i="9"/>
  <c r="L306" i="9"/>
  <c r="K306" i="9"/>
  <c r="B306" i="9"/>
  <c r="M305" i="9"/>
  <c r="L305" i="9"/>
  <c r="K305" i="9"/>
  <c r="B305" i="9"/>
  <c r="M304" i="9"/>
  <c r="L304" i="9"/>
  <c r="K304" i="9"/>
  <c r="B304" i="9"/>
  <c r="M303" i="9"/>
  <c r="L303" i="9"/>
  <c r="K303" i="9"/>
  <c r="B303" i="9"/>
  <c r="M302" i="9"/>
  <c r="L302" i="9"/>
  <c r="K302" i="9"/>
  <c r="B302" i="9"/>
  <c r="M301" i="9"/>
  <c r="L301" i="9"/>
  <c r="K301" i="9"/>
  <c r="B301" i="9"/>
  <c r="M300" i="9"/>
  <c r="L300" i="9"/>
  <c r="K300" i="9"/>
  <c r="B300" i="9"/>
  <c r="M299" i="9"/>
  <c r="L299" i="9"/>
  <c r="K299" i="9"/>
  <c r="B299" i="9"/>
  <c r="M298" i="9"/>
  <c r="L298" i="9"/>
  <c r="K298" i="9"/>
  <c r="B298" i="9"/>
  <c r="M297" i="9"/>
  <c r="L297" i="9"/>
  <c r="K297" i="9"/>
  <c r="B297" i="9"/>
  <c r="M296" i="9"/>
  <c r="L296" i="9"/>
  <c r="K296" i="9"/>
  <c r="B296" i="9"/>
  <c r="M295" i="9"/>
  <c r="L295" i="9"/>
  <c r="K295" i="9"/>
  <c r="B295" i="9"/>
  <c r="M294" i="9"/>
  <c r="L294" i="9"/>
  <c r="K294" i="9"/>
  <c r="B294" i="9"/>
  <c r="M293" i="9"/>
  <c r="L293" i="9"/>
  <c r="K293" i="9"/>
  <c r="B293" i="9"/>
  <c r="M292" i="9"/>
  <c r="L292" i="9"/>
  <c r="K292" i="9"/>
  <c r="B292" i="9"/>
  <c r="M291" i="9"/>
  <c r="L291" i="9"/>
  <c r="K291" i="9"/>
  <c r="B291" i="9"/>
  <c r="M290" i="9"/>
  <c r="L290" i="9"/>
  <c r="K290" i="9"/>
  <c r="B290" i="9"/>
  <c r="M289" i="9"/>
  <c r="L289" i="9"/>
  <c r="K289" i="9"/>
  <c r="B289" i="9"/>
  <c r="M288" i="9"/>
  <c r="L288" i="9"/>
  <c r="K288" i="9"/>
  <c r="B288" i="9"/>
  <c r="M287" i="9"/>
  <c r="L287" i="9"/>
  <c r="K287" i="9"/>
  <c r="B287" i="9"/>
  <c r="M286" i="9"/>
  <c r="L286" i="9"/>
  <c r="K286" i="9"/>
  <c r="B286" i="9"/>
  <c r="M285" i="9"/>
  <c r="L285" i="9"/>
  <c r="K285" i="9"/>
  <c r="B285" i="9"/>
  <c r="M284" i="9"/>
  <c r="L284" i="9"/>
  <c r="K284" i="9"/>
  <c r="B284" i="9"/>
  <c r="M283" i="9"/>
  <c r="L283" i="9"/>
  <c r="K283" i="9"/>
  <c r="B283" i="9"/>
  <c r="M282" i="9"/>
  <c r="L282" i="9"/>
  <c r="K282" i="9"/>
  <c r="B282" i="9"/>
  <c r="M281" i="9"/>
  <c r="L281" i="9"/>
  <c r="K281" i="9"/>
  <c r="B281" i="9"/>
  <c r="M280" i="9"/>
  <c r="L280" i="9"/>
  <c r="K280" i="9"/>
  <c r="B280" i="9"/>
  <c r="M279" i="9"/>
  <c r="L279" i="9"/>
  <c r="K279" i="9"/>
  <c r="B279" i="9"/>
  <c r="M278" i="9"/>
  <c r="L278" i="9"/>
  <c r="K278" i="9"/>
  <c r="B278" i="9"/>
  <c r="M277" i="9"/>
  <c r="L277" i="9"/>
  <c r="K277" i="9"/>
  <c r="B277" i="9"/>
  <c r="M276" i="9"/>
  <c r="L276" i="9"/>
  <c r="K276" i="9"/>
  <c r="B276" i="9"/>
  <c r="M275" i="9"/>
  <c r="L275" i="9"/>
  <c r="K275" i="9"/>
  <c r="B275" i="9"/>
  <c r="M274" i="9"/>
  <c r="L274" i="9"/>
  <c r="K274" i="9"/>
  <c r="B274" i="9"/>
  <c r="M273" i="9"/>
  <c r="L273" i="9"/>
  <c r="K273" i="9"/>
  <c r="B273" i="9"/>
  <c r="M272" i="9"/>
  <c r="L272" i="9"/>
  <c r="K272" i="9"/>
  <c r="B272" i="9"/>
  <c r="M271" i="9"/>
  <c r="L271" i="9"/>
  <c r="K271" i="9"/>
  <c r="B271" i="9"/>
  <c r="M270" i="9"/>
  <c r="L270" i="9"/>
  <c r="K270" i="9"/>
  <c r="B270" i="9"/>
  <c r="M269" i="9"/>
  <c r="L269" i="9"/>
  <c r="K269" i="9"/>
  <c r="B269" i="9"/>
  <c r="M268" i="9"/>
  <c r="L268" i="9"/>
  <c r="K268" i="9"/>
  <c r="B268" i="9"/>
  <c r="M267" i="9"/>
  <c r="L267" i="9"/>
  <c r="K267" i="9"/>
  <c r="B267" i="9"/>
  <c r="M266" i="9"/>
  <c r="L266" i="9"/>
  <c r="K266" i="9"/>
  <c r="B266" i="9"/>
  <c r="M265" i="9"/>
  <c r="L265" i="9"/>
  <c r="K265" i="9"/>
  <c r="B265" i="9"/>
  <c r="M264" i="9"/>
  <c r="L264" i="9"/>
  <c r="K264" i="9"/>
  <c r="B264" i="9"/>
  <c r="M263" i="9"/>
  <c r="L263" i="9"/>
  <c r="K263" i="9"/>
  <c r="B263" i="9"/>
  <c r="M262" i="9"/>
  <c r="L262" i="9"/>
  <c r="K262" i="9"/>
  <c r="B262" i="9"/>
  <c r="M261" i="9"/>
  <c r="L261" i="9"/>
  <c r="K261" i="9"/>
  <c r="B261" i="9"/>
  <c r="M260" i="9"/>
  <c r="L260" i="9"/>
  <c r="K260" i="9"/>
  <c r="B260" i="9"/>
  <c r="M259" i="9"/>
  <c r="L259" i="9"/>
  <c r="K259" i="9"/>
  <c r="B259" i="9"/>
  <c r="M258" i="9"/>
  <c r="L258" i="9"/>
  <c r="K258" i="9"/>
  <c r="B258" i="9"/>
  <c r="M257" i="9"/>
  <c r="L257" i="9"/>
  <c r="K257" i="9"/>
  <c r="B257" i="9"/>
  <c r="M256" i="9"/>
  <c r="L256" i="9"/>
  <c r="K256" i="9"/>
  <c r="B256" i="9"/>
  <c r="M255" i="9"/>
  <c r="L255" i="9"/>
  <c r="K255" i="9"/>
  <c r="B255" i="9"/>
  <c r="M254" i="9"/>
  <c r="L254" i="9"/>
  <c r="K254" i="9"/>
  <c r="B254" i="9"/>
  <c r="M253" i="9"/>
  <c r="L253" i="9"/>
  <c r="K253" i="9"/>
  <c r="B253" i="9"/>
  <c r="M252" i="9"/>
  <c r="L252" i="9"/>
  <c r="K252" i="9"/>
  <c r="B252" i="9"/>
  <c r="M251" i="9"/>
  <c r="L251" i="9"/>
  <c r="K251" i="9"/>
  <c r="B251" i="9"/>
  <c r="M250" i="9"/>
  <c r="L250" i="9"/>
  <c r="K250" i="9"/>
  <c r="B250" i="9"/>
  <c r="M249" i="9"/>
  <c r="L249" i="9"/>
  <c r="K249" i="9"/>
  <c r="B249" i="9"/>
  <c r="M248" i="9"/>
  <c r="L248" i="9"/>
  <c r="K248" i="9"/>
  <c r="B248" i="9"/>
  <c r="M247" i="9"/>
  <c r="L247" i="9"/>
  <c r="K247" i="9"/>
  <c r="B247" i="9"/>
  <c r="M246" i="9"/>
  <c r="L246" i="9"/>
  <c r="K246" i="9"/>
  <c r="B246" i="9"/>
  <c r="M245" i="9"/>
  <c r="L245" i="9"/>
  <c r="K245" i="9"/>
  <c r="B245" i="9"/>
  <c r="M244" i="9"/>
  <c r="L244" i="9"/>
  <c r="K244" i="9"/>
  <c r="B244" i="9"/>
  <c r="M243" i="9"/>
  <c r="L243" i="9"/>
  <c r="K243" i="9"/>
  <c r="B243" i="9"/>
  <c r="M242" i="9"/>
  <c r="L242" i="9"/>
  <c r="K242" i="9"/>
  <c r="B242" i="9"/>
  <c r="M241" i="9"/>
  <c r="L241" i="9"/>
  <c r="K241" i="9"/>
  <c r="B241" i="9"/>
  <c r="M240" i="9"/>
  <c r="L240" i="9"/>
  <c r="K240" i="9"/>
  <c r="B240" i="9"/>
  <c r="M239" i="9"/>
  <c r="L239" i="9"/>
  <c r="K239" i="9"/>
  <c r="B239" i="9"/>
  <c r="M238" i="9"/>
  <c r="L238" i="9"/>
  <c r="K238" i="9"/>
  <c r="B238" i="9"/>
  <c r="M237" i="9"/>
  <c r="L237" i="9"/>
  <c r="K237" i="9"/>
  <c r="B237" i="9"/>
  <c r="M236" i="9"/>
  <c r="L236" i="9"/>
  <c r="K236" i="9"/>
  <c r="B236" i="9"/>
  <c r="M235" i="9"/>
  <c r="L235" i="9"/>
  <c r="K235" i="9"/>
  <c r="B235" i="9"/>
  <c r="M234" i="9"/>
  <c r="L234" i="9"/>
  <c r="K234" i="9"/>
  <c r="B234" i="9"/>
  <c r="M233" i="9"/>
  <c r="L233" i="9"/>
  <c r="K233" i="9"/>
  <c r="B233" i="9"/>
  <c r="M232" i="9"/>
  <c r="L232" i="9"/>
  <c r="K232" i="9"/>
  <c r="B232" i="9"/>
  <c r="M231" i="9"/>
  <c r="L231" i="9"/>
  <c r="K231" i="9"/>
  <c r="B231" i="9"/>
  <c r="M230" i="9"/>
  <c r="L230" i="9"/>
  <c r="K230" i="9"/>
  <c r="B230" i="9"/>
  <c r="M229" i="9"/>
  <c r="L229" i="9"/>
  <c r="K229" i="9"/>
  <c r="B229" i="9"/>
  <c r="M228" i="9"/>
  <c r="L228" i="9"/>
  <c r="K228" i="9"/>
  <c r="B228" i="9"/>
  <c r="M227" i="9"/>
  <c r="L227" i="9"/>
  <c r="K227" i="9"/>
  <c r="B227" i="9"/>
  <c r="M226" i="9"/>
  <c r="L226" i="9"/>
  <c r="K226" i="9"/>
  <c r="B226" i="9"/>
  <c r="M225" i="9"/>
  <c r="L225" i="9"/>
  <c r="K225" i="9"/>
  <c r="B225" i="9"/>
  <c r="M224" i="9"/>
  <c r="L224" i="9"/>
  <c r="K224" i="9"/>
  <c r="B224" i="9"/>
  <c r="M223" i="9"/>
  <c r="L223" i="9"/>
  <c r="K223" i="9"/>
  <c r="B223" i="9"/>
  <c r="M222" i="9"/>
  <c r="L222" i="9"/>
  <c r="K222" i="9"/>
  <c r="B222" i="9"/>
  <c r="M221" i="9"/>
  <c r="L221" i="9"/>
  <c r="K221" i="9"/>
  <c r="B221" i="9"/>
  <c r="M220" i="9"/>
  <c r="L220" i="9"/>
  <c r="K220" i="9"/>
  <c r="B220" i="9"/>
  <c r="M219" i="9"/>
  <c r="L219" i="9"/>
  <c r="K219" i="9"/>
  <c r="B219" i="9"/>
  <c r="M218" i="9"/>
  <c r="L218" i="9"/>
  <c r="K218" i="9"/>
  <c r="B218" i="9"/>
  <c r="M217" i="9"/>
  <c r="L217" i="9"/>
  <c r="K217" i="9"/>
  <c r="B217" i="9"/>
  <c r="M216" i="9"/>
  <c r="L216" i="9"/>
  <c r="K216" i="9"/>
  <c r="B216" i="9"/>
  <c r="M215" i="9"/>
  <c r="L215" i="9"/>
  <c r="K215" i="9"/>
  <c r="B215" i="9"/>
  <c r="M214" i="9"/>
  <c r="L214" i="9"/>
  <c r="K214" i="9"/>
  <c r="B214" i="9"/>
  <c r="M213" i="9"/>
  <c r="L213" i="9"/>
  <c r="K213" i="9"/>
  <c r="B213" i="9"/>
  <c r="M212" i="9"/>
  <c r="L212" i="9"/>
  <c r="K212" i="9"/>
  <c r="B212" i="9"/>
  <c r="M211" i="9"/>
  <c r="L211" i="9"/>
  <c r="K211" i="9"/>
  <c r="B211" i="9"/>
  <c r="M210" i="9"/>
  <c r="L210" i="9"/>
  <c r="K210" i="9"/>
  <c r="B210" i="9"/>
  <c r="M209" i="9"/>
  <c r="L209" i="9"/>
  <c r="K209" i="9"/>
  <c r="B209" i="9"/>
  <c r="M208" i="9"/>
  <c r="L208" i="9"/>
  <c r="K208" i="9"/>
  <c r="B208" i="9"/>
  <c r="M207" i="9"/>
  <c r="L207" i="9"/>
  <c r="K207" i="9"/>
  <c r="B207" i="9"/>
  <c r="M206" i="9"/>
  <c r="L206" i="9"/>
  <c r="K206" i="9"/>
  <c r="B206" i="9"/>
  <c r="M205" i="9"/>
  <c r="L205" i="9"/>
  <c r="K205" i="9"/>
  <c r="B205" i="9"/>
  <c r="M204" i="9"/>
  <c r="L204" i="9"/>
  <c r="K204" i="9"/>
  <c r="B204" i="9"/>
  <c r="M203" i="9"/>
  <c r="L203" i="9"/>
  <c r="K203" i="9"/>
  <c r="B203" i="9"/>
  <c r="M202" i="9"/>
  <c r="L202" i="9"/>
  <c r="K202" i="9"/>
  <c r="B202" i="9"/>
  <c r="M201" i="9"/>
  <c r="L201" i="9"/>
  <c r="K201" i="9"/>
  <c r="B201" i="9"/>
  <c r="M200" i="9"/>
  <c r="L200" i="9"/>
  <c r="K200" i="9"/>
  <c r="B200" i="9"/>
  <c r="M199" i="9"/>
  <c r="L199" i="9"/>
  <c r="K199" i="9"/>
  <c r="B199" i="9"/>
  <c r="M198" i="9"/>
  <c r="L198" i="9"/>
  <c r="K198" i="9"/>
  <c r="B198" i="9"/>
  <c r="M197" i="9"/>
  <c r="L197" i="9"/>
  <c r="K197" i="9"/>
  <c r="B197" i="9"/>
  <c r="M196" i="9"/>
  <c r="L196" i="9"/>
  <c r="K196" i="9"/>
  <c r="B196" i="9"/>
  <c r="M195" i="9"/>
  <c r="L195" i="9"/>
  <c r="K195" i="9"/>
  <c r="B195" i="9"/>
  <c r="M194" i="9"/>
  <c r="L194" i="9"/>
  <c r="K194" i="9"/>
  <c r="B194" i="9"/>
  <c r="M193" i="9"/>
  <c r="L193" i="9"/>
  <c r="K193" i="9"/>
  <c r="B193" i="9"/>
  <c r="M192" i="9"/>
  <c r="L192" i="9"/>
  <c r="K192" i="9"/>
  <c r="B192" i="9"/>
  <c r="M191" i="9"/>
  <c r="L191" i="9"/>
  <c r="K191" i="9"/>
  <c r="B191" i="9"/>
  <c r="M190" i="9"/>
  <c r="L190" i="9"/>
  <c r="K190" i="9"/>
  <c r="B190" i="9"/>
  <c r="M189" i="9"/>
  <c r="L189" i="9"/>
  <c r="K189" i="9"/>
  <c r="B189" i="9"/>
  <c r="M188" i="9"/>
  <c r="L188" i="9"/>
  <c r="K188" i="9"/>
  <c r="B188" i="9"/>
  <c r="M187" i="9"/>
  <c r="L187" i="9"/>
  <c r="K187" i="9"/>
  <c r="B187" i="9"/>
  <c r="M186" i="9"/>
  <c r="L186" i="9"/>
  <c r="K186" i="9"/>
  <c r="B186" i="9"/>
  <c r="M185" i="9"/>
  <c r="L185" i="9"/>
  <c r="K185" i="9"/>
  <c r="B185" i="9"/>
  <c r="M184" i="9"/>
  <c r="L184" i="9"/>
  <c r="K184" i="9"/>
  <c r="B184" i="9"/>
  <c r="M183" i="9"/>
  <c r="L183" i="9"/>
  <c r="K183" i="9"/>
  <c r="B183" i="9"/>
  <c r="M182" i="9"/>
  <c r="L182" i="9"/>
  <c r="K182" i="9"/>
  <c r="B182" i="9"/>
  <c r="M181" i="9"/>
  <c r="L181" i="9"/>
  <c r="K181" i="9"/>
  <c r="B181" i="9"/>
  <c r="M180" i="9"/>
  <c r="L180" i="9"/>
  <c r="K180" i="9"/>
  <c r="B180" i="9"/>
  <c r="M179" i="9"/>
  <c r="L179" i="9"/>
  <c r="K179" i="9"/>
  <c r="B179" i="9"/>
  <c r="M178" i="9"/>
  <c r="L178" i="9"/>
  <c r="K178" i="9"/>
  <c r="B178" i="9"/>
  <c r="M177" i="9"/>
  <c r="L177" i="9"/>
  <c r="K177" i="9"/>
  <c r="B177" i="9"/>
  <c r="M176" i="9"/>
  <c r="L176" i="9"/>
  <c r="K176" i="9"/>
  <c r="B176" i="9"/>
  <c r="M175" i="9"/>
  <c r="L175" i="9"/>
  <c r="K175" i="9"/>
  <c r="B175" i="9"/>
  <c r="M174" i="9"/>
  <c r="L174" i="9"/>
  <c r="K174" i="9"/>
  <c r="B174" i="9"/>
  <c r="M173" i="9"/>
  <c r="L173" i="9"/>
  <c r="K173" i="9"/>
  <c r="B173" i="9"/>
  <c r="M172" i="9"/>
  <c r="L172" i="9"/>
  <c r="K172" i="9"/>
  <c r="B172" i="9"/>
  <c r="M171" i="9"/>
  <c r="L171" i="9"/>
  <c r="K171" i="9"/>
  <c r="B171" i="9"/>
  <c r="M170" i="9"/>
  <c r="L170" i="9"/>
  <c r="K170" i="9"/>
  <c r="B170" i="9"/>
  <c r="M169" i="9"/>
  <c r="L169" i="9"/>
  <c r="K169" i="9"/>
  <c r="B169" i="9"/>
  <c r="M168" i="9"/>
  <c r="L168" i="9"/>
  <c r="K168" i="9"/>
  <c r="B168" i="9"/>
  <c r="M167" i="9"/>
  <c r="L167" i="9"/>
  <c r="K167" i="9"/>
  <c r="B167" i="9"/>
  <c r="M166" i="9"/>
  <c r="L166" i="9"/>
  <c r="K166" i="9"/>
  <c r="B166" i="9"/>
  <c r="M165" i="9"/>
  <c r="L165" i="9"/>
  <c r="K165" i="9"/>
  <c r="B165" i="9"/>
  <c r="M164" i="9"/>
  <c r="L164" i="9"/>
  <c r="K164" i="9"/>
  <c r="B164" i="9"/>
  <c r="M163" i="9"/>
  <c r="L163" i="9"/>
  <c r="K163" i="9"/>
  <c r="B163" i="9"/>
  <c r="M162" i="9"/>
  <c r="L162" i="9"/>
  <c r="K162" i="9"/>
  <c r="B162" i="9"/>
  <c r="M161" i="9"/>
  <c r="L161" i="9"/>
  <c r="K161" i="9"/>
  <c r="B161" i="9"/>
  <c r="M160" i="9"/>
  <c r="L160" i="9"/>
  <c r="K160" i="9"/>
  <c r="B160" i="9"/>
  <c r="M159" i="9"/>
  <c r="L159" i="9"/>
  <c r="K159" i="9"/>
  <c r="B159" i="9"/>
  <c r="M158" i="9"/>
  <c r="L158" i="9"/>
  <c r="K158" i="9"/>
  <c r="B158" i="9"/>
  <c r="M157" i="9"/>
  <c r="L157" i="9"/>
  <c r="K157" i="9"/>
  <c r="B157" i="9"/>
  <c r="M156" i="9"/>
  <c r="L156" i="9"/>
  <c r="K156" i="9"/>
  <c r="B156" i="9"/>
  <c r="M155" i="9"/>
  <c r="L155" i="9"/>
  <c r="K155" i="9"/>
  <c r="B155" i="9"/>
  <c r="M154" i="9"/>
  <c r="L154" i="9"/>
  <c r="K154" i="9"/>
  <c r="B154" i="9"/>
  <c r="M153" i="9"/>
  <c r="L153" i="9"/>
  <c r="K153" i="9"/>
  <c r="B153" i="9"/>
  <c r="M152" i="9"/>
  <c r="L152" i="9"/>
  <c r="K152" i="9"/>
  <c r="B152" i="9"/>
  <c r="M151" i="9"/>
  <c r="L151" i="9"/>
  <c r="K151" i="9"/>
  <c r="B151" i="9"/>
  <c r="M150" i="9"/>
  <c r="L150" i="9"/>
  <c r="K150" i="9"/>
  <c r="B150" i="9"/>
  <c r="M149" i="9"/>
  <c r="L149" i="9"/>
  <c r="K149" i="9"/>
  <c r="B149" i="9"/>
  <c r="M148" i="9"/>
  <c r="L148" i="9"/>
  <c r="K148" i="9"/>
  <c r="B148" i="9"/>
  <c r="M147" i="9"/>
  <c r="L147" i="9"/>
  <c r="K147" i="9"/>
  <c r="B147" i="9"/>
  <c r="M146" i="9"/>
  <c r="L146" i="9"/>
  <c r="K146" i="9"/>
  <c r="B146" i="9"/>
  <c r="M145" i="9"/>
  <c r="L145" i="9"/>
  <c r="K145" i="9"/>
  <c r="B145" i="9"/>
  <c r="M144" i="9"/>
  <c r="L144" i="9"/>
  <c r="K144" i="9"/>
  <c r="B144" i="9"/>
  <c r="M143" i="9"/>
  <c r="L143" i="9"/>
  <c r="K143" i="9"/>
  <c r="B143" i="9"/>
  <c r="M142" i="9"/>
  <c r="L142" i="9"/>
  <c r="K142" i="9"/>
  <c r="B142" i="9"/>
  <c r="M141" i="9"/>
  <c r="L141" i="9"/>
  <c r="K141" i="9"/>
  <c r="B141" i="9"/>
  <c r="M140" i="9"/>
  <c r="L140" i="9"/>
  <c r="K140" i="9"/>
  <c r="B140" i="9"/>
  <c r="M139" i="9"/>
  <c r="L139" i="9"/>
  <c r="K139" i="9"/>
  <c r="B139" i="9"/>
  <c r="M138" i="9"/>
  <c r="L138" i="9"/>
  <c r="K138" i="9"/>
  <c r="B138" i="9"/>
  <c r="M137" i="9"/>
  <c r="L137" i="9"/>
  <c r="K137" i="9"/>
  <c r="B137" i="9"/>
  <c r="M136" i="9"/>
  <c r="L136" i="9"/>
  <c r="K136" i="9"/>
  <c r="B136" i="9"/>
  <c r="M135" i="9"/>
  <c r="L135" i="9"/>
  <c r="K135" i="9"/>
  <c r="B135" i="9"/>
  <c r="M134" i="9"/>
  <c r="L134" i="9"/>
  <c r="K134" i="9"/>
  <c r="B134" i="9"/>
  <c r="M133" i="9"/>
  <c r="L133" i="9"/>
  <c r="K133" i="9"/>
  <c r="B133" i="9"/>
  <c r="M132" i="9"/>
  <c r="L132" i="9"/>
  <c r="K132" i="9"/>
  <c r="B132" i="9"/>
  <c r="M131" i="9"/>
  <c r="L131" i="9"/>
  <c r="K131" i="9"/>
  <c r="B131" i="9"/>
  <c r="M130" i="9"/>
  <c r="L130" i="9"/>
  <c r="K130" i="9"/>
  <c r="B130" i="9"/>
  <c r="M129" i="9"/>
  <c r="L129" i="9"/>
  <c r="K129" i="9"/>
  <c r="B129" i="9"/>
  <c r="M128" i="9"/>
  <c r="L128" i="9"/>
  <c r="K128" i="9"/>
  <c r="B128" i="9"/>
  <c r="M127" i="9"/>
  <c r="L127" i="9"/>
  <c r="K127" i="9"/>
  <c r="B127" i="9"/>
  <c r="M126" i="9"/>
  <c r="L126" i="9"/>
  <c r="K126" i="9"/>
  <c r="B126" i="9"/>
  <c r="M125" i="9"/>
  <c r="L125" i="9"/>
  <c r="K125" i="9"/>
  <c r="B125" i="9"/>
  <c r="M124" i="9"/>
  <c r="L124" i="9"/>
  <c r="K124" i="9"/>
  <c r="B124" i="9"/>
  <c r="M123" i="9"/>
  <c r="L123" i="9"/>
  <c r="K123" i="9"/>
  <c r="B123" i="9"/>
  <c r="M122" i="9"/>
  <c r="L122" i="9"/>
  <c r="K122" i="9"/>
  <c r="B122" i="9"/>
  <c r="M121" i="9"/>
  <c r="L121" i="9"/>
  <c r="K121" i="9"/>
  <c r="B121" i="9"/>
  <c r="M120" i="9"/>
  <c r="L120" i="9"/>
  <c r="K120" i="9"/>
  <c r="B120" i="9"/>
  <c r="M119" i="9"/>
  <c r="L119" i="9"/>
  <c r="K119" i="9"/>
  <c r="B119" i="9"/>
  <c r="M118" i="9"/>
  <c r="L118" i="9"/>
  <c r="K118" i="9"/>
  <c r="B118" i="9"/>
  <c r="M117" i="9"/>
  <c r="L117" i="9"/>
  <c r="K117" i="9"/>
  <c r="B117" i="9"/>
  <c r="M116" i="9"/>
  <c r="L116" i="9"/>
  <c r="K116" i="9"/>
  <c r="B116" i="9"/>
  <c r="M115" i="9"/>
  <c r="L115" i="9"/>
  <c r="K115" i="9"/>
  <c r="B115" i="9"/>
  <c r="M114" i="9"/>
  <c r="L114" i="9"/>
  <c r="K114" i="9"/>
  <c r="B114" i="9"/>
  <c r="M113" i="9"/>
  <c r="L113" i="9"/>
  <c r="K113" i="9"/>
  <c r="B113" i="9"/>
  <c r="M112" i="9"/>
  <c r="L112" i="9"/>
  <c r="K112" i="9"/>
  <c r="B112" i="9"/>
  <c r="M111" i="9"/>
  <c r="L111" i="9"/>
  <c r="K111" i="9"/>
  <c r="B111" i="9"/>
  <c r="M110" i="9"/>
  <c r="L110" i="9"/>
  <c r="K110" i="9"/>
  <c r="B110" i="9"/>
  <c r="M109" i="9"/>
  <c r="L109" i="9"/>
  <c r="K109" i="9"/>
  <c r="B109" i="9"/>
  <c r="M108" i="9"/>
  <c r="L108" i="9"/>
  <c r="K108" i="9"/>
  <c r="B108" i="9"/>
  <c r="M107" i="9"/>
  <c r="L107" i="9"/>
  <c r="K107" i="9"/>
  <c r="B107" i="9"/>
  <c r="M106" i="9"/>
  <c r="L106" i="9"/>
  <c r="K106" i="9"/>
  <c r="B106" i="9"/>
  <c r="M105" i="9"/>
  <c r="L105" i="9"/>
  <c r="K105" i="9"/>
  <c r="B105" i="9"/>
  <c r="M104" i="9"/>
  <c r="L104" i="9"/>
  <c r="K104" i="9"/>
  <c r="B104" i="9"/>
  <c r="M103" i="9"/>
  <c r="L103" i="9"/>
  <c r="K103" i="9"/>
  <c r="B103" i="9"/>
  <c r="M102" i="9"/>
  <c r="L102" i="9"/>
  <c r="K102" i="9"/>
  <c r="B102" i="9"/>
  <c r="M101" i="9"/>
  <c r="L101" i="9"/>
  <c r="K101" i="9"/>
  <c r="B101" i="9"/>
  <c r="M100" i="9"/>
  <c r="L100" i="9"/>
  <c r="K100" i="9"/>
  <c r="B100" i="9"/>
  <c r="M99" i="9"/>
  <c r="L99" i="9"/>
  <c r="K99" i="9"/>
  <c r="B99" i="9"/>
  <c r="M98" i="9"/>
  <c r="L98" i="9"/>
  <c r="K98" i="9"/>
  <c r="B98" i="9"/>
  <c r="M97" i="9"/>
  <c r="L97" i="9"/>
  <c r="K97" i="9"/>
  <c r="B97" i="9"/>
  <c r="M96" i="9"/>
  <c r="L96" i="9"/>
  <c r="K96" i="9"/>
  <c r="B96" i="9"/>
  <c r="M95" i="9"/>
  <c r="L95" i="9"/>
  <c r="K95" i="9"/>
  <c r="B95" i="9"/>
  <c r="M94" i="9"/>
  <c r="L94" i="9"/>
  <c r="K94" i="9"/>
  <c r="B94" i="9"/>
  <c r="M93" i="9"/>
  <c r="L93" i="9"/>
  <c r="K93" i="9"/>
  <c r="B93" i="9"/>
  <c r="M92" i="9"/>
  <c r="L92" i="9"/>
  <c r="K92" i="9"/>
  <c r="B92" i="9"/>
  <c r="M91" i="9"/>
  <c r="L91" i="9"/>
  <c r="K91" i="9"/>
  <c r="B91" i="9"/>
  <c r="M90" i="9"/>
  <c r="L90" i="9"/>
  <c r="K90" i="9"/>
  <c r="B90" i="9"/>
  <c r="M89" i="9"/>
  <c r="L89" i="9"/>
  <c r="K89" i="9"/>
  <c r="B89" i="9"/>
  <c r="M88" i="9"/>
  <c r="L88" i="9"/>
  <c r="K88" i="9"/>
  <c r="B88" i="9"/>
  <c r="M87" i="9"/>
  <c r="L87" i="9"/>
  <c r="K87" i="9"/>
  <c r="B87" i="9"/>
  <c r="M86" i="9"/>
  <c r="L86" i="9"/>
  <c r="K86" i="9"/>
  <c r="B86" i="9"/>
  <c r="M85" i="9"/>
  <c r="L85" i="9"/>
  <c r="K85" i="9"/>
  <c r="B85" i="9"/>
  <c r="M84" i="9"/>
  <c r="L84" i="9"/>
  <c r="K84" i="9"/>
  <c r="B84" i="9"/>
  <c r="M83" i="9"/>
  <c r="L83" i="9"/>
  <c r="K83" i="9"/>
  <c r="B83" i="9"/>
  <c r="M82" i="9"/>
  <c r="L82" i="9"/>
  <c r="K82" i="9"/>
  <c r="B82" i="9"/>
  <c r="M81" i="9"/>
  <c r="L81" i="9"/>
  <c r="K81" i="9"/>
  <c r="B81" i="9"/>
  <c r="M80" i="9"/>
  <c r="L80" i="9"/>
  <c r="K80" i="9"/>
  <c r="B80" i="9"/>
  <c r="M79" i="9"/>
  <c r="L79" i="9"/>
  <c r="K79" i="9"/>
  <c r="B79" i="9"/>
  <c r="M78" i="9"/>
  <c r="L78" i="9"/>
  <c r="K78" i="9"/>
  <c r="B78" i="9"/>
  <c r="M77" i="9"/>
  <c r="L77" i="9"/>
  <c r="K77" i="9"/>
  <c r="B77" i="9"/>
  <c r="M76" i="9"/>
  <c r="L76" i="9"/>
  <c r="K76" i="9"/>
  <c r="B76" i="9"/>
  <c r="M75" i="9"/>
  <c r="L75" i="9"/>
  <c r="K75" i="9"/>
  <c r="B75" i="9"/>
  <c r="M74" i="9"/>
  <c r="L74" i="9"/>
  <c r="K74" i="9"/>
  <c r="B74" i="9"/>
  <c r="M73" i="9"/>
  <c r="L73" i="9"/>
  <c r="K73" i="9"/>
  <c r="B73" i="9"/>
  <c r="M72" i="9"/>
  <c r="L72" i="9"/>
  <c r="K72" i="9"/>
  <c r="B72" i="9"/>
  <c r="M71" i="9"/>
  <c r="L71" i="9"/>
  <c r="K71" i="9"/>
  <c r="B71" i="9"/>
  <c r="M70" i="9"/>
  <c r="L70" i="9"/>
  <c r="K70" i="9"/>
  <c r="B70" i="9"/>
  <c r="M69" i="9"/>
  <c r="L69" i="9"/>
  <c r="K69" i="9"/>
  <c r="B69" i="9"/>
  <c r="M68" i="9"/>
  <c r="L68" i="9"/>
  <c r="K68" i="9"/>
  <c r="B68" i="9"/>
  <c r="M67" i="9"/>
  <c r="L67" i="9"/>
  <c r="K67" i="9"/>
  <c r="B67" i="9"/>
  <c r="M66" i="9"/>
  <c r="L66" i="9"/>
  <c r="K66" i="9"/>
  <c r="B66" i="9"/>
  <c r="M65" i="9"/>
  <c r="L65" i="9"/>
  <c r="K65" i="9"/>
  <c r="B65" i="9"/>
  <c r="M64" i="9"/>
  <c r="L64" i="9"/>
  <c r="K64" i="9"/>
  <c r="B64" i="9"/>
  <c r="M63" i="9"/>
  <c r="L63" i="9"/>
  <c r="K63" i="9"/>
  <c r="B63" i="9"/>
  <c r="M62" i="9"/>
  <c r="L62" i="9"/>
  <c r="K62" i="9"/>
  <c r="B62" i="9"/>
  <c r="M61" i="9"/>
  <c r="L61" i="9"/>
  <c r="K61" i="9"/>
  <c r="B61" i="9"/>
  <c r="M60" i="9"/>
  <c r="L60" i="9"/>
  <c r="K60" i="9"/>
  <c r="B60" i="9"/>
  <c r="M59" i="9"/>
  <c r="L59" i="9"/>
  <c r="K59" i="9"/>
  <c r="B59" i="9"/>
  <c r="M58" i="9"/>
  <c r="L58" i="9"/>
  <c r="K58" i="9"/>
  <c r="B58" i="9"/>
  <c r="M57" i="9"/>
  <c r="L57" i="9"/>
  <c r="K57" i="9"/>
  <c r="B57" i="9"/>
  <c r="M56" i="9"/>
  <c r="L56" i="9"/>
  <c r="K56" i="9"/>
  <c r="B56" i="9"/>
  <c r="M55" i="9"/>
  <c r="L55" i="9"/>
  <c r="K55" i="9"/>
  <c r="B55" i="9"/>
  <c r="M54" i="9"/>
  <c r="L54" i="9"/>
  <c r="K54" i="9"/>
  <c r="B54" i="9"/>
  <c r="M53" i="9"/>
  <c r="L53" i="9"/>
  <c r="K53" i="9"/>
  <c r="B53" i="9"/>
  <c r="M52" i="9"/>
  <c r="L52" i="9"/>
  <c r="K52" i="9"/>
  <c r="B52" i="9"/>
  <c r="M51" i="9"/>
  <c r="L51" i="9"/>
  <c r="K51" i="9"/>
  <c r="B51" i="9"/>
  <c r="M50" i="9"/>
  <c r="L50" i="9"/>
  <c r="K50" i="9"/>
  <c r="B50" i="9"/>
  <c r="M49" i="9"/>
  <c r="L49" i="9"/>
  <c r="K49" i="9"/>
  <c r="B49" i="9"/>
  <c r="M48" i="9"/>
  <c r="L48" i="9"/>
  <c r="K48" i="9"/>
  <c r="B48" i="9"/>
  <c r="M47" i="9"/>
  <c r="L47" i="9"/>
  <c r="K47" i="9"/>
  <c r="B47" i="9"/>
  <c r="M46" i="9"/>
  <c r="L46" i="9"/>
  <c r="K46" i="9"/>
  <c r="B46" i="9"/>
  <c r="M45" i="9"/>
  <c r="L45" i="9"/>
  <c r="K45" i="9"/>
  <c r="B45" i="9"/>
  <c r="M44" i="9"/>
  <c r="L44" i="9"/>
  <c r="K44" i="9"/>
  <c r="B44" i="9"/>
  <c r="M43" i="9"/>
  <c r="L43" i="9"/>
  <c r="K43" i="9"/>
  <c r="B43" i="9"/>
  <c r="M42" i="9"/>
  <c r="L42" i="9"/>
  <c r="K42" i="9"/>
  <c r="B42" i="9"/>
  <c r="M41" i="9"/>
  <c r="L41" i="9"/>
  <c r="K41" i="9"/>
  <c r="B41" i="9"/>
  <c r="M40" i="9"/>
  <c r="L40" i="9"/>
  <c r="K40" i="9"/>
  <c r="B40" i="9"/>
  <c r="M39" i="9"/>
  <c r="L39" i="9"/>
  <c r="K39" i="9"/>
  <c r="B39" i="9"/>
  <c r="M38" i="9"/>
  <c r="L38" i="9"/>
  <c r="K38" i="9"/>
  <c r="B38" i="9"/>
  <c r="M37" i="9"/>
  <c r="L37" i="9"/>
  <c r="K37" i="9"/>
  <c r="B37" i="9"/>
  <c r="M36" i="9"/>
  <c r="L36" i="9"/>
  <c r="K36" i="9"/>
  <c r="B36" i="9"/>
  <c r="M35" i="9"/>
  <c r="L35" i="9"/>
  <c r="K35" i="9"/>
  <c r="B35" i="9"/>
  <c r="M34" i="9"/>
  <c r="L34" i="9"/>
  <c r="K34" i="9"/>
  <c r="B34" i="9"/>
  <c r="M33" i="9"/>
  <c r="L33" i="9"/>
  <c r="K33" i="9"/>
  <c r="B33" i="9"/>
  <c r="M32" i="9"/>
  <c r="L32" i="9"/>
  <c r="K32" i="9"/>
  <c r="B32" i="9"/>
  <c r="M31" i="9"/>
  <c r="L31" i="9"/>
  <c r="K31" i="9"/>
  <c r="B31" i="9"/>
  <c r="M30" i="9"/>
  <c r="L30" i="9"/>
  <c r="K30" i="9"/>
  <c r="B30" i="9"/>
  <c r="M29" i="9"/>
  <c r="L29" i="9"/>
  <c r="K29" i="9"/>
  <c r="B29" i="9"/>
  <c r="M28" i="9"/>
  <c r="L28" i="9"/>
  <c r="K28" i="9"/>
  <c r="B28" i="9"/>
  <c r="M27" i="9"/>
  <c r="L27" i="9"/>
  <c r="K27" i="9"/>
  <c r="B27" i="9"/>
  <c r="M26" i="9"/>
  <c r="L26" i="9"/>
  <c r="K26" i="9"/>
  <c r="B26" i="9"/>
  <c r="M25" i="9"/>
  <c r="L25" i="9"/>
  <c r="K25" i="9"/>
  <c r="B25" i="9"/>
  <c r="M24" i="9"/>
  <c r="L24" i="9"/>
  <c r="K24" i="9"/>
  <c r="B24" i="9"/>
  <c r="M23" i="9"/>
  <c r="L23" i="9"/>
  <c r="K23" i="9"/>
  <c r="B23" i="9"/>
  <c r="M22" i="9"/>
  <c r="L22" i="9"/>
  <c r="K22" i="9"/>
  <c r="B22" i="9"/>
  <c r="M21" i="9"/>
  <c r="L21" i="9"/>
  <c r="K21" i="9"/>
  <c r="B21" i="9"/>
  <c r="M20" i="9"/>
  <c r="L20" i="9"/>
  <c r="K20" i="9"/>
  <c r="B20" i="9"/>
  <c r="M19" i="9"/>
  <c r="L19" i="9"/>
  <c r="K19" i="9"/>
  <c r="B19" i="9"/>
  <c r="M18" i="9"/>
  <c r="L18" i="9"/>
  <c r="K18" i="9"/>
  <c r="B18" i="9"/>
  <c r="M17" i="9"/>
  <c r="L17" i="9"/>
  <c r="K17" i="9"/>
  <c r="B17" i="9"/>
  <c r="M16" i="9"/>
  <c r="L16" i="9"/>
  <c r="K16" i="9"/>
  <c r="B16" i="9"/>
  <c r="M15" i="9"/>
  <c r="L15" i="9"/>
  <c r="K15" i="9"/>
  <c r="B15" i="9"/>
  <c r="M14" i="9"/>
  <c r="L14" i="9"/>
  <c r="K14" i="9"/>
  <c r="B14" i="9"/>
  <c r="M13" i="9"/>
  <c r="L13" i="9"/>
  <c r="K13" i="9"/>
  <c r="B13" i="9"/>
  <c r="M12" i="9"/>
  <c r="L12" i="9"/>
  <c r="K12" i="9"/>
  <c r="B12" i="9"/>
  <c r="M11" i="9"/>
  <c r="L11" i="9"/>
  <c r="K11" i="9"/>
  <c r="B11" i="9"/>
  <c r="M10" i="9"/>
  <c r="L10" i="9"/>
  <c r="K10" i="9"/>
  <c r="B10" i="9"/>
  <c r="M9" i="9"/>
  <c r="L9" i="9"/>
  <c r="K9" i="9"/>
  <c r="B9" i="9"/>
  <c r="M8" i="9"/>
  <c r="L8" i="9"/>
  <c r="K8" i="9"/>
  <c r="B8" i="9"/>
  <c r="M7" i="9"/>
  <c r="L7" i="9"/>
  <c r="K7" i="9"/>
  <c r="B7" i="9"/>
  <c r="M6" i="9"/>
  <c r="L6" i="9"/>
  <c r="K6" i="9"/>
  <c r="B6" i="9"/>
  <c r="M5" i="9"/>
  <c r="L5" i="9"/>
  <c r="K5" i="9"/>
  <c r="B5" i="9"/>
  <c r="H64" i="8"/>
  <c r="G64" i="8"/>
  <c r="F64" i="8"/>
  <c r="H63" i="8"/>
  <c r="G63" i="8"/>
  <c r="F63" i="8"/>
  <c r="H62" i="8"/>
  <c r="G62" i="8"/>
  <c r="F62" i="8"/>
  <c r="H61" i="8"/>
  <c r="G61" i="8"/>
  <c r="F61" i="8"/>
  <c r="H60" i="8"/>
  <c r="G60" i="8"/>
  <c r="F60" i="8"/>
  <c r="H59" i="8"/>
  <c r="G59" i="8"/>
  <c r="F59" i="8"/>
  <c r="H58" i="8"/>
  <c r="G58" i="8"/>
  <c r="F58" i="8"/>
  <c r="H57" i="8"/>
  <c r="G57" i="8"/>
  <c r="F57" i="8"/>
  <c r="H56" i="8"/>
  <c r="G56" i="8"/>
  <c r="F56" i="8"/>
  <c r="H55" i="8"/>
  <c r="G55" i="8"/>
  <c r="F55" i="8"/>
  <c r="H54" i="8"/>
  <c r="G54" i="8"/>
  <c r="F54" i="8"/>
  <c r="H53" i="8"/>
  <c r="G53" i="8"/>
  <c r="F53" i="8"/>
  <c r="H52" i="8"/>
  <c r="G52" i="8"/>
  <c r="F52" i="8"/>
  <c r="H51" i="8"/>
  <c r="G51" i="8"/>
  <c r="F51" i="8"/>
  <c r="H50" i="8"/>
  <c r="G50" i="8"/>
  <c r="F50" i="8"/>
  <c r="H49" i="8"/>
  <c r="G49" i="8"/>
  <c r="F49" i="8"/>
  <c r="H48" i="8"/>
  <c r="G48" i="8"/>
  <c r="F48" i="8"/>
  <c r="H47" i="8"/>
  <c r="G47" i="8"/>
  <c r="F47" i="8"/>
  <c r="H46" i="8"/>
  <c r="G46" i="8"/>
  <c r="F46" i="8"/>
  <c r="H45" i="8"/>
  <c r="G45" i="8"/>
  <c r="F45" i="8"/>
  <c r="H44" i="8"/>
  <c r="G44" i="8"/>
  <c r="F44" i="8"/>
  <c r="H43" i="8"/>
  <c r="G43" i="8"/>
  <c r="F43" i="8"/>
  <c r="H42" i="8"/>
  <c r="G42" i="8"/>
  <c r="F42" i="8"/>
  <c r="H41" i="8"/>
  <c r="G41" i="8"/>
  <c r="F41" i="8"/>
  <c r="H40" i="8"/>
  <c r="G40" i="8"/>
  <c r="F40" i="8"/>
  <c r="H39" i="8"/>
  <c r="G39" i="8"/>
  <c r="F39" i="8"/>
  <c r="H38" i="8"/>
  <c r="G38" i="8"/>
  <c r="F38" i="8"/>
  <c r="H37" i="8"/>
  <c r="G37" i="8"/>
  <c r="F37" i="8"/>
  <c r="H36" i="8"/>
  <c r="G36" i="8"/>
  <c r="F36" i="8"/>
  <c r="H35" i="8"/>
  <c r="G35" i="8"/>
  <c r="F35" i="8"/>
  <c r="H34" i="8"/>
  <c r="G34" i="8"/>
  <c r="F34" i="8"/>
  <c r="H33" i="8"/>
  <c r="G33" i="8"/>
  <c r="F33" i="8"/>
  <c r="H32" i="8"/>
  <c r="G32" i="8"/>
  <c r="F32" i="8"/>
  <c r="H31" i="8"/>
  <c r="G31" i="8"/>
  <c r="F31" i="8"/>
  <c r="H30" i="8"/>
  <c r="G30" i="8"/>
  <c r="F30" i="8"/>
  <c r="H29" i="8"/>
  <c r="G29" i="8"/>
  <c r="F29" i="8"/>
  <c r="H28" i="8"/>
  <c r="G28" i="8"/>
  <c r="F28" i="8"/>
  <c r="H27" i="8"/>
  <c r="G27" i="8"/>
  <c r="F27" i="8"/>
  <c r="H26" i="8"/>
  <c r="G26" i="8"/>
  <c r="F26" i="8"/>
  <c r="H25" i="8"/>
  <c r="G25" i="8"/>
  <c r="F25" i="8"/>
  <c r="H24" i="8"/>
  <c r="G24" i="8"/>
  <c r="F24" i="8"/>
  <c r="H23" i="8"/>
  <c r="G23" i="8"/>
  <c r="F23" i="8"/>
  <c r="H22" i="8"/>
  <c r="G22" i="8"/>
  <c r="F22" i="8"/>
  <c r="H21" i="8"/>
  <c r="G21" i="8"/>
  <c r="F21" i="8"/>
  <c r="H20" i="8"/>
  <c r="G20" i="8"/>
  <c r="F20" i="8"/>
  <c r="H19" i="8"/>
  <c r="G19" i="8"/>
  <c r="F19" i="8"/>
  <c r="H18" i="8"/>
  <c r="G18" i="8"/>
  <c r="F18" i="8"/>
  <c r="H17" i="8"/>
  <c r="G17" i="8"/>
  <c r="F17" i="8"/>
  <c r="H16" i="8"/>
  <c r="G16" i="8"/>
  <c r="F16" i="8"/>
  <c r="H15" i="8"/>
  <c r="G15" i="8"/>
  <c r="F15" i="8"/>
  <c r="H14" i="8"/>
  <c r="G14" i="8"/>
  <c r="F14" i="8"/>
  <c r="H13" i="8"/>
  <c r="G13" i="8"/>
  <c r="F13" i="8"/>
  <c r="H12" i="8"/>
  <c r="G12" i="8"/>
  <c r="F12" i="8"/>
  <c r="H11" i="8"/>
  <c r="G11" i="8"/>
  <c r="F11" i="8"/>
  <c r="H10" i="8"/>
  <c r="G10" i="8"/>
  <c r="F10" i="8"/>
  <c r="H9" i="8"/>
  <c r="G9" i="8"/>
  <c r="F9" i="8"/>
  <c r="H8" i="8"/>
  <c r="G8" i="8"/>
  <c r="F8" i="8"/>
  <c r="H7" i="8"/>
  <c r="G7" i="8"/>
  <c r="F7" i="8"/>
  <c r="H6" i="8"/>
  <c r="G6" i="8"/>
  <c r="F6" i="8"/>
  <c r="H5" i="8"/>
  <c r="G5" i="8"/>
  <c r="F5" i="8"/>
  <c r="H69" i="7"/>
  <c r="G69" i="7"/>
  <c r="F69" i="7"/>
  <c r="H68" i="7"/>
  <c r="G68" i="7"/>
  <c r="F68" i="7"/>
  <c r="H67" i="7"/>
  <c r="G67" i="7"/>
  <c r="F67" i="7"/>
  <c r="H66" i="7"/>
  <c r="G66" i="7"/>
  <c r="F66" i="7"/>
  <c r="H65" i="7"/>
  <c r="G65" i="7"/>
  <c r="F65" i="7"/>
  <c r="H64" i="7"/>
  <c r="G64" i="7"/>
  <c r="F64" i="7"/>
  <c r="H63" i="7"/>
  <c r="G63" i="7"/>
  <c r="F63" i="7"/>
  <c r="H62" i="7"/>
  <c r="G62" i="7"/>
  <c r="F62" i="7"/>
  <c r="H61" i="7"/>
  <c r="G61" i="7"/>
  <c r="F61" i="7"/>
  <c r="H60" i="7"/>
  <c r="G60" i="7"/>
  <c r="F60" i="7"/>
  <c r="H59" i="7"/>
  <c r="G59" i="7"/>
  <c r="F59" i="7"/>
  <c r="H58" i="7"/>
  <c r="G58" i="7"/>
  <c r="F58" i="7"/>
  <c r="H57" i="7"/>
  <c r="G57" i="7"/>
  <c r="F57" i="7"/>
  <c r="H56" i="7"/>
  <c r="G56" i="7"/>
  <c r="F56" i="7"/>
  <c r="H55" i="7"/>
  <c r="G55" i="7"/>
  <c r="F55" i="7"/>
  <c r="H54" i="7"/>
  <c r="G54" i="7"/>
  <c r="F54" i="7"/>
  <c r="H53" i="7"/>
  <c r="G53" i="7"/>
  <c r="F53" i="7"/>
  <c r="H52" i="7"/>
  <c r="G52" i="7"/>
  <c r="F52" i="7"/>
  <c r="H51" i="7"/>
  <c r="G51" i="7"/>
  <c r="F51" i="7"/>
  <c r="H50" i="7"/>
  <c r="G50" i="7"/>
  <c r="F50" i="7"/>
  <c r="H49" i="7"/>
  <c r="G49" i="7"/>
  <c r="F49" i="7"/>
  <c r="H48" i="7"/>
  <c r="G48" i="7"/>
  <c r="F48" i="7"/>
  <c r="H47" i="7"/>
  <c r="G47" i="7"/>
  <c r="F47" i="7"/>
  <c r="H46" i="7"/>
  <c r="G46" i="7"/>
  <c r="F46" i="7"/>
  <c r="H45" i="7"/>
  <c r="G45" i="7"/>
  <c r="F45" i="7"/>
  <c r="H44" i="7"/>
  <c r="G44" i="7"/>
  <c r="F44" i="7"/>
  <c r="H43" i="7"/>
  <c r="G43" i="7"/>
  <c r="F43" i="7"/>
  <c r="H42" i="7"/>
  <c r="G42" i="7"/>
  <c r="F42" i="7"/>
  <c r="H41" i="7"/>
  <c r="G41" i="7"/>
  <c r="F41" i="7"/>
  <c r="H40" i="7"/>
  <c r="G40" i="7"/>
  <c r="F40" i="7"/>
  <c r="H39" i="7"/>
  <c r="G39" i="7"/>
  <c r="F39" i="7"/>
  <c r="H38" i="7"/>
  <c r="G38" i="7"/>
  <c r="F38" i="7"/>
  <c r="H37" i="7"/>
  <c r="G37" i="7"/>
  <c r="F37" i="7"/>
  <c r="H36" i="7"/>
  <c r="G36" i="7"/>
  <c r="F36" i="7"/>
  <c r="H35" i="7"/>
  <c r="G35" i="7"/>
  <c r="F35" i="7"/>
  <c r="H34" i="7"/>
  <c r="G34" i="7"/>
  <c r="F34" i="7"/>
  <c r="H33" i="7"/>
  <c r="G33" i="7"/>
  <c r="F33" i="7"/>
  <c r="H32" i="7"/>
  <c r="G32" i="7"/>
  <c r="F32" i="7"/>
  <c r="H31" i="7"/>
  <c r="G31" i="7"/>
  <c r="F31" i="7"/>
  <c r="H30" i="7"/>
  <c r="G30" i="7"/>
  <c r="F30" i="7"/>
  <c r="H29" i="7"/>
  <c r="G29" i="7"/>
  <c r="F29" i="7"/>
  <c r="H28" i="7"/>
  <c r="G28" i="7"/>
  <c r="F28" i="7"/>
  <c r="H27" i="7"/>
  <c r="G27" i="7"/>
  <c r="F27" i="7"/>
  <c r="H26" i="7"/>
  <c r="G26" i="7"/>
  <c r="F26" i="7"/>
  <c r="H25" i="7"/>
  <c r="G25" i="7"/>
  <c r="F25" i="7"/>
  <c r="H24" i="7"/>
  <c r="G24" i="7"/>
  <c r="F24" i="7"/>
  <c r="H23" i="7"/>
  <c r="G23" i="7"/>
  <c r="F23" i="7"/>
  <c r="H22" i="7"/>
  <c r="G22" i="7"/>
  <c r="F22" i="7"/>
  <c r="H21" i="7"/>
  <c r="G21" i="7"/>
  <c r="F21" i="7"/>
  <c r="H20" i="7"/>
  <c r="G20" i="7"/>
  <c r="F20" i="7"/>
  <c r="H19" i="7"/>
  <c r="G19" i="7"/>
  <c r="F19" i="7"/>
  <c r="H18" i="7"/>
  <c r="G18" i="7"/>
  <c r="F18" i="7"/>
  <c r="H17" i="7"/>
  <c r="G17" i="7"/>
  <c r="F17" i="7"/>
  <c r="H16" i="7"/>
  <c r="G16" i="7"/>
  <c r="F16" i="7"/>
  <c r="H15" i="7"/>
  <c r="G15" i="7"/>
  <c r="F15" i="7"/>
  <c r="H14" i="7"/>
  <c r="G14" i="7"/>
  <c r="F14" i="7"/>
  <c r="H13" i="7"/>
  <c r="G13" i="7"/>
  <c r="F13" i="7"/>
  <c r="H12" i="7"/>
  <c r="G12" i="7"/>
  <c r="F12" i="7"/>
  <c r="H11" i="7"/>
  <c r="G11" i="7"/>
  <c r="F11" i="7"/>
  <c r="H10" i="7"/>
  <c r="G10" i="7"/>
  <c r="F10" i="7"/>
  <c r="H9" i="7"/>
  <c r="G9" i="7"/>
  <c r="F9" i="7"/>
  <c r="H8" i="7"/>
  <c r="G8" i="7"/>
  <c r="F8" i="7"/>
  <c r="H7" i="7"/>
  <c r="G7" i="7"/>
  <c r="F7" i="7"/>
  <c r="H6" i="7"/>
  <c r="G6" i="7"/>
  <c r="F6" i="7"/>
  <c r="H5" i="7"/>
  <c r="G5" i="7"/>
  <c r="F5" i="7"/>
  <c r="H454" i="6"/>
  <c r="G454" i="6"/>
  <c r="F454" i="6"/>
  <c r="H453" i="6"/>
  <c r="G453" i="6"/>
  <c r="F453" i="6"/>
  <c r="B453" i="6"/>
  <c r="H452" i="6"/>
  <c r="G452" i="6"/>
  <c r="F452" i="6"/>
  <c r="B452" i="6"/>
  <c r="H451" i="6"/>
  <c r="G451" i="6"/>
  <c r="F451" i="6"/>
  <c r="B451" i="6"/>
  <c r="H450" i="6"/>
  <c r="G450" i="6"/>
  <c r="F450" i="6"/>
  <c r="B450" i="6"/>
  <c r="H449" i="6"/>
  <c r="G449" i="6"/>
  <c r="F449" i="6"/>
  <c r="B449" i="6"/>
  <c r="H448" i="6"/>
  <c r="G448" i="6"/>
  <c r="F448" i="6"/>
  <c r="B448" i="6"/>
  <c r="H447" i="6"/>
  <c r="G447" i="6"/>
  <c r="F447" i="6"/>
  <c r="B447" i="6"/>
  <c r="H446" i="6"/>
  <c r="G446" i="6"/>
  <c r="F446" i="6"/>
  <c r="H445" i="6"/>
  <c r="G445" i="6"/>
  <c r="F445" i="6"/>
  <c r="H444" i="6"/>
  <c r="G444" i="6"/>
  <c r="F444" i="6"/>
  <c r="B444" i="6"/>
  <c r="H443" i="6"/>
  <c r="G443" i="6"/>
  <c r="F443" i="6"/>
  <c r="B443" i="6"/>
  <c r="H442" i="6"/>
  <c r="G442" i="6"/>
  <c r="F442" i="6"/>
  <c r="B442" i="6"/>
  <c r="H441" i="6"/>
  <c r="G441" i="6"/>
  <c r="F441" i="6"/>
  <c r="H440" i="6"/>
  <c r="G440" i="6"/>
  <c r="F440" i="6"/>
  <c r="B440" i="6"/>
  <c r="H439" i="6"/>
  <c r="G439" i="6"/>
  <c r="F439" i="6"/>
  <c r="B439" i="6"/>
  <c r="H438" i="6"/>
  <c r="G438" i="6"/>
  <c r="F438" i="6"/>
  <c r="B438" i="6"/>
  <c r="H437" i="6"/>
  <c r="G437" i="6"/>
  <c r="F437" i="6"/>
  <c r="B437" i="6"/>
  <c r="H436" i="6"/>
  <c r="G436" i="6"/>
  <c r="F436" i="6"/>
  <c r="B436" i="6"/>
  <c r="H435" i="6"/>
  <c r="G435" i="6"/>
  <c r="F435" i="6"/>
  <c r="B435" i="6"/>
  <c r="H434" i="6"/>
  <c r="G434" i="6"/>
  <c r="F434" i="6"/>
  <c r="B434" i="6"/>
  <c r="H433" i="6"/>
  <c r="G433" i="6"/>
  <c r="F433" i="6"/>
  <c r="B433" i="6"/>
  <c r="H432" i="6"/>
  <c r="G432" i="6"/>
  <c r="F432" i="6"/>
  <c r="B432" i="6"/>
  <c r="H431" i="6"/>
  <c r="G431" i="6"/>
  <c r="F431" i="6"/>
  <c r="B431" i="6"/>
  <c r="H430" i="6"/>
  <c r="G430" i="6"/>
  <c r="F430" i="6"/>
  <c r="B430" i="6"/>
  <c r="H429" i="6"/>
  <c r="G429" i="6"/>
  <c r="F429" i="6"/>
  <c r="B429" i="6"/>
  <c r="H428" i="6"/>
  <c r="G428" i="6"/>
  <c r="F428" i="6"/>
  <c r="B428" i="6"/>
  <c r="H427" i="6"/>
  <c r="G427" i="6"/>
  <c r="F427" i="6"/>
  <c r="B427" i="6"/>
  <c r="H426" i="6"/>
  <c r="G426" i="6"/>
  <c r="F426" i="6"/>
  <c r="B426" i="6"/>
  <c r="H425" i="6"/>
  <c r="G425" i="6"/>
  <c r="F425" i="6"/>
  <c r="B425" i="6"/>
  <c r="H424" i="6"/>
  <c r="G424" i="6"/>
  <c r="F424" i="6"/>
  <c r="B424" i="6"/>
  <c r="H423" i="6"/>
  <c r="G423" i="6"/>
  <c r="F423" i="6"/>
  <c r="B423" i="6"/>
  <c r="H422" i="6"/>
  <c r="G422" i="6"/>
  <c r="F422" i="6"/>
  <c r="B422" i="6"/>
  <c r="H421" i="6"/>
  <c r="G421" i="6"/>
  <c r="F421" i="6"/>
  <c r="B421" i="6"/>
  <c r="H420" i="6"/>
  <c r="G420" i="6"/>
  <c r="F420" i="6"/>
  <c r="B420" i="6"/>
  <c r="H419" i="6"/>
  <c r="G419" i="6"/>
  <c r="F419" i="6"/>
  <c r="B419" i="6"/>
  <c r="H418" i="6"/>
  <c r="G418" i="6"/>
  <c r="F418" i="6"/>
  <c r="B418" i="6"/>
  <c r="H417" i="6"/>
  <c r="G417" i="6"/>
  <c r="F417" i="6"/>
  <c r="B417" i="6"/>
  <c r="H416" i="6"/>
  <c r="G416" i="6"/>
  <c r="F416" i="6"/>
  <c r="B416" i="6"/>
  <c r="H415" i="6"/>
  <c r="G415" i="6"/>
  <c r="F415" i="6"/>
  <c r="B415" i="6"/>
  <c r="H414" i="6"/>
  <c r="G414" i="6"/>
  <c r="F414" i="6"/>
  <c r="B414" i="6"/>
  <c r="H413" i="6"/>
  <c r="G413" i="6"/>
  <c r="F413" i="6"/>
  <c r="B413" i="6"/>
  <c r="H412" i="6"/>
  <c r="G412" i="6"/>
  <c r="F412" i="6"/>
  <c r="B412" i="6"/>
  <c r="H411" i="6"/>
  <c r="G411" i="6"/>
  <c r="F411" i="6"/>
  <c r="B411" i="6"/>
  <c r="H410" i="6"/>
  <c r="G410" i="6"/>
  <c r="F410" i="6"/>
  <c r="B410" i="6"/>
  <c r="H409" i="6"/>
  <c r="G409" i="6"/>
  <c r="F409" i="6"/>
  <c r="B409" i="6"/>
  <c r="H408" i="6"/>
  <c r="G408" i="6"/>
  <c r="F408" i="6"/>
  <c r="B408" i="6"/>
  <c r="H407" i="6"/>
  <c r="G407" i="6"/>
  <c r="F407" i="6"/>
  <c r="B407" i="6"/>
  <c r="H406" i="6"/>
  <c r="G406" i="6"/>
  <c r="F406" i="6"/>
  <c r="B406" i="6"/>
  <c r="H405" i="6"/>
  <c r="G405" i="6"/>
  <c r="F405" i="6"/>
  <c r="B405" i="6"/>
  <c r="H404" i="6"/>
  <c r="G404" i="6"/>
  <c r="F404" i="6"/>
  <c r="B404" i="6"/>
  <c r="H403" i="6"/>
  <c r="G403" i="6"/>
  <c r="F403" i="6"/>
  <c r="B403" i="6"/>
  <c r="H402" i="6"/>
  <c r="G402" i="6"/>
  <c r="F402" i="6"/>
  <c r="B402" i="6"/>
  <c r="H401" i="6"/>
  <c r="G401" i="6"/>
  <c r="F401" i="6"/>
  <c r="B401" i="6"/>
  <c r="H400" i="6"/>
  <c r="G400" i="6"/>
  <c r="F400" i="6"/>
  <c r="B400" i="6"/>
  <c r="H399" i="6"/>
  <c r="G399" i="6"/>
  <c r="F399" i="6"/>
  <c r="B399" i="6"/>
  <c r="H398" i="6"/>
  <c r="G398" i="6"/>
  <c r="F398" i="6"/>
  <c r="B398" i="6"/>
  <c r="H397" i="6"/>
  <c r="G397" i="6"/>
  <c r="F397" i="6"/>
  <c r="B397" i="6"/>
  <c r="H396" i="6"/>
  <c r="G396" i="6"/>
  <c r="F396" i="6"/>
  <c r="B396" i="6"/>
  <c r="H395" i="6"/>
  <c r="G395" i="6"/>
  <c r="F395" i="6"/>
  <c r="B395" i="6"/>
  <c r="H394" i="6"/>
  <c r="G394" i="6"/>
  <c r="F394" i="6"/>
  <c r="B394" i="6"/>
  <c r="H393" i="6"/>
  <c r="G393" i="6"/>
  <c r="F393" i="6"/>
  <c r="B393" i="6"/>
  <c r="H392" i="6"/>
  <c r="G392" i="6"/>
  <c r="F392" i="6"/>
  <c r="B392" i="6"/>
  <c r="H391" i="6"/>
  <c r="G391" i="6"/>
  <c r="F391" i="6"/>
  <c r="B391" i="6"/>
  <c r="H390" i="6"/>
  <c r="G390" i="6"/>
  <c r="F390" i="6"/>
  <c r="B390" i="6"/>
  <c r="H389" i="6"/>
  <c r="G389" i="6"/>
  <c r="F389" i="6"/>
  <c r="B389" i="6"/>
  <c r="H388" i="6"/>
  <c r="G388" i="6"/>
  <c r="F388" i="6"/>
  <c r="B388" i="6"/>
  <c r="H387" i="6"/>
  <c r="G387" i="6"/>
  <c r="F387" i="6"/>
  <c r="B387" i="6"/>
  <c r="H386" i="6"/>
  <c r="G386" i="6"/>
  <c r="F386" i="6"/>
  <c r="B386" i="6"/>
  <c r="H385" i="6"/>
  <c r="G385" i="6"/>
  <c r="F385" i="6"/>
  <c r="B385" i="6"/>
  <c r="H384" i="6"/>
  <c r="G384" i="6"/>
  <c r="F384" i="6"/>
  <c r="B384" i="6"/>
  <c r="H383" i="6"/>
  <c r="G383" i="6"/>
  <c r="F383" i="6"/>
  <c r="B383" i="6"/>
  <c r="H382" i="6"/>
  <c r="G382" i="6"/>
  <c r="F382" i="6"/>
  <c r="B382" i="6"/>
  <c r="H381" i="6"/>
  <c r="G381" i="6"/>
  <c r="F381" i="6"/>
  <c r="B381" i="6"/>
  <c r="H380" i="6"/>
  <c r="G380" i="6"/>
  <c r="F380" i="6"/>
  <c r="B380" i="6"/>
  <c r="H379" i="6"/>
  <c r="G379" i="6"/>
  <c r="F379" i="6"/>
  <c r="B379" i="6"/>
  <c r="H378" i="6"/>
  <c r="G378" i="6"/>
  <c r="F378" i="6"/>
  <c r="B378" i="6"/>
  <c r="H377" i="6"/>
  <c r="G377" i="6"/>
  <c r="F377" i="6"/>
  <c r="B377" i="6"/>
  <c r="H376" i="6"/>
  <c r="G376" i="6"/>
  <c r="F376" i="6"/>
  <c r="B376" i="6"/>
  <c r="H375" i="6"/>
  <c r="G375" i="6"/>
  <c r="F375" i="6"/>
  <c r="B375" i="6"/>
  <c r="H374" i="6"/>
  <c r="G374" i="6"/>
  <c r="F374" i="6"/>
  <c r="B374" i="6"/>
  <c r="H373" i="6"/>
  <c r="G373" i="6"/>
  <c r="F373" i="6"/>
  <c r="B373" i="6"/>
  <c r="H372" i="6"/>
  <c r="G372" i="6"/>
  <c r="F372" i="6"/>
  <c r="B372" i="6"/>
  <c r="H371" i="6"/>
  <c r="G371" i="6"/>
  <c r="F371" i="6"/>
  <c r="B371" i="6"/>
  <c r="H370" i="6"/>
  <c r="G370" i="6"/>
  <c r="F370" i="6"/>
  <c r="B370" i="6"/>
  <c r="H369" i="6"/>
  <c r="G369" i="6"/>
  <c r="F369" i="6"/>
  <c r="B369" i="6"/>
  <c r="H368" i="6"/>
  <c r="G368" i="6"/>
  <c r="F368" i="6"/>
  <c r="B368" i="6"/>
  <c r="H367" i="6"/>
  <c r="G367" i="6"/>
  <c r="F367" i="6"/>
  <c r="B367" i="6"/>
  <c r="H366" i="6"/>
  <c r="G366" i="6"/>
  <c r="F366" i="6"/>
  <c r="B366" i="6"/>
  <c r="H365" i="6"/>
  <c r="G365" i="6"/>
  <c r="F365" i="6"/>
  <c r="B365" i="6"/>
  <c r="H364" i="6"/>
  <c r="G364" i="6"/>
  <c r="F364" i="6"/>
  <c r="B364" i="6"/>
  <c r="H363" i="6"/>
  <c r="G363" i="6"/>
  <c r="F363" i="6"/>
  <c r="B363" i="6"/>
  <c r="H362" i="6"/>
  <c r="G362" i="6"/>
  <c r="F362" i="6"/>
  <c r="B362" i="6"/>
  <c r="H361" i="6"/>
  <c r="G361" i="6"/>
  <c r="F361" i="6"/>
  <c r="B361" i="6"/>
  <c r="H360" i="6"/>
  <c r="G360" i="6"/>
  <c r="F360" i="6"/>
  <c r="B360" i="6"/>
  <c r="H359" i="6"/>
  <c r="G359" i="6"/>
  <c r="F359" i="6"/>
  <c r="B359" i="6"/>
  <c r="H358" i="6"/>
  <c r="G358" i="6"/>
  <c r="F358" i="6"/>
  <c r="B358" i="6"/>
  <c r="H357" i="6"/>
  <c r="G357" i="6"/>
  <c r="F357" i="6"/>
  <c r="B357" i="6"/>
  <c r="H356" i="6"/>
  <c r="G356" i="6"/>
  <c r="F356" i="6"/>
  <c r="B356" i="6"/>
  <c r="H355" i="6"/>
  <c r="G355" i="6"/>
  <c r="F355" i="6"/>
  <c r="B355" i="6"/>
  <c r="H354" i="6"/>
  <c r="G354" i="6"/>
  <c r="F354" i="6"/>
  <c r="B354" i="6"/>
  <c r="H353" i="6"/>
  <c r="G353" i="6"/>
  <c r="F353" i="6"/>
  <c r="B353" i="6"/>
  <c r="H352" i="6"/>
  <c r="G352" i="6"/>
  <c r="F352" i="6"/>
  <c r="B352" i="6"/>
  <c r="H351" i="6"/>
  <c r="G351" i="6"/>
  <c r="F351" i="6"/>
  <c r="B351" i="6"/>
  <c r="H350" i="6"/>
  <c r="G350" i="6"/>
  <c r="F350" i="6"/>
  <c r="B350" i="6"/>
  <c r="H349" i="6"/>
  <c r="G349" i="6"/>
  <c r="F349" i="6"/>
  <c r="B349" i="6"/>
  <c r="H348" i="6"/>
  <c r="G348" i="6"/>
  <c r="F348" i="6"/>
  <c r="B348" i="6"/>
  <c r="H347" i="6"/>
  <c r="G347" i="6"/>
  <c r="F347" i="6"/>
  <c r="B347" i="6"/>
  <c r="H346" i="6"/>
  <c r="G346" i="6"/>
  <c r="F346" i="6"/>
  <c r="B346" i="6"/>
  <c r="H345" i="6"/>
  <c r="G345" i="6"/>
  <c r="F345" i="6"/>
  <c r="B345" i="6"/>
  <c r="H344" i="6"/>
  <c r="G344" i="6"/>
  <c r="F344" i="6"/>
  <c r="B344" i="6"/>
  <c r="H343" i="6"/>
  <c r="G343" i="6"/>
  <c r="F343" i="6"/>
  <c r="B343" i="6"/>
  <c r="H342" i="6"/>
  <c r="G342" i="6"/>
  <c r="F342" i="6"/>
  <c r="B342" i="6"/>
  <c r="H341" i="6"/>
  <c r="G341" i="6"/>
  <c r="F341" i="6"/>
  <c r="B341" i="6"/>
  <c r="H340" i="6"/>
  <c r="G340" i="6"/>
  <c r="F340" i="6"/>
  <c r="B340" i="6"/>
  <c r="H339" i="6"/>
  <c r="G339" i="6"/>
  <c r="F339" i="6"/>
  <c r="B339" i="6"/>
  <c r="H338" i="6"/>
  <c r="G338" i="6"/>
  <c r="F338" i="6"/>
  <c r="B338" i="6"/>
  <c r="H337" i="6"/>
  <c r="G337" i="6"/>
  <c r="F337" i="6"/>
  <c r="B337" i="6"/>
  <c r="H336" i="6"/>
  <c r="G336" i="6"/>
  <c r="F336" i="6"/>
  <c r="B336" i="6"/>
  <c r="H335" i="6"/>
  <c r="G335" i="6"/>
  <c r="F335" i="6"/>
  <c r="B335" i="6"/>
  <c r="H334" i="6"/>
  <c r="G334" i="6"/>
  <c r="F334" i="6"/>
  <c r="B334" i="6"/>
  <c r="H333" i="6"/>
  <c r="G333" i="6"/>
  <c r="F333" i="6"/>
  <c r="B333" i="6"/>
  <c r="H332" i="6"/>
  <c r="G332" i="6"/>
  <c r="F332" i="6"/>
  <c r="B332" i="6"/>
  <c r="H331" i="6"/>
  <c r="G331" i="6"/>
  <c r="F331" i="6"/>
  <c r="B331" i="6"/>
  <c r="H330" i="6"/>
  <c r="G330" i="6"/>
  <c r="F330" i="6"/>
  <c r="B330" i="6"/>
  <c r="H329" i="6"/>
  <c r="G329" i="6"/>
  <c r="F329" i="6"/>
  <c r="B329" i="6"/>
  <c r="H328" i="6"/>
  <c r="G328" i="6"/>
  <c r="F328" i="6"/>
  <c r="B328" i="6"/>
  <c r="H327" i="6"/>
  <c r="G327" i="6"/>
  <c r="F327" i="6"/>
  <c r="B327" i="6"/>
  <c r="H326" i="6"/>
  <c r="G326" i="6"/>
  <c r="F326" i="6"/>
  <c r="B326" i="6"/>
  <c r="H325" i="6"/>
  <c r="G325" i="6"/>
  <c r="F325" i="6"/>
  <c r="B325" i="6"/>
  <c r="H324" i="6"/>
  <c r="G324" i="6"/>
  <c r="F324" i="6"/>
  <c r="B324" i="6"/>
  <c r="H323" i="6"/>
  <c r="G323" i="6"/>
  <c r="F323" i="6"/>
  <c r="B323" i="6"/>
  <c r="H322" i="6"/>
  <c r="G322" i="6"/>
  <c r="F322" i="6"/>
  <c r="B322" i="6"/>
  <c r="H321" i="6"/>
  <c r="G321" i="6"/>
  <c r="F321" i="6"/>
  <c r="B321" i="6"/>
  <c r="H320" i="6"/>
  <c r="G320" i="6"/>
  <c r="F320" i="6"/>
  <c r="B320" i="6"/>
  <c r="H319" i="6"/>
  <c r="G319" i="6"/>
  <c r="F319" i="6"/>
  <c r="B319" i="6"/>
  <c r="H318" i="6"/>
  <c r="G318" i="6"/>
  <c r="F318" i="6"/>
  <c r="B318" i="6"/>
  <c r="H317" i="6"/>
  <c r="G317" i="6"/>
  <c r="F317" i="6"/>
  <c r="B317" i="6"/>
  <c r="H316" i="6"/>
  <c r="G316" i="6"/>
  <c r="F316" i="6"/>
  <c r="B316" i="6"/>
  <c r="H315" i="6"/>
  <c r="G315" i="6"/>
  <c r="F315" i="6"/>
  <c r="B315" i="6"/>
  <c r="H314" i="6"/>
  <c r="G314" i="6"/>
  <c r="F314" i="6"/>
  <c r="B314" i="6"/>
  <c r="H313" i="6"/>
  <c r="G313" i="6"/>
  <c r="F313" i="6"/>
  <c r="B313" i="6"/>
  <c r="H312" i="6"/>
  <c r="G312" i="6"/>
  <c r="F312" i="6"/>
  <c r="B312" i="6"/>
  <c r="H311" i="6"/>
  <c r="G311" i="6"/>
  <c r="F311" i="6"/>
  <c r="B311" i="6"/>
  <c r="H310" i="6"/>
  <c r="G310" i="6"/>
  <c r="F310" i="6"/>
  <c r="B310" i="6"/>
  <c r="H309" i="6"/>
  <c r="G309" i="6"/>
  <c r="F309" i="6"/>
  <c r="B309" i="6"/>
  <c r="H308" i="6"/>
  <c r="G308" i="6"/>
  <c r="F308" i="6"/>
  <c r="B308" i="6"/>
  <c r="H307" i="6"/>
  <c r="G307" i="6"/>
  <c r="F307" i="6"/>
  <c r="B307" i="6"/>
  <c r="H306" i="6"/>
  <c r="G306" i="6"/>
  <c r="F306" i="6"/>
  <c r="B306" i="6"/>
  <c r="H305" i="6"/>
  <c r="G305" i="6"/>
  <c r="F305" i="6"/>
  <c r="B305" i="6"/>
  <c r="H304" i="6"/>
  <c r="G304" i="6"/>
  <c r="F304" i="6"/>
  <c r="B304" i="6"/>
  <c r="H303" i="6"/>
  <c r="G303" i="6"/>
  <c r="F303" i="6"/>
  <c r="B303" i="6"/>
  <c r="H302" i="6"/>
  <c r="G302" i="6"/>
  <c r="F302" i="6"/>
  <c r="B302" i="6"/>
  <c r="H301" i="6"/>
  <c r="G301" i="6"/>
  <c r="F301" i="6"/>
  <c r="B301" i="6"/>
  <c r="H300" i="6"/>
  <c r="G300" i="6"/>
  <c r="F300" i="6"/>
  <c r="B300" i="6"/>
  <c r="H299" i="6"/>
  <c r="G299" i="6"/>
  <c r="F299" i="6"/>
  <c r="B299" i="6"/>
  <c r="H298" i="6"/>
  <c r="G298" i="6"/>
  <c r="F298" i="6"/>
  <c r="B298" i="6"/>
  <c r="H297" i="6"/>
  <c r="G297" i="6"/>
  <c r="F297" i="6"/>
  <c r="B297" i="6"/>
  <c r="H296" i="6"/>
  <c r="G296" i="6"/>
  <c r="F296" i="6"/>
  <c r="B296" i="6"/>
  <c r="H295" i="6"/>
  <c r="G295" i="6"/>
  <c r="F295" i="6"/>
  <c r="B295" i="6"/>
  <c r="H294" i="6"/>
  <c r="G294" i="6"/>
  <c r="F294" i="6"/>
  <c r="B294" i="6"/>
  <c r="H293" i="6"/>
  <c r="G293" i="6"/>
  <c r="F293" i="6"/>
  <c r="B293" i="6"/>
  <c r="H292" i="6"/>
  <c r="G292" i="6"/>
  <c r="F292" i="6"/>
  <c r="B292" i="6"/>
  <c r="H291" i="6"/>
  <c r="G291" i="6"/>
  <c r="F291" i="6"/>
  <c r="B291" i="6"/>
  <c r="H290" i="6"/>
  <c r="G290" i="6"/>
  <c r="F290" i="6"/>
  <c r="B290" i="6"/>
  <c r="H289" i="6"/>
  <c r="G289" i="6"/>
  <c r="F289" i="6"/>
  <c r="B289" i="6"/>
  <c r="H288" i="6"/>
  <c r="G288" i="6"/>
  <c r="F288" i="6"/>
  <c r="B288" i="6"/>
  <c r="H287" i="6"/>
  <c r="G287" i="6"/>
  <c r="F287" i="6"/>
  <c r="B287" i="6"/>
  <c r="H286" i="6"/>
  <c r="G286" i="6"/>
  <c r="F286" i="6"/>
  <c r="B286" i="6"/>
  <c r="H285" i="6"/>
  <c r="G285" i="6"/>
  <c r="F285" i="6"/>
  <c r="B285" i="6"/>
  <c r="H284" i="6"/>
  <c r="G284" i="6"/>
  <c r="F284" i="6"/>
  <c r="B284" i="6"/>
  <c r="H283" i="6"/>
  <c r="G283" i="6"/>
  <c r="F283" i="6"/>
  <c r="B283" i="6"/>
  <c r="H282" i="6"/>
  <c r="G282" i="6"/>
  <c r="F282" i="6"/>
  <c r="B282" i="6"/>
  <c r="H281" i="6"/>
  <c r="G281" i="6"/>
  <c r="F281" i="6"/>
  <c r="B281" i="6"/>
  <c r="H280" i="6"/>
  <c r="G280" i="6"/>
  <c r="F280" i="6"/>
  <c r="B280" i="6"/>
  <c r="H279" i="6"/>
  <c r="G279" i="6"/>
  <c r="F279" i="6"/>
  <c r="B279" i="6"/>
  <c r="H278" i="6"/>
  <c r="G278" i="6"/>
  <c r="F278" i="6"/>
  <c r="B278" i="6"/>
  <c r="H277" i="6"/>
  <c r="G277" i="6"/>
  <c r="F277" i="6"/>
  <c r="B277" i="6"/>
  <c r="H276" i="6"/>
  <c r="G276" i="6"/>
  <c r="F276" i="6"/>
  <c r="B276" i="6"/>
  <c r="H275" i="6"/>
  <c r="G275" i="6"/>
  <c r="F275" i="6"/>
  <c r="B275" i="6"/>
  <c r="H274" i="6"/>
  <c r="G274" i="6"/>
  <c r="F274" i="6"/>
  <c r="B274" i="6"/>
  <c r="H273" i="6"/>
  <c r="G273" i="6"/>
  <c r="F273" i="6"/>
  <c r="B273" i="6"/>
  <c r="H272" i="6"/>
  <c r="G272" i="6"/>
  <c r="F272" i="6"/>
  <c r="B272" i="6"/>
  <c r="H271" i="6"/>
  <c r="G271" i="6"/>
  <c r="F271" i="6"/>
  <c r="B271" i="6"/>
  <c r="H270" i="6"/>
  <c r="G270" i="6"/>
  <c r="F270" i="6"/>
  <c r="B270" i="6"/>
  <c r="H269" i="6"/>
  <c r="G269" i="6"/>
  <c r="F269" i="6"/>
  <c r="B269" i="6"/>
  <c r="H268" i="6"/>
  <c r="G268" i="6"/>
  <c r="F268" i="6"/>
  <c r="B268" i="6"/>
  <c r="H267" i="6"/>
  <c r="G267" i="6"/>
  <c r="F267" i="6"/>
  <c r="B267" i="6"/>
  <c r="H266" i="6"/>
  <c r="G266" i="6"/>
  <c r="F266" i="6"/>
  <c r="B266" i="6"/>
  <c r="H265" i="6"/>
  <c r="G265" i="6"/>
  <c r="F265" i="6"/>
  <c r="B265" i="6"/>
  <c r="H264" i="6"/>
  <c r="G264" i="6"/>
  <c r="F264" i="6"/>
  <c r="B264" i="6"/>
  <c r="H263" i="6"/>
  <c r="G263" i="6"/>
  <c r="F263" i="6"/>
  <c r="B263" i="6"/>
  <c r="H262" i="6"/>
  <c r="G262" i="6"/>
  <c r="F262" i="6"/>
  <c r="B262" i="6"/>
  <c r="H261" i="6"/>
  <c r="G261" i="6"/>
  <c r="F261" i="6"/>
  <c r="B261" i="6"/>
  <c r="H260" i="6"/>
  <c r="G260" i="6"/>
  <c r="F260" i="6"/>
  <c r="B260" i="6"/>
  <c r="H259" i="6"/>
  <c r="G259" i="6"/>
  <c r="F259" i="6"/>
  <c r="B259" i="6"/>
  <c r="H258" i="6"/>
  <c r="G258" i="6"/>
  <c r="F258" i="6"/>
  <c r="B258" i="6"/>
  <c r="H257" i="6"/>
  <c r="G257" i="6"/>
  <c r="F257" i="6"/>
  <c r="B257" i="6"/>
  <c r="H256" i="6"/>
  <c r="G256" i="6"/>
  <c r="F256" i="6"/>
  <c r="B256" i="6"/>
  <c r="H255" i="6"/>
  <c r="G255" i="6"/>
  <c r="F255" i="6"/>
  <c r="B255" i="6"/>
  <c r="H254" i="6"/>
  <c r="G254" i="6"/>
  <c r="F254" i="6"/>
  <c r="B254" i="6"/>
  <c r="H253" i="6"/>
  <c r="G253" i="6"/>
  <c r="F253" i="6"/>
  <c r="B253" i="6"/>
  <c r="H252" i="6"/>
  <c r="G252" i="6"/>
  <c r="F252" i="6"/>
  <c r="B252" i="6"/>
  <c r="H251" i="6"/>
  <c r="G251" i="6"/>
  <c r="F251" i="6"/>
  <c r="B251" i="6"/>
  <c r="H250" i="6"/>
  <c r="G250" i="6"/>
  <c r="F250" i="6"/>
  <c r="B250" i="6"/>
  <c r="H249" i="6"/>
  <c r="G249" i="6"/>
  <c r="F249" i="6"/>
  <c r="B249" i="6"/>
  <c r="H248" i="6"/>
  <c r="G248" i="6"/>
  <c r="F248" i="6"/>
  <c r="B248" i="6"/>
  <c r="H247" i="6"/>
  <c r="G247" i="6"/>
  <c r="F247" i="6"/>
  <c r="B247" i="6"/>
  <c r="H246" i="6"/>
  <c r="G246" i="6"/>
  <c r="F246" i="6"/>
  <c r="B246" i="6"/>
  <c r="H245" i="6"/>
  <c r="G245" i="6"/>
  <c r="F245" i="6"/>
  <c r="B245" i="6"/>
  <c r="H244" i="6"/>
  <c r="G244" i="6"/>
  <c r="F244" i="6"/>
  <c r="B244" i="6"/>
  <c r="H243" i="6"/>
  <c r="G243" i="6"/>
  <c r="F243" i="6"/>
  <c r="B243" i="6"/>
  <c r="H242" i="6"/>
  <c r="G242" i="6"/>
  <c r="F242" i="6"/>
  <c r="B242" i="6"/>
  <c r="H241" i="6"/>
  <c r="G241" i="6"/>
  <c r="F241" i="6"/>
  <c r="B241" i="6"/>
  <c r="H240" i="6"/>
  <c r="G240" i="6"/>
  <c r="F240" i="6"/>
  <c r="B240" i="6"/>
  <c r="H239" i="6"/>
  <c r="G239" i="6"/>
  <c r="F239" i="6"/>
  <c r="B239" i="6"/>
  <c r="H238" i="6"/>
  <c r="G238" i="6"/>
  <c r="F238" i="6"/>
  <c r="B238" i="6"/>
  <c r="H237" i="6"/>
  <c r="G237" i="6"/>
  <c r="F237" i="6"/>
  <c r="B237" i="6"/>
  <c r="H236" i="6"/>
  <c r="G236" i="6"/>
  <c r="F236" i="6"/>
  <c r="B236" i="6"/>
  <c r="H235" i="6"/>
  <c r="G235" i="6"/>
  <c r="F235" i="6"/>
  <c r="B235" i="6"/>
  <c r="H234" i="6"/>
  <c r="G234" i="6"/>
  <c r="F234" i="6"/>
  <c r="B234" i="6"/>
  <c r="H233" i="6"/>
  <c r="G233" i="6"/>
  <c r="F233" i="6"/>
  <c r="B233" i="6"/>
  <c r="H232" i="6"/>
  <c r="G232" i="6"/>
  <c r="F232" i="6"/>
  <c r="B232" i="6"/>
  <c r="H231" i="6"/>
  <c r="G231" i="6"/>
  <c r="F231" i="6"/>
  <c r="B231" i="6"/>
  <c r="H230" i="6"/>
  <c r="G230" i="6"/>
  <c r="F230" i="6"/>
  <c r="B230" i="6"/>
  <c r="H229" i="6"/>
  <c r="G229" i="6"/>
  <c r="F229" i="6"/>
  <c r="B229" i="6"/>
  <c r="H228" i="6"/>
  <c r="G228" i="6"/>
  <c r="F228" i="6"/>
  <c r="B228" i="6"/>
  <c r="H227" i="6"/>
  <c r="G227" i="6"/>
  <c r="F227" i="6"/>
  <c r="B227" i="6"/>
  <c r="H226" i="6"/>
  <c r="G226" i="6"/>
  <c r="F226" i="6"/>
  <c r="B226" i="6"/>
  <c r="H225" i="6"/>
  <c r="G225" i="6"/>
  <c r="F225" i="6"/>
  <c r="B225" i="6"/>
  <c r="H224" i="6"/>
  <c r="G224" i="6"/>
  <c r="F224" i="6"/>
  <c r="B224" i="6"/>
  <c r="H223" i="6"/>
  <c r="G223" i="6"/>
  <c r="F223" i="6"/>
  <c r="B223" i="6"/>
  <c r="H222" i="6"/>
  <c r="G222" i="6"/>
  <c r="F222" i="6"/>
  <c r="B222" i="6"/>
  <c r="H221" i="6"/>
  <c r="G221" i="6"/>
  <c r="F221" i="6"/>
  <c r="B221" i="6"/>
  <c r="H220" i="6"/>
  <c r="G220" i="6"/>
  <c r="F220" i="6"/>
  <c r="B220" i="6"/>
  <c r="H219" i="6"/>
  <c r="G219" i="6"/>
  <c r="F219" i="6"/>
  <c r="B219" i="6"/>
  <c r="H218" i="6"/>
  <c r="G218" i="6"/>
  <c r="F218" i="6"/>
  <c r="B218" i="6"/>
  <c r="H217" i="6"/>
  <c r="G217" i="6"/>
  <c r="F217" i="6"/>
  <c r="B217" i="6"/>
  <c r="H216" i="6"/>
  <c r="G216" i="6"/>
  <c r="F216" i="6"/>
  <c r="B216" i="6"/>
  <c r="H215" i="6"/>
  <c r="G215" i="6"/>
  <c r="F215" i="6"/>
  <c r="B215" i="6"/>
  <c r="H214" i="6"/>
  <c r="G214" i="6"/>
  <c r="F214" i="6"/>
  <c r="B214" i="6"/>
  <c r="H213" i="6"/>
  <c r="G213" i="6"/>
  <c r="F213" i="6"/>
  <c r="B213" i="6"/>
  <c r="H212" i="6"/>
  <c r="G212" i="6"/>
  <c r="F212" i="6"/>
  <c r="B212" i="6"/>
  <c r="H211" i="6"/>
  <c r="G211" i="6"/>
  <c r="F211" i="6"/>
  <c r="B211" i="6"/>
  <c r="H210" i="6"/>
  <c r="G210" i="6"/>
  <c r="F210" i="6"/>
  <c r="B210" i="6"/>
  <c r="H209" i="6"/>
  <c r="G209" i="6"/>
  <c r="F209" i="6"/>
  <c r="B209" i="6"/>
  <c r="H208" i="6"/>
  <c r="G208" i="6"/>
  <c r="F208" i="6"/>
  <c r="B208" i="6"/>
  <c r="H207" i="6"/>
  <c r="G207" i="6"/>
  <c r="F207" i="6"/>
  <c r="B207" i="6"/>
  <c r="H206" i="6"/>
  <c r="G206" i="6"/>
  <c r="F206" i="6"/>
  <c r="B206" i="6"/>
  <c r="H205" i="6"/>
  <c r="G205" i="6"/>
  <c r="F205" i="6"/>
  <c r="B205" i="6"/>
  <c r="H204" i="6"/>
  <c r="G204" i="6"/>
  <c r="F204" i="6"/>
  <c r="B204" i="6"/>
  <c r="H203" i="6"/>
  <c r="G203" i="6"/>
  <c r="F203" i="6"/>
  <c r="B203" i="6"/>
  <c r="H202" i="6"/>
  <c r="G202" i="6"/>
  <c r="F202" i="6"/>
  <c r="B202" i="6"/>
  <c r="H201" i="6"/>
  <c r="G201" i="6"/>
  <c r="F201" i="6"/>
  <c r="B201" i="6"/>
  <c r="H200" i="6"/>
  <c r="G200" i="6"/>
  <c r="F200" i="6"/>
  <c r="B200" i="6"/>
  <c r="H199" i="6"/>
  <c r="G199" i="6"/>
  <c r="F199" i="6"/>
  <c r="B199" i="6"/>
  <c r="H198" i="6"/>
  <c r="G198" i="6"/>
  <c r="F198" i="6"/>
  <c r="B198" i="6"/>
  <c r="H197" i="6"/>
  <c r="G197" i="6"/>
  <c r="F197" i="6"/>
  <c r="B197" i="6"/>
  <c r="H196" i="6"/>
  <c r="G196" i="6"/>
  <c r="F196" i="6"/>
  <c r="B196" i="6"/>
  <c r="H195" i="6"/>
  <c r="G195" i="6"/>
  <c r="F195" i="6"/>
  <c r="B195" i="6"/>
  <c r="H194" i="6"/>
  <c r="G194" i="6"/>
  <c r="F194" i="6"/>
  <c r="B194" i="6"/>
  <c r="H193" i="6"/>
  <c r="G193" i="6"/>
  <c r="F193" i="6"/>
  <c r="B193" i="6"/>
  <c r="H192" i="6"/>
  <c r="G192" i="6"/>
  <c r="F192" i="6"/>
  <c r="B192" i="6"/>
  <c r="H191" i="6"/>
  <c r="G191" i="6"/>
  <c r="F191" i="6"/>
  <c r="B191" i="6"/>
  <c r="H190" i="6"/>
  <c r="G190" i="6"/>
  <c r="F190" i="6"/>
  <c r="B190" i="6"/>
  <c r="H189" i="6"/>
  <c r="G189" i="6"/>
  <c r="F189" i="6"/>
  <c r="B189" i="6"/>
  <c r="H188" i="6"/>
  <c r="G188" i="6"/>
  <c r="F188" i="6"/>
  <c r="B188" i="6"/>
  <c r="H187" i="6"/>
  <c r="G187" i="6"/>
  <c r="F187" i="6"/>
  <c r="B187" i="6"/>
  <c r="H186" i="6"/>
  <c r="G186" i="6"/>
  <c r="F186" i="6"/>
  <c r="B186" i="6"/>
  <c r="H185" i="6"/>
  <c r="G185" i="6"/>
  <c r="F185" i="6"/>
  <c r="B185" i="6"/>
  <c r="H184" i="6"/>
  <c r="G184" i="6"/>
  <c r="F184" i="6"/>
  <c r="B184" i="6"/>
  <c r="H183" i="6"/>
  <c r="G183" i="6"/>
  <c r="F183" i="6"/>
  <c r="B183" i="6"/>
  <c r="H182" i="6"/>
  <c r="G182" i="6"/>
  <c r="F182" i="6"/>
  <c r="B182" i="6"/>
  <c r="H181" i="6"/>
  <c r="G181" i="6"/>
  <c r="F181" i="6"/>
  <c r="B181" i="6"/>
  <c r="H180" i="6"/>
  <c r="G180" i="6"/>
  <c r="F180" i="6"/>
  <c r="B180" i="6"/>
  <c r="H179" i="6"/>
  <c r="G179" i="6"/>
  <c r="F179" i="6"/>
  <c r="B179" i="6"/>
  <c r="H178" i="6"/>
  <c r="G178" i="6"/>
  <c r="F178" i="6"/>
  <c r="B178" i="6"/>
  <c r="H177" i="6"/>
  <c r="G177" i="6"/>
  <c r="F177" i="6"/>
  <c r="B177" i="6"/>
  <c r="H176" i="6"/>
  <c r="G176" i="6"/>
  <c r="F176" i="6"/>
  <c r="B176" i="6"/>
  <c r="H175" i="6"/>
  <c r="G175" i="6"/>
  <c r="F175" i="6"/>
  <c r="B175" i="6"/>
  <c r="H174" i="6"/>
  <c r="G174" i="6"/>
  <c r="F174" i="6"/>
  <c r="B174" i="6"/>
  <c r="H173" i="6"/>
  <c r="G173" i="6"/>
  <c r="F173" i="6"/>
  <c r="B173" i="6"/>
  <c r="H172" i="6"/>
  <c r="G172" i="6"/>
  <c r="F172" i="6"/>
  <c r="B172" i="6"/>
  <c r="H171" i="6"/>
  <c r="G171" i="6"/>
  <c r="F171" i="6"/>
  <c r="B171" i="6"/>
  <c r="H170" i="6"/>
  <c r="G170" i="6"/>
  <c r="F170" i="6"/>
  <c r="B170" i="6"/>
  <c r="H169" i="6"/>
  <c r="G169" i="6"/>
  <c r="F169" i="6"/>
  <c r="B169" i="6"/>
  <c r="H168" i="6"/>
  <c r="G168" i="6"/>
  <c r="F168" i="6"/>
  <c r="B168" i="6"/>
  <c r="H167" i="6"/>
  <c r="G167" i="6"/>
  <c r="F167" i="6"/>
  <c r="B167" i="6"/>
  <c r="H166" i="6"/>
  <c r="G166" i="6"/>
  <c r="F166" i="6"/>
  <c r="B166" i="6"/>
  <c r="H165" i="6"/>
  <c r="G165" i="6"/>
  <c r="F165" i="6"/>
  <c r="B165" i="6"/>
  <c r="H164" i="6"/>
  <c r="G164" i="6"/>
  <c r="F164" i="6"/>
  <c r="B164" i="6"/>
  <c r="H163" i="6"/>
  <c r="G163" i="6"/>
  <c r="F163" i="6"/>
  <c r="B163" i="6"/>
  <c r="H162" i="6"/>
  <c r="G162" i="6"/>
  <c r="F162" i="6"/>
  <c r="B162" i="6"/>
  <c r="H161" i="6"/>
  <c r="G161" i="6"/>
  <c r="F161" i="6"/>
  <c r="B161" i="6"/>
  <c r="H160" i="6"/>
  <c r="G160" i="6"/>
  <c r="F160" i="6"/>
  <c r="B160" i="6"/>
  <c r="H159" i="6"/>
  <c r="G159" i="6"/>
  <c r="F159" i="6"/>
  <c r="B159" i="6"/>
  <c r="H158" i="6"/>
  <c r="G158" i="6"/>
  <c r="F158" i="6"/>
  <c r="B158" i="6"/>
  <c r="H157" i="6"/>
  <c r="G157" i="6"/>
  <c r="F157" i="6"/>
  <c r="B157" i="6"/>
  <c r="H156" i="6"/>
  <c r="G156" i="6"/>
  <c r="F156" i="6"/>
  <c r="B156" i="6"/>
  <c r="H155" i="6"/>
  <c r="G155" i="6"/>
  <c r="F155" i="6"/>
  <c r="B155" i="6"/>
  <c r="H154" i="6"/>
  <c r="G154" i="6"/>
  <c r="F154" i="6"/>
  <c r="B154" i="6"/>
  <c r="H153" i="6"/>
  <c r="G153" i="6"/>
  <c r="F153" i="6"/>
  <c r="B153" i="6"/>
  <c r="H152" i="6"/>
  <c r="G152" i="6"/>
  <c r="F152" i="6"/>
  <c r="B152" i="6"/>
  <c r="H151" i="6"/>
  <c r="G151" i="6"/>
  <c r="F151" i="6"/>
  <c r="B151" i="6"/>
  <c r="H150" i="6"/>
  <c r="G150" i="6"/>
  <c r="F150" i="6"/>
  <c r="B150" i="6"/>
  <c r="H149" i="6"/>
  <c r="G149" i="6"/>
  <c r="F149" i="6"/>
  <c r="B149" i="6"/>
  <c r="H148" i="6"/>
  <c r="G148" i="6"/>
  <c r="F148" i="6"/>
  <c r="B148" i="6"/>
  <c r="H147" i="6"/>
  <c r="G147" i="6"/>
  <c r="F147" i="6"/>
  <c r="B147" i="6"/>
  <c r="H146" i="6"/>
  <c r="G146" i="6"/>
  <c r="F146" i="6"/>
  <c r="B146" i="6"/>
  <c r="H145" i="6"/>
  <c r="G145" i="6"/>
  <c r="F145" i="6"/>
  <c r="B145" i="6"/>
  <c r="H144" i="6"/>
  <c r="G144" i="6"/>
  <c r="F144" i="6"/>
  <c r="B144" i="6"/>
  <c r="H143" i="6"/>
  <c r="G143" i="6"/>
  <c r="F143" i="6"/>
  <c r="B143" i="6"/>
  <c r="H142" i="6"/>
  <c r="G142" i="6"/>
  <c r="F142" i="6"/>
  <c r="B142" i="6"/>
  <c r="H141" i="6"/>
  <c r="G141" i="6"/>
  <c r="F141" i="6"/>
  <c r="B141" i="6"/>
  <c r="H140" i="6"/>
  <c r="G140" i="6"/>
  <c r="F140" i="6"/>
  <c r="B140" i="6"/>
  <c r="H139" i="6"/>
  <c r="G139" i="6"/>
  <c r="F139" i="6"/>
  <c r="B139" i="6"/>
  <c r="H138" i="6"/>
  <c r="G138" i="6"/>
  <c r="F138" i="6"/>
  <c r="B138" i="6"/>
  <c r="H137" i="6"/>
  <c r="G137" i="6"/>
  <c r="F137" i="6"/>
  <c r="B137" i="6"/>
  <c r="H136" i="6"/>
  <c r="G136" i="6"/>
  <c r="F136" i="6"/>
  <c r="B136" i="6"/>
  <c r="H135" i="6"/>
  <c r="G135" i="6"/>
  <c r="F135" i="6"/>
  <c r="B135" i="6"/>
  <c r="H134" i="6"/>
  <c r="G134" i="6"/>
  <c r="F134" i="6"/>
  <c r="B134" i="6"/>
  <c r="H133" i="6"/>
  <c r="G133" i="6"/>
  <c r="F133" i="6"/>
  <c r="B133" i="6"/>
  <c r="H132" i="6"/>
  <c r="G132" i="6"/>
  <c r="F132" i="6"/>
  <c r="B132" i="6"/>
  <c r="H131" i="6"/>
  <c r="G131" i="6"/>
  <c r="F131" i="6"/>
  <c r="B131" i="6"/>
  <c r="H130" i="6"/>
  <c r="G130" i="6"/>
  <c r="F130" i="6"/>
  <c r="B130" i="6"/>
  <c r="H129" i="6"/>
  <c r="G129" i="6"/>
  <c r="F129" i="6"/>
  <c r="B129" i="6"/>
  <c r="H128" i="6"/>
  <c r="G128" i="6"/>
  <c r="F128" i="6"/>
  <c r="B128" i="6"/>
  <c r="H127" i="6"/>
  <c r="G127" i="6"/>
  <c r="F127" i="6"/>
  <c r="B127" i="6"/>
  <c r="H126" i="6"/>
  <c r="G126" i="6"/>
  <c r="F126" i="6"/>
  <c r="B126" i="6"/>
  <c r="H125" i="6"/>
  <c r="G125" i="6"/>
  <c r="F125" i="6"/>
  <c r="B125" i="6"/>
  <c r="H124" i="6"/>
  <c r="G124" i="6"/>
  <c r="F124" i="6"/>
  <c r="B124" i="6"/>
  <c r="H123" i="6"/>
  <c r="G123" i="6"/>
  <c r="F123" i="6"/>
  <c r="B123" i="6"/>
  <c r="H122" i="6"/>
  <c r="G122" i="6"/>
  <c r="F122" i="6"/>
  <c r="B122" i="6"/>
  <c r="H121" i="6"/>
  <c r="G121" i="6"/>
  <c r="F121" i="6"/>
  <c r="B121" i="6"/>
  <c r="H120" i="6"/>
  <c r="G120" i="6"/>
  <c r="F120" i="6"/>
  <c r="B120" i="6"/>
  <c r="H119" i="6"/>
  <c r="G119" i="6"/>
  <c r="F119" i="6"/>
  <c r="B119" i="6"/>
  <c r="H118" i="6"/>
  <c r="G118" i="6"/>
  <c r="F118" i="6"/>
  <c r="B118" i="6"/>
  <c r="H117" i="6"/>
  <c r="G117" i="6"/>
  <c r="F117" i="6"/>
  <c r="B117" i="6"/>
  <c r="H116" i="6"/>
  <c r="G116" i="6"/>
  <c r="F116" i="6"/>
  <c r="B116" i="6"/>
  <c r="H115" i="6"/>
  <c r="G115" i="6"/>
  <c r="F115" i="6"/>
  <c r="B115" i="6"/>
  <c r="H114" i="6"/>
  <c r="G114" i="6"/>
  <c r="F114" i="6"/>
  <c r="B114" i="6"/>
  <c r="H113" i="6"/>
  <c r="G113" i="6"/>
  <c r="F113" i="6"/>
  <c r="B113" i="6"/>
  <c r="H112" i="6"/>
  <c r="G112" i="6"/>
  <c r="F112" i="6"/>
  <c r="B112" i="6"/>
  <c r="H111" i="6"/>
  <c r="G111" i="6"/>
  <c r="F111" i="6"/>
  <c r="B111" i="6"/>
  <c r="H110" i="6"/>
  <c r="G110" i="6"/>
  <c r="F110" i="6"/>
  <c r="B110" i="6"/>
  <c r="H109" i="6"/>
  <c r="G109" i="6"/>
  <c r="F109" i="6"/>
  <c r="B109" i="6"/>
  <c r="H108" i="6"/>
  <c r="G108" i="6"/>
  <c r="F108" i="6"/>
  <c r="B108" i="6"/>
  <c r="H107" i="6"/>
  <c r="G107" i="6"/>
  <c r="F107" i="6"/>
  <c r="B107" i="6"/>
  <c r="H106" i="6"/>
  <c r="G106" i="6"/>
  <c r="F106" i="6"/>
  <c r="B106" i="6"/>
  <c r="H105" i="6"/>
  <c r="G105" i="6"/>
  <c r="F105" i="6"/>
  <c r="B105" i="6"/>
  <c r="H104" i="6"/>
  <c r="G104" i="6"/>
  <c r="F104" i="6"/>
  <c r="B104" i="6"/>
  <c r="H103" i="6"/>
  <c r="G103" i="6"/>
  <c r="F103" i="6"/>
  <c r="B103" i="6"/>
  <c r="H102" i="6"/>
  <c r="G102" i="6"/>
  <c r="F102" i="6"/>
  <c r="B102" i="6"/>
  <c r="H101" i="6"/>
  <c r="G101" i="6"/>
  <c r="F101" i="6"/>
  <c r="B101" i="6"/>
  <c r="H100" i="6"/>
  <c r="G100" i="6"/>
  <c r="F100" i="6"/>
  <c r="B100" i="6"/>
  <c r="H99" i="6"/>
  <c r="G99" i="6"/>
  <c r="F99" i="6"/>
  <c r="B99" i="6"/>
  <c r="H98" i="6"/>
  <c r="G98" i="6"/>
  <c r="F98" i="6"/>
  <c r="B98" i="6"/>
  <c r="H97" i="6"/>
  <c r="G97" i="6"/>
  <c r="F97" i="6"/>
  <c r="B97" i="6"/>
  <c r="H96" i="6"/>
  <c r="G96" i="6"/>
  <c r="F96" i="6"/>
  <c r="B96" i="6"/>
  <c r="H95" i="6"/>
  <c r="G95" i="6"/>
  <c r="F95" i="6"/>
  <c r="B95" i="6"/>
  <c r="H94" i="6"/>
  <c r="G94" i="6"/>
  <c r="F94" i="6"/>
  <c r="B94" i="6"/>
  <c r="H93" i="6"/>
  <c r="G93" i="6"/>
  <c r="F93" i="6"/>
  <c r="B93" i="6"/>
  <c r="H92" i="6"/>
  <c r="G92" i="6"/>
  <c r="F92" i="6"/>
  <c r="B92" i="6"/>
  <c r="H91" i="6"/>
  <c r="G91" i="6"/>
  <c r="F91" i="6"/>
  <c r="B91" i="6"/>
  <c r="H90" i="6"/>
  <c r="G90" i="6"/>
  <c r="F90" i="6"/>
  <c r="B90" i="6"/>
  <c r="H89" i="6"/>
  <c r="G89" i="6"/>
  <c r="F89" i="6"/>
  <c r="B89" i="6"/>
  <c r="H88" i="6"/>
  <c r="G88" i="6"/>
  <c r="F88" i="6"/>
  <c r="B88" i="6"/>
  <c r="H87" i="6"/>
  <c r="G87" i="6"/>
  <c r="F87" i="6"/>
  <c r="B87" i="6"/>
  <c r="H86" i="6"/>
  <c r="G86" i="6"/>
  <c r="F86" i="6"/>
  <c r="B86" i="6"/>
  <c r="H85" i="6"/>
  <c r="G85" i="6"/>
  <c r="F85" i="6"/>
  <c r="B85" i="6"/>
  <c r="H84" i="6"/>
  <c r="G84" i="6"/>
  <c r="F84" i="6"/>
  <c r="B84" i="6"/>
  <c r="H83" i="6"/>
  <c r="G83" i="6"/>
  <c r="F83" i="6"/>
  <c r="B83" i="6"/>
  <c r="H82" i="6"/>
  <c r="G82" i="6"/>
  <c r="F82" i="6"/>
  <c r="B82" i="6"/>
  <c r="H81" i="6"/>
  <c r="G81" i="6"/>
  <c r="F81" i="6"/>
  <c r="B81" i="6"/>
  <c r="H80" i="6"/>
  <c r="G80" i="6"/>
  <c r="F80" i="6"/>
  <c r="B80" i="6"/>
  <c r="H79" i="6"/>
  <c r="G79" i="6"/>
  <c r="F79" i="6"/>
  <c r="B79" i="6"/>
  <c r="H78" i="6"/>
  <c r="G78" i="6"/>
  <c r="F78" i="6"/>
  <c r="B78" i="6"/>
  <c r="H77" i="6"/>
  <c r="G77" i="6"/>
  <c r="F77" i="6"/>
  <c r="B77" i="6"/>
  <c r="H76" i="6"/>
  <c r="G76" i="6"/>
  <c r="F76" i="6"/>
  <c r="B76" i="6"/>
  <c r="H75" i="6"/>
  <c r="G75" i="6"/>
  <c r="F75" i="6"/>
  <c r="B75" i="6"/>
  <c r="H74" i="6"/>
  <c r="G74" i="6"/>
  <c r="F74" i="6"/>
  <c r="B74" i="6"/>
  <c r="H73" i="6"/>
  <c r="G73" i="6"/>
  <c r="F73" i="6"/>
  <c r="B73" i="6"/>
  <c r="H72" i="6"/>
  <c r="G72" i="6"/>
  <c r="F72" i="6"/>
  <c r="B72" i="6"/>
  <c r="H71" i="6"/>
  <c r="G71" i="6"/>
  <c r="F71" i="6"/>
  <c r="B71" i="6"/>
  <c r="H70" i="6"/>
  <c r="G70" i="6"/>
  <c r="F70" i="6"/>
  <c r="B70" i="6"/>
  <c r="H69" i="6"/>
  <c r="G69" i="6"/>
  <c r="F69" i="6"/>
  <c r="B69" i="6"/>
  <c r="H68" i="6"/>
  <c r="G68" i="6"/>
  <c r="F68" i="6"/>
  <c r="B68" i="6"/>
  <c r="H67" i="6"/>
  <c r="G67" i="6"/>
  <c r="F67" i="6"/>
  <c r="B67" i="6"/>
  <c r="H66" i="6"/>
  <c r="G66" i="6"/>
  <c r="F66" i="6"/>
  <c r="B66" i="6"/>
  <c r="H65" i="6"/>
  <c r="G65" i="6"/>
  <c r="F65" i="6"/>
  <c r="B65" i="6"/>
  <c r="H64" i="6"/>
  <c r="G64" i="6"/>
  <c r="F64" i="6"/>
  <c r="B64" i="6"/>
  <c r="H63" i="6"/>
  <c r="G63" i="6"/>
  <c r="F63" i="6"/>
  <c r="B63" i="6"/>
  <c r="H62" i="6"/>
  <c r="G62" i="6"/>
  <c r="F62" i="6"/>
  <c r="B62" i="6"/>
  <c r="H61" i="6"/>
  <c r="G61" i="6"/>
  <c r="F61" i="6"/>
  <c r="B61" i="6"/>
  <c r="H60" i="6"/>
  <c r="G60" i="6"/>
  <c r="F60" i="6"/>
  <c r="B60" i="6"/>
  <c r="H59" i="6"/>
  <c r="G59" i="6"/>
  <c r="F59" i="6"/>
  <c r="B59" i="6"/>
  <c r="H58" i="6"/>
  <c r="G58" i="6"/>
  <c r="F58" i="6"/>
  <c r="B58" i="6"/>
  <c r="H57" i="6"/>
  <c r="G57" i="6"/>
  <c r="F57" i="6"/>
  <c r="B57" i="6"/>
  <c r="H56" i="6"/>
  <c r="G56" i="6"/>
  <c r="F56" i="6"/>
  <c r="B56" i="6"/>
  <c r="H55" i="6"/>
  <c r="G55" i="6"/>
  <c r="F55" i="6"/>
  <c r="B55" i="6"/>
  <c r="H54" i="6"/>
  <c r="G54" i="6"/>
  <c r="F54" i="6"/>
  <c r="B54" i="6"/>
  <c r="H53" i="6"/>
  <c r="G53" i="6"/>
  <c r="F53" i="6"/>
  <c r="B53" i="6"/>
  <c r="H52" i="6"/>
  <c r="G52" i="6"/>
  <c r="F52" i="6"/>
  <c r="B52" i="6"/>
  <c r="H51" i="6"/>
  <c r="G51" i="6"/>
  <c r="F51" i="6"/>
  <c r="B51" i="6"/>
  <c r="H50" i="6"/>
  <c r="G50" i="6"/>
  <c r="F50" i="6"/>
  <c r="B50" i="6"/>
  <c r="H49" i="6"/>
  <c r="G49" i="6"/>
  <c r="F49" i="6"/>
  <c r="B49" i="6"/>
  <c r="H48" i="6"/>
  <c r="G48" i="6"/>
  <c r="F48" i="6"/>
  <c r="B48" i="6"/>
  <c r="H47" i="6"/>
  <c r="G47" i="6"/>
  <c r="F47" i="6"/>
  <c r="B47" i="6"/>
  <c r="H46" i="6"/>
  <c r="G46" i="6"/>
  <c r="F46" i="6"/>
  <c r="B46" i="6"/>
  <c r="H45" i="6"/>
  <c r="G45" i="6"/>
  <c r="F45" i="6"/>
  <c r="B45" i="6"/>
  <c r="H44" i="6"/>
  <c r="G44" i="6"/>
  <c r="F44" i="6"/>
  <c r="B44" i="6"/>
  <c r="H43" i="6"/>
  <c r="G43" i="6"/>
  <c r="F43" i="6"/>
  <c r="B43" i="6"/>
  <c r="H42" i="6"/>
  <c r="G42" i="6"/>
  <c r="F42" i="6"/>
  <c r="B42" i="6"/>
  <c r="H41" i="6"/>
  <c r="G41" i="6"/>
  <c r="F41" i="6"/>
  <c r="B41" i="6"/>
  <c r="H40" i="6"/>
  <c r="G40" i="6"/>
  <c r="F40" i="6"/>
  <c r="B40" i="6"/>
  <c r="H39" i="6"/>
  <c r="G39" i="6"/>
  <c r="F39" i="6"/>
  <c r="B39" i="6"/>
  <c r="H38" i="6"/>
  <c r="G38" i="6"/>
  <c r="F38" i="6"/>
  <c r="B38" i="6"/>
  <c r="H37" i="6"/>
  <c r="G37" i="6"/>
  <c r="F37" i="6"/>
  <c r="B37" i="6"/>
  <c r="H36" i="6"/>
  <c r="G36" i="6"/>
  <c r="F36" i="6"/>
  <c r="B36" i="6"/>
  <c r="H35" i="6"/>
  <c r="G35" i="6"/>
  <c r="F35" i="6"/>
  <c r="B35" i="6"/>
  <c r="H34" i="6"/>
  <c r="G34" i="6"/>
  <c r="F34" i="6"/>
  <c r="B34" i="6"/>
  <c r="H33" i="6"/>
  <c r="G33" i="6"/>
  <c r="F33" i="6"/>
  <c r="B33" i="6"/>
  <c r="H32" i="6"/>
  <c r="G32" i="6"/>
  <c r="F32" i="6"/>
  <c r="B32" i="6"/>
  <c r="H31" i="6"/>
  <c r="G31" i="6"/>
  <c r="F31" i="6"/>
  <c r="B31" i="6"/>
  <c r="H30" i="6"/>
  <c r="G30" i="6"/>
  <c r="F30" i="6"/>
  <c r="B30" i="6"/>
  <c r="H29" i="6"/>
  <c r="G29" i="6"/>
  <c r="F29" i="6"/>
  <c r="B29" i="6"/>
  <c r="H28" i="6"/>
  <c r="G28" i="6"/>
  <c r="F28" i="6"/>
  <c r="B28" i="6"/>
  <c r="H27" i="6"/>
  <c r="G27" i="6"/>
  <c r="F27" i="6"/>
  <c r="B27" i="6"/>
  <c r="H26" i="6"/>
  <c r="G26" i="6"/>
  <c r="F26" i="6"/>
  <c r="B26" i="6"/>
  <c r="H25" i="6"/>
  <c r="G25" i="6"/>
  <c r="F25" i="6"/>
  <c r="B25" i="6"/>
  <c r="H24" i="6"/>
  <c r="G24" i="6"/>
  <c r="F24" i="6"/>
  <c r="B24" i="6"/>
  <c r="H23" i="6"/>
  <c r="G23" i="6"/>
  <c r="F23" i="6"/>
  <c r="B23" i="6"/>
  <c r="H22" i="6"/>
  <c r="G22" i="6"/>
  <c r="F22" i="6"/>
  <c r="B22" i="6"/>
  <c r="H21" i="6"/>
  <c r="G21" i="6"/>
  <c r="F21" i="6"/>
  <c r="B21" i="6"/>
  <c r="H20" i="6"/>
  <c r="G20" i="6"/>
  <c r="F20" i="6"/>
  <c r="B20" i="6"/>
  <c r="H19" i="6"/>
  <c r="G19" i="6"/>
  <c r="F19" i="6"/>
  <c r="B19" i="6"/>
  <c r="H18" i="6"/>
  <c r="G18" i="6"/>
  <c r="F18" i="6"/>
  <c r="B18" i="6"/>
  <c r="H17" i="6"/>
  <c r="G17" i="6"/>
  <c r="F17" i="6"/>
  <c r="B17" i="6"/>
  <c r="H16" i="6"/>
  <c r="G16" i="6"/>
  <c r="F16" i="6"/>
  <c r="B16" i="6"/>
  <c r="H15" i="6"/>
  <c r="G15" i="6"/>
  <c r="F15" i="6"/>
  <c r="B15" i="6"/>
  <c r="H14" i="6"/>
  <c r="G14" i="6"/>
  <c r="F14" i="6"/>
  <c r="B14" i="6"/>
  <c r="H13" i="6"/>
  <c r="G13" i="6"/>
  <c r="F13" i="6"/>
  <c r="B13" i="6"/>
  <c r="H12" i="6"/>
  <c r="G12" i="6"/>
  <c r="F12" i="6"/>
  <c r="B12" i="6"/>
  <c r="H11" i="6"/>
  <c r="G11" i="6"/>
  <c r="F11" i="6"/>
  <c r="B11" i="6"/>
  <c r="H10" i="6"/>
  <c r="G10" i="6"/>
  <c r="F10" i="6"/>
  <c r="B10" i="6"/>
  <c r="H9" i="6"/>
  <c r="G9" i="6"/>
  <c r="F9" i="6"/>
  <c r="B9" i="6"/>
  <c r="H8" i="6"/>
  <c r="G8" i="6"/>
  <c r="F8" i="6"/>
  <c r="B8" i="6"/>
  <c r="H7" i="6"/>
  <c r="G7" i="6"/>
  <c r="F7" i="6"/>
  <c r="B7" i="6"/>
  <c r="H6" i="6"/>
  <c r="G6" i="6"/>
  <c r="F6" i="6"/>
  <c r="B6" i="6"/>
  <c r="H5" i="6"/>
  <c r="G5" i="6"/>
  <c r="F5" i="6"/>
  <c r="B5" i="6"/>
  <c r="J9" i="1" l="1"/>
  <c r="J5" i="1"/>
  <c r="J10" i="1"/>
  <c r="J35" i="1"/>
  <c r="J7" i="1"/>
  <c r="J333" i="1"/>
  <c r="J18" i="1"/>
  <c r="J33" i="1"/>
  <c r="J116" i="1"/>
  <c r="J175" i="1"/>
  <c r="J77" i="1"/>
  <c r="J13" i="1"/>
  <c r="J59" i="1"/>
  <c r="J47" i="1"/>
  <c r="J32" i="1"/>
  <c r="J25" i="1"/>
  <c r="J22" i="1"/>
  <c r="J37" i="1"/>
  <c r="J17" i="1"/>
  <c r="J26" i="1"/>
  <c r="J496" i="1"/>
  <c r="J14" i="1"/>
  <c r="J30" i="1"/>
  <c r="J29" i="1"/>
  <c r="J547" i="1"/>
  <c r="J15" i="1"/>
  <c r="J285" i="1"/>
  <c r="J69" i="1"/>
  <c r="J383" i="1"/>
  <c r="J11" i="1"/>
  <c r="J36" i="1"/>
  <c r="J66" i="1"/>
  <c r="J28" i="1"/>
  <c r="J44" i="1"/>
  <c r="J46" i="1"/>
  <c r="J247" i="1"/>
  <c r="J50" i="1"/>
  <c r="J327" i="1"/>
  <c r="J97" i="1"/>
  <c r="J45" i="1"/>
  <c r="J43" i="1"/>
  <c r="J62" i="1"/>
  <c r="J48" i="1"/>
  <c r="J27" i="1"/>
  <c r="J220" i="1"/>
  <c r="J51" i="1"/>
  <c r="J260" i="1"/>
  <c r="J517" i="1"/>
  <c r="J563" i="1"/>
  <c r="J54" i="1"/>
  <c r="J52" i="1"/>
  <c r="J561" i="1"/>
  <c r="J296" i="1"/>
  <c r="J325" i="1"/>
  <c r="J23" i="1"/>
  <c r="J504" i="1"/>
  <c r="J174" i="1"/>
  <c r="J534" i="1"/>
  <c r="J64" i="1"/>
  <c r="J39" i="1"/>
  <c r="J193" i="1"/>
  <c r="J560" i="1"/>
  <c r="J541" i="1"/>
  <c r="J151" i="1"/>
  <c r="J130" i="1"/>
  <c r="J192" i="1"/>
  <c r="J537" i="1"/>
  <c r="J63" i="1"/>
  <c r="J150" i="1"/>
  <c r="J522" i="1"/>
  <c r="J78" i="1"/>
  <c r="J100" i="1"/>
  <c r="J278" i="1"/>
  <c r="J469" i="1"/>
  <c r="J98" i="1"/>
  <c r="J58" i="1"/>
  <c r="J104" i="1"/>
  <c r="J83" i="1"/>
  <c r="J84" i="1"/>
  <c r="J503" i="1"/>
  <c r="J71" i="1"/>
  <c r="J24" i="1"/>
  <c r="J308" i="1"/>
  <c r="J41" i="1"/>
  <c r="J271" i="1"/>
  <c r="J210" i="1"/>
  <c r="J194" i="1"/>
  <c r="J80" i="1"/>
  <c r="J545" i="1"/>
  <c r="J548" i="1"/>
  <c r="J422" i="1"/>
  <c r="J87" i="1"/>
  <c r="J199" i="1"/>
  <c r="J114" i="1"/>
  <c r="J414" i="1"/>
  <c r="J428" i="1"/>
  <c r="J134" i="1"/>
  <c r="J145" i="1"/>
  <c r="J67" i="1"/>
  <c r="J20" i="1"/>
  <c r="J6" i="1"/>
  <c r="J305" i="1"/>
  <c r="J256" i="1"/>
  <c r="J427" i="1"/>
  <c r="J152" i="1"/>
  <c r="J19" i="1"/>
  <c r="J49" i="1"/>
  <c r="J113" i="1"/>
  <c r="J75" i="1"/>
  <c r="J57" i="1"/>
  <c r="J8" i="1"/>
  <c r="J61" i="1"/>
  <c r="J149" i="1"/>
  <c r="J119" i="1"/>
  <c r="J348" i="1"/>
  <c r="J205" i="1"/>
  <c r="J122" i="1"/>
  <c r="J95" i="1"/>
  <c r="J107" i="1"/>
  <c r="J415" i="1"/>
  <c r="J128" i="1"/>
  <c r="J315" i="1"/>
  <c r="J218" i="1"/>
  <c r="J299" i="1"/>
  <c r="J82" i="1"/>
  <c r="J112" i="1"/>
  <c r="J319" i="1"/>
  <c r="J133" i="1"/>
  <c r="J187" i="1"/>
  <c r="J480" i="1"/>
  <c r="J255" i="1"/>
  <c r="J447" i="1"/>
  <c r="J40" i="1"/>
  <c r="J196" i="1"/>
  <c r="J409" i="1"/>
  <c r="J445" i="1"/>
  <c r="J436" i="1"/>
  <c r="J108" i="1"/>
  <c r="J53" i="1"/>
  <c r="J106" i="1"/>
  <c r="J410" i="1"/>
  <c r="J166" i="1"/>
  <c r="J56" i="1"/>
  <c r="J60" i="1"/>
  <c r="J302" i="1"/>
  <c r="J144" i="1"/>
  <c r="J120" i="1"/>
  <c r="J217" i="1"/>
  <c r="J101" i="1"/>
  <c r="J12" i="1"/>
  <c r="J341" i="1"/>
  <c r="J423" i="1"/>
  <c r="J165" i="1"/>
  <c r="J159" i="1"/>
  <c r="J235" i="1"/>
  <c r="J92" i="1"/>
  <c r="J76" i="1"/>
  <c r="J248" i="1"/>
  <c r="J85" i="1"/>
  <c r="J338" i="1"/>
  <c r="J155" i="1"/>
  <c r="J518" i="1"/>
  <c r="J79" i="1"/>
  <c r="J169" i="1"/>
  <c r="J103" i="1"/>
  <c r="J118" i="1"/>
  <c r="J179" i="1"/>
  <c r="J370" i="1"/>
  <c r="J143" i="1"/>
  <c r="J421" i="1"/>
  <c r="J110" i="1"/>
  <c r="J94" i="1"/>
  <c r="J72" i="1"/>
  <c r="J330" i="1"/>
  <c r="J312" i="1"/>
  <c r="J86" i="1"/>
  <c r="J216" i="1"/>
  <c r="J340" i="1"/>
  <c r="J70" i="1"/>
  <c r="J478" i="1"/>
  <c r="J123" i="1"/>
  <c r="J115" i="1"/>
  <c r="J306" i="1"/>
  <c r="J366" i="1"/>
  <c r="J412" i="1"/>
  <c r="J242" i="1"/>
  <c r="J55" i="1"/>
  <c r="J162" i="1"/>
  <c r="J213" i="1"/>
  <c r="J73" i="1"/>
  <c r="J125" i="1"/>
  <c r="J91" i="1"/>
  <c r="J121" i="1"/>
  <c r="J68" i="1"/>
  <c r="J374" i="1"/>
  <c r="J443" i="1"/>
  <c r="J141" i="1"/>
  <c r="J127" i="1"/>
  <c r="J204" i="1"/>
  <c r="J459" i="1"/>
  <c r="J188" i="1"/>
  <c r="J406" i="1"/>
  <c r="J241" i="1"/>
  <c r="J89" i="1"/>
  <c r="J182" i="1"/>
  <c r="J267" i="1"/>
  <c r="J65" i="1"/>
  <c r="J161" i="1"/>
  <c r="J34" i="1"/>
  <c r="J136" i="1"/>
  <c r="J111" i="1"/>
  <c r="J222" i="1"/>
  <c r="J221" i="1"/>
  <c r="J432" i="1"/>
  <c r="J126" i="1"/>
  <c r="J138" i="1"/>
  <c r="J289" i="1"/>
  <c r="J99" i="1"/>
  <c r="J74" i="1"/>
  <c r="J139" i="1"/>
  <c r="J272" i="1"/>
  <c r="J96" i="1"/>
  <c r="J387" i="1"/>
  <c r="J191" i="1"/>
  <c r="J230" i="1"/>
  <c r="J158" i="1"/>
  <c r="J184" i="1"/>
  <c r="J233" i="1"/>
  <c r="J527" i="1"/>
  <c r="J81" i="1"/>
  <c r="J293" i="1"/>
  <c r="J276" i="1"/>
  <c r="J243" i="1"/>
  <c r="J124" i="1"/>
  <c r="J273" i="1"/>
  <c r="J198" i="1"/>
  <c r="J292" i="1"/>
  <c r="J356" i="1"/>
  <c r="J16" i="1"/>
  <c r="J335" i="1"/>
  <c r="J420" i="1"/>
  <c r="J21" i="1"/>
  <c r="J109" i="1"/>
  <c r="J238" i="1"/>
  <c r="J142" i="1"/>
  <c r="J186" i="1"/>
  <c r="J201" i="1"/>
  <c r="J42" i="1"/>
  <c r="J202" i="1"/>
  <c r="J226" i="1"/>
  <c r="J146" i="1"/>
  <c r="J153" i="1"/>
  <c r="J453" i="1"/>
  <c r="J140" i="1"/>
  <c r="J236" i="1"/>
  <c r="J163" i="1"/>
  <c r="J189" i="1"/>
  <c r="J177" i="1"/>
  <c r="J264" i="1"/>
  <c r="J132" i="1"/>
  <c r="J167" i="1"/>
  <c r="J173" i="1"/>
  <c r="J137" i="1"/>
  <c r="J284" i="1"/>
  <c r="J526" i="1"/>
  <c r="J93" i="1"/>
  <c r="J318" i="1"/>
  <c r="J331" i="1"/>
  <c r="J521" i="1"/>
  <c r="J430" i="1"/>
  <c r="J117" i="1"/>
  <c r="J564" i="1"/>
  <c r="J234" i="1"/>
  <c r="J172" i="1"/>
  <c r="J211" i="1"/>
  <c r="J281" i="1"/>
  <c r="J282" i="1"/>
  <c r="J102" i="1"/>
  <c r="J209" i="1"/>
  <c r="J164" i="1"/>
  <c r="J249" i="1"/>
  <c r="J379" i="1"/>
  <c r="J90" i="1"/>
  <c r="J424" i="1"/>
  <c r="J413" i="1"/>
  <c r="J291" i="1"/>
  <c r="J437" i="1"/>
  <c r="J389" i="1"/>
  <c r="J294" i="1"/>
  <c r="J487" i="1"/>
  <c r="J464" i="1"/>
  <c r="J454" i="1"/>
  <c r="J212" i="1"/>
  <c r="J435" i="1"/>
  <c r="J300" i="1"/>
  <c r="J347" i="1"/>
  <c r="J354" i="1"/>
  <c r="J362" i="1"/>
  <c r="J157" i="1"/>
  <c r="J265" i="1"/>
  <c r="J181" i="1"/>
  <c r="J360" i="1"/>
  <c r="J342" i="1"/>
  <c r="J246" i="1"/>
  <c r="J397" i="1"/>
  <c r="J311" i="1"/>
  <c r="J229" i="1"/>
  <c r="J180" i="1"/>
  <c r="J160" i="1"/>
  <c r="J252" i="1"/>
  <c r="J270" i="1"/>
  <c r="J147" i="1"/>
  <c r="J154" i="1"/>
  <c r="J251" i="1"/>
  <c r="J207" i="1"/>
  <c r="J353" i="1"/>
  <c r="J552" i="1"/>
  <c r="J38" i="1"/>
  <c r="J466" i="1"/>
  <c r="J277" i="1"/>
  <c r="J408" i="1"/>
  <c r="J371" i="1"/>
  <c r="J328" i="1"/>
  <c r="J250" i="1"/>
  <c r="J557" i="1"/>
  <c r="J514" i="1"/>
  <c r="J511" i="1"/>
  <c r="J171" i="1"/>
  <c r="J334" i="1"/>
  <c r="J317" i="1"/>
  <c r="J223" i="1"/>
  <c r="J253" i="1"/>
  <c r="J375" i="1"/>
  <c r="J501" i="1"/>
  <c r="J31" i="1"/>
  <c r="J197" i="1"/>
  <c r="J382" i="1"/>
  <c r="J156" i="1"/>
  <c r="J344" i="1"/>
  <c r="J263" i="1"/>
  <c r="J346" i="1"/>
  <c r="J268" i="1"/>
  <c r="J195" i="1"/>
  <c r="J208" i="1"/>
  <c r="J475" i="1"/>
  <c r="J495" i="1"/>
  <c r="J283" i="1"/>
  <c r="J131" i="1"/>
  <c r="J426" i="1"/>
  <c r="J215" i="1"/>
  <c r="J309" i="1"/>
  <c r="J411" i="1"/>
  <c r="J391" i="1"/>
  <c r="J297" i="1"/>
  <c r="J336" i="1"/>
  <c r="J492" i="1"/>
  <c r="J390" i="1"/>
  <c r="J554" i="1"/>
  <c r="J364" i="1"/>
  <c r="J148" i="1"/>
  <c r="J225" i="1"/>
  <c r="J321" i="1"/>
  <c r="J178" i="1"/>
  <c r="J368" i="1"/>
  <c r="J323" i="1"/>
  <c r="J525" i="1"/>
  <c r="J388" i="1"/>
  <c r="J254" i="1"/>
  <c r="J287" i="1"/>
  <c r="J307" i="1"/>
  <c r="J231" i="1"/>
  <c r="J377" i="1"/>
  <c r="J378" i="1"/>
  <c r="J239" i="1"/>
  <c r="J206" i="1"/>
  <c r="J288" i="1"/>
  <c r="J269" i="1"/>
  <c r="J468" i="1"/>
  <c r="J219" i="1"/>
  <c r="J455" i="1"/>
  <c r="J392" i="1"/>
  <c r="J433" i="1"/>
  <c r="J258" i="1"/>
  <c r="J355" i="1"/>
  <c r="J280" i="1"/>
  <c r="J105" i="1"/>
  <c r="J351" i="1"/>
  <c r="J523" i="1"/>
  <c r="J245" i="1"/>
  <c r="J228" i="1"/>
  <c r="J396" i="1"/>
  <c r="J438" i="1"/>
  <c r="J303" i="1"/>
  <c r="J507" i="1"/>
  <c r="J450" i="1"/>
  <c r="J516" i="1"/>
  <c r="J363" i="1"/>
  <c r="J200" i="1"/>
  <c r="J240" i="1"/>
  <c r="J405" i="1"/>
  <c r="J376" i="1"/>
  <c r="J491" i="1"/>
  <c r="J266" i="1"/>
  <c r="J176" i="1"/>
  <c r="J502" i="1"/>
  <c r="J168" i="1"/>
  <c r="J461" i="1"/>
  <c r="J279" i="1"/>
  <c r="J448" i="1"/>
  <c r="J530" i="1"/>
  <c r="J393" i="1"/>
  <c r="J465" i="1"/>
  <c r="J401" i="1"/>
  <c r="J439" i="1"/>
  <c r="J493" i="1"/>
  <c r="J332" i="1"/>
  <c r="J482" i="1"/>
  <c r="J479" i="1"/>
  <c r="J440" i="1"/>
  <c r="J135" i="1"/>
  <c r="J275" i="1"/>
  <c r="J170" i="1"/>
  <c r="J473" i="1"/>
  <c r="J559" i="1"/>
  <c r="J203" i="1"/>
  <c r="J398" i="1"/>
  <c r="J345" i="1"/>
  <c r="J550" i="1"/>
  <c r="J224" i="1"/>
  <c r="J261" i="1"/>
  <c r="J417" i="1"/>
  <c r="J498" i="1"/>
  <c r="J543" i="1"/>
  <c r="J304" i="1"/>
  <c r="J399" i="1"/>
  <c r="J441" i="1"/>
  <c r="J214" i="1"/>
  <c r="J237" i="1"/>
  <c r="J183" i="1"/>
  <c r="J520" i="1"/>
  <c r="J481" i="1"/>
  <c r="J129" i="1"/>
  <c r="J533" i="1"/>
  <c r="J458" i="1"/>
  <c r="J529" i="1"/>
  <c r="J357" i="1"/>
  <c r="J452" i="1"/>
  <c r="J418" i="1"/>
  <c r="J257" i="1"/>
  <c r="J434" i="1"/>
  <c r="J395" i="1"/>
  <c r="J385" i="1"/>
  <c r="J88" i="1"/>
  <c r="J310" i="1"/>
  <c r="J446" i="1"/>
  <c r="J403" i="1"/>
  <c r="J462" i="1"/>
  <c r="J425" i="1"/>
  <c r="J483" i="1"/>
  <c r="J185" i="1"/>
  <c r="J499" i="1"/>
  <c r="J467" i="1"/>
  <c r="J490" i="1"/>
  <c r="J551" i="1"/>
  <c r="J500" i="1"/>
  <c r="J352" i="1"/>
  <c r="J349" i="1"/>
  <c r="J339" i="1"/>
  <c r="J298" i="1"/>
  <c r="J488" i="1"/>
  <c r="J359" i="1"/>
  <c r="J313" i="1"/>
  <c r="J326" i="1"/>
  <c r="J508" i="1"/>
  <c r="J449" i="1"/>
  <c r="J497" i="1"/>
  <c r="J489" i="1"/>
  <c r="J358" i="1"/>
  <c r="J290" i="1"/>
  <c r="J190" i="1"/>
  <c r="J369" i="1"/>
  <c r="J544" i="1"/>
  <c r="J419" i="1"/>
  <c r="J337" i="1"/>
  <c r="J295" i="1"/>
  <c r="J472" i="1"/>
  <c r="J320" i="1"/>
  <c r="J314" i="1"/>
  <c r="J365" i="1"/>
  <c r="J259" i="1"/>
  <c r="J322" i="1"/>
  <c r="J386" i="1"/>
  <c r="J343" i="1"/>
  <c r="J509" i="1"/>
  <c r="J244" i="1"/>
  <c r="J457" i="1"/>
  <c r="J474" i="1"/>
  <c r="J407" i="1"/>
  <c r="J463" i="1"/>
  <c r="J274" i="1"/>
  <c r="J324" i="1"/>
  <c r="J227" i="1"/>
  <c r="J301" i="1"/>
  <c r="J381" i="1"/>
  <c r="J350" i="1"/>
  <c r="J416" i="1"/>
  <c r="J558" i="1"/>
  <c r="J394" i="1"/>
  <c r="J373" i="1"/>
  <c r="J429" i="1"/>
  <c r="J384" i="1"/>
  <c r="J460" i="1"/>
  <c r="J476" i="1"/>
  <c r="J402" i="1"/>
  <c r="J232" i="1"/>
  <c r="J316" i="1"/>
  <c r="J431" i="1"/>
  <c r="J486" i="1"/>
  <c r="J367" i="1"/>
  <c r="J513" i="1"/>
  <c r="J471" i="1"/>
  <c r="J562" i="1"/>
  <c r="J538" i="1"/>
  <c r="J546" i="1"/>
  <c r="J442" i="1"/>
  <c r="J539" i="1"/>
  <c r="J470" i="1"/>
  <c r="J329" i="1"/>
  <c r="J536" i="1"/>
  <c r="J524" i="1"/>
  <c r="J361" i="1"/>
  <c r="J286" i="1"/>
  <c r="J549" i="1"/>
  <c r="J372" i="1"/>
  <c r="J404" i="1"/>
  <c r="J477" i="1"/>
  <c r="J444" i="1"/>
  <c r="J485" i="1"/>
  <c r="J555" i="1"/>
  <c r="J494" i="1"/>
  <c r="J540" i="1"/>
  <c r="J506" i="1"/>
  <c r="J484" i="1"/>
  <c r="J535" i="1"/>
  <c r="J532" i="1"/>
  <c r="J505" i="1"/>
  <c r="J531" i="1"/>
  <c r="J380" i="1"/>
  <c r="J519" i="1"/>
  <c r="J565" i="1"/>
  <c r="J566" i="1"/>
  <c r="J553" i="1"/>
  <c r="J542" i="1"/>
  <c r="J512" i="1"/>
  <c r="J400" i="1"/>
  <c r="J510" i="1"/>
  <c r="J456" i="1"/>
  <c r="J515" i="1"/>
  <c r="J567" i="1"/>
  <c r="J556" i="1"/>
  <c r="J569" i="1"/>
  <c r="J528" i="1"/>
  <c r="J568" i="1"/>
  <c r="J570" i="1"/>
  <c r="J571" i="1"/>
  <c r="J572" i="1"/>
  <c r="J573" i="1"/>
  <c r="J451" i="1"/>
  <c r="J574" i="1"/>
  <c r="J575" i="1"/>
  <c r="J576" i="1"/>
  <c r="J577" i="1"/>
  <c r="J578" i="1"/>
  <c r="J579" i="1"/>
  <c r="J262" i="1"/>
  <c r="B142" i="1" l="1"/>
  <c r="L409" i="1"/>
  <c r="L304" i="1"/>
  <c r="L309" i="1"/>
  <c r="L220" i="1"/>
  <c r="L342" i="1"/>
  <c r="L426" i="1"/>
  <c r="L575" i="1"/>
  <c r="L523" i="1"/>
  <c r="L543" i="1"/>
  <c r="L502" i="1"/>
  <c r="L500" i="1"/>
  <c r="L455" i="1"/>
  <c r="L491" i="1"/>
  <c r="L262" i="1"/>
  <c r="L333" i="1"/>
  <c r="L70" i="1"/>
  <c r="L413" i="1"/>
  <c r="L496" i="1"/>
  <c r="L273" i="1"/>
  <c r="L482" i="1"/>
  <c r="L319" i="1"/>
  <c r="L508" i="1"/>
  <c r="L458" i="1"/>
  <c r="L302" i="1"/>
  <c r="L389" i="1"/>
  <c r="L312" i="1"/>
  <c r="L490" i="1"/>
  <c r="L492" i="1"/>
  <c r="L497" i="1"/>
  <c r="L420" i="1"/>
  <c r="L445" i="1"/>
  <c r="L192" i="1"/>
  <c r="L558" i="1"/>
  <c r="L362" i="1"/>
  <c r="L576" i="1"/>
  <c r="L321" i="1"/>
  <c r="L410" i="1"/>
  <c r="L383" i="1"/>
  <c r="L149" i="1"/>
  <c r="L281" i="1"/>
  <c r="L48" i="1"/>
  <c r="L222" i="1"/>
  <c r="L130" i="1"/>
  <c r="L368" i="1"/>
  <c r="L152" i="1"/>
  <c r="L234" i="1"/>
  <c r="L67" i="1"/>
  <c r="L424" i="1"/>
  <c r="L433" i="1"/>
  <c r="L493" i="1"/>
  <c r="L466" i="1"/>
  <c r="L179" i="1"/>
  <c r="L514" i="1"/>
  <c r="L459" i="1"/>
  <c r="L435" i="1"/>
  <c r="L483" i="1"/>
  <c r="L515" i="1"/>
  <c r="L230" i="1"/>
  <c r="L327" i="1"/>
  <c r="L517" i="1"/>
  <c r="L392" i="1"/>
  <c r="L563" i="1"/>
  <c r="L562" i="1"/>
  <c r="L355" i="1"/>
  <c r="L516" i="1"/>
  <c r="L379" i="1"/>
  <c r="L463" i="1"/>
  <c r="L504" i="1"/>
  <c r="L408" i="1"/>
  <c r="L369" i="1"/>
  <c r="L334" i="1"/>
  <c r="L513" i="1"/>
  <c r="L561" i="1"/>
  <c r="L325" i="1"/>
  <c r="L560" i="1"/>
  <c r="L541" i="1"/>
  <c r="L537" i="1"/>
  <c r="L36" i="1"/>
  <c r="L64" i="1"/>
  <c r="L187" i="1"/>
  <c r="L184" i="1"/>
  <c r="L387" i="1"/>
  <c r="L430" i="1"/>
  <c r="L248" i="1"/>
  <c r="L406" i="1"/>
  <c r="L375" i="1"/>
  <c r="L29" i="1"/>
  <c r="L66" i="1"/>
  <c r="L33" i="1"/>
  <c r="L104" i="1"/>
  <c r="L509" i="1"/>
  <c r="L434" i="1"/>
  <c r="L236" i="1"/>
  <c r="L544" i="1"/>
  <c r="L42" i="1"/>
  <c r="L323" i="1"/>
  <c r="L73" i="1"/>
  <c r="L260" i="1"/>
  <c r="L530" i="1"/>
  <c r="L348" i="1"/>
  <c r="L204" i="1"/>
  <c r="L568" i="1"/>
  <c r="L577" i="1"/>
  <c r="L399" i="1"/>
  <c r="L393" i="1"/>
  <c r="L507" i="1"/>
  <c r="L95" i="1"/>
  <c r="L216" i="1"/>
  <c r="L91" i="1"/>
  <c r="L26" i="1"/>
  <c r="L191" i="1"/>
  <c r="L404" i="1"/>
  <c r="L549" i="1"/>
  <c r="L107" i="1"/>
  <c r="L438" i="1"/>
  <c r="L69" i="1"/>
  <c r="L32" i="1"/>
  <c r="L18" i="1"/>
  <c r="L233" i="1"/>
  <c r="L335" i="1"/>
  <c r="L14" i="1"/>
  <c r="L30" i="1"/>
  <c r="L449" i="1"/>
  <c r="L246" i="1"/>
  <c r="L437" i="1"/>
  <c r="L487" i="1"/>
  <c r="L403" i="1"/>
  <c r="L202" i="1"/>
  <c r="L218" i="1"/>
  <c r="L199" i="1"/>
  <c r="L294" i="1"/>
  <c r="L221" i="1"/>
  <c r="L573" i="1"/>
  <c r="L122" i="1"/>
  <c r="L27" i="1"/>
  <c r="L213" i="1"/>
  <c r="L347" i="1"/>
  <c r="L370" i="1"/>
  <c r="L289" i="1"/>
  <c r="L293" i="1"/>
  <c r="L277" i="1"/>
  <c r="L49" i="1"/>
  <c r="L165" i="1"/>
  <c r="L270" i="1"/>
  <c r="L24" i="1"/>
  <c r="L20" i="1"/>
  <c r="L428" i="1"/>
  <c r="L354" i="1"/>
  <c r="L77" i="1"/>
  <c r="L175" i="1"/>
  <c r="L103" i="1"/>
  <c r="L50" i="1"/>
  <c r="L136" i="1"/>
  <c r="L431" i="1"/>
  <c r="L401" i="1"/>
  <c r="L63" i="1"/>
  <c r="L44" i="1"/>
  <c r="L344" i="1"/>
  <c r="L306" i="1"/>
  <c r="L13" i="1"/>
  <c r="L296" i="1"/>
  <c r="L237" i="1"/>
  <c r="L75" i="1"/>
  <c r="L290" i="1"/>
  <c r="L427" i="1"/>
  <c r="L116" i="1"/>
  <c r="L35" i="1"/>
  <c r="L278" i="1"/>
  <c r="L346" i="1"/>
  <c r="L526" i="1"/>
  <c r="L143" i="1"/>
  <c r="L411" i="1"/>
  <c r="L58" i="1"/>
  <c r="L194" i="1"/>
  <c r="L99" i="1"/>
  <c r="L525" i="1"/>
  <c r="L374" i="1"/>
  <c r="L388" i="1"/>
  <c r="L557" i="1"/>
  <c r="L144" i="1"/>
  <c r="L574" i="1"/>
  <c r="L282" i="1"/>
  <c r="L159" i="1"/>
  <c r="L578" i="1"/>
  <c r="L396" i="1"/>
  <c r="L377" i="1"/>
  <c r="L421" i="1"/>
  <c r="L518" i="1"/>
  <c r="L264" i="1"/>
  <c r="L169" i="1"/>
  <c r="L51" i="1"/>
  <c r="L462" i="1"/>
  <c r="L328" i="1"/>
  <c r="L119" i="1"/>
  <c r="L267" i="1"/>
  <c r="L521" i="1"/>
  <c r="L283" i="1"/>
  <c r="L450" i="1"/>
  <c r="L241" i="1"/>
  <c r="L417" i="1"/>
  <c r="L340" i="1"/>
  <c r="L83" i="1"/>
  <c r="L90" i="1"/>
  <c r="L102" i="1"/>
  <c r="L114" i="1"/>
  <c r="L125" i="1"/>
  <c r="L474" i="1"/>
  <c r="L501" i="1"/>
  <c r="L305" i="1"/>
  <c r="L137" i="1"/>
  <c r="L87" i="1"/>
  <c r="L219" i="1"/>
  <c r="L89" i="1"/>
  <c r="L211" i="1"/>
  <c r="L229" i="1"/>
  <c r="L101" i="1"/>
  <c r="L269" i="1"/>
  <c r="L112" i="1"/>
  <c r="L245" i="1"/>
  <c r="L92" i="1"/>
  <c r="L266" i="1"/>
  <c r="L465" i="1"/>
  <c r="L456" i="1"/>
  <c r="L57" i="1"/>
  <c r="L470" i="1"/>
  <c r="L505" i="1"/>
  <c r="L162" i="1"/>
  <c r="L214" i="1"/>
  <c r="L85" i="1"/>
  <c r="L79" i="1"/>
  <c r="L205" i="1"/>
  <c r="L127" i="1"/>
  <c r="L349" i="1"/>
  <c r="L367" i="1"/>
  <c r="L472" i="1"/>
  <c r="L240" i="1"/>
  <c r="L68" i="1"/>
  <c r="L419" i="1"/>
  <c r="L55" i="1"/>
  <c r="L190" i="1"/>
  <c r="L402" i="1"/>
  <c r="L476" i="1"/>
  <c r="L532" i="1"/>
  <c r="L12" i="1"/>
  <c r="L310" i="1"/>
  <c r="L131" i="1"/>
  <c r="L147" i="1"/>
  <c r="L16" i="1"/>
  <c r="L157" i="1"/>
  <c r="L477" i="1"/>
  <c r="L341" i="1"/>
  <c r="L287" i="1"/>
  <c r="L154" i="1"/>
  <c r="L172" i="1"/>
  <c r="L81" i="1"/>
  <c r="L141" i="1"/>
  <c r="L34" i="1"/>
  <c r="L357" i="1"/>
  <c r="L176" i="1"/>
  <c r="L394" i="1"/>
  <c r="L316" i="1"/>
  <c r="L21" i="1"/>
  <c r="L88" i="1"/>
  <c r="L31" i="1"/>
  <c r="L38" i="1"/>
  <c r="L62" i="1"/>
  <c r="L531" i="1"/>
  <c r="L471" i="1"/>
  <c r="L167" i="1"/>
  <c r="L390" i="1"/>
  <c r="L446" i="1"/>
  <c r="L224" i="1"/>
  <c r="L15" i="1"/>
  <c r="L286" i="1"/>
  <c r="L197" i="1"/>
  <c r="L54" i="1"/>
  <c r="L228" i="1"/>
  <c r="L161" i="1"/>
  <c r="L185" i="1"/>
  <c r="L494" i="1"/>
  <c r="L345" i="1"/>
  <c r="L279" i="1"/>
  <c r="L371" i="1"/>
  <c r="L361" i="1"/>
  <c r="L384" i="1"/>
  <c r="L380" i="1"/>
  <c r="L372" i="1"/>
  <c r="L329" i="1"/>
  <c r="L189" i="1"/>
  <c r="L275" i="1"/>
  <c r="L365" i="1"/>
  <c r="L288" i="1"/>
  <c r="L358" i="1"/>
  <c r="L295" i="1"/>
  <c r="L132" i="1"/>
  <c r="L180" i="1"/>
  <c r="L129" i="1"/>
  <c r="L280" i="1"/>
  <c r="L359" i="1"/>
  <c r="L200" i="1"/>
  <c r="L171" i="1"/>
  <c r="L444" i="1"/>
  <c r="L442" i="1"/>
  <c r="L74" i="1"/>
  <c r="L182" i="1"/>
  <c r="L339" i="1"/>
  <c r="L148" i="1"/>
  <c r="L105" i="1"/>
  <c r="L239" i="1"/>
  <c r="L272" i="1"/>
  <c r="L363" i="1"/>
  <c r="L486" i="1"/>
  <c r="L223" i="1"/>
  <c r="L96" i="1"/>
  <c r="L135" i="1"/>
  <c r="L343" i="1"/>
  <c r="L203" i="1"/>
  <c r="L579" i="1"/>
  <c r="L276" i="1"/>
  <c r="L183" i="1"/>
  <c r="L395" i="1"/>
  <c r="L429" i="1"/>
  <c r="L140" i="1"/>
  <c r="L121" i="1"/>
  <c r="L170" i="1"/>
  <c r="L227" i="1"/>
  <c r="L65" i="1"/>
  <c r="L571" i="1"/>
  <c r="L570" i="1"/>
  <c r="L178" i="1"/>
  <c r="L381" i="1"/>
  <c r="L254" i="1"/>
  <c r="L117" i="1"/>
  <c r="L250" i="1"/>
  <c r="L201" i="1"/>
  <c r="L124" i="1"/>
  <c r="L412" i="1"/>
  <c r="L464" i="1"/>
  <c r="L299" i="1"/>
  <c r="L331" i="1"/>
  <c r="L307" i="1"/>
  <c r="L336" i="1"/>
  <c r="L391" i="1"/>
  <c r="L360" i="1"/>
  <c r="L106" i="1"/>
  <c r="L177" i="1"/>
  <c r="L318" i="1"/>
  <c r="L150" i="1"/>
  <c r="L271" i="1"/>
  <c r="L59" i="1"/>
  <c r="L198" i="1"/>
  <c r="L108" i="1"/>
  <c r="L303" i="1"/>
  <c r="L382" i="1"/>
  <c r="L488" i="1"/>
  <c r="L320" i="1"/>
  <c r="L332" i="1"/>
  <c r="L207" i="1"/>
  <c r="L522" i="1"/>
  <c r="L469" i="1"/>
  <c r="L503" i="1"/>
  <c r="L308" i="1"/>
  <c r="L545" i="1"/>
  <c r="L548" i="1"/>
  <c r="L134" i="1"/>
  <c r="L100" i="1"/>
  <c r="L432" i="1"/>
  <c r="L554" i="1"/>
  <c r="L263" i="1"/>
  <c r="L485" i="1"/>
  <c r="L232" i="1"/>
  <c r="L110" i="1"/>
  <c r="L495" i="1"/>
  <c r="L512" i="1"/>
  <c r="L551" i="1"/>
  <c r="L468" i="1"/>
  <c r="L23" i="1"/>
  <c r="L41" i="1"/>
  <c r="L86" i="1"/>
  <c r="L243" i="1"/>
  <c r="L206" i="1"/>
  <c r="L72" i="1"/>
  <c r="L11" i="1"/>
  <c r="L265" i="1"/>
  <c r="L210" i="1"/>
  <c r="L292" i="1"/>
  <c r="L138" i="1"/>
  <c r="L109" i="1"/>
  <c r="L46" i="1"/>
  <c r="L364" i="1"/>
  <c r="L414" i="1"/>
  <c r="L386" i="1"/>
  <c r="L61" i="1"/>
  <c r="L43" i="1"/>
  <c r="L524" i="1"/>
  <c r="L5" i="1"/>
  <c r="L322" i="1"/>
  <c r="L452" i="1"/>
  <c r="L467" i="1"/>
  <c r="L351" i="1"/>
  <c r="L366" i="1"/>
  <c r="L556" i="1"/>
  <c r="L416" i="1"/>
  <c r="L422" i="1"/>
  <c r="L9" i="1"/>
  <c r="L415" i="1"/>
  <c r="L25" i="1"/>
  <c r="L163" i="1"/>
  <c r="L173" i="1"/>
  <c r="L315" i="1"/>
  <c r="L447" i="1"/>
  <c r="L56" i="1"/>
  <c r="L126" i="1"/>
  <c r="L40" i="1"/>
  <c r="L60" i="1"/>
  <c r="L259" i="1"/>
  <c r="L330" i="1"/>
  <c r="L478" i="1"/>
  <c r="L188" i="1"/>
  <c r="L538" i="1"/>
  <c r="L258" i="1"/>
  <c r="L539" i="1"/>
  <c r="L356" i="1"/>
  <c r="L238" i="1"/>
  <c r="L350" i="1"/>
  <c r="L186" i="1"/>
  <c r="L146" i="1"/>
  <c r="L212" i="1"/>
  <c r="L215" i="1"/>
  <c r="L6" i="1"/>
  <c r="L284" i="1"/>
  <c r="L93" i="1"/>
  <c r="L564" i="1"/>
  <c r="L338" i="1"/>
  <c r="L572" i="1"/>
  <c r="L460" i="1"/>
  <c r="L128" i="1"/>
  <c r="L297" i="1"/>
  <c r="L540" i="1"/>
  <c r="L555" i="1"/>
  <c r="L181" i="1"/>
  <c r="L164" i="1"/>
  <c r="L473" i="1"/>
  <c r="L251" i="1"/>
  <c r="L94" i="1"/>
  <c r="L385" i="1"/>
  <c r="L166" i="1"/>
  <c r="L123" i="1"/>
  <c r="L80" i="1"/>
  <c r="L249" i="1"/>
  <c r="L454" i="1"/>
  <c r="L142" i="1"/>
  <c r="L160" i="1"/>
  <c r="L552" i="1"/>
  <c r="L511" i="1"/>
  <c r="L317" i="1"/>
  <c r="L253" i="1"/>
  <c r="L156" i="1"/>
  <c r="L268" i="1"/>
  <c r="L274" i="1"/>
  <c r="L225" i="1"/>
  <c r="L53" i="1"/>
  <c r="L111" i="1"/>
  <c r="L405" i="1"/>
  <c r="L291" i="1"/>
  <c r="L113" i="1"/>
  <c r="L376" i="1"/>
  <c r="L168" i="1"/>
  <c r="L155" i="1"/>
  <c r="L10" i="1"/>
  <c r="L559" i="1"/>
  <c r="L566" i="1"/>
  <c r="L480" i="1"/>
  <c r="L569" i="1"/>
  <c r="L527" i="1"/>
  <c r="L436" i="1"/>
  <c r="L534" i="1"/>
  <c r="L547" i="1"/>
  <c r="L461" i="1"/>
  <c r="L448" i="1"/>
  <c r="L439" i="1"/>
  <c r="L440" i="1"/>
  <c r="L398" i="1"/>
  <c r="L550" i="1"/>
  <c r="L441" i="1"/>
  <c r="L498" i="1"/>
  <c r="L520" i="1"/>
  <c r="L481" i="1"/>
  <c r="L533" i="1"/>
  <c r="L529" i="1"/>
  <c r="L425" i="1"/>
  <c r="L453" i="1"/>
  <c r="L489" i="1"/>
  <c r="L118" i="1"/>
  <c r="L145" i="1"/>
  <c r="L193" i="1"/>
  <c r="L499" i="1"/>
  <c r="L133" i="1"/>
  <c r="L352" i="1"/>
  <c r="L298" i="1"/>
  <c r="L397" i="1"/>
  <c r="L257" i="1"/>
  <c r="L52" i="1"/>
  <c r="L195" i="1"/>
  <c r="L553" i="1"/>
  <c r="L378" i="1"/>
  <c r="L209" i="1"/>
  <c r="L443" i="1"/>
  <c r="L242" i="1"/>
  <c r="L261" i="1"/>
  <c r="L311" i="1"/>
  <c r="L475" i="1"/>
  <c r="L255" i="1"/>
  <c r="L313" i="1"/>
  <c r="L71" i="1"/>
  <c r="L326" i="1"/>
  <c r="L337" i="1"/>
  <c r="L84" i="1"/>
  <c r="L252" i="1"/>
  <c r="L115" i="1"/>
  <c r="L457" i="1"/>
  <c r="L151" i="1"/>
  <c r="L217" i="1"/>
  <c r="L45" i="1"/>
  <c r="L37" i="1"/>
  <c r="L78" i="1"/>
  <c r="L28" i="1"/>
  <c r="L19" i="1"/>
  <c r="L39" i="1"/>
  <c r="L22" i="1"/>
  <c r="L567" i="1"/>
  <c r="L98" i="1"/>
  <c r="L17" i="1"/>
  <c r="L314" i="1"/>
  <c r="L423" i="1"/>
  <c r="L373" i="1"/>
  <c r="L300" i="1"/>
  <c r="L247" i="1"/>
  <c r="L196" i="1"/>
  <c r="L158" i="1"/>
  <c r="L244" i="1"/>
  <c r="L407" i="1"/>
  <c r="L76" i="1"/>
  <c r="L139" i="1"/>
  <c r="L97" i="1"/>
  <c r="L235" i="1"/>
  <c r="L82" i="1"/>
  <c r="L301" i="1"/>
  <c r="L120" i="1"/>
  <c r="L285" i="1"/>
  <c r="L47" i="1"/>
  <c r="L7" i="1"/>
  <c r="L153" i="1"/>
  <c r="L231" i="1"/>
  <c r="L256" i="1"/>
  <c r="L8" i="1"/>
  <c r="L546" i="1"/>
  <c r="L418" i="1"/>
  <c r="L324" i="1"/>
  <c r="L536" i="1"/>
  <c r="L353" i="1"/>
  <c r="L506" i="1"/>
  <c r="L484" i="1"/>
  <c r="L535" i="1"/>
  <c r="L519" i="1"/>
  <c r="L565" i="1"/>
  <c r="L542" i="1"/>
  <c r="L400" i="1"/>
  <c r="L510" i="1"/>
  <c r="L528" i="1"/>
  <c r="L208" i="1"/>
  <c r="L479" i="1"/>
  <c r="L451" i="1"/>
  <c r="L226" i="1"/>
  <c r="L174" i="1"/>
  <c r="K409" i="1"/>
  <c r="K304" i="1"/>
  <c r="K309" i="1"/>
  <c r="K220" i="1"/>
  <c r="K342" i="1"/>
  <c r="K426" i="1"/>
  <c r="K575" i="1"/>
  <c r="K523" i="1"/>
  <c r="K543" i="1"/>
  <c r="K502" i="1"/>
  <c r="K500" i="1"/>
  <c r="K455" i="1"/>
  <c r="K491" i="1"/>
  <c r="K262" i="1"/>
  <c r="K333" i="1"/>
  <c r="K70" i="1"/>
  <c r="K413" i="1"/>
  <c r="K496" i="1"/>
  <c r="K273" i="1"/>
  <c r="K482" i="1"/>
  <c r="K319" i="1"/>
  <c r="K508" i="1"/>
  <c r="K458" i="1"/>
  <c r="K302" i="1"/>
  <c r="K389" i="1"/>
  <c r="K312" i="1"/>
  <c r="K490" i="1"/>
  <c r="K492" i="1"/>
  <c r="K497" i="1"/>
  <c r="K420" i="1"/>
  <c r="K445" i="1"/>
  <c r="K192" i="1"/>
  <c r="K558" i="1"/>
  <c r="K362" i="1"/>
  <c r="K576" i="1"/>
  <c r="K321" i="1"/>
  <c r="K410" i="1"/>
  <c r="K383" i="1"/>
  <c r="K149" i="1"/>
  <c r="K281" i="1"/>
  <c r="K48" i="1"/>
  <c r="K222" i="1"/>
  <c r="K130" i="1"/>
  <c r="K368" i="1"/>
  <c r="K152" i="1"/>
  <c r="K234" i="1"/>
  <c r="K67" i="1"/>
  <c r="K424" i="1"/>
  <c r="K433" i="1"/>
  <c r="K493" i="1"/>
  <c r="K466" i="1"/>
  <c r="K179" i="1"/>
  <c r="K514" i="1"/>
  <c r="K459" i="1"/>
  <c r="K435" i="1"/>
  <c r="K483" i="1"/>
  <c r="K515" i="1"/>
  <c r="K230" i="1"/>
  <c r="K327" i="1"/>
  <c r="K517" i="1"/>
  <c r="K392" i="1"/>
  <c r="K563" i="1"/>
  <c r="K562" i="1"/>
  <c r="K355" i="1"/>
  <c r="K516" i="1"/>
  <c r="K379" i="1"/>
  <c r="K463" i="1"/>
  <c r="K504" i="1"/>
  <c r="K408" i="1"/>
  <c r="K369" i="1"/>
  <c r="K334" i="1"/>
  <c r="K513" i="1"/>
  <c r="K561" i="1"/>
  <c r="K325" i="1"/>
  <c r="K560" i="1"/>
  <c r="K541" i="1"/>
  <c r="K537" i="1"/>
  <c r="K36" i="1"/>
  <c r="K64" i="1"/>
  <c r="K187" i="1"/>
  <c r="K184" i="1"/>
  <c r="K387" i="1"/>
  <c r="K430" i="1"/>
  <c r="K248" i="1"/>
  <c r="K406" i="1"/>
  <c r="K375" i="1"/>
  <c r="K29" i="1"/>
  <c r="K66" i="1"/>
  <c r="K33" i="1"/>
  <c r="K104" i="1"/>
  <c r="K509" i="1"/>
  <c r="K434" i="1"/>
  <c r="K236" i="1"/>
  <c r="K544" i="1"/>
  <c r="K42" i="1"/>
  <c r="K323" i="1"/>
  <c r="K73" i="1"/>
  <c r="K260" i="1"/>
  <c r="K530" i="1"/>
  <c r="K348" i="1"/>
  <c r="K204" i="1"/>
  <c r="K568" i="1"/>
  <c r="K577" i="1"/>
  <c r="K399" i="1"/>
  <c r="K393" i="1"/>
  <c r="K507" i="1"/>
  <c r="K95" i="1"/>
  <c r="K216" i="1"/>
  <c r="K91" i="1"/>
  <c r="K26" i="1"/>
  <c r="K191" i="1"/>
  <c r="K404" i="1"/>
  <c r="K549" i="1"/>
  <c r="K107" i="1"/>
  <c r="K438" i="1"/>
  <c r="K69" i="1"/>
  <c r="K32" i="1"/>
  <c r="K18" i="1"/>
  <c r="K233" i="1"/>
  <c r="K335" i="1"/>
  <c r="K14" i="1"/>
  <c r="K30" i="1"/>
  <c r="K449" i="1"/>
  <c r="K246" i="1"/>
  <c r="K437" i="1"/>
  <c r="K487" i="1"/>
  <c r="K403" i="1"/>
  <c r="K202" i="1"/>
  <c r="K218" i="1"/>
  <c r="K199" i="1"/>
  <c r="K294" i="1"/>
  <c r="K221" i="1"/>
  <c r="K573" i="1"/>
  <c r="K122" i="1"/>
  <c r="K27" i="1"/>
  <c r="K213" i="1"/>
  <c r="K347" i="1"/>
  <c r="K370" i="1"/>
  <c r="K289" i="1"/>
  <c r="K293" i="1"/>
  <c r="K277" i="1"/>
  <c r="K49" i="1"/>
  <c r="K165" i="1"/>
  <c r="K270" i="1"/>
  <c r="K24" i="1"/>
  <c r="K20" i="1"/>
  <c r="K428" i="1"/>
  <c r="K354" i="1"/>
  <c r="K77" i="1"/>
  <c r="K175" i="1"/>
  <c r="K103" i="1"/>
  <c r="K50" i="1"/>
  <c r="K136" i="1"/>
  <c r="K431" i="1"/>
  <c r="K401" i="1"/>
  <c r="K63" i="1"/>
  <c r="K44" i="1"/>
  <c r="K344" i="1"/>
  <c r="K306" i="1"/>
  <c r="K13" i="1"/>
  <c r="K296" i="1"/>
  <c r="K237" i="1"/>
  <c r="K75" i="1"/>
  <c r="K290" i="1"/>
  <c r="K427" i="1"/>
  <c r="K116" i="1"/>
  <c r="K35" i="1"/>
  <c r="K278" i="1"/>
  <c r="K346" i="1"/>
  <c r="K526" i="1"/>
  <c r="K143" i="1"/>
  <c r="K411" i="1"/>
  <c r="K58" i="1"/>
  <c r="K194" i="1"/>
  <c r="K99" i="1"/>
  <c r="K525" i="1"/>
  <c r="K374" i="1"/>
  <c r="K388" i="1"/>
  <c r="K557" i="1"/>
  <c r="K144" i="1"/>
  <c r="K574" i="1"/>
  <c r="K282" i="1"/>
  <c r="K159" i="1"/>
  <c r="K578" i="1"/>
  <c r="K396" i="1"/>
  <c r="K377" i="1"/>
  <c r="K421" i="1"/>
  <c r="K518" i="1"/>
  <c r="K264" i="1"/>
  <c r="K169" i="1"/>
  <c r="K51" i="1"/>
  <c r="K462" i="1"/>
  <c r="K328" i="1"/>
  <c r="K119" i="1"/>
  <c r="K267" i="1"/>
  <c r="K521" i="1"/>
  <c r="K283" i="1"/>
  <c r="K450" i="1"/>
  <c r="K241" i="1"/>
  <c r="K417" i="1"/>
  <c r="K340" i="1"/>
  <c r="K83" i="1"/>
  <c r="K90" i="1"/>
  <c r="K102" i="1"/>
  <c r="K114" i="1"/>
  <c r="K125" i="1"/>
  <c r="K474" i="1"/>
  <c r="K501" i="1"/>
  <c r="K305" i="1"/>
  <c r="K137" i="1"/>
  <c r="K87" i="1"/>
  <c r="K219" i="1"/>
  <c r="K89" i="1"/>
  <c r="K211" i="1"/>
  <c r="K229" i="1"/>
  <c r="K101" i="1"/>
  <c r="K269" i="1"/>
  <c r="K112" i="1"/>
  <c r="K245" i="1"/>
  <c r="K92" i="1"/>
  <c r="K266" i="1"/>
  <c r="K465" i="1"/>
  <c r="K456" i="1"/>
  <c r="K57" i="1"/>
  <c r="K470" i="1"/>
  <c r="K505" i="1"/>
  <c r="K162" i="1"/>
  <c r="K214" i="1"/>
  <c r="K85" i="1"/>
  <c r="K79" i="1"/>
  <c r="K205" i="1"/>
  <c r="K127" i="1"/>
  <c r="K349" i="1"/>
  <c r="K367" i="1"/>
  <c r="K472" i="1"/>
  <c r="K240" i="1"/>
  <c r="K68" i="1"/>
  <c r="K419" i="1"/>
  <c r="K55" i="1"/>
  <c r="K190" i="1"/>
  <c r="K402" i="1"/>
  <c r="K476" i="1"/>
  <c r="K532" i="1"/>
  <c r="K12" i="1"/>
  <c r="K310" i="1"/>
  <c r="K131" i="1"/>
  <c r="K147" i="1"/>
  <c r="K16" i="1"/>
  <c r="K157" i="1"/>
  <c r="K477" i="1"/>
  <c r="K341" i="1"/>
  <c r="K287" i="1"/>
  <c r="K154" i="1"/>
  <c r="K172" i="1"/>
  <c r="K81" i="1"/>
  <c r="K141" i="1"/>
  <c r="K34" i="1"/>
  <c r="K357" i="1"/>
  <c r="K176" i="1"/>
  <c r="K394" i="1"/>
  <c r="K316" i="1"/>
  <c r="K21" i="1"/>
  <c r="K88" i="1"/>
  <c r="K31" i="1"/>
  <c r="K38" i="1"/>
  <c r="K62" i="1"/>
  <c r="K531" i="1"/>
  <c r="K471" i="1"/>
  <c r="K167" i="1"/>
  <c r="K390" i="1"/>
  <c r="K446" i="1"/>
  <c r="K224" i="1"/>
  <c r="K15" i="1"/>
  <c r="K286" i="1"/>
  <c r="K197" i="1"/>
  <c r="K54" i="1"/>
  <c r="K228" i="1"/>
  <c r="K161" i="1"/>
  <c r="K185" i="1"/>
  <c r="K494" i="1"/>
  <c r="K345" i="1"/>
  <c r="K279" i="1"/>
  <c r="K371" i="1"/>
  <c r="K361" i="1"/>
  <c r="K384" i="1"/>
  <c r="K380" i="1"/>
  <c r="K372" i="1"/>
  <c r="K329" i="1"/>
  <c r="K189" i="1"/>
  <c r="K275" i="1"/>
  <c r="K365" i="1"/>
  <c r="K288" i="1"/>
  <c r="K358" i="1"/>
  <c r="K295" i="1"/>
  <c r="K132" i="1"/>
  <c r="K180" i="1"/>
  <c r="K129" i="1"/>
  <c r="K280" i="1"/>
  <c r="K359" i="1"/>
  <c r="K200" i="1"/>
  <c r="K171" i="1"/>
  <c r="K444" i="1"/>
  <c r="K442" i="1"/>
  <c r="K74" i="1"/>
  <c r="K182" i="1"/>
  <c r="K339" i="1"/>
  <c r="K148" i="1"/>
  <c r="K105" i="1"/>
  <c r="K239" i="1"/>
  <c r="K272" i="1"/>
  <c r="K363" i="1"/>
  <c r="K486" i="1"/>
  <c r="K223" i="1"/>
  <c r="K96" i="1"/>
  <c r="K135" i="1"/>
  <c r="K343" i="1"/>
  <c r="K203" i="1"/>
  <c r="K579" i="1"/>
  <c r="K276" i="1"/>
  <c r="K183" i="1"/>
  <c r="K395" i="1"/>
  <c r="K429" i="1"/>
  <c r="K140" i="1"/>
  <c r="K121" i="1"/>
  <c r="K170" i="1"/>
  <c r="K227" i="1"/>
  <c r="K65" i="1"/>
  <c r="K571" i="1"/>
  <c r="K570" i="1"/>
  <c r="K178" i="1"/>
  <c r="K381" i="1"/>
  <c r="K254" i="1"/>
  <c r="K117" i="1"/>
  <c r="K250" i="1"/>
  <c r="K201" i="1"/>
  <c r="K124" i="1"/>
  <c r="K412" i="1"/>
  <c r="K464" i="1"/>
  <c r="K299" i="1"/>
  <c r="K331" i="1"/>
  <c r="K307" i="1"/>
  <c r="K336" i="1"/>
  <c r="K391" i="1"/>
  <c r="K360" i="1"/>
  <c r="K106" i="1"/>
  <c r="K177" i="1"/>
  <c r="K318" i="1"/>
  <c r="K150" i="1"/>
  <c r="K271" i="1"/>
  <c r="K59" i="1"/>
  <c r="K198" i="1"/>
  <c r="K108" i="1"/>
  <c r="K303" i="1"/>
  <c r="K382" i="1"/>
  <c r="K488" i="1"/>
  <c r="K320" i="1"/>
  <c r="K332" i="1"/>
  <c r="K207" i="1"/>
  <c r="K522" i="1"/>
  <c r="K469" i="1"/>
  <c r="K503" i="1"/>
  <c r="K308" i="1"/>
  <c r="K545" i="1"/>
  <c r="K548" i="1"/>
  <c r="K134" i="1"/>
  <c r="K100" i="1"/>
  <c r="K432" i="1"/>
  <c r="K554" i="1"/>
  <c r="K263" i="1"/>
  <c r="K485" i="1"/>
  <c r="K232" i="1"/>
  <c r="K110" i="1"/>
  <c r="K495" i="1"/>
  <c r="K512" i="1"/>
  <c r="K551" i="1"/>
  <c r="K468" i="1"/>
  <c r="K23" i="1"/>
  <c r="K41" i="1"/>
  <c r="K86" i="1"/>
  <c r="K243" i="1"/>
  <c r="K206" i="1"/>
  <c r="K72" i="1"/>
  <c r="K11" i="1"/>
  <c r="K265" i="1"/>
  <c r="K210" i="1"/>
  <c r="K292" i="1"/>
  <c r="K138" i="1"/>
  <c r="K109" i="1"/>
  <c r="K46" i="1"/>
  <c r="K364" i="1"/>
  <c r="K414" i="1"/>
  <c r="K386" i="1"/>
  <c r="K61" i="1"/>
  <c r="K43" i="1"/>
  <c r="K524" i="1"/>
  <c r="K5" i="1"/>
  <c r="K322" i="1"/>
  <c r="K452" i="1"/>
  <c r="K467" i="1"/>
  <c r="K351" i="1"/>
  <c r="K366" i="1"/>
  <c r="K556" i="1"/>
  <c r="K416" i="1"/>
  <c r="K422" i="1"/>
  <c r="K9" i="1"/>
  <c r="K415" i="1"/>
  <c r="K25" i="1"/>
  <c r="K163" i="1"/>
  <c r="K173" i="1"/>
  <c r="K315" i="1"/>
  <c r="K447" i="1"/>
  <c r="K56" i="1"/>
  <c r="K126" i="1"/>
  <c r="K40" i="1"/>
  <c r="K60" i="1"/>
  <c r="K259" i="1"/>
  <c r="K330" i="1"/>
  <c r="K478" i="1"/>
  <c r="K188" i="1"/>
  <c r="K538" i="1"/>
  <c r="K258" i="1"/>
  <c r="K539" i="1"/>
  <c r="K356" i="1"/>
  <c r="K238" i="1"/>
  <c r="K350" i="1"/>
  <c r="K186" i="1"/>
  <c r="K146" i="1"/>
  <c r="K212" i="1"/>
  <c r="K215" i="1"/>
  <c r="K6" i="1"/>
  <c r="K284" i="1"/>
  <c r="K93" i="1"/>
  <c r="K564" i="1"/>
  <c r="K338" i="1"/>
  <c r="K572" i="1"/>
  <c r="K460" i="1"/>
  <c r="K128" i="1"/>
  <c r="K297" i="1"/>
  <c r="K540" i="1"/>
  <c r="K555" i="1"/>
  <c r="K181" i="1"/>
  <c r="K164" i="1"/>
  <c r="K473" i="1"/>
  <c r="K251" i="1"/>
  <c r="K94" i="1"/>
  <c r="K385" i="1"/>
  <c r="K166" i="1"/>
  <c r="K123" i="1"/>
  <c r="K80" i="1"/>
  <c r="K249" i="1"/>
  <c r="K454" i="1"/>
  <c r="K142" i="1"/>
  <c r="K160" i="1"/>
  <c r="K552" i="1"/>
  <c r="K511" i="1"/>
  <c r="K317" i="1"/>
  <c r="K253" i="1"/>
  <c r="K156" i="1"/>
  <c r="K268" i="1"/>
  <c r="K274" i="1"/>
  <c r="K225" i="1"/>
  <c r="K53" i="1"/>
  <c r="K111" i="1"/>
  <c r="K405" i="1"/>
  <c r="K291" i="1"/>
  <c r="K113" i="1"/>
  <c r="K376" i="1"/>
  <c r="K168" i="1"/>
  <c r="K155" i="1"/>
  <c r="K10" i="1"/>
  <c r="K559" i="1"/>
  <c r="K566" i="1"/>
  <c r="K480" i="1"/>
  <c r="K569" i="1"/>
  <c r="K527" i="1"/>
  <c r="K436" i="1"/>
  <c r="K534" i="1"/>
  <c r="K547" i="1"/>
  <c r="K461" i="1"/>
  <c r="K448" i="1"/>
  <c r="K439" i="1"/>
  <c r="K440" i="1"/>
  <c r="K398" i="1"/>
  <c r="K550" i="1"/>
  <c r="K441" i="1"/>
  <c r="K498" i="1"/>
  <c r="K520" i="1"/>
  <c r="K481" i="1"/>
  <c r="K533" i="1"/>
  <c r="K529" i="1"/>
  <c r="K425" i="1"/>
  <c r="K453" i="1"/>
  <c r="K489" i="1"/>
  <c r="K118" i="1"/>
  <c r="K145" i="1"/>
  <c r="K193" i="1"/>
  <c r="K499" i="1"/>
  <c r="K133" i="1"/>
  <c r="K352" i="1"/>
  <c r="K298" i="1"/>
  <c r="K397" i="1"/>
  <c r="K257" i="1"/>
  <c r="K52" i="1"/>
  <c r="K195" i="1"/>
  <c r="K553" i="1"/>
  <c r="K378" i="1"/>
  <c r="K209" i="1"/>
  <c r="K443" i="1"/>
  <c r="K242" i="1"/>
  <c r="K261" i="1"/>
  <c r="K311" i="1"/>
  <c r="K475" i="1"/>
  <c r="K255" i="1"/>
  <c r="K313" i="1"/>
  <c r="K71" i="1"/>
  <c r="K326" i="1"/>
  <c r="K337" i="1"/>
  <c r="K84" i="1"/>
  <c r="K252" i="1"/>
  <c r="K115" i="1"/>
  <c r="K457" i="1"/>
  <c r="K151" i="1"/>
  <c r="K217" i="1"/>
  <c r="K45" i="1"/>
  <c r="K37" i="1"/>
  <c r="K78" i="1"/>
  <c r="K28" i="1"/>
  <c r="K19" i="1"/>
  <c r="K39" i="1"/>
  <c r="K22" i="1"/>
  <c r="K567" i="1"/>
  <c r="K98" i="1"/>
  <c r="K17" i="1"/>
  <c r="K314" i="1"/>
  <c r="K423" i="1"/>
  <c r="K373" i="1"/>
  <c r="K300" i="1"/>
  <c r="K247" i="1"/>
  <c r="K196" i="1"/>
  <c r="K158" i="1"/>
  <c r="K244" i="1"/>
  <c r="K407" i="1"/>
  <c r="K76" i="1"/>
  <c r="K139" i="1"/>
  <c r="K97" i="1"/>
  <c r="K235" i="1"/>
  <c r="K82" i="1"/>
  <c r="K301" i="1"/>
  <c r="K120" i="1"/>
  <c r="K285" i="1"/>
  <c r="K47" i="1"/>
  <c r="K7" i="1"/>
  <c r="K153" i="1"/>
  <c r="K231" i="1"/>
  <c r="K256" i="1"/>
  <c r="K8" i="1"/>
  <c r="K546" i="1"/>
  <c r="K418" i="1"/>
  <c r="K324" i="1"/>
  <c r="K536" i="1"/>
  <c r="K353" i="1"/>
  <c r="K506" i="1"/>
  <c r="K484" i="1"/>
  <c r="K535" i="1"/>
  <c r="K519" i="1"/>
  <c r="K565" i="1"/>
  <c r="K542" i="1"/>
  <c r="K400" i="1"/>
  <c r="K510" i="1"/>
  <c r="K528" i="1"/>
  <c r="K208" i="1"/>
  <c r="K479" i="1"/>
  <c r="K451" i="1"/>
  <c r="K226" i="1"/>
  <c r="K174" i="1"/>
  <c r="B226" i="1" l="1"/>
  <c r="B451" i="1"/>
  <c r="B479" i="1"/>
  <c r="B208" i="1"/>
  <c r="B528" i="1"/>
  <c r="B510" i="1"/>
  <c r="B400" i="1"/>
  <c r="B542" i="1"/>
  <c r="B565" i="1"/>
  <c r="B519" i="1"/>
  <c r="B535" i="1"/>
  <c r="B484" i="1"/>
  <c r="B506" i="1"/>
  <c r="B353" i="1"/>
  <c r="B536" i="1"/>
  <c r="B324" i="1"/>
  <c r="B418" i="1"/>
  <c r="B546" i="1"/>
  <c r="B8" i="1"/>
  <c r="B256" i="1"/>
  <c r="B231" i="1"/>
  <c r="B153" i="1"/>
  <c r="B7" i="1"/>
  <c r="B47" i="1"/>
  <c r="B285" i="1"/>
  <c r="B120" i="1"/>
  <c r="B301" i="1"/>
  <c r="B82" i="1"/>
  <c r="B235" i="1"/>
  <c r="B97" i="1"/>
  <c r="B139" i="1"/>
  <c r="B76" i="1"/>
  <c r="B407" i="1"/>
  <c r="B244" i="1"/>
  <c r="B158" i="1"/>
  <c r="B196" i="1"/>
  <c r="B247" i="1"/>
  <c r="B300" i="1"/>
  <c r="B373" i="1"/>
  <c r="B423" i="1"/>
  <c r="B314" i="1"/>
  <c r="B17" i="1"/>
  <c r="B98" i="1"/>
  <c r="B22" i="1"/>
  <c r="B39" i="1"/>
  <c r="B19" i="1"/>
  <c r="B28" i="1"/>
  <c r="B78" i="1"/>
  <c r="B37" i="1"/>
  <c r="B45" i="1"/>
  <c r="B217" i="1"/>
  <c r="B151" i="1"/>
  <c r="B457" i="1"/>
  <c r="B115" i="1"/>
  <c r="B252" i="1"/>
  <c r="B84" i="1"/>
  <c r="B337" i="1"/>
  <c r="B326" i="1"/>
  <c r="B71" i="1"/>
  <c r="B313" i="1"/>
  <c r="B255" i="1"/>
  <c r="B475" i="1"/>
  <c r="B311" i="1"/>
  <c r="B261" i="1"/>
  <c r="B242" i="1"/>
  <c r="B443" i="1"/>
  <c r="B209" i="1"/>
  <c r="B378" i="1"/>
  <c r="B553" i="1"/>
  <c r="B195" i="1"/>
  <c r="B52" i="1"/>
  <c r="B257" i="1"/>
  <c r="B397" i="1"/>
  <c r="B298" i="1"/>
  <c r="B352" i="1"/>
  <c r="B133" i="1"/>
  <c r="B499" i="1"/>
  <c r="B193" i="1"/>
  <c r="B145" i="1"/>
  <c r="B118" i="1"/>
  <c r="B489" i="1"/>
  <c r="B453" i="1"/>
  <c r="B425" i="1"/>
  <c r="B529" i="1"/>
  <c r="B533" i="1"/>
  <c r="B481" i="1"/>
  <c r="B520" i="1"/>
  <c r="B498" i="1"/>
  <c r="B441" i="1"/>
  <c r="B550" i="1"/>
  <c r="B398" i="1"/>
  <c r="B440" i="1"/>
  <c r="B439" i="1"/>
  <c r="B448" i="1"/>
  <c r="B461" i="1"/>
  <c r="B547" i="1"/>
  <c r="B534" i="1"/>
  <c r="B436" i="1"/>
  <c r="B527" i="1"/>
  <c r="B569" i="1"/>
  <c r="B480" i="1"/>
  <c r="B566" i="1"/>
  <c r="B559" i="1"/>
  <c r="B10" i="1"/>
  <c r="B155" i="1"/>
  <c r="B168" i="1"/>
  <c r="B376" i="1"/>
  <c r="B113" i="1"/>
  <c r="B291" i="1"/>
  <c r="B405" i="1"/>
  <c r="B111" i="1"/>
  <c r="B53" i="1"/>
  <c r="B225" i="1"/>
  <c r="B274" i="1"/>
  <c r="B268" i="1"/>
  <c r="B156" i="1"/>
  <c r="B253" i="1"/>
  <c r="B317" i="1"/>
  <c r="B511" i="1"/>
  <c r="B552" i="1"/>
  <c r="B160" i="1"/>
  <c r="B454" i="1"/>
  <c r="B249" i="1"/>
  <c r="B80" i="1"/>
  <c r="B123" i="1"/>
  <c r="B166" i="1"/>
  <c r="B385" i="1"/>
  <c r="B94" i="1"/>
  <c r="B251" i="1"/>
  <c r="B473" i="1"/>
  <c r="B164" i="1"/>
  <c r="B181" i="1"/>
  <c r="B555" i="1"/>
  <c r="B540" i="1"/>
  <c r="B297" i="1"/>
  <c r="B128" i="1"/>
  <c r="B460" i="1"/>
  <c r="B572" i="1"/>
  <c r="B338" i="1"/>
  <c r="B564" i="1"/>
  <c r="B93" i="1"/>
  <c r="B284" i="1"/>
  <c r="B6" i="1"/>
  <c r="B215" i="1"/>
  <c r="B212" i="1"/>
  <c r="B146" i="1"/>
  <c r="B186" i="1"/>
  <c r="B350" i="1"/>
  <c r="B238" i="1"/>
  <c r="B356" i="1"/>
  <c r="B539" i="1"/>
  <c r="B258" i="1"/>
  <c r="B538" i="1"/>
  <c r="B188" i="1"/>
  <c r="B478" i="1"/>
  <c r="B330" i="1"/>
  <c r="B259" i="1"/>
  <c r="B60" i="1"/>
  <c r="B40" i="1"/>
  <c r="B126" i="1"/>
  <c r="B56" i="1"/>
  <c r="B447" i="1"/>
  <c r="B315" i="1"/>
  <c r="B173" i="1"/>
  <c r="B163" i="1"/>
  <c r="B25" i="1"/>
  <c r="B415" i="1"/>
  <c r="B9" i="1"/>
  <c r="B422" i="1"/>
  <c r="B416" i="1"/>
  <c r="B556" i="1"/>
  <c r="B366" i="1"/>
  <c r="B351" i="1"/>
  <c r="B467" i="1"/>
  <c r="B452" i="1"/>
  <c r="B322" i="1"/>
  <c r="B5" i="1"/>
  <c r="B524" i="1"/>
  <c r="B43" i="1"/>
  <c r="B61" i="1"/>
  <c r="B386" i="1"/>
  <c r="B414" i="1"/>
  <c r="B364" i="1"/>
  <c r="B46" i="1"/>
  <c r="B109" i="1"/>
  <c r="B138" i="1"/>
  <c r="B292" i="1"/>
  <c r="B210" i="1"/>
  <c r="B265" i="1"/>
  <c r="B11" i="1"/>
  <c r="B72" i="1"/>
  <c r="B206" i="1"/>
  <c r="B243" i="1"/>
  <c r="B86" i="1"/>
  <c r="B41" i="1"/>
  <c r="B23" i="1"/>
  <c r="B468" i="1"/>
  <c r="B551" i="1"/>
  <c r="B512" i="1"/>
  <c r="B495" i="1"/>
  <c r="B110" i="1"/>
  <c r="B232" i="1"/>
  <c r="B485" i="1"/>
  <c r="B263" i="1"/>
  <c r="B554" i="1"/>
  <c r="B432" i="1"/>
  <c r="B100" i="1"/>
  <c r="B134" i="1"/>
  <c r="B548" i="1"/>
  <c r="B545" i="1"/>
  <c r="B308" i="1"/>
  <c r="B503" i="1"/>
  <c r="B469" i="1"/>
  <c r="B522" i="1"/>
  <c r="B207" i="1"/>
  <c r="B332" i="1"/>
  <c r="B320" i="1"/>
  <c r="B488" i="1"/>
  <c r="B382" i="1"/>
  <c r="B303" i="1"/>
  <c r="B108" i="1"/>
  <c r="B198" i="1"/>
  <c r="B59" i="1"/>
  <c r="B271" i="1"/>
  <c r="B150" i="1"/>
  <c r="B318" i="1"/>
  <c r="B177" i="1"/>
  <c r="B106" i="1"/>
  <c r="B360" i="1"/>
  <c r="B391" i="1"/>
  <c r="B336" i="1"/>
  <c r="B307" i="1"/>
  <c r="B331" i="1"/>
  <c r="B299" i="1"/>
  <c r="B464" i="1"/>
  <c r="B412" i="1"/>
  <c r="B124" i="1"/>
  <c r="B201" i="1"/>
  <c r="B250" i="1"/>
  <c r="B117" i="1"/>
  <c r="B254" i="1"/>
  <c r="B381" i="1"/>
  <c r="B178" i="1"/>
  <c r="B65" i="1"/>
  <c r="B227" i="1"/>
  <c r="B170" i="1"/>
  <c r="B121" i="1"/>
  <c r="B140" i="1"/>
  <c r="B429" i="1"/>
  <c r="B395" i="1"/>
  <c r="B183" i="1"/>
  <c r="B276" i="1"/>
  <c r="B203" i="1"/>
  <c r="B343" i="1"/>
  <c r="B135" i="1"/>
  <c r="B96" i="1"/>
  <c r="B223" i="1"/>
  <c r="B486" i="1"/>
  <c r="B363" i="1"/>
  <c r="B272" i="1"/>
  <c r="B239" i="1"/>
  <c r="B105" i="1"/>
  <c r="B148" i="1"/>
  <c r="B339" i="1"/>
  <c r="B182" i="1"/>
  <c r="B74" i="1"/>
  <c r="B442" i="1"/>
  <c r="B444" i="1"/>
  <c r="B171" i="1"/>
  <c r="B200" i="1"/>
  <c r="B359" i="1"/>
  <c r="B280" i="1"/>
  <c r="B129" i="1"/>
  <c r="B180" i="1"/>
  <c r="B132" i="1"/>
  <c r="B295" i="1"/>
  <c r="B358" i="1"/>
  <c r="B288" i="1"/>
  <c r="B365" i="1"/>
  <c r="B275" i="1"/>
  <c r="B189" i="1"/>
  <c r="B329" i="1"/>
  <c r="B372" i="1"/>
  <c r="B380" i="1"/>
  <c r="B384" i="1"/>
  <c r="B361" i="1"/>
  <c r="B371" i="1"/>
  <c r="B279" i="1"/>
  <c r="B345" i="1"/>
  <c r="B494" i="1"/>
  <c r="B185" i="1"/>
  <c r="B161" i="1"/>
  <c r="B228" i="1"/>
  <c r="B54" i="1"/>
  <c r="B197" i="1"/>
  <c r="B286" i="1"/>
  <c r="B15" i="1"/>
  <c r="B224" i="1"/>
  <c r="B446" i="1"/>
  <c r="B390" i="1"/>
  <c r="B167" i="1"/>
  <c r="B471" i="1"/>
  <c r="B531" i="1"/>
  <c r="B62" i="1"/>
  <c r="B38" i="1"/>
  <c r="B31" i="1"/>
  <c r="B88" i="1"/>
  <c r="B21" i="1"/>
  <c r="B316" i="1"/>
  <c r="B394" i="1"/>
  <c r="B176" i="1"/>
  <c r="B357" i="1"/>
  <c r="B34" i="1"/>
  <c r="B141" i="1"/>
  <c r="B81" i="1"/>
  <c r="B172" i="1"/>
  <c r="B154" i="1"/>
  <c r="B287" i="1"/>
  <c r="B341" i="1"/>
  <c r="B477" i="1"/>
  <c r="B157" i="1"/>
  <c r="B16" i="1"/>
  <c r="B147" i="1"/>
  <c r="B131" i="1"/>
  <c r="B310" i="1"/>
  <c r="B12" i="1"/>
  <c r="B532" i="1"/>
  <c r="B476" i="1"/>
  <c r="B402" i="1"/>
  <c r="B190" i="1"/>
  <c r="B55" i="1"/>
  <c r="B419" i="1"/>
  <c r="B68" i="1"/>
  <c r="B240" i="1"/>
  <c r="B472" i="1"/>
  <c r="B367" i="1"/>
  <c r="B349" i="1"/>
  <c r="B127" i="1"/>
  <c r="B205" i="1"/>
  <c r="B79" i="1"/>
  <c r="B85" i="1"/>
  <c r="B214" i="1"/>
  <c r="B162" i="1"/>
  <c r="B505" i="1"/>
  <c r="B470" i="1"/>
  <c r="B57" i="1"/>
  <c r="B456" i="1"/>
  <c r="B465" i="1"/>
  <c r="B266" i="1"/>
  <c r="B92" i="1"/>
  <c r="B245" i="1"/>
  <c r="B112" i="1"/>
  <c r="B269" i="1"/>
  <c r="B101" i="1"/>
  <c r="B229" i="1"/>
  <c r="B211" i="1"/>
  <c r="B89" i="1"/>
  <c r="B219" i="1"/>
  <c r="B87" i="1"/>
  <c r="B137" i="1"/>
  <c r="B305" i="1"/>
  <c r="B501" i="1"/>
  <c r="B474" i="1"/>
  <c r="B125" i="1"/>
  <c r="B114" i="1"/>
  <c r="B102" i="1"/>
  <c r="B90" i="1"/>
  <c r="B83" i="1"/>
  <c r="B340" i="1"/>
  <c r="B417" i="1"/>
  <c r="B241" i="1"/>
  <c r="B450" i="1"/>
  <c r="B283" i="1"/>
  <c r="B521" i="1"/>
  <c r="B267" i="1"/>
  <c r="B119" i="1"/>
  <c r="B328" i="1"/>
  <c r="B462" i="1"/>
  <c r="B51" i="1"/>
  <c r="B169" i="1"/>
  <c r="B264" i="1"/>
  <c r="B518" i="1"/>
  <c r="B421" i="1"/>
  <c r="B377" i="1"/>
  <c r="B396" i="1"/>
  <c r="B578" i="1"/>
  <c r="B159" i="1"/>
  <c r="B282" i="1"/>
  <c r="B574" i="1"/>
  <c r="B144" i="1"/>
  <c r="B557" i="1"/>
  <c r="B388" i="1"/>
  <c r="B374" i="1"/>
  <c r="B525" i="1"/>
  <c r="B99" i="1"/>
  <c r="B194" i="1"/>
  <c r="B58" i="1"/>
  <c r="B411" i="1"/>
  <c r="B143" i="1"/>
  <c r="B526" i="1"/>
  <c r="B346" i="1"/>
  <c r="B278" i="1"/>
  <c r="B35" i="1"/>
  <c r="B116" i="1"/>
  <c r="B427" i="1"/>
  <c r="B290" i="1"/>
  <c r="B75" i="1"/>
  <c r="B237" i="1"/>
  <c r="B296" i="1"/>
  <c r="B13" i="1"/>
  <c r="B306" i="1"/>
  <c r="B344" i="1"/>
  <c r="B44" i="1"/>
  <c r="B63" i="1"/>
  <c r="B401" i="1"/>
  <c r="B431" i="1"/>
  <c r="B136" i="1"/>
  <c r="B50" i="1"/>
  <c r="B103" i="1"/>
  <c r="B175" i="1"/>
  <c r="B77" i="1"/>
  <c r="B354" i="1"/>
  <c r="B428" i="1"/>
  <c r="B20" i="1"/>
  <c r="B24" i="1"/>
  <c r="B270" i="1"/>
  <c r="B165" i="1"/>
  <c r="B49" i="1"/>
  <c r="B277" i="1"/>
  <c r="B293" i="1"/>
  <c r="B289" i="1"/>
  <c r="B370" i="1"/>
  <c r="B347" i="1"/>
  <c r="B213" i="1"/>
  <c r="B27" i="1"/>
  <c r="B122" i="1"/>
  <c r="B573" i="1"/>
  <c r="B221" i="1"/>
  <c r="B294" i="1"/>
  <c r="B199" i="1"/>
  <c r="B218" i="1"/>
  <c r="B202" i="1"/>
  <c r="B403" i="1"/>
  <c r="B487" i="1"/>
  <c r="B437" i="1"/>
  <c r="B246" i="1"/>
  <c r="B449" i="1"/>
  <c r="B30" i="1"/>
  <c r="B14" i="1"/>
  <c r="B335" i="1"/>
  <c r="B233" i="1"/>
  <c r="B18" i="1"/>
  <c r="B32" i="1"/>
  <c r="B69" i="1"/>
  <c r="B438" i="1"/>
  <c r="B107" i="1"/>
  <c r="B549" i="1"/>
  <c r="B404" i="1"/>
  <c r="B191" i="1"/>
  <c r="B26" i="1"/>
  <c r="B91" i="1"/>
  <c r="B216" i="1"/>
  <c r="B95" i="1"/>
  <c r="B507" i="1"/>
  <c r="B393" i="1"/>
  <c r="B399" i="1"/>
  <c r="B577" i="1"/>
  <c r="B568" i="1"/>
  <c r="B204" i="1"/>
  <c r="B348" i="1"/>
  <c r="B530" i="1"/>
  <c r="B260" i="1"/>
  <c r="B73" i="1"/>
  <c r="B323" i="1"/>
  <c r="B42" i="1"/>
  <c r="B544" i="1"/>
  <c r="B236" i="1"/>
  <c r="B434" i="1"/>
  <c r="B509" i="1"/>
  <c r="B104" i="1"/>
  <c r="B33" i="1"/>
  <c r="B66" i="1"/>
  <c r="B29" i="1"/>
  <c r="B375" i="1"/>
  <c r="B406" i="1"/>
  <c r="B248" i="1"/>
  <c r="B430" i="1"/>
  <c r="B387" i="1"/>
  <c r="B184" i="1"/>
  <c r="B187" i="1"/>
  <c r="B64" i="1"/>
  <c r="B36" i="1"/>
  <c r="B537" i="1"/>
  <c r="B541" i="1"/>
  <c r="B560" i="1"/>
  <c r="B325" i="1"/>
  <c r="B561" i="1"/>
  <c r="B513" i="1"/>
  <c r="B334" i="1"/>
  <c r="B369" i="1"/>
  <c r="B408" i="1"/>
  <c r="B504" i="1"/>
  <c r="B463" i="1"/>
  <c r="B379" i="1"/>
  <c r="B516" i="1"/>
  <c r="B355" i="1"/>
  <c r="B562" i="1"/>
  <c r="B563" i="1"/>
  <c r="B392" i="1"/>
  <c r="B517" i="1"/>
  <c r="B327" i="1"/>
  <c r="B230" i="1"/>
  <c r="B515" i="1"/>
  <c r="B483" i="1"/>
  <c r="B435" i="1"/>
  <c r="B459" i="1"/>
  <c r="B514" i="1"/>
  <c r="B179" i="1"/>
  <c r="B466" i="1"/>
  <c r="B493" i="1"/>
  <c r="B433" i="1"/>
  <c r="B424" i="1"/>
  <c r="B67" i="1"/>
  <c r="B234" i="1"/>
  <c r="B152" i="1"/>
  <c r="B368" i="1"/>
  <c r="B130" i="1"/>
  <c r="B222" i="1"/>
  <c r="B48" i="1"/>
  <c r="B281" i="1"/>
  <c r="B149" i="1"/>
  <c r="B383" i="1"/>
  <c r="B410" i="1"/>
  <c r="B321" i="1"/>
  <c r="B576" i="1"/>
  <c r="B362" i="1"/>
  <c r="B558" i="1"/>
  <c r="B192" i="1"/>
  <c r="B445" i="1"/>
  <c r="B420" i="1"/>
  <c r="B497" i="1"/>
  <c r="B492" i="1"/>
  <c r="B490" i="1"/>
  <c r="B312" i="1"/>
  <c r="B389" i="1"/>
  <c r="B302" i="1"/>
  <c r="B458" i="1"/>
  <c r="B508" i="1"/>
  <c r="B319" i="1"/>
  <c r="B482" i="1"/>
  <c r="B273" i="1"/>
  <c r="B496" i="1"/>
  <c r="B413" i="1"/>
  <c r="B70" i="1"/>
  <c r="B333" i="1"/>
  <c r="B262" i="1"/>
  <c r="B491" i="1"/>
  <c r="B455" i="1"/>
  <c r="B500" i="1"/>
  <c r="B502" i="1"/>
  <c r="B543" i="1"/>
  <c r="B523" i="1"/>
  <c r="B575" i="1"/>
  <c r="B426" i="1"/>
  <c r="B342" i="1"/>
  <c r="B220" i="1"/>
  <c r="B309" i="1"/>
  <c r="B304" i="1"/>
  <c r="B409" i="1"/>
  <c r="B174" i="1"/>
  <c r="B445" i="6" l="1"/>
  <c r="B569" i="9"/>
  <c r="B570" i="1"/>
  <c r="B570" i="9"/>
  <c r="B446" i="6"/>
  <c r="B571" i="1"/>
  <c r="B441" i="6"/>
  <c r="B564" i="9"/>
  <c r="B567" i="1"/>
  <c r="B454" i="6"/>
  <c r="B579" i="9"/>
  <c r="B579" i="1"/>
</calcChain>
</file>

<file path=xl/sharedStrings.xml><?xml version="1.0" encoding="utf-8"?>
<sst xmlns="http://schemas.openxmlformats.org/spreadsheetml/2006/main" count="11370" uniqueCount="1186">
  <si>
    <t>Capital Goods</t>
  </si>
  <si>
    <t>HS Code (6 Digit)</t>
  </si>
  <si>
    <t>Definition</t>
  </si>
  <si>
    <t>Can be Removed</t>
  </si>
  <si>
    <t>Function</t>
  </si>
  <si>
    <t>Usage</t>
  </si>
  <si>
    <t>FED Category* MHI Basis</t>
  </si>
  <si>
    <t>Rationale - for FED Category</t>
  </si>
  <si>
    <t>Imported by EMS</t>
  </si>
  <si>
    <t>India Imports CY24 (in $ Bn)</t>
  </si>
  <si>
    <t>Global Exports CY 24 (in $Bn)</t>
  </si>
  <si>
    <t>Add on Category</t>
  </si>
  <si>
    <t>Additional Comments on Usage</t>
  </si>
  <si>
    <t>Rationale - for Add on Category</t>
  </si>
  <si>
    <t>HS 2022 Definition</t>
  </si>
  <si>
    <t>FED Category</t>
  </si>
  <si>
    <t>VR</t>
  </si>
  <si>
    <t>Final - VG</t>
  </si>
  <si>
    <t>Machines and mechanical appliances; having individual functions, n.e.c. or included in this chapter</t>
  </si>
  <si>
    <t>No</t>
  </si>
  <si>
    <t>catch-all for self-contained machines that do one primary job but don’t fit any of the more specific headings</t>
  </si>
  <si>
    <t>Common examples include: ultrasonic cleaners, automated electronic component placement machines, trash compactors, humidifiers/dehumidifiers</t>
  </si>
  <si>
    <t>Process Plant Machinery</t>
  </si>
  <si>
    <t>Residual machinery of the chapter</t>
  </si>
  <si>
    <t>Present</t>
  </si>
  <si>
    <t>Keep</t>
  </si>
  <si>
    <t>Electrical static converters</t>
  </si>
  <si>
    <t>Yes - check</t>
  </si>
  <si>
    <t>Convert electrical power types (AC-DC, DC-AC) without moving parts</t>
  </si>
  <si>
    <t>Power electronics for converting and regulating electricity in industrie</t>
  </si>
  <si>
    <t>Heavy Electrical Engineering</t>
  </si>
  <si>
    <t>Direct fit</t>
  </si>
  <si>
    <t>Transformers</t>
  </si>
  <si>
    <t>parts</t>
  </si>
  <si>
    <t>P&amp;A</t>
  </si>
  <si>
    <t>Instruments, appliances and machines; for measuring or checking n.e.c. in chapter 90</t>
  </si>
  <si>
    <t>catch-all subheading for self-contained measurement/checking devices that don’t fit more specific headings</t>
  </si>
  <si>
    <t>across industries</t>
  </si>
  <si>
    <t>Most aligned sector</t>
  </si>
  <si>
    <t>Measurement Instruments</t>
  </si>
  <si>
    <t>Regulating or controlling instruments and apparatus; automatic, other than hydraulic or pneumatic</t>
  </si>
  <si>
    <t>Electronic automatic regulators and controlling instruments not classified elsewhere</t>
  </si>
  <si>
    <t>Used in switchgear &amp; controlgear system</t>
  </si>
  <si>
    <t>keep</t>
  </si>
  <si>
    <t>Machines and apparatus of a kind used solely or principally for the manufacture of semiconductor devices or of electronic integrated circuits</t>
  </si>
  <si>
    <t>These machines are used almost exclusively in the semiconductor and electronics manufacturing industries</t>
  </si>
  <si>
    <t>Electronics Manufacturing Machinery</t>
  </si>
  <si>
    <t>Electrical machines and apparatus; having individual functions, not specified or included elsewhere in this chapter, n.e.c. in heading no. 8543</t>
  </si>
  <si>
    <t>“catch-all” group for advanced or unique electrical/electronic devices</t>
  </si>
  <si>
    <t>standalone instruments used in electronics industry</t>
  </si>
  <si>
    <t>General-purpose industrial/electrical equipment</t>
  </si>
  <si>
    <t>Machinery; for working rubber or plastics or for the manufacture of products from these materials, n.e.c. in this chapter</t>
  </si>
  <si>
    <t>Plastic Machinery</t>
  </si>
  <si>
    <t>Used in manufacturing plastic or its products</t>
  </si>
  <si>
    <t>Weaving machines (looms); for weaving fabrics of a width exceeding 30cm, shuttleless type</t>
  </si>
  <si>
    <t>Textile Machinery</t>
  </si>
  <si>
    <t>Direct match for textile machinery</t>
  </si>
  <si>
    <t>Lifting, handling, loading or unloading machinery; n.e.c. in heading no. 8425, 8426, 8427 or 8428</t>
  </si>
  <si>
    <t>Earthmoving &amp; Mining Machinery</t>
  </si>
  <si>
    <t>Material handling equipments</t>
  </si>
  <si>
    <t>Machinery; for filling, closing, sealing, capsuling or labelling bottles, cans, bags or other containers, machinery for aerating beverages</t>
  </si>
  <si>
    <t>Food Processing Machinery</t>
  </si>
  <si>
    <t>Most aligned sector is to food industry</t>
  </si>
  <si>
    <t>Packaging Machinery</t>
  </si>
  <si>
    <t>Machining centres; for working metal</t>
  </si>
  <si>
    <t>Machine Tools</t>
  </si>
  <si>
    <t>Machines; for making gimped yarn, tulle, lace, embroidery, trimmings, braid or net and machines for tufting</t>
  </si>
  <si>
    <t>Instruments and apparatus; for physical or chemical analysis, for measuring or checking viscosity, porosity, expansion, surface tension or quantities of heat, sound or light, exposure meters</t>
  </si>
  <si>
    <t>Measuring and inspection instruments</t>
  </si>
  <si>
    <t>Used in quality control, process monitoring etc</t>
  </si>
  <si>
    <t>Scientific / Medical Equipment</t>
  </si>
  <si>
    <t>Machinery; for filtering or purifying gases, other than intake air filters, catalytic converters or particulate filters for internal combustion engines</t>
  </si>
  <si>
    <t>includes industrial dust collectors/baghouses, HEPA units, electrostatic precipitators (ESPs), gas scrubbers/cleaners, catalytic gas purifiers, pneumatic line filters, and similar equipment used to remove particulates, aerosols, fumes, or gaseous contaminants from air or process gas streams</t>
  </si>
  <si>
    <t>Electronics, pharma, automotive, food &amp; beverage</t>
  </si>
  <si>
    <t>Part of processes in multiple industry</t>
  </si>
  <si>
    <t>Chromatographs and electrophoresis instruments</t>
  </si>
  <si>
    <t>Pharma, food, chemcials</t>
  </si>
  <si>
    <t>standalone used in line-modules</t>
  </si>
  <si>
    <t>Industrial / lab chemical analysis equipment</t>
  </si>
  <si>
    <t>Cranes; self-propelled derricks and cranes, not on tyres, n.e.c. in heading no. 8426</t>
  </si>
  <si>
    <t>Cranes</t>
  </si>
  <si>
    <t>Casting machines; of a kind used in metallurgy or in metal foundries</t>
  </si>
  <si>
    <t>Metallurgical Machinery</t>
  </si>
  <si>
    <t>Metal casting, core metallurgical machinery</t>
  </si>
  <si>
    <t>Instruments and apparatus; using optical radiations (UV, visible, IR), (other than spectrometers, spectrophotometers and spectrographs)</t>
  </si>
  <si>
    <t>measure or analyze a sample by shining UV/Vis/IR light and detecting how it’s absorbed, transmitted, reflected, scattered, fluoresced, etc.</t>
  </si>
  <si>
    <t>Quality control / lab testing - Food, pharma, chemicals etc</t>
  </si>
  <si>
    <t>Industrial / lab analysis equipment</t>
  </si>
  <si>
    <t>Machinery; injection-moulding machines, for working rubber or plastics or for the manufacture of products from these materials</t>
  </si>
  <si>
    <t>Cranes; self-propelled derricks and cranes, on tyres, n.e.c. in heading no. 8426</t>
  </si>
  <si>
    <t>Machines and apparatus of a kind used solely or principally for the manufacture or repair of masks and reticles, assembling semiconductor devices or electronic integrated circuits, or for lifting, handling, loading or unloading items of heading 8486</t>
  </si>
  <si>
    <t>used to produce integrated circuits and microchips</t>
  </si>
  <si>
    <t>Machinery, plant and laboratory equipment; for treating materials by change of temperature, other than for making hot drinks or cooking or heating food</t>
  </si>
  <si>
    <t>Temperature process equipment</t>
  </si>
  <si>
    <t>Mechanical appliances; for projecting, dispersing or spraying liquids or powders, for other than agricultural or horticultural use, whether or not hand-operated</t>
  </si>
  <si>
    <t>Covers wide range of spraying, coating, dispersing appliances not used in agriculture</t>
  </si>
  <si>
    <t>Used in manufacturing &amp; metarworking, mining, construction</t>
  </si>
  <si>
    <t>Spraying part of process in some industries</t>
  </si>
  <si>
    <t>Instruments and apparatus; gas or smoke analysis apparatus, for physical or chemical analysis</t>
  </si>
  <si>
    <t>Used in process industries, HVAC, automotive industry</t>
  </si>
  <si>
    <t>Pumps; reciprocating positive displacement pumps, n.e.c. in heading no. 8413, for liquids</t>
  </si>
  <si>
    <t>Covers power-driven piston/plunger/diaphragm type pumps that move liquid by a back-and-forth</t>
  </si>
  <si>
    <t>Industrial pumps moving liquids by reciprocating piston/plunger action. Used largely in chemical, oil &amp; gas, and other process industries</t>
  </si>
  <si>
    <t>Pumps</t>
  </si>
  <si>
    <t>Machinery; for packing or wrapping</t>
  </si>
  <si>
    <t>General purpose</t>
  </si>
  <si>
    <t>Metal-rolling mills; hot or combination hot and cold rolling mills</t>
  </si>
  <si>
    <t>Hot rolling - primary metal processing</t>
  </si>
  <si>
    <t>Machinery; for filtering or purifying liquids, n.e.c. in item no. 8421.2</t>
  </si>
  <si>
    <t>industrial liquid filtration/purification systems and skids for oils, coolants, chemicals, solvents, plating baths, and refrigerant recovery/recycling units</t>
  </si>
  <si>
    <t>Pumps; centrifugal, n.e.c. in heading no. 8413, for liquids</t>
  </si>
  <si>
    <t>Covers centrifugal pumps used to move liquids by converting rotational energy (from a motor or engine) into kinetic energy and pressure</t>
  </si>
  <si>
    <t>Centrifugal pumps - commonly used for pumping water, solvents, organics, oils, acids, bases and any ‘thin’ liquids in both industrial, agricultural and domestic applications</t>
  </si>
  <si>
    <t>Only samsung</t>
  </si>
  <si>
    <t>Sewing machines; not household or automatic unit type</t>
  </si>
  <si>
    <t>Industrial sewing (non-household) = direct fit to textile sector.</t>
  </si>
  <si>
    <t>Mechanical shovels, excavators and shovel loaders; with a 360 degree revolving super structure</t>
  </si>
  <si>
    <t>Earthmoving machinery</t>
  </si>
  <si>
    <t>Engines; hydraulic power engines and motors, linear acting (cylinders)</t>
  </si>
  <si>
    <t>Check</t>
  </si>
  <si>
    <t xml:space="preserve">Hydraulic motors and engines use pressurized hydraulic fluid to create linear or rotary motion. They are more commonly used in heavy equipment used in earthmoving and construction. </t>
  </si>
  <si>
    <t>Instruments and apparatus; for measuring or checking pressure</t>
  </si>
  <si>
    <t>Pressure gauges, sensors for process control</t>
  </si>
  <si>
    <t>Metal-rolling mills; cold</t>
  </si>
  <si>
    <t>Cold rolling - Final step metal processing</t>
  </si>
  <si>
    <t>Spectrometers, spectrophotometers and spectrographs; using optical radiations (UV, visible, IR)</t>
  </si>
  <si>
    <t>Electric motors; AC motors, multi-phase, of an output exceeding 750W but not exceeding 75kW</t>
  </si>
  <si>
    <t>Medium power multi-phase AC motors</t>
  </si>
  <si>
    <t>Medium industrial equipment, HVAC systems in commercial buildings</t>
  </si>
  <si>
    <t>Electric Motors &amp; Generators</t>
  </si>
  <si>
    <t>Machinery; extruders, for working rubber or plastics or for the manufacture of products from these materials</t>
  </si>
  <si>
    <t>Furnaces and ovens; non-electric, for the roasting, melting or other heat-treatment of ores, pyrites or of metals, for industrial or laboratory use</t>
  </si>
  <si>
    <t>Directly linked to ore roasting, melting, refining - core metallurgical processes.</t>
  </si>
  <si>
    <t>Machines; for mixing, kneading, crushing, grinding, screening, sifting, homogenising, emulsifying or stirring</t>
  </si>
  <si>
    <t>Catch-all subheading under 8479 for mechanical process equipment that performs one or more of those actions on materials</t>
  </si>
  <si>
    <t>Continuous process plant equipment</t>
  </si>
  <si>
    <t>remove</t>
  </si>
  <si>
    <t>Remove</t>
  </si>
  <si>
    <t>Elevators and conveyors; continuous-action, for goods or materials, n.e.c. in item no. 8428.20, 8428.31, 8428.32 or 8428.33</t>
  </si>
  <si>
    <t>Instruments and apparatus; for measuring or checking the flow or level of liquids</t>
  </si>
  <si>
    <t>Measuring/control instruments in continuous processes</t>
  </si>
  <si>
    <t>Machinery and mechanical appliances; industrial robots, n.e.c. or included</t>
  </si>
  <si>
    <t>No - reclassify</t>
  </si>
  <si>
    <t>Robots perform fabrication, machining, assembly, modern extension of machine tools.</t>
  </si>
  <si>
    <t>Industrial automation</t>
  </si>
  <si>
    <t>Optical instruments and appliances; for measuring or checking, n.e.c. in chapter 90</t>
  </si>
  <si>
    <t>other optical metrology/checking machines (i.e., not semicon-specific). Typical items here include profile projectors / optical comparators, coordinate-measuring machines (CMMs), and other non-contact optical measurement/inspection systems</t>
  </si>
  <si>
    <t>machining &amp; fabriactiona, automotive, electronics</t>
  </si>
  <si>
    <t>Tools, interchangeable; (for machine or hand tools, whether or not power-operated), tools for pressing, stamping or punching</t>
  </si>
  <si>
    <t>Dies, Moulds &amp; Press Tools</t>
  </si>
  <si>
    <t>Stamping dies, press tools, punching tools. Inserted into power presses or punching machines.</t>
  </si>
  <si>
    <t>Consumable</t>
  </si>
  <si>
    <t>These are dies - components and not hand-operated tool</t>
  </si>
  <si>
    <t>Cranes; transporter, gantry and bridge cranes</t>
  </si>
  <si>
    <t>Lifts and skip hoists</t>
  </si>
  <si>
    <t>Lift &amp; Escalators</t>
  </si>
  <si>
    <t>Combine harvester-threshers</t>
  </si>
  <si>
    <t>Covers self-propelled agricultural machines that harvest and thresh grain crops</t>
  </si>
  <si>
    <t>Agriculture machines</t>
  </si>
  <si>
    <t>Harvesting grain crops, combining cutting + threshing in one machine.</t>
  </si>
  <si>
    <t>Agricultural machinery</t>
  </si>
  <si>
    <t>Agricultural Machinery</t>
  </si>
  <si>
    <t>Surveying equipment; articles n.e.c. in heading no. 9015, including hydrographic, oceanographic, hydrological, meteorological or geophysical instruments and appliances (excluding compasses)</t>
  </si>
  <si>
    <t>No - check</t>
  </si>
  <si>
    <t>measure/record environmental or geophysical parameters and often log/transmit data</t>
  </si>
  <si>
    <t>Construction &amp; infra</t>
  </si>
  <si>
    <t>Miscellaneous</t>
  </si>
  <si>
    <t>These instruments are used in navigation (for both land-based and other forms of navigation), surveying (for land measurement, geophysical testing), and geographical studies.</t>
  </si>
  <si>
    <t>Surveying and Navigation Instruments</t>
  </si>
  <si>
    <t>Electrical apparatus; n.e.c. in heading no. 8535, for switching or protecting electrical circuits, for a voltage exceeding 1000 volts</t>
  </si>
  <si>
    <t>Covers all other high-voltage switchgear and protection devices not classified under specific categories like breakers, isolators, or arrester</t>
  </si>
  <si>
    <t>used across</t>
  </si>
  <si>
    <t>Come under switchgear &amp; control gear</t>
  </si>
  <si>
    <t>Lathes; for removing metal, horizontal, numerically controlled</t>
  </si>
  <si>
    <t>Remove and shape metal</t>
  </si>
  <si>
    <t>Textile machinery; winding (including weft-winding) or reeling machines</t>
  </si>
  <si>
    <t>Electric motors; AC motors, single-phase</t>
  </si>
  <si>
    <t>Generally fractional horsepower motors - converting single-phase AC into mechanical or rotational motion</t>
  </si>
  <si>
    <t>Motors for household appliances (fans, small pumps, compressors), HVAC systems</t>
  </si>
  <si>
    <t>Printing machinery; offset, n.e.c. in item no. 8443.1</t>
  </si>
  <si>
    <t>Printing Machinery</t>
  </si>
  <si>
    <t>Direct match for printing machinery</t>
  </si>
  <si>
    <t>Paper &amp; Printing Machinery</t>
  </si>
  <si>
    <t xml:space="preserve">Marine propulsion turbines. </t>
  </si>
  <si>
    <t>Boring or sinking machinery; self-propelled, n.e.c. in heading no. 8430</t>
  </si>
  <si>
    <t>Tools; for working in the hand, with self-contained electric motor; other than saws and drills</t>
  </si>
  <si>
    <t>Why some turbines have check and others don’t?</t>
  </si>
  <si>
    <t>Because of power deciding its usage in industry. Low powered ones can be installed in industry</t>
  </si>
  <si>
    <t>Electric motors; AC motors, multi-phase, of an output exceeding 75kW</t>
  </si>
  <si>
    <t>High-output multi-phase AC motors</t>
  </si>
  <si>
    <t>Includes large motors for heavy machinery, traction motors for electric vehicles - heavy industry, mining, railway</t>
  </si>
  <si>
    <t>Machines and mechanical appliances; for treating metal, including electric wire coil-winders</t>
  </si>
  <si>
    <t>Metal processing / refining</t>
  </si>
  <si>
    <t>process plant</t>
  </si>
  <si>
    <t>Machine-tools; for working any material by removal of material; operated by laser</t>
  </si>
  <si>
    <t>Elevators and conveyors; continuous-action, for goods or materials, belt type, n.e.c. in item no. 8428.20 or 8428.31</t>
  </si>
  <si>
    <t>Engines; hydraulic power engines and motors, other than linear acting (cylinders)</t>
  </si>
  <si>
    <t>Machine-tools; (including presses) for working metal by forging, hammering or die-forging, for bending, folding, straightening, flattening, shearing, punching, notching or nibbling metal, n.e.c. in heading 8462</t>
  </si>
  <si>
    <t>Pumps; rotary positive displacement pumps, n.e.c. in heading no. 8413, for liquids</t>
  </si>
  <si>
    <t>Tools, interchangeable; (for machine or hand tools, whether or not power-operated), for screw-driving or uses n.e.c. in heading no. 8207</t>
  </si>
  <si>
    <t>Miscellaneous machine tools</t>
  </si>
  <si>
    <t>NA</t>
  </si>
  <si>
    <t>Machine Tool</t>
  </si>
  <si>
    <t>Textile machinery; spinning machines</t>
  </si>
  <si>
    <t>Machinery; filtering or purifying machinery, oil or petrol filters for internal combustion engines</t>
  </si>
  <si>
    <t>Yes</t>
  </si>
  <si>
    <t>They remove contaminants (metal wear particles, soot, dirt, varnish, rust, water) from engine lubricating oil or liquid fuel</t>
  </si>
  <si>
    <t>not a standalone machine on factory floor. It is typically a replaceable in-line filter assembly (spin-on canister or cartridge in a housing) fitted on the engine or in the engine’s oil/fuel circuit.</t>
  </si>
  <si>
    <t>Tools, hand; circular saw blades (including slitting or slotting saw blades), with working part of materials (other than steel)</t>
  </si>
  <si>
    <t>These are cutting tools - although not used for metal but other material</t>
  </si>
  <si>
    <t>Hand Tools</t>
  </si>
  <si>
    <t>P&amp;A?</t>
  </si>
  <si>
    <t>Apparatus based on the use of x-rays, including radiography or radiotherapy apparatus; for other than medical, surgical, dental or veterinary uses</t>
  </si>
  <si>
    <t>covers equipment whose principal function relies on X-rays (radiography/inspection/measurement/analysis) other than for medical, surgical, dental or veterinary purposes.</t>
  </si>
  <si>
    <t>Part of Industrial / lab radiation system in process of material inspection</t>
  </si>
  <si>
    <t>Machinery; for moulding or forming, for working rubber or plastics or for the manufacture of products from these materials, n.e.c. in this chapter</t>
  </si>
  <si>
    <t>Furnaces and ovens; including incinerators, non-electric, for industrial or laboratory use, n.e.c. in heading no. 8417</t>
  </si>
  <si>
    <t>generate and apply heat using fuel (gas, oil, etc.) to fire, melt, burn, or thermally treat materials in industrial or laboratory processes</t>
  </si>
  <si>
    <t>General-purpose industrial furnaces and incinerators used in chemical, oil &amp; gas, pharma, and labs. Stronger fit with Process Plant than Metallurgy.</t>
  </si>
  <si>
    <t>Machine-tools; gear cutting, gear grinding or gear finishing machines, working by removing metal, sintered metal carbides or cermets</t>
  </si>
  <si>
    <t>Graders and levellers</t>
  </si>
  <si>
    <t>Grade and level earth rather than used in constructing a building</t>
  </si>
  <si>
    <t>Instruments and apparatus; for measuring or checking voltage, current, resistance or power, without a recording device (excluding multimeters)</t>
  </si>
  <si>
    <t>Measuring instruments</t>
  </si>
  <si>
    <t>Usually in lab</t>
  </si>
  <si>
    <t>Play a role in calibration and monitoring of electrical power generation/distribution systems - so heavy electrical engineering</t>
  </si>
  <si>
    <t>Fork-lift and other works trucks; fitted with lifting or handling equipment, self-propelled by electric motor</t>
  </si>
  <si>
    <t>Instruments and apparatus; for measuring or checking variables of liquids or gases (excluding pressure or the flow and level of liquids and those of heading no. 9014, 9015, 9028 and 9032)</t>
  </si>
  <si>
    <t>their principal function is measuring/checking a liquid/gas variable.</t>
  </si>
  <si>
    <t>General process equipment</t>
  </si>
  <si>
    <t>Printing, copying, and facsimile machines; single-function printing, copying or facsimile machines, not capable of connecting to an automatic data processing machine or to a network</t>
  </si>
  <si>
    <t>Welding machines and apparatus; n.e.c. in heading no. 8515, whether or not capable of cutting</t>
  </si>
  <si>
    <t>Welding - fabrication</t>
  </si>
  <si>
    <t>Machinery; for wringing, dressing, finishing, coating or impregnating textile yarns, fabrics or made up textile articles; for applying paste to base fabric used in manufacture of floor coverings</t>
  </si>
  <si>
    <t>Machines used in textile industry</t>
  </si>
  <si>
    <t>Instruments and apparatus; n.e.c. in heading no. 9030, without a recording device</t>
  </si>
  <si>
    <t>covers a wide range of electrical and electronic testing instruments used to measure, monitor, or analyze electrical parameters. Covers producst such as sugnal analyzers, digital multimeters, multifunction testers</t>
  </si>
  <si>
    <t>Electrical test &amp; maintenance, Production QA &amp; incoming inspection</t>
  </si>
  <si>
    <t>Machinery; for agricultural, horticultural or forestry use and n.e.c. in heading no. 8436</t>
  </si>
  <si>
    <t>Agriculture machines not captured elsewhere</t>
  </si>
  <si>
    <t>Residual category of agriculture tools. Most aligned sector</t>
  </si>
  <si>
    <t>Instruments, apparatus and models; designed for demonstrational purposes (in education or exhibitions), unsuitable for other uses</t>
  </si>
  <si>
    <t>demonstration, teaching, or display models — non-functional replicas</t>
  </si>
  <si>
    <t>Only samsung &amp; foxconn</t>
  </si>
  <si>
    <t>Printing machinery; used for printing by means of plates, cylinders and other printing components of heading 84.42, n.e.c. in item no. 8443.1</t>
  </si>
  <si>
    <t>Machinery; blow moulding machines, for working rubber or plastics or for the manufacture of products from these materials</t>
  </si>
  <si>
    <t>Machinery; used in the industrial preparation or manufacture of food or drink, n.e.c. in heading no. 8438</t>
  </si>
  <si>
    <t>Direct match for food industry</t>
  </si>
  <si>
    <t>Metal-rolling mills; tube mills</t>
  </si>
  <si>
    <t>Rolling mills - direct fit</t>
  </si>
  <si>
    <t>Machinery; for making paper or paperboard</t>
  </si>
  <si>
    <t>Equipment whose principal function is to make paper/paperboard from pulp</t>
  </si>
  <si>
    <t>Pulp making can be considered part of the process plant equipment cluster because papermaking is a continuous industrial process similar to chemical or food processing plants.</t>
  </si>
  <si>
    <t>Paper Machinery</t>
  </si>
  <si>
    <t>Machines; for cleaning, sorting or grading seed, grain or dried leguminous vegetables</t>
  </si>
  <si>
    <t>Post-harvest produce handling directly in the food chain.</t>
  </si>
  <si>
    <t>Machinery; for liquefying air or gas, not used for domestic purposes</t>
  </si>
  <si>
    <t>Equipment that cools and compresses gases until they condense into liquid form, using cryogenic or refrigeration cycles</t>
  </si>
  <si>
    <t>Used in industrial gas production, petrochemical, energy, and cryogenics sectors</t>
  </si>
  <si>
    <t>Machinery; n.e.c. in heading no. 8441, for making up paper pulp, paper or paperboard</t>
  </si>
  <si>
    <t>catch-all within heading 8441 for converting/finishing equipment that turns paper/paperboard into usable web/sheets/board or prepped intermediate</t>
  </si>
  <si>
    <t>paper converting &amp; packaging value chain—especially corrugated board/box production</t>
  </si>
  <si>
    <t>Still part of the paper products manufacturing industry</t>
  </si>
  <si>
    <t>Magnets; electro-magnets, holding devices and parts n.e.c. in heading no. 8505</t>
  </si>
  <si>
    <t>Electro-magnets used for lifting or holding heavy metallic materials</t>
  </si>
  <si>
    <t>Material handling and lifting - used in steel &amp; metal fabrication, automotive manufacturing</t>
  </si>
  <si>
    <t>Most aligned sector. Electromagnets and electromagnetic appliances</t>
  </si>
  <si>
    <t>Welding machines and apparatus; for resistance welding of metal, fully or partly automatic, whether or not capable of cutting</t>
  </si>
  <si>
    <t>Dryers; for products n.e.c. in heading no. 8419, not used for domestic purposes</t>
  </si>
  <si>
    <t>drying materials by heat (change of temperature), not covered by the more specific dryer lines (e.g., for agricultural products, wood/pulp/paper, textiles, bottles/containers) and not domestic appliances</t>
  </si>
  <si>
    <t>Machine-tools; bending, folding, straightening or flattening machines (including press brakes), for working metal, numerically controlled n.e.c. in item 84.62.2</t>
  </si>
  <si>
    <t>Instruments and apparatus; for measuring or checking semiconductor wafers or devices (including integrated circuits)</t>
  </si>
  <si>
    <t>electrical or electronic testing instruments used to evaluate electrical parameters of semiconductor wafers or chips</t>
  </si>
  <si>
    <t>Semiconductor manufacturing</t>
  </si>
  <si>
    <t>Instruments and apparatus; for physical or chemical analysis, for measuring or checking viscosity, porosity, expansion, surface tension or quantities of heat, sound or light, mass spectrometers</t>
  </si>
  <si>
    <t>Instruments that ionize samples and separate ions by mass-to-charge (m/z) to identify/quantify compounds, isotopes, and fragments</t>
  </si>
  <si>
    <t>Pharma, chemical, semiconductor etc</t>
  </si>
  <si>
    <t>Machinery; for handling earth, minerals or ores, self-propelled, n.e.c. in heading no. 8430</t>
  </si>
  <si>
    <t>Machines; for crushing or grinding earth, stone, ores or other mineral substances</t>
  </si>
  <si>
    <t>Crusher &amp; grinder used in mining / quarrying</t>
  </si>
  <si>
    <t>Machines; cutting, of all kinds, for making up paper pulp, paper or paperboard</t>
  </si>
  <si>
    <t>Industrial machines used in the paper production industry (pre-printing)</t>
  </si>
  <si>
    <t>Machinery; for use in the milling industry or for the working of cereals or dried leguminous vegetables, other than farm-type machinery</t>
  </si>
  <si>
    <t>Fork-lift and other works trucks; fitted with lifting or handling equipment, not self-propelled</t>
  </si>
  <si>
    <t>Pumps and liquid elevators; n.e.c. in heading no. 8413</t>
  </si>
  <si>
    <t>Liquid pumps not classified elsewhere</t>
  </si>
  <si>
    <t>Machine-tools; hot forming machines, hot hammers, for working metal</t>
  </si>
  <si>
    <t>Machine-tools; for working wood, cork, bone, hard rubber, hard plastics or similar hard materials; n.e.c. in heading no. 8465</t>
  </si>
  <si>
    <t>Centrifuges; n.e.c. in heading no. 8421, including centrifugal dryers (but not clothes-dryers)</t>
  </si>
  <si>
    <t>Tools; for working in the hand, (other than chain saws), hydraulic or with self-contained non-electric motor, (not pneumatic)</t>
  </si>
  <si>
    <t>Machines; for making rope or cable</t>
  </si>
  <si>
    <t>Rope &amp; cable - extension of fible processing</t>
  </si>
  <si>
    <t>Machines; for manufacturing or hot working glass or glassware, not for making optical fibres and preforms thereof</t>
  </si>
  <si>
    <t>forming, blowing, pressing, bending/shaping, and other hot-working operations on molten or heat-softened glass</t>
  </si>
  <si>
    <t>Machines used in assembling glass or tube involve high temperature and used in muliple sectors. Therefore closest sector - process plant</t>
  </si>
  <si>
    <t>Electrical apparatus; for protecting electrical circuits, n.e.c. in heading no. 8536, for a voltage not exceeding 1000 volts</t>
  </si>
  <si>
    <t>low-voltage protection devices</t>
  </si>
  <si>
    <t>Machines; for making cartons, boxes, cases, tubes, drums or similar containers (other than by moulding), of paper pulp, paper or paperboard</t>
  </si>
  <si>
    <t>standalone industrial machines</t>
  </si>
  <si>
    <t>Falls under industrial packaging &amp; paper process machinery</t>
  </si>
  <si>
    <t>Electrical apparatus; photosensitive semiconductor devices n.e.c. in heading no. 8541</t>
  </si>
  <si>
    <t>semiconductor diodes used for controlling electrical current in one direction — excluding LEDs</t>
  </si>
  <si>
    <t>form part of circuit boards or modules</t>
  </si>
  <si>
    <t>Part of semiconductor/electronic device ecosystem</t>
  </si>
  <si>
    <t>Machinery; industrial, for bakery and for the manufacture of macaroni, spaghetti or similar products</t>
  </si>
  <si>
    <t>Machines and appliances; for testing the hardness, strength, compressibility, elasticity or other mechanical properties of materials other than metals</t>
  </si>
  <si>
    <t>quality-control / R&amp;D test in textiles, paper manufacturing, rubber &amp; plastic etc industries</t>
  </si>
  <si>
    <t>Part of industrial testing of materials process</t>
  </si>
  <si>
    <t>Front-end shovel loaders</t>
  </si>
  <si>
    <t>Machine-tools; for working metal, sintered metal carbides or cermets, without removing material, n.e.c. in heading no. 8463</t>
  </si>
  <si>
    <t>Microscopes, compound optical; (other than stereoscopic and microscopes for photomicrography, cinephotomicrography or microprojection)</t>
  </si>
  <si>
    <t>microscopes magnify small objects using optical lenses</t>
  </si>
  <si>
    <t>Commonly used in biological research, medical laboratories, materials science, electronics inspection for sample analysis, quality control, and precision examination</t>
  </si>
  <si>
    <t>Harvesting machinery; n.e.c. in heading no. 8433</t>
  </si>
  <si>
    <t>machines that harvest agricultural produce but are not: lawn/field mowers, haymaking machinery, balers, combine harvester-threshers, separate threshers,</t>
  </si>
  <si>
    <t>Agriculture industry</t>
  </si>
  <si>
    <t>Part of mechanised crop harvesting</t>
  </si>
  <si>
    <t>Test benches</t>
  </si>
  <si>
    <t>measure, check, and characterize the performance of other machines or components</t>
  </si>
  <si>
    <t>Residual category of measuring device  - used in multiple industries</t>
  </si>
  <si>
    <t>Machine-tools; cold metal working presses, mechanical presses</t>
  </si>
  <si>
    <t>Mechanical appliances; agricultural or horticultural, n.e.c. in heading 8424</t>
  </si>
  <si>
    <t>Agricultural machines</t>
  </si>
  <si>
    <t>Welding machines and apparatus; for arc (including plasma arc) welding of metals, other than fully or partly automatic, whether or not capable of cutting</t>
  </si>
  <si>
    <t>Machine-tools; for working stone, ceramics, concrete, asbestos-cement or like mineral materials or for cold working glass, (other than sawing, grinding or polishing machines)</t>
  </si>
  <si>
    <t>Machinery; industrial, for the manufacture of confectionery, cocoa or chocolate</t>
  </si>
  <si>
    <t>Electric motors; AC motors, multi-phase, of an output not exceeding 750W</t>
  </si>
  <si>
    <t>Multi-phase but small motor</t>
  </si>
  <si>
    <t>Applications include small pumps, conveyors, or machine tools.</t>
  </si>
  <si>
    <t>Textile machinery; for extruding, drawing, texturing or cutting man-made textile materials</t>
  </si>
  <si>
    <t>Parts and accessories?</t>
  </si>
  <si>
    <t>Furnaces and ovens; electric, for industrial or laboratory use, resistance heated; other than hot isostatic presses, for the manufacture of semiconductor devices on semiconductor wafers</t>
  </si>
  <si>
    <t>electric furnaces or ovens used in: Heat treatment, Annealing, Sintering, Melting or diffusion processes</t>
  </si>
  <si>
    <t>Used in semiconductor processing and material science labs</t>
  </si>
  <si>
    <t>Used to manufacture semiconductors</t>
  </si>
  <si>
    <t>Machine-tools; grinding machines (excluding flat-surface), other than numerically controlled</t>
  </si>
  <si>
    <t>Tools, interchangeable; (for machine or hand tools, whether or not power-operated), tools for drilling (other than rock)</t>
  </si>
  <si>
    <t>Drilling other than rock - so not in earthmoving</t>
  </si>
  <si>
    <t>Knitting machines; circular, with cylinder diameter exceeding 165mm</t>
  </si>
  <si>
    <t>Machine-tools; cylindrical grinding machines (excluding flat-surface and centreless), numerically controlled</t>
  </si>
  <si>
    <t>Navigational instruments and appliances; for navigation other than aeronautical or space navigation (excluding direction finding compasses)</t>
  </si>
  <si>
    <t>Covers navigation and positioning devices not specified elsewhere. Typical items include ships’ logs, depth-sounders/echo sounders, sextants/octants, inclinometers/clinometers, bearing or azimuth circles, peloruses, and various electrical navigation indicators/displays</t>
  </si>
  <si>
    <t>Widely applied in aviation, marine, defense, surveying, and transport sectors for precise guidance, route tracking, and automated navigation control</t>
  </si>
  <si>
    <t>Only pegatron</t>
  </si>
  <si>
    <t>Machines; for sorting, screening, separating or washing earth, stone, ores or other mineral substances</t>
  </si>
  <si>
    <t>Mining equipment</t>
  </si>
  <si>
    <t>All EMS imports it</t>
  </si>
  <si>
    <t>Machine-tools; slitting lines and cut-to-length lines, for working metal</t>
  </si>
  <si>
    <t>Elevators and conveyors; pneumatic</t>
  </si>
  <si>
    <t>Only Samsung</t>
  </si>
  <si>
    <t>Machinery; industrial, for the preparation of fruits, nuts or vegetables</t>
  </si>
  <si>
    <t>Machinery and mechanical appliances; presses for the manufacture of particle or fibre building board of wood or other ligneous materials and other machinery for treating wood or cork</t>
  </si>
  <si>
    <t>Most aligned sector. Works on natural fibres / wood</t>
  </si>
  <si>
    <t>Instruments and apparatus; for measuring or checking voltage, current, resistance or power, with a recording device (excluding multimeters)</t>
  </si>
  <si>
    <t>Machine-tools; cold metal working presses, hydraulic presses</t>
  </si>
  <si>
    <t>Sewing machines; (not household type), automatic units</t>
  </si>
  <si>
    <t>Resistors; electric heating, other than those of heading no. 8545</t>
  </si>
  <si>
    <t>Used for generating controlled heat electrically.</t>
  </si>
  <si>
    <t>Present in domestic as well as industrial appliances</t>
  </si>
  <si>
    <t>Coal or rock cutters and tunnelling machinery; self-propelled</t>
  </si>
  <si>
    <t>Harrows; (excluding disc), scarifiers, cultivators, weeders and hoes</t>
  </si>
  <si>
    <t>Soil digging / turning</t>
  </si>
  <si>
    <t>Parts</t>
  </si>
  <si>
    <t>Microscopes (excluding optical microscopes); diffraction apparatus</t>
  </si>
  <si>
    <t>Electron microscopes are core analytical instruments used across industries including semiconductor manufacturing for - defect, failure and patter analysis</t>
  </si>
  <si>
    <t>Electrical transformers; liquid dielectric, having a power handling capacity exceeding 10,000kVA</t>
  </si>
  <si>
    <t>Handles very high electrical load</t>
  </si>
  <si>
    <t>Core component of power generation and transmission infrastructure</t>
  </si>
  <si>
    <t>Knitting machines; flat, stitch-bonding machines</t>
  </si>
  <si>
    <t>Machine-tools; forging and die-forging machines (including presses), closed die forging machines, for working metal</t>
  </si>
  <si>
    <t>Tools, interchangeable; rock drilling or earth boring tools, with working part (other than of cermets), whether or not power operated, including parts</t>
  </si>
  <si>
    <t>Used for drilling soil</t>
  </si>
  <si>
    <t>Tools; for working in the hand, with self-contained electric motor; drills of all kinds</t>
  </si>
  <si>
    <t>Thermometers and pyrometers; (other than liquid filled, for direct reading), not combined with other instruments</t>
  </si>
  <si>
    <t>includes digital thermometers, infrared (IR) pyrometers, resistance/thermistor thermometers, bimetal thermometers, etc., provided they are not liquid-filled</t>
  </si>
  <si>
    <t>HVAC, Food, pharma, process manufacturing</t>
  </si>
  <si>
    <t>Tools, interchangeable; (for machine or hand tools, whether or not power-operated), for milling</t>
  </si>
  <si>
    <t>Removing material by rotary cutting on milling machines</t>
  </si>
  <si>
    <t>Only TATA and Foxconn</t>
  </si>
  <si>
    <t>Regulating or controlling instruments and apparatus; automatic type, thermostats</t>
  </si>
  <si>
    <t>Regulate temperature</t>
  </si>
  <si>
    <t>HVAC equipment manufacturing</t>
  </si>
  <si>
    <t>Machines; for washing, bleaching or dyeing</t>
  </si>
  <si>
    <t>Electrical machines and apparatus; for electroplating, electrolysis or electrophoresis</t>
  </si>
  <si>
    <t>electrochemical processing machines, used to deposit, remove, or modify metal or material layers.</t>
  </si>
  <si>
    <t>Used in semiconductor fabrication</t>
  </si>
  <si>
    <t>Industrial electrochemical processing (coatings, plating, refining).</t>
  </si>
  <si>
    <t>Signalling, safety or traffic control equipment; for roads, inland waterways, parking facilities, port installations or airfields (excluding those of heading no. 8608)</t>
  </si>
  <si>
    <t>traffic-management and signalling system for road, airport</t>
  </si>
  <si>
    <t>Transport Infrastructure</t>
  </si>
  <si>
    <t>Other</t>
  </si>
  <si>
    <t>Machinery; for manufacture or finishing felt or non-wovens in the piece or in shapes, including machinery for making felt hats, blocks for making hats</t>
  </si>
  <si>
    <t>Oscilloscopes and oscillographs</t>
  </si>
  <si>
    <t>electronic measuring instruments that display and analyze voltage or signal waveforms</t>
  </si>
  <si>
    <t>Used across electronics manufacturing and semiconductor testing</t>
  </si>
  <si>
    <t>In electronics manufacturing, these devices help in the validation and testing of circuit boards, electronic components, and systems during the production phase.</t>
  </si>
  <si>
    <t>Seeders, planters and transplanters; other than no-till direct seeders, planters and transplanters</t>
  </si>
  <si>
    <t>covers conventional seed drills, precision row planters, vegetable transplanters, nursery transplanters, etc., that are not no-till/direct-seeding designs</t>
  </si>
  <si>
    <t>Used in agriculture/horticulture</t>
  </si>
  <si>
    <t>Amplifier sets; electric sound</t>
  </si>
  <si>
    <t>Consumer Electronics</t>
  </si>
  <si>
    <t>Only foxconn</t>
  </si>
  <si>
    <t>Lathes; for removing metal, numerically controlled, other than horizontal lathes</t>
  </si>
  <si>
    <t>Printing machinery; flexographic</t>
  </si>
  <si>
    <t>Electric motors; universal AC/DC of an output exceeding 37.5W</t>
  </si>
  <si>
    <t>Converts electrical power (AC/DC) into rotary motion to power tools, machines, or appliances.</t>
  </si>
  <si>
    <t>Common in household devices, small machinery, and sometimes automated systems.</t>
  </si>
  <si>
    <t>Direct fit. Motors present in power tools, small industrial machines, and even kitchen mixers</t>
  </si>
  <si>
    <t>Heating equipment; for the heat treatment of materials by induction or dielectric loss, industrial or laboratory, other than furnaces and ovens</t>
  </si>
  <si>
    <t>heat materials by electromagnetic induction or dielectric loss, rather than by flame, resistance, or convection</t>
  </si>
  <si>
    <t>Used widely in metalworking, automotive, plastics, electronics, and material-processing industries for heat treatment, bonding, melting, and forming operations.</t>
  </si>
  <si>
    <t>Cranes; tower cranes</t>
  </si>
  <si>
    <t>Welding machines and apparatus; for arc (including plasma arc) welding of metals, fully or partly automatic, whether or not capable of cutting</t>
  </si>
  <si>
    <t>Machine-tools; for working any material by removal of material, operated by electro-discharge processes</t>
  </si>
  <si>
    <t>Electrical machines and apparatus; signal generators</t>
  </si>
  <si>
    <t>Electronic equipment that produces electrical signals over a range of frequencies</t>
  </si>
  <si>
    <t>Testing, designing, and troubleshooting electronic devices and circuits</t>
  </si>
  <si>
    <t>Most aligned sector - high energy electrical appartuses</t>
  </si>
  <si>
    <t>Balers; straw or fodder balers, including pick-up balers</t>
  </si>
  <si>
    <t>Covers agricultural machines that compress and bind cut forage (hay, straw, silage) into bales (round or square)</t>
  </si>
  <si>
    <t>Agricultural machinery for handling harvested material</t>
  </si>
  <si>
    <t>Machine-tools; cold metal working presses, servo-presses</t>
  </si>
  <si>
    <t>Machine-tools; for deburring, grinding, polishing or otherwise finishing metal, sintered metal carbides or cermets by means of grinding stones, abrasives or polishing products, n.e.c. in heading no. 8460</t>
  </si>
  <si>
    <t>Machines; for reeling, unreeling, folding, cutting or pinking textile fabrics</t>
  </si>
  <si>
    <t>Electric motors and generators; DC, of an output exceeding 750W but not exceeding 75kW</t>
  </si>
  <si>
    <t>DC motors: Convert DC electrical power into rotational (mechanical) power, and DC generators:  Convert mechanical power into DC electrical power.</t>
  </si>
  <si>
    <t>Installed in equipment needing precise and powerful DC drive—like robotics, material handling, and vehicle propulsion.</t>
  </si>
  <si>
    <t>Reservoirs, tanks, vats and similar containers; for any material (excluding compressed or liquefied gas), of iron or steel, capacity exceeding 300l, whether or not lined or heat insulated</t>
  </si>
  <si>
    <t>Large industrial tanks and reservoirs - usually used for storage, reaction, or as processing vessels In large-scale industries such as chemical, fertilizer, pharma etc.</t>
  </si>
  <si>
    <t>Fork-lift and other works trucks; fitted with lifting or handling equipment, self-propelled by other than electric motor</t>
  </si>
  <si>
    <t>Machinery; for making or repairing footwear, other than sewing machines</t>
  </si>
  <si>
    <t xml:space="preserve">Most aligned sector. </t>
  </si>
  <si>
    <t>Tools; for working in the hand, pneumatic, rotary type (including combined rotary-percussion)</t>
  </si>
  <si>
    <t>Machine-tools; for working metal, sintered metal carbides or cermets, without removing material, draw-benches for bars, tubes, profiles, wire or the like</t>
  </si>
  <si>
    <t>Tools; knives and cutting blades, for machines or mechanical appliances, n.e.c. in heading no. 8208</t>
  </si>
  <si>
    <t>General purpose blades used in mechanical appliances</t>
  </si>
  <si>
    <t>Machine-tools; grinding machines (excluding flat-surface, cylindrical and centreless), numerically controlled</t>
  </si>
  <si>
    <t>Furnaces and ovens; electric, for industrial or laboratory use, other than those functioning by induction, dielectric loss or resistance heated, other than electron beam, plasma or vacuum arc furnaces</t>
  </si>
  <si>
    <t>Catch-all for specialized electric furnaces not elsewhere specified</t>
  </si>
  <si>
    <t>Semiconductor manufacturing equipment</t>
  </si>
  <si>
    <t>Machine-tools; sawing or cutting-off machines, working by removing metal, sintered metal carbides or cermets</t>
  </si>
  <si>
    <t>Machine-tools; punching, notching or nibbling machines (excluding presses) for flat products including combined punching and shearing machines, other than numerically controlled, for working metal</t>
  </si>
  <si>
    <t>Engines; pneumatic power engines and motors, other than linear acting (cylinders)</t>
  </si>
  <si>
    <t>Mostly components/sub-assemblies (motors or rotary actuators) that are built into tools or machines</t>
  </si>
  <si>
    <t>Pneumatic cylinders/motors are used for automation, tools, conveyors, and robotic systems across many factory and process industries.</t>
  </si>
  <si>
    <t>Lathes; for removing metal, other than horizontal or numerically controlled lathes</t>
  </si>
  <si>
    <t>Electrical transformers; liquid dielectric, having a power handling capacity exceeding 650kVA but not exceeding 10,000kVA</t>
  </si>
  <si>
    <t>Steps up or steps down AC voltage in medium- to high-voltage power systems. Ensure voltage stability</t>
  </si>
  <si>
    <t>used across for voltage regulation</t>
  </si>
  <si>
    <t>Engines; pneumatic power engines and motors, linear acting (cylinders)</t>
  </si>
  <si>
    <t>convert compressed air into straight-line force and motion (extend/retract rods, actuate mechanisms)</t>
  </si>
  <si>
    <t>Machine component used in Factory automation &amp; machinery: actuating clamps, slides, pick-and-place grippers, stoppers on conveyors, packaging and assembly lines</t>
  </si>
  <si>
    <t>Electric generators; AC generators, (alternators), other than photovoltaic generators, of an output exceeding 750kVA</t>
  </si>
  <si>
    <t>same as above but at a higher capacity</t>
  </si>
  <si>
    <t>Power generations plants</t>
  </si>
  <si>
    <t>Machine-tools; for milling by removing metal, (not knee-type), numerically controlled</t>
  </si>
  <si>
    <t>Not present in 2022 definition</t>
  </si>
  <si>
    <t>Present in 2022 definition</t>
  </si>
  <si>
    <t>Textile machinery; involved in textile fibre or textile yarn preparation and n.e.c. in heading no. 8445</t>
  </si>
  <si>
    <t>Machines; calendering or other rolling machines, for other than metal or glass</t>
  </si>
  <si>
    <t xml:space="preserve">Calendering and rolling machines are usually used in textile industry to smooth out material </t>
  </si>
  <si>
    <t>Other than textile, also used in plastics industry</t>
  </si>
  <si>
    <t>Tools, hand; other hand tools (including glaziers diamonds), excluding household tools, drilling, threading or tapping tools, hammers and sledge hammers, planes, chisels, gouges and similar cutting tools for working wood, and screwdrivers</t>
  </si>
  <si>
    <t>Optical devices, appliances and instruments; n.e.c. in heading no. 9013</t>
  </si>
  <si>
    <t>encompasses as braod set of advanced optical instruments such as borescopes, flexible fiber-optic inspection tools</t>
  </si>
  <si>
    <t>Used across industries for visual inspection of inaccessible internal spaces and other QC processes</t>
  </si>
  <si>
    <t>Imaging &amp; Optical Equipments</t>
  </si>
  <si>
    <t>Boring and sinking machinery; not self-propelled</t>
  </si>
  <si>
    <t>Balances; of a sensitivity of 5cg or better, with or without weights</t>
  </si>
  <si>
    <t> code covers high-precision weighing instruments that can detect mass differences as small as 0.05 grams (50 mg) or finer, used for analytical, scientific, and industrial purposes</t>
  </si>
  <si>
    <t>Industrial QC and calibration</t>
  </si>
  <si>
    <t>Measuring tools</t>
  </si>
  <si>
    <t>Instruments and apparatus; for measuring or detecting ionising radiations</t>
  </si>
  <si>
    <t>Typical goods: Geiger–Müller/Geiger counters, scintillation counters, X-/gamma dosimeters, radiation survey meters, spectrometers/monitors.</t>
  </si>
  <si>
    <t>Radiation safety survey, contamination monitoring etc</t>
  </si>
  <si>
    <t>Metal machines; multi-station transfer machines, for working metal</t>
  </si>
  <si>
    <t>Tools; for working in the hand, chain saws with self-contained non-electric motor</t>
  </si>
  <si>
    <t>Mechanical appliances; steam or sand blasting machines and similar jet projecting machines</t>
  </si>
  <si>
    <t xml:space="preserve">covers high-energy jet equipment that projects a medium (steam, water, abrasive, dry ice, etc.) at a surface for cleaning, stripping, peening, or preparation. </t>
  </si>
  <si>
    <t>Typical products here include industrial pressure washers/hydro-blasters, sand/shot/grit blasting cabinets or pots, and other jet-projecting cleaners</t>
  </si>
  <si>
    <t>Used in various industrial and professional applications for cleaning, surface treatment, and coating</t>
  </si>
  <si>
    <t>Machine-tools; for honing or lapping</t>
  </si>
  <si>
    <t>Machine-tools; grinding or polishing machines, for working stone, ceramics, concrete, asbestos-cement or like mineral materials or for cold working glass</t>
  </si>
  <si>
    <t>Weighing machines; weights of all kinds, parts of weighing machinery</t>
  </si>
  <si>
    <t>covers (a) reference weights used to calibrate/verify scales and (b) parts of weighing machines (e.g., load cells, indicator modules, platforms, frames, housings</t>
  </si>
  <si>
    <t>are components of scales</t>
  </si>
  <si>
    <t>Industrial weighing integrated into process/production lines</t>
  </si>
  <si>
    <t>Machine-tools; shearing machines (excluding presses) for flat products, other than numerically controlled, other than combined punching and shearing machines, for working metal</t>
  </si>
  <si>
    <t>Sterilizers; for medical, surgical or laboratory use, not used for domestic purposes</t>
  </si>
  <si>
    <t>used to kill microorganisms on instruments, media, glassware, etc.</t>
  </si>
  <si>
    <t>Usually in hospital, pharma etc</t>
  </si>
  <si>
    <t>Can be put in process as used in pharma industry</t>
  </si>
  <si>
    <t>Printing machinery used for printing by means of plates, cylinders and other printing components of heading 8442; parts and accessories</t>
  </si>
  <si>
    <t>Machinery; for moulding or retreading pneumatic tyres or for moulding or otherwise forming inner tubes</t>
  </si>
  <si>
    <t>The machines (tyre moulding presses, retreaders, inner tube moulders) perform rubber forming and vulcanization processes, which fall under the plastics machinery sector</t>
  </si>
  <si>
    <t>Calculating machines; electronic calculators capable of operation without an external source of electric power and pocket-size data recording, reproducing and displaying machines with calculating functions</t>
  </si>
  <si>
    <t>Office Equipment</t>
  </si>
  <si>
    <t xml:space="preserve">No other relevant categorisation. Largely used in office, retail shop. </t>
  </si>
  <si>
    <t>Press-fasteners, snap-fasteners, press-studs and parts therefor</t>
  </si>
  <si>
    <t>mechanical fasteners (press studs, snap buttons, etc.) used for joining fabric, leather, or other materials by pressure rather than by screws or sewing</t>
  </si>
  <si>
    <t>Used in textile and leather goods but not standalone instruments</t>
  </si>
  <si>
    <t>Mathematical equipment; micrometers, callipers and gauges</t>
  </si>
  <si>
    <t>measure external/internal dimensions, depth, thickness, pitch, or runout—typically via a precision screw (micrometers), sliding scale (vernier/digital calipers), or fixed “go/no-go” limits (plug/ring/snap gauges)</t>
  </si>
  <si>
    <t>Used in precision industries</t>
  </si>
  <si>
    <t>Machinery and mechanical appliances; for public works, building or the like</t>
  </si>
  <si>
    <t>Construction/public works equipment aligns with earthmoving.</t>
  </si>
  <si>
    <t>Machinery; for finishing paper or paperboard</t>
  </si>
  <si>
    <t>Transformers; n.e.c. in item no. 8504.2, having a power handling capacity exceeding 16kVA but not exceeding 500kVA</t>
  </si>
  <si>
    <t>Dry-type or other transformers not using liquid (oil).</t>
  </si>
  <si>
    <t>Voltage regulation and distribution in commercial and industrial sites</t>
  </si>
  <si>
    <t>Pulley tackle and hoists; powered by an electric motor (excluding skip hoists or hoists of a kind used for raising vehicles)</t>
  </si>
  <si>
    <t>Lifting, hoisting tasks in factories, warehouses, construction, and mining</t>
  </si>
  <si>
    <t>Printing machinery; gravure</t>
  </si>
  <si>
    <t>Transformers; n.e.c. in item no. 8504.2, having a power handling capacity exceeding 500kVA</t>
  </si>
  <si>
    <t>Large dry-type or other non-liquid transformers with power rating above 500 kVA</t>
  </si>
  <si>
    <t>Major power grid substations and industrial power systems</t>
  </si>
  <si>
    <t>Distilling or rectifying plant; not used for domestic purposes</t>
  </si>
  <si>
    <t>equipment that separates liquid mixtures by vaporization/condensation (distillation) or by repeated condensation/revaporization to increase purity (rectification)</t>
  </si>
  <si>
    <t>Hydrometers and similar floating instruments, barometers, hygrometers, psychrometers, thermometers, pyrometers; recording or not, any combination of these instruments (excluding thermometers and barometers not combined with other instruments)</t>
  </si>
  <si>
    <t>instruments that measure liquid density, atmospheric pressure, or humidity (sometimes combined in one unit)</t>
  </si>
  <si>
    <t>Used across industries</t>
  </si>
  <si>
    <t>Spray guns and similar appliances</t>
  </si>
  <si>
    <t>appliances for projecting or dispersing liquids or powders</t>
  </si>
  <si>
    <t>Painting &amp; surface finishing, Industrial cleaning &amp; maintenance, packaging/adhesives</t>
  </si>
  <si>
    <t>Spray guns usually used in industries</t>
  </si>
  <si>
    <t>Machinery; for making pulp of fibrous cellulosic material</t>
  </si>
  <si>
    <t>Aluminium; casks, drums, cans, boxes and the like for any material (not compressed or liquefied gas), 300l capacity or less, whether or not lined or heat-insulated, no mechanical or thermal equipment</t>
  </si>
  <si>
    <t>Food &amp; beverage: larger aluminium cans, ingredient drums. Chemical industry, pharma, general industrial &amp; logistics</t>
  </si>
  <si>
    <t>Identical to 73 chapter containers except material is almunium. Same rationale as above for industry sector.</t>
  </si>
  <si>
    <t>Mechanical appliances; agricultural or horticultural sprayers; other than portable sprayers</t>
  </si>
  <si>
    <t>project, disperse, or spray liquids or powders (like water, chemicals, paint, or cleaning agents) for industrial or general use, not for agricultural/horticultural purpose</t>
  </si>
  <si>
    <t>Tools, interchangeable; (for machine or hand tools, whether or not power-operated), tools for tapping or threading</t>
  </si>
  <si>
    <t>Thread cutting tools. Precision machine tool</t>
  </si>
  <si>
    <t>Machine-tools; bending, folding, straightening or flattening machines (including presses), for working metal, numerically controlled bending, folding, straightening or fattening machines (not press brakes, panel benders or roll forming machines)</t>
  </si>
  <si>
    <t>Machine tools; for working any material by removal of material; operated by other processes n.e.c. in heading 8456</t>
  </si>
  <si>
    <t>Electrical apparatus; lightning arresters, voltage limiters and surge suppressors (for a voltage exceeding 1000 volts)</t>
  </si>
  <si>
    <t>Protects electrical networks and equipment from lightning strikes or transient overvoltage spikes</t>
  </si>
  <si>
    <t>Monopods, bipods, tripods and similar articles</t>
  </si>
  <si>
    <t>support/positioning stands that hold equipment steady and at a set orientation/height</t>
  </si>
  <si>
    <t>Not standalone in themselves</t>
  </si>
  <si>
    <t>Machine-tools; cold metal working presses, other than hydraulic, mechanical or servo-presses</t>
  </si>
  <si>
    <t>Lathes; for removing metal, horizontal, other than numerically controlled</t>
  </si>
  <si>
    <t>Only Foxconn</t>
  </si>
  <si>
    <t>Book-binding machinery; including book-sewing machines</t>
  </si>
  <si>
    <t>This step is situated within priniting and publishing of a book</t>
  </si>
  <si>
    <t>Scissors; tailors' shears, similar shears and blades therefore</t>
  </si>
  <si>
    <t>Cutting and shaping fabric in textile industry</t>
  </si>
  <si>
    <t>Hand operated and most often employed in textile industry</t>
  </si>
  <si>
    <t>Regulating or controlling instruments and apparatus; automatic, manostats</t>
  </si>
  <si>
    <t>Regulate pressure</t>
  </si>
  <si>
    <t>Machines; for manufacturing or hot working glass or glassware, for making optical fibres and preforms thereof</t>
  </si>
  <si>
    <t>Dish washing machines; of other than household type</t>
  </si>
  <si>
    <t>Industrial dishwashers - used in food service / processing</t>
  </si>
  <si>
    <t>Tools, interchangeable; (for machine or hand tools, whether or not power-operated), for turning</t>
  </si>
  <si>
    <t>Turning tools are used in lathes, which are central to precision machining</t>
  </si>
  <si>
    <t>Instruments and apparatus; n.e.c. in heading no. 9030, with a recording device</t>
  </si>
  <si>
    <t>power quality analyzers, energy/power data loggers, chart recorders for electrical parameters, and general electrical measuring sets with built-in recording.</t>
  </si>
  <si>
    <t>Commonly used in electronics manufacturing, power systems, research labs, and industrial automation for testing, calibration, and quality control of electrical equipment</t>
  </si>
  <si>
    <t>Furnaces; furnace burners, for pulverized solid fuel or gas, including combination burners</t>
  </si>
  <si>
    <t>Standalone - but part of thermal units</t>
  </si>
  <si>
    <t>General purpose - combustion components for industrial heating systems in process industries.</t>
  </si>
  <si>
    <t>Bulldozers and angledozers; self-propelled, other than track laying</t>
  </si>
  <si>
    <t>Electric generating sets; (excluding those with spark-ignition or compression-ignition internal combustion piston engines), other than wind powered</t>
  </si>
  <si>
    <t>other types of non-engine-based generating sets, excluding wind. Such as hydroelectric, gas etc</t>
  </si>
  <si>
    <t>power plants</t>
  </si>
  <si>
    <t>Machine-tools; bending, folding, straightening or flattening machines (including press brakes) for flat products, for working metal, numerically controlled</t>
  </si>
  <si>
    <t>Textile machinery; n.e.c. in heading no. 8445, for preparing textile fibres</t>
  </si>
  <si>
    <t>Machinery; for preparing animal feeding stuffs</t>
  </si>
  <si>
    <t>Similar to feed grinders</t>
  </si>
  <si>
    <t>Medical, surgical instruments and appliances; electro-cardiographs</t>
  </si>
  <si>
    <t>Medical equipments</t>
  </si>
  <si>
    <t>Machinery; vacuum moulding machines and other thermoforming machines, for working rubber or plastics or for the manufacture of products from these materials</t>
  </si>
  <si>
    <t>Multimeters; for measuring or checking voltage, current, resistance or power (other than those for measuring or checking semiconductor wafer or devices), without a recording device</t>
  </si>
  <si>
    <t>measure or check voltage, current, resistance, or power - do not have the capability to record or log measurement data</t>
  </si>
  <si>
    <t>Can be used in electronics manufacturing / other industrial processes</t>
  </si>
  <si>
    <t>Machines; for moulding articles, in paper pulp, paper or paperboard</t>
  </si>
  <si>
    <t>Weighing machines; constant weight scales and scales for discharging a predetermined weight of material into a bag or container, including hopper scales</t>
  </si>
  <si>
    <t>automatically maintain a constant load or discharge a fixed weight of material</t>
  </si>
  <si>
    <t>used across various industries</t>
  </si>
  <si>
    <t>Meters; speed indicators and tachometers; stroboscopes</t>
  </si>
  <si>
    <t>measure rotational or linear speed (e.g., rpm of a shaft, vehicle speed).</t>
  </si>
  <si>
    <t>Used on factory floor to measure rpm check on spindles, rollers, mixers etc</t>
  </si>
  <si>
    <t>Pumps; for liquids, fitted or designed to be fitted with a measuring device, other than pumps for dispensing fuel or lubricants</t>
  </si>
  <si>
    <t>typically metering/dosing/transfer pumps purchased as capital equipment for process control in chemical, oil, food &amp; beverage industries</t>
  </si>
  <si>
    <t>Used in fuel handling/dispensing - process industry role</t>
  </si>
  <si>
    <t>Heaters; electric, instantaneous or storage water and immersion heaters</t>
  </si>
  <si>
    <t>immersion heaters in process tanks, CIP systems, baths (e.g., plating, cleaning, chemical prep) where water needs controlled electric heating</t>
  </si>
  <si>
    <t>Most aligned sector. Often part of process in multiple industries</t>
  </si>
  <si>
    <t>Machine-tools; sawing machines, for working stone, ceramics, concrete, asbestos-cement or like mineral materials or for cold working glass</t>
  </si>
  <si>
    <t>Brazing or soldering machines and apparatus; other than soldering irons and guns, whether or not capable of cutting</t>
  </si>
  <si>
    <t>Fabrication equipment (metal joining)</t>
  </si>
  <si>
    <t>Machines and appliances; for testing the hardness, strength, compressibility, elasticity or other mechanical properties of metals</t>
  </si>
  <si>
    <t>Most aligned sector. Testing metal - part of refining / processing metal.</t>
  </si>
  <si>
    <t>Signalling, safety or traffic control equipment; for railways or tramways (excluding those of heading no. 8608)</t>
  </si>
  <si>
    <t>Used in Railway and metro operations</t>
  </si>
  <si>
    <t>Machine-tools; machines for working wire, without removing material</t>
  </si>
  <si>
    <t>Pegatron &amp; Foxconn</t>
  </si>
  <si>
    <t>Breathing appliances and gas masks; excluding protective masks having neither mechanical parts nor replaceable filters and excluding apparatus of item no. 9019.20</t>
  </si>
  <si>
    <t>Typical goods: SCBA (self-contained breathing apparatus), airline respirators, powered air-purifying respirators (PAPR), gas masks with replaceable canisters/filters</t>
  </si>
  <si>
    <t>Used in industries where protective masks are required</t>
  </si>
  <si>
    <t>Samsung &amp; Foxconn</t>
  </si>
  <si>
    <t>Regulating or controlling instruments and apparatus; automatic, hydraulic or pneumatic</t>
  </si>
  <si>
    <t>Typical products include:Pressure regulators and controllers, Hydraulic flow control valves etc</t>
  </si>
  <si>
    <t>Used extensively in process industries such as oil &amp; gas, chemical, power, and manufacturing, where they maintain stable pressure, flow, and motion through air or hydraulic control systems</t>
  </si>
  <si>
    <t>Used in fluid/pneumatic control systems, fitting control instrumentation for automation or continuous processes</t>
  </si>
  <si>
    <t>Surveying equipment; photogrammetrical surveying instruments and appliances</t>
  </si>
  <si>
    <t>Surveying equipment designed for mapping and spatial analysis</t>
  </si>
  <si>
    <t>Used in Civil engineering &amp; construction, infra projects etc</t>
  </si>
  <si>
    <t>Electric generators; photovoltaic DC generators, of an output exceeding 50W</t>
  </si>
  <si>
    <t>convert sunlight directly into DC (direct current) electricity using semiconductor cells</t>
  </si>
  <si>
    <t>Used in larger solar power systems, solar water pumps, telecom towers.</t>
  </si>
  <si>
    <t>Generators; AC generators, (alternators), other than photovoltaic generators, of an output not exceeding 75kVA</t>
  </si>
  <si>
    <t>Provide alternating current electricity in industrial, commercial, and residential backup power systems</t>
  </si>
  <si>
    <t>Used commonly in small to medium power generation (backup generators, small grid-tied power generation)</t>
  </si>
  <si>
    <t>Heat pumps; other than air conditioning machines of heading no. 8415</t>
  </si>
  <si>
    <t>machines that move heat from a source to a sink using a refrigeration cycle (typically vapor-compression) to provide heating, cooling, or both.</t>
  </si>
  <si>
    <t>Used in HVAC, industrial process of heating or cooling across industries</t>
  </si>
  <si>
    <t>Medical, surgical instruments and appliances; scintigraphic apparatus</t>
  </si>
  <si>
    <t xml:space="preserve">parts </t>
  </si>
  <si>
    <t>Tools, hand; band saw blades</t>
  </si>
  <si>
    <t>Precision contour cutting; ripping resaw; meat/fish portioning</t>
  </si>
  <si>
    <t>Wood shops &amp; sawmills, metal fabrication, food processing (meat/fish), plastics shops</t>
  </si>
  <si>
    <t>Machines; for mixing or kneading mineral substances, excluding concrete mixers and machines for mixing mineral substances with bitumen</t>
  </si>
  <si>
    <t>Used in road construction</t>
  </si>
  <si>
    <t>Haymaking machinery</t>
  </si>
  <si>
    <t>Used in agriculture/farm sector</t>
  </si>
  <si>
    <t>Turning, drying, conditioning hay for animal feed. As machinery for forage preparation (and not human food) - it can be placed in process plant (and not food processing)</t>
  </si>
  <si>
    <t>Machinery; for preparing or making up tobacco, n.e.c. in this chapter</t>
  </si>
  <si>
    <t>Most aligned sector. Handles raw material in continuous prodcution lines</t>
  </si>
  <si>
    <t>Machinery, apparatus and equipment (excluding machines of heading no. 8456 to 8465) for preparing or making printing components</t>
  </si>
  <si>
    <t>Specialized machines used in the printing industry to prepare printing forms (like offset plates, gravure cylinders, lithographic stones)</t>
  </si>
  <si>
    <t>Machines; for cleaning, sorting or grading eggs, fruit or other agricultural produce</t>
  </si>
  <si>
    <t>Step directly in the food supply chain.</t>
  </si>
  <si>
    <t>check EMS except foxconn</t>
  </si>
  <si>
    <t>Electrical apparatus; automatic circuit breakers, for a voltage of 72.5kV or more</t>
  </si>
  <si>
    <t>Automatically disconnect (break) electrical circuits during overloads, short circuits, or faults — preventing equipment damage and fire</t>
  </si>
  <si>
    <t>Machines; for making bags, sacks or envelopes of paper pulp, paper or paperboard</t>
  </si>
  <si>
    <t>Cranes; portal or pedestal jib cranes</t>
  </si>
  <si>
    <t>Tools; for working in the hand, with self-contained electric motor; saws</t>
  </si>
  <si>
    <t>Machine-tools; bending, folding, straightening or flattening machines (including presses), for working metal, numerically controlled press brakes</t>
  </si>
  <si>
    <t>Tools, hand; saw blades n.e.c. in heading no. 8202</t>
  </si>
  <si>
    <t>Electrical apparatus; isolating and make-and-break switches, for a voltage exceeding 1000 volts</t>
  </si>
  <si>
    <t>physically separate electrical circuits to ensure safe maintenance or inspection</t>
  </si>
  <si>
    <t>Machine-tools; for milling by removing metal, not knee-type, other than numerically controlled</t>
  </si>
  <si>
    <t>Machine-tools; punching, notching or nibbling machines (excluding presses) for flat products including combined punching and shearing machines, numerically controlled, for working metal</t>
  </si>
  <si>
    <t>Cranes; mobile lifting frames on tyres and straddle carriers</t>
  </si>
  <si>
    <t>Mechanical shovels, excavators and shovel loaders; n.e.c. in item no. 8429.50</t>
  </si>
  <si>
    <t>Machine-tools; for drilling by removing metal, other than numerically controlled</t>
  </si>
  <si>
    <t>Machine-tools; sharpening (tool or cutter grinding) machines, numerically controlled</t>
  </si>
  <si>
    <t>Tools, interchangeable; (for machine or hand tools, whether or not power-operated), dies for drawing or extruding metal</t>
  </si>
  <si>
    <t xml:space="preserve">Metal shaping by extrusion or drawing into wires, rods, pipes. </t>
  </si>
  <si>
    <t>Seeders, planters and transplanters; no-till direct seeders, planters and transplanters</t>
  </si>
  <si>
    <t>Designed to place seed (and often fertilizer) directly into untilled soil/residue in a single pass</t>
  </si>
  <si>
    <t>Dairy machinery</t>
  </si>
  <si>
    <t>Magnets; electro-magnetic couplings, clutches and brakes</t>
  </si>
  <si>
    <t>Electro-magnetic couplings: Devices that transfer torque between shafts using magnetic force, Clutches: Engage or disengage power transmission in machines via magnetic force, Brakes: Stop or slow roatation using electromagnetic force</t>
  </si>
  <si>
    <t>Control motion in industrial machinery, automotive systems, HVAC units, robotics, and conveyors</t>
  </si>
  <si>
    <t>Optical instruments and appliances; for inspecting semiconductor wafers or devices or for inspecting photomasks or reticles used in manufacturing semiconductor devices, n.e.c. in chapter 90</t>
  </si>
  <si>
    <t>inspection tools used in semiconductor manufacturing to measure physical or electrical properties of wafers and devices</t>
  </si>
  <si>
    <t>Machines; unit construction machines (single station), for working metal</t>
  </si>
  <si>
    <t>Ironing machines and presses (including fusing presses)</t>
  </si>
  <si>
    <t>Machine-tools; flat-surface grinding machines, numerically controlled</t>
  </si>
  <si>
    <t>Winches; capstans; not powered by an electric motor</t>
  </si>
  <si>
    <t>Winches and capstans are mechanical devices used to pull, lift, or position heavy loads. They’re common in industries like marine, construction, transport, and manufacturing.</t>
  </si>
  <si>
    <t>Scrapers; self-propelled</t>
  </si>
  <si>
    <t>Scrapers are a type of earthmoving machinery designed to cut, collect, transport, and spread soil over medium distances</t>
  </si>
  <si>
    <t>Electrical apparatus; photosensitive semiconductor devices, semiconductor-based transducers</t>
  </si>
  <si>
    <t>maps to MEMS- and IC-based sensors/actuators that convert a non-optical physical quantity into an electrical signal (or vice-versa). Typical products include: Pressure sensor, motion sensor, vibration and shock sensor</t>
  </si>
  <si>
    <t>Integrated into PCBs</t>
  </si>
  <si>
    <t>Machinery; for the extraction or preparation of animal or fixed vegetable or microbial fats or oils</t>
  </si>
  <si>
    <t>Oil extraction - chemical process industry.</t>
  </si>
  <si>
    <t>Cranes; overhead travelling cranes on fixed support</t>
  </si>
  <si>
    <t>Mechanical appliances; agricultural or horticultural sprayers; portable sprayers</t>
  </si>
  <si>
    <t>appliances that project or disperse liquids/powders like pesticides, herbicides, or foliar nutrients</t>
  </si>
  <si>
    <t>Machine-tools; grinding machines (excluding flat-surface), centreless, numerically controlled</t>
  </si>
  <si>
    <t>Bulldozers and angledozers; self-propelled, track laying</t>
  </si>
  <si>
    <t>Furnaces and ovens; electric, for industrial or laboratory use, functioning by induction or dielectric loss</t>
  </si>
  <si>
    <t>Most aligned sector. These furnaces are primarily used to refine metals</t>
  </si>
  <si>
    <t>In semiconductors, they are used upstream in polycrystalline silicon production (melting &amp; purification).</t>
  </si>
  <si>
    <t>Surveying equipment; theodolites and tachymeters (tacheometers)</t>
  </si>
  <si>
    <t>Precision surveying instruments used to measure: Angles + distances (via optical/EDM) — tachymeters / tacheometers</t>
  </si>
  <si>
    <t>Machine-tools; for working wood, cork, bone, hard rubber, hard plastics or similar hard materials; sawing machines</t>
  </si>
  <si>
    <t>Meters and counters; revolution counters, production counters, taximeters, mileometers, pedometers and the like</t>
  </si>
  <si>
    <t>Counting or metering total events/output</t>
  </si>
  <si>
    <t>production counters for piece counts, cycle counts, length counts on conveyors, presses, winders, textile machines.</t>
  </si>
  <si>
    <t>Samsung, Pegatron, Foxconn</t>
  </si>
  <si>
    <t>Measuring or checking instruments, appliances and machines, not specified or included elsewhere in this Chapter; profile
projectors. - Machines; for balancing mechanical parts</t>
  </si>
  <si>
    <t>measure unbalance in rotating components (e.g., rotors, fans, turbines, brake discs) and guide/carry out correction (add/remove mass)</t>
  </si>
  <si>
    <t>Used in manufacturing, machining, tool-and-die, and electronics industries for dimensional inspection and quality assurance of components</t>
  </si>
  <si>
    <t>Tools, hand; hand-operated spanners and wrenches (including torque meter wrenches but not including tap wrenches), non-adjustable</t>
  </si>
  <si>
    <t>Not for cutting, but for assembly/disassembly/maintenance of machinery, best aligned under machine tools (support equipment)</t>
  </si>
  <si>
    <t>Tools; for working in the hand, parts of chain saws, with self-contained non-electric motor</t>
  </si>
  <si>
    <t>HS code encompasses all parts and components of chain saws</t>
  </si>
  <si>
    <t xml:space="preserve">Used in repair </t>
  </si>
  <si>
    <t>Aluminium; reservoirs, tanks, vats and similar containers, for material (not compressed or liquefied gas), of a capacity over 300l, whether or not lined, not fitted with mechanical/thermal equipment</t>
  </si>
  <si>
    <t>Standalone stationary containers installed on site</t>
  </si>
  <si>
    <t>Machinery; industrial, for the preparation of meat or poultry</t>
  </si>
  <si>
    <t>Industrial robots</t>
  </si>
  <si>
    <t>Machine-tools; for working wood, cork, bone, hard rubber, hard plastics or similar hard materials; grinding, sanding or polishing machines</t>
  </si>
  <si>
    <t>Machines incorporating a calculating device; n.e.c. in heading no. 8470</t>
  </si>
  <si>
    <t>Aluminium; collapsible tubular containers, for any material, (not compressed or liquefied gas), 300l capacity or less, whether or not lined, not fitted with mechanical/thermal equipment</t>
  </si>
  <si>
    <t>squeezable aluminium tubes used to package and dispense</t>
  </si>
  <si>
    <t>Knitting machines; circular, with cylinder diameter not exceeding 165mm</t>
  </si>
  <si>
    <t>Medical, surgical instruments and appliances; ultra-violet or infra-red ray apparatus</t>
  </si>
  <si>
    <t>covers medical or therapeutic devices that use ultraviolet (UV) or infrared (IR) radiation for diagnosis, treatment, or physiotherapy</t>
  </si>
  <si>
    <t>Mostly used in hospital and clinics</t>
  </si>
  <si>
    <t>Tools, hand; interchangeable spanner sockets, with or without handles</t>
  </si>
  <si>
    <t>Assembly/maintenance tools, align with mechanical/fastening side of machine tools</t>
  </si>
  <si>
    <t>Apparatus based on the use of x-rays; including radiography or radiotherapy apparatus, for dental uses, excluding computed tomography apparatus</t>
  </si>
  <si>
    <t>Meters; gas, supply or production meters, including calibrating meters thereof</t>
  </si>
  <si>
    <t>Standalone instreument installed in piping</t>
  </si>
  <si>
    <t>These meters are part of industrial process control systems, crucial for managing material flows in manufacturing or production processes</t>
  </si>
  <si>
    <t>Electric motors and generators; DC, of an output exceeding 75kW but not exceeding 375kW</t>
  </si>
  <si>
    <t>Larger DC motors and generators - used in heavier industrial applications</t>
  </si>
  <si>
    <t>Heavy manufacturing, transport, mining, power generation</t>
  </si>
  <si>
    <t>Converters; of a type used in metallurgy or in metal foundries</t>
  </si>
  <si>
    <t>Used in foundries</t>
  </si>
  <si>
    <t>Sound recording or reproducing apparatus; n.e.c. in heading no 8519</t>
  </si>
  <si>
    <t>Tools; for working in the hand, pneumatic, other than rotary type</t>
  </si>
  <si>
    <t>Tools, hand; pliers (including cutting pliers), pincers, tweezers and similar tools</t>
  </si>
  <si>
    <t>Machinery and apparatus; gas operated machinery and apparatus n.e.c. in item no. 8468.10, for soldering, brazing or welding, whether or not capable of cutting</t>
  </si>
  <si>
    <t>Soldering / Welding while doesn't cut/shape but they join metal and are part of metal fabrication workshops</t>
  </si>
  <si>
    <t>Tools, hand; n.e.c. in heading 8205, including anvils, portable forges, hand or pedal-operated grinding wheels with frameworks, and sets of articles of two or more of the subheadings in heading 8205</t>
  </si>
  <si>
    <t>Moulding boxes; for metal foundry</t>
  </si>
  <si>
    <t>Used in foundries for casting processes</t>
  </si>
  <si>
    <t>Ovens; non-electric, bakery ovens, including biscuit ovens</t>
  </si>
  <si>
    <t>Direct match for food industry ovens (bakery).</t>
  </si>
  <si>
    <t>Time switches; with clock, watch movement or synchronous motor</t>
  </si>
  <si>
    <t>Time switches that can switch electrical circuits on/off based on a clock or timer mechanism, including those with synchronous motors</t>
  </si>
  <si>
    <t>Most aligned sector: Time switches are used for controlling devices that operate on a timed schedule, like lighting systems, HVAC, and other machinery.</t>
  </si>
  <si>
    <r>
      <t xml:space="preserve">Turbines; </t>
    </r>
    <r>
      <rPr>
        <b/>
        <sz val="10.5"/>
        <color theme="1"/>
        <rFont val="Aptos Display"/>
        <family val="2"/>
        <scheme val="major"/>
      </rPr>
      <t>steam and other vapour turbines</t>
    </r>
    <r>
      <rPr>
        <sz val="10.5"/>
        <color theme="1"/>
        <rFont val="Aptos Display"/>
        <family val="2"/>
        <scheme val="major"/>
      </rPr>
      <t xml:space="preserve">, (for other than marine propulsion), of an </t>
    </r>
    <r>
      <rPr>
        <b/>
        <sz val="10.5"/>
        <color theme="1"/>
        <rFont val="Aptos Display"/>
        <family val="2"/>
        <scheme val="major"/>
      </rPr>
      <t>output not exceeding 40MW</t>
    </r>
  </si>
  <si>
    <t>Smaller steam or vapour turbines - function same as above</t>
  </si>
  <si>
    <t>Small and medium-sized power plants. Also can be employed in paper and pulp industry, sugar mills, textiles</t>
  </si>
  <si>
    <t>Turbines</t>
  </si>
  <si>
    <t>Apparatus based on the use of alpha, beta, gamma or other ionising radiations, including radiography or radiotherapy apparatus; for medical, surgical, dental or veterinary uses</t>
  </si>
  <si>
    <t>Safes; armoured or reinforced, strong-boxes, doors and safe deposit lockers for strong-rooms, cash or deed boxes and the like, of base metal</t>
  </si>
  <si>
    <t>These are most often used in offices, banks and other retail industries</t>
  </si>
  <si>
    <t>Harvesting machinery; for roots or tubers</t>
  </si>
  <si>
    <t>purpose-built harvesters for crops like potatoes, cassava, sugar beet, carrots, onions, etc.</t>
  </si>
  <si>
    <t>Machine-tools; for milling by removing metal, knee-type, other than numerically controlled</t>
  </si>
  <si>
    <t>Electric generators; AC generators, (alternators), other than photovoltaic generators, of an output exceeding 75kVA but not exceeding 375kVA</t>
  </si>
  <si>
    <t>Converts mechanical rotation (from diesel engine, gas turbine, or shaft) into electric power between 75–375 kVA</t>
  </si>
  <si>
    <t>Used as back-up generators across industry such as Commercial buildings, Hospital</t>
  </si>
  <si>
    <t>Machine-tools; for working wood, cork, bone, hard rubber, hard plastics or similar hard materials; planing, milling or moulding (by cutting) machines</t>
  </si>
  <si>
    <t>Machinery and apparatus; for soldering, brazing or welding, whether or not capable of cutting, n.e.c. in heading no. 8468</t>
  </si>
  <si>
    <t>Tools, hand; circular saw blades (including slitting or slotting saw blades), with working part of steel</t>
  </si>
  <si>
    <t>Generators; producer gas, water gas, acetylene gas and similar water process gas generators, with or without their purifiers</t>
  </si>
  <si>
    <t>They generate fuel gas and not electricity. Can be used for heat treatment, other chemical processes in industry</t>
  </si>
  <si>
    <t>Used in metals, glass/ceramics, foundries, brick and process industries to supply in-house fuel gas for kilns, furnaces and dryers, reducing reliance on external fuels</t>
  </si>
  <si>
    <t>Machines generating industrial gases - used in metallurgy, chemical industry. More chemical-process oriented than power generation.</t>
  </si>
  <si>
    <t>Only Pegatron</t>
  </si>
  <si>
    <t>Machinery; for cleaning or drying bottles or other containers</t>
  </si>
  <si>
    <t>Machine-tools; for working wood, cork, bone, hard rubber, hard plastics or similar hard materials; bending or assembling machines</t>
  </si>
  <si>
    <t>Apparatus based on the use of alpha, beta, gamma or other ionising radiations, including radiography or radiotherapy apparatus; (for other than medical, surgical, dental or veterinary uses)</t>
  </si>
  <si>
    <t>covers non-medical ionizing-radiation equipment—i.e., machines that emit or use alpha/beta/gamma radiation to perform a job</t>
  </si>
  <si>
    <t>Vacuum cleaners, with self-contained electric motor, n.e.c. in item no. 8508.1</t>
  </si>
  <si>
    <t>Higher-power vacuum cleaners</t>
  </si>
  <si>
    <t>Not Capital Good</t>
  </si>
  <si>
    <t>Machine-tools; planing machines, and other machine-tools n.e.c. in heading no. 8461; working by removing metal, sinistered metal carbides or cerments.</t>
  </si>
  <si>
    <t>Poultry-keeping machinery; other than incubators and brooders</t>
  </si>
  <si>
    <t>Covers other farm machinery</t>
  </si>
  <si>
    <t>Drying machines; of a dry linen capacity exceeding 10kg</t>
  </si>
  <si>
    <t>Aluminium; containers for compressed or liquefied gas</t>
  </si>
  <si>
    <t>designed to hold compressed gases (e.g., oxygen, nitrogen, helium) or liquefied gases (e.g., propane, butane, CO₂)</t>
  </si>
  <si>
    <t>Machine-tools; shearing machines (excluding presses) for flat products, numerically controlled, other than combined punching and shearing machines, for working metal</t>
  </si>
  <si>
    <t>Escalators and moving walkways</t>
  </si>
  <si>
    <t>Machine-tools; for drilling by removing metal, numerically controlled</t>
  </si>
  <si>
    <t>Pile-drivers and pile-extractors</t>
  </si>
  <si>
    <t>Construction Machinery</t>
  </si>
  <si>
    <t>Pile driver is a heavy-duty tool used to drive piles into soil to build piers, bridges, cofferdams, and other pole supported structures.</t>
  </si>
  <si>
    <t>Pulley tackle and hoists; not powered by an electric motor (excluding skip hoists or hoists of a kind used for raising vehicles)</t>
  </si>
  <si>
    <t>Heaters; instantaneous or storage water heaters, non-electric, (other than instantaneous gas or solar water heaters)</t>
  </si>
  <si>
    <t>can be used in industry for hot water supply where electricity is constrained</t>
  </si>
  <si>
    <t>Textile machinery; carding machines for preparing textile fibres</t>
  </si>
  <si>
    <t>Electrical transformers; liquid dielectric, having a power handling capacity not exceeding 650kVA</t>
  </si>
  <si>
    <t>Transformers filled with insulating liquid (usually oil) to help cooling and insulation</t>
  </si>
  <si>
    <t>Used in power grids, industrial facilities, and commercial buildings</t>
  </si>
  <si>
    <t>Machines for additive manufacturing; by metal deposit</t>
  </si>
  <si>
    <t>Metal additive manufacturing - cutting / shaping</t>
  </si>
  <si>
    <t>Rangefinders</t>
  </si>
  <si>
    <t>Chairs; dentists', barbers' or similar chairs having rotating as well as both reclining and elevating movements, and parts thereof</t>
  </si>
  <si>
    <t>Most often used in offices</t>
  </si>
  <si>
    <t>Cranes and derricks; for other than mounting on road vehicles, n.e.c. in heading no. 8426</t>
  </si>
  <si>
    <t>Boilers; watertube boilers with a steam production exceeding 45t per hour</t>
  </si>
  <si>
    <t>MHI - puts boilers in Heavy Electrical Engineering</t>
  </si>
  <si>
    <t>Boilers</t>
  </si>
  <si>
    <t>Electric generating sets; wind-powered, (excluding those with spark-ignition or compression-ignition internal combustion piston engines)</t>
  </si>
  <si>
    <t>wind turbine generating sets — systems that convert wind energy → mechanical rotation → electrical energy (AC)</t>
  </si>
  <si>
    <t>wind farm, off-grid power systems</t>
  </si>
  <si>
    <t>Machinery; for preparing, tanning or working hides, skins or leather, other than sewing machines</t>
  </si>
  <si>
    <t>Most aligned sector. Leather processing paralles textile</t>
  </si>
  <si>
    <t>Machine-tools; flat-surface grinding machines, other than numerically controlled</t>
  </si>
  <si>
    <t>Machine-tools; sharpening (tool or cutter grinding) machines, other than numerically controlled</t>
  </si>
  <si>
    <t>Angles (horizontal &amp; vertical) — theodolites</t>
  </si>
  <si>
    <t>Machine-tools; for working wood, cork, bone, hard rubber, hard plastics or similar hard materials; splitting, slicing or paring machines</t>
  </si>
  <si>
    <t>Machine-tools; for boring-milling by removing metal, other than numerically controlled</t>
  </si>
  <si>
    <t>Tools, hand; vices, clamps and the like</t>
  </si>
  <si>
    <t>These are Workholding/fixturing tools - most suitable in machine tools</t>
  </si>
  <si>
    <t>Machine-tools; bending, folding, straightening or flattening machines (including presses), for working metal, numerically controlled panel benders</t>
  </si>
  <si>
    <t>Machinery and mechanical appliances; evaporative air coolers</t>
  </si>
  <si>
    <t>Self-contained evaporative cooling machines (“swamp coolers”) that lower air temperature by blowing air through water-saturated media; typically include a fan/blower, pump, tank, and wetted pads. Not conventional refrigeration A/C.</t>
  </si>
  <si>
    <t>Standalone machiner - Industrial/commercial space or spot cooling</t>
  </si>
  <si>
    <t>Coolers - part of thermal process equipment in a process industry</t>
  </si>
  <si>
    <t>Machine-tools; for threading or tapping by removing metal</t>
  </si>
  <si>
    <t>Machines for additive manufacturing; by plastic or rubber deposit</t>
  </si>
  <si>
    <t>Textile machinery; combing machines for preparing textile fibres</t>
  </si>
  <si>
    <t>Tools, interchangeable; (for machine or hand tools, whether or not power-operated), for boring or broaching</t>
  </si>
  <si>
    <t>Shaping via broaching (Enlarging holes with precision and shaping internal surfaces)</t>
  </si>
  <si>
    <t>Boilers; condensers, for steam or other vapour power units</t>
  </si>
  <si>
    <t>Winches; capstans; powered by an electric motor</t>
  </si>
  <si>
    <t>Machine-tools; for boring-milling by removing metal, numerically controlled</t>
  </si>
  <si>
    <t>Machine-tools; for milling by removing metal, knee-type, numerically controlled</t>
  </si>
  <si>
    <t>Meters; electricity supply or production meters, including calibrating meters thereof</t>
  </si>
  <si>
    <t>measure electrical energy consumption</t>
  </si>
  <si>
    <t>Meters measure electrical flow, which is directly relevant to heavy electrical systems like power grids, transformers, and generators</t>
  </si>
  <si>
    <t>Machinery; for moving, levelling, scraping, grading, excavating earth minerals or ores; not self propelled n.e.c in 84.30</t>
  </si>
  <si>
    <t>Pumps; concrete pumps</t>
  </si>
  <si>
    <t>Direct application of the pumps in the industry</t>
  </si>
  <si>
    <r>
      <t>Electrical machines and apparatus;</t>
    </r>
    <r>
      <rPr>
        <b/>
        <sz val="10.5"/>
        <color theme="1"/>
        <rFont val="Aptos Display"/>
        <family val="2"/>
        <scheme val="major"/>
      </rPr>
      <t xml:space="preserve"> particle accelerators</t>
    </r>
  </si>
  <si>
    <t>Accelerating charged particles for research and industrial applications</t>
  </si>
  <si>
    <t>Ion implantation in semiconductor fabrication for doping technology</t>
  </si>
  <si>
    <t>Spreaders and distributors; for manure and fertilizers, for agricultural, horticultural or forestry use; fertiliser distributors</t>
  </si>
  <si>
    <t>working farm implements</t>
  </si>
  <si>
    <t>Fertiliser distributor</t>
  </si>
  <si>
    <t>Drawing, marking-out or mathematical calculating instruments</t>
  </si>
  <si>
    <t>used for technical drawing, drafting, design layout, and calculation</t>
  </si>
  <si>
    <t>Used in engineering and architecture design</t>
  </si>
  <si>
    <t>Boilers; vapour generating boilers, including hybrid boilers n.e.c. in heading no. 8402</t>
  </si>
  <si>
    <t>Machine-tools; for boring by removing metal, not numerically controlled boring machines, n.e.c. in heading 8459</t>
  </si>
  <si>
    <t>Machine-tools; for working metal, sintered metal carbides or cermets, without removing material, thread rolling machines</t>
  </si>
  <si>
    <t>Tools; for working in the hand, parts of pneumatic tools</t>
  </si>
  <si>
    <t>Tools, interchangeable; rock drilling or earth boring tools, with working part of cermets, whether or not power operated</t>
  </si>
  <si>
    <t>Machine-tools; for boring by removing metal, numerically controlled boring machines, n.e.c. in heading 8459</t>
  </si>
  <si>
    <t>Welding machines and apparatus; for resistance welding of metal, other than fully or partly automatic, whether or not capable of cutting</t>
  </si>
  <si>
    <t>Machinery and mechanical appliances; passenger boarding bridges, other than of a kind used in airports</t>
  </si>
  <si>
    <t>Self-supporting or movable passenger access bridges that connect a terminal/platform to a vehicle/vessel other than aircraft—e.g., cruise/ferry terminals, ports, rail/metro platforms, bus rapid-transit (BRT) stations.</t>
  </si>
  <si>
    <t>Infrastructure</t>
  </si>
  <si>
    <t>Only samsung &amp; Foxconn</t>
  </si>
  <si>
    <t>Engines; pneumatic power engines and motors, n.e.c. in heading no. 8412</t>
  </si>
  <si>
    <t>Usually a component, not a standalone machine: it’s the motive unit built into another apparatus (recorders, timers, small mechanisms)</t>
  </si>
  <si>
    <t>Ploughs; for soil preparation</t>
  </si>
  <si>
    <t>Tools, hand; hand-operated spanners and wrenches (including torque meter wrenches but not including tap wrenches), adjustable</t>
  </si>
  <si>
    <t>Process plant</t>
  </si>
  <si>
    <t>Machine tools; for working any material by removal of material; operated by plasma arc processes;</t>
  </si>
  <si>
    <t>Machine-tools; for working wood, cork, bone, hard rubber, hard plastics or similar hard materials; drilling or morticing machines</t>
  </si>
  <si>
    <t>Tubing; flexible, with or without fittings of base metal, other than those of iron or steel</t>
  </si>
  <si>
    <t>convey fluids, gases, or mechanical motion through corrugated or flexible metallic tubing, often serving as connectors, protective conduits, or vibration absorbers</t>
  </si>
  <si>
    <t>Not standalone - used as connectors</t>
  </si>
  <si>
    <t>Flexible conduits/tubing often used for fluid/gas transfer, industrial or household use.</t>
  </si>
  <si>
    <t>Dryers; for agricultural products, not used for domestic purposes</t>
  </si>
  <si>
    <t>Industrial-scale dryers for agri-food use</t>
  </si>
  <si>
    <t>Machinery; for making or repairing articles of hides, skins or leather, other than sewing machines</t>
  </si>
  <si>
    <t>Machine-tools; for working tube, pipe, hollow section and bar (excluding presses), for working metal, numerically controlled</t>
  </si>
  <si>
    <t>Spreaders and distributors; for manure and fertilizers, for agricultural, horticultural or forestry use; manure spreaders</t>
  </si>
  <si>
    <t>Machines that meter and spread manure (solid or semi-solid) uniformly over fields</t>
  </si>
  <si>
    <t>Manure spreader</t>
  </si>
  <si>
    <t>Surveying equipment; levels</t>
  </si>
  <si>
    <t>Measuring instrument</t>
  </si>
  <si>
    <t>Used in construction, mining, infrastructure projects</t>
  </si>
  <si>
    <t>Cameras, photographic (excluding cinematographic); specially designed for underwater use, aerial survey, medical or surgical examination of internal organs; comparison cameras for forensic or criminological use</t>
  </si>
  <si>
    <t>Dryers; lyophilisation apparatus, freeze drying units and spray dryers, not used for domestic purposes</t>
  </si>
  <si>
    <t>covers equipment used for freeze drying (lyophilisation) and spray drying, important processes often used to gently dry sensitive materials while preserving their chemical and physical properties</t>
  </si>
  <si>
    <t>used extensively in pharmaceutical manufacturing, food processing, and chemical production</t>
  </si>
  <si>
    <t>Amusement park rides and water park amusements; other than roller coasters, carousels, swings, roundabouts, dodge'em cars, motion simulators and moving theatres, water rides and water park amusements</t>
  </si>
  <si>
    <t>Amusement Park Machinery</t>
  </si>
  <si>
    <t>Elevators and conveyors; continuous-action, for goods or materials, bucket type, n.e.c. in item no. 8428.20 or 8428.31</t>
  </si>
  <si>
    <t>Weaving machines (looms); for weaving fabrics of a width 30cm or less</t>
  </si>
  <si>
    <t>Weighing machines; other than personal, conveyor or constant weight scales, having a maximum weighing capacity exceeding 5000kg</t>
  </si>
  <si>
    <t> includes a broad range of weighing machinery with a maximum weighing capacity exceeding 5,000 kg</t>
  </si>
  <si>
    <t>in construction, mining, and bluk loading industries</t>
  </si>
  <si>
    <t>Centrifuges; cream separators</t>
  </si>
  <si>
    <t>Separation of cream in dairy and food industries</t>
  </si>
  <si>
    <t>Connectors for optical fibres, optical fibre bundles or cables</t>
  </si>
  <si>
    <t>heading includes connectors, plugs, sockets, and couplers for electrical or optical circuits</t>
  </si>
  <si>
    <t>used across electronics assembly and wiring harness manufacturing</t>
  </si>
  <si>
    <t>Most aligned sector. Needs reclassification - as optical cables can be put in accessories</t>
  </si>
  <si>
    <t>Pumps; hand, fitted or designed to be fitted with a measuring device, for liquids, other than those of item no. 8413.11 or 8413.19</t>
  </si>
  <si>
    <t>standalone machines used in industry</t>
  </si>
  <si>
    <t>Manually operated pumps</t>
  </si>
  <si>
    <t>Multimeters; for measuring or checking voltage, current, resistance or power, with a recording device</t>
  </si>
  <si>
    <t>Mutilmeters with the added ability to record or log measurement data over time</t>
  </si>
  <si>
    <t>Boilers; auxiliary plant, for use with boilers of heading no. 8402 or 8403 (e.g. economisers, super-heaters, soot removers, gas recoverers)</t>
  </si>
  <si>
    <t>Tanks, casks, drums, cans, boxes and similar containers, for any material (excluding compressed or liquefied gas), 50l or more capacity but not exceeding 300l</t>
  </si>
  <si>
    <t>These containers are similar to 7309 category but of smaller size. Same rationale as above.</t>
  </si>
  <si>
    <t>Tools, hand; two or more of heading no. 8202 to 8205, put up in sets for retail sale</t>
  </si>
  <si>
    <t>Coal or rock cutters and tunnelling machinery; not self-propelled</t>
  </si>
  <si>
    <t>Machine-tools; which can carry out different types of machining operations without tool change between such operations, for working wood, cork, bone, hard rubber, hard plastics or similar</t>
  </si>
  <si>
    <t>Tools, hand; chain saw blades</t>
  </si>
  <si>
    <t>Machinery and mechanical appliances; passenger boarding bridges, of a kind used in airports</t>
  </si>
  <si>
    <t>Aircraft bridge</t>
  </si>
  <si>
    <t>Machines and apparatus of a kind used solely or principally for the manufacture of flat panel displays</t>
  </si>
  <si>
    <t>Machines for additive manufacturing; by other than metal, plastic, rubber, plaster, cement, ceramics or glass deposits</t>
  </si>
  <si>
    <t>Residual machinery of the chapter - default machine tools</t>
  </si>
  <si>
    <t>Poultry incubators and brooders</t>
  </si>
  <si>
    <t>Breeding/hatching is part of food industry machinery.</t>
  </si>
  <si>
    <t>Time recording apparatus; with clock or watch movement or with synchronous motor, n.e.c. in heading no. 9106</t>
  </si>
  <si>
    <t>Textile machinery; doubling or twisting machines</t>
  </si>
  <si>
    <t>Tools, hand; screwdrivers</t>
  </si>
  <si>
    <t>Rollers and others</t>
  </si>
  <si>
    <t>Soil compaction device</t>
  </si>
  <si>
    <t>Machines and apparatus of a kind used solely or principally for the manufacture of semiconductor boules or wafers</t>
  </si>
  <si>
    <t>Covers machines used for the initial stage of semiconductor manufacturing, i.e., production of silicon boules (ingots) and wafer slicing.</t>
  </si>
  <si>
    <t>Meters; liquid supply or production meters, including calibrating meters thereof</t>
  </si>
  <si>
    <t>measure the quantity (volume/flow total) of liquids delivered or produced</t>
  </si>
  <si>
    <t>installed in a pipeline - but a standalone instrument</t>
  </si>
  <si>
    <t>Tools; knives and cutting blades, for machines or for mechanical appliances, for metal working</t>
  </si>
  <si>
    <t>Cutting blades for metal working machines</t>
  </si>
  <si>
    <t>Photographic laboratory apparatus and equipment (including cinematographic); projection screens</t>
  </si>
  <si>
    <t>Hand Tools: Spades and shovels</t>
  </si>
  <si>
    <t>Used for digging soil - earthmoving</t>
  </si>
  <si>
    <t>Tamping machines and road rollers; self-propelled</t>
  </si>
  <si>
    <t>Cranes and derricks; designed for mounting on road vehicles</t>
  </si>
  <si>
    <t>Machine-tools; for working tube, pipe, hollow section and bar (excluding presses), for working metal, not numerically controlled</t>
  </si>
  <si>
    <t>Pumps; fitted or designed to be fitted with a measuring device, for dispensing fuel or lubricants, of the type used in filling-stations or in garages</t>
  </si>
  <si>
    <t>Elevators and conveyors; continuous-action, for goods and materials, specially designed for underground use, n.e.c. in item no. 8428.20</t>
  </si>
  <si>
    <t>Machines; concrete or mortar mixers</t>
  </si>
  <si>
    <t>Used in construction</t>
  </si>
  <si>
    <t>Tools; knives and cutting blades, for wood working machines or mechanical appliances</t>
  </si>
  <si>
    <t>Still machine tool function (though applied to wood, not metal)</t>
  </si>
  <si>
    <t>Furnaces; furnace burners, for liquid fuel</t>
  </si>
  <si>
    <t> category includes industrial and commercial furnace burners capable of burning various fuels</t>
  </si>
  <si>
    <t>standalone mechanical and electronic appliances that function as complete units or assemblies within larger furnace systems</t>
  </si>
  <si>
    <t>General purpose burner - used in used in boilers, heaters, and industrial furnaces across oil &amp; gas, chemicals, and other process industries. Not exclusive to metallurgy.</t>
  </si>
  <si>
    <t>Knives; with cutting blades, (having other than fixed blades), serrated or not, excluding knives and blades of heading no. 8208</t>
  </si>
  <si>
    <t>Function = cutting</t>
  </si>
  <si>
    <t>Knives with fixed cutting blades - so hand tools than machine tool</t>
  </si>
  <si>
    <t>Tractors; n.e.c. in heading no 8701 (other than tractors of heading no 8709); of an engine power exceeding 18kW but not exceeding 37kW</t>
  </si>
  <si>
    <t>Weighing machines; other than personal, conveyor or constant weight scales, having a maximum weighing capacity not exceeding 30kg (excluding balances of a sensitivity of 5cg or better)</t>
  </si>
  <si>
    <t>Standalone machines</t>
  </si>
  <si>
    <t>Machinery; for filtering or purifying beverages other than water</t>
  </si>
  <si>
    <t>Used for beverages</t>
  </si>
  <si>
    <t>Floating structures; tanks, coffer-dams, landing stages, buoys and beacons</t>
  </si>
  <si>
    <t>Transport Vehicle</t>
  </si>
  <si>
    <t>Monoculars; other optical telescopes and astronomical instruments, excluding instruments for radio-astronomy</t>
  </si>
  <si>
    <t>Cameras, photographic (excluding cinematographic); n.e.c. in heading no 9006</t>
  </si>
  <si>
    <t>Other still cameras for non-35 mm roll film or sheet/flat film</t>
  </si>
  <si>
    <t>Only TATA</t>
  </si>
  <si>
    <t>Machine-tools; broaching machines, working by removing metal, sintered metal carbides or cermets</t>
  </si>
  <si>
    <t>Mathematical instruments and equipment; n.e.c. in heading no. 9017</t>
  </si>
  <si>
    <t>Widely used in manufacturing, engineering, construction, and quality control to ensure dimensional accuracy and precision in components, assemblies</t>
  </si>
  <si>
    <t>Machine-tools; shaping or slotting machines, working by removing metal, sintered metal carbides or cermets</t>
  </si>
  <si>
    <t>Other hand tools (including glaziers' diamonds); household tools</t>
  </si>
  <si>
    <t>Machine tools; for working any material by removal of material; operated by water-jet cutting machines</t>
  </si>
  <si>
    <t>Electric motors and generators; DC, of an output exceeding 375kW</t>
  </si>
  <si>
    <t>High-power large scale</t>
  </si>
  <si>
    <t>Heavy industry, railways, power plants</t>
  </si>
  <si>
    <t>Vehicles; (not electrical), self-propelled, without handling equipment, used for short distance transport of goods in factories, airports and such, and tractors of the type used on railway station platforms</t>
  </si>
  <si>
    <t>Weighing machines; scales for continuous weighing of goods on conveyors</t>
  </si>
  <si>
    <t>continuously measure and record the weight of materials as they move along a conveyor belt or feed system</t>
  </si>
  <si>
    <t>Presses, crushers and similar machinery; used in the manufacture of wine, cider, fruit juices or similar beverages</t>
  </si>
  <si>
    <t>Tailors' dummies and other lay figures; automata and other animated displays used for shop window dressing</t>
  </si>
  <si>
    <t>Used in textile industry</t>
  </si>
  <si>
    <t>Mould bases; for metal, metal carbides, glass, mineral materials, rubber or plastics</t>
  </si>
  <si>
    <t>Bases for moulding processes</t>
  </si>
  <si>
    <t>Microscopes, compound optical; stereoscopic microscopes</t>
  </si>
  <si>
    <t>Standard microscopes used to view example metal binding</t>
  </si>
  <si>
    <t>Hand-drying apparatus; electro-thermic</t>
  </si>
  <si>
    <t>hand-held or wall-mounted devices powered by electricity and designed for personal or salon use</t>
  </si>
  <si>
    <t>Hand Tools: forks, scythes, sickles, hay knives, timber wedges, and other hand tools of a kind used in agriculture, horticulture or forestry n.e.c. in heading 8201</t>
  </si>
  <si>
    <t>Hand Tools / Agricultural Tools</t>
  </si>
  <si>
    <t>Printing machinery; offset, sheet-fed, office type (sheet size not exceeding 22 x 36cm in the unfolded state)</t>
  </si>
  <si>
    <t>Thermometers and pyrometers; liquid filled, for direct reading, not combined with other instruments</t>
  </si>
  <si>
    <t>measure temperature using a liquid column (e.g., alcohol/other fluids) for direct visual reading</t>
  </si>
  <si>
    <t>Tools, hand; pipe-cutters, bolt croppers, perforating punches and similar tools</t>
  </si>
  <si>
    <t>Knives; having fixed cutting blades, (other than table knives), serrated or not, excluding knives and blades of heading no. 8208</t>
  </si>
  <si>
    <t>Generic knives (other than table knife) with cutting function</t>
  </si>
  <si>
    <t>Furnaces and ovens; electric, for industrial or laboratory use, resistance heated; hot isostatic presses</t>
  </si>
  <si>
    <t>Vehicles; electrical, self-propelled, (not fitted with lifting or handling equipment), of the type used for short distance transport of goods in factories, warehouses, dock areas or airports</t>
  </si>
  <si>
    <t>Used for transport of goods - not manufacturing</t>
  </si>
  <si>
    <t>Threshing machinery; other than combine harvester-threshers</t>
  </si>
  <si>
    <t>machines designed to separate grain from stalks or husks, excluding combine harvester-threshers</t>
  </si>
  <si>
    <t>Agriculture</t>
  </si>
  <si>
    <t>Seperatin grain from husks/straws. Post-harvest agricultural processing machinery</t>
  </si>
  <si>
    <t>Boilers; super-heated water boilers</t>
  </si>
  <si>
    <t>Machine-tools; for working wood, cork, bone, hard rubber, hard plastics or similar hard materials; machining centres</t>
  </si>
  <si>
    <t>Printing machinery; offset, reel-fed</t>
  </si>
  <si>
    <t>Tools; knives and cutting blades, for agricultural, horticultural or forestry machines or mechanical appliances</t>
  </si>
  <si>
    <t>Include mechanical appliances</t>
  </si>
  <si>
    <t>Used in agriculture but as a tool not machinery - so given priority to hand tool</t>
  </si>
  <si>
    <t>Moulding patterns; of metal, metal carbides, glass, mineral materials, rubber or plastics</t>
  </si>
  <si>
    <t>Moulding patters to shape material</t>
  </si>
  <si>
    <t>Machines; automatic goods-vending machines, (e.g. postage stamp, cigarette, food or money-changing machines, excluding beverage-vending machines), not incorporating heating or refrigerating devices</t>
  </si>
  <si>
    <t>No manufacturing / industrial function</t>
  </si>
  <si>
    <t>Calculating machines; electronic, (not incorporating a printing device), needing an external power source</t>
  </si>
  <si>
    <t>Financial and scientific calculators</t>
  </si>
  <si>
    <t>Printing machinery; letterpress, reel-fed, excluding flexographic printing</t>
  </si>
  <si>
    <t>Machine-tools; for working any material by removal of material, operated by ultrasonic processes</t>
  </si>
  <si>
    <t>Textile machinery; drawing or roving machines for preparing textile fibres</t>
  </si>
  <si>
    <t>Brazing or soldering machines and apparatus; soldering irons and guns, whether or not capable of cutting</t>
  </si>
  <si>
    <t>Machinery; industrial, for sugar manufacture</t>
  </si>
  <si>
    <t>Dental instruments and appliances; dental drill engines, whether or not combined on a single base with other dental equipment</t>
  </si>
  <si>
    <t>Dental clinic equipment</t>
  </si>
  <si>
    <t>Weaving machines (looms); for weaving fabrics of a width exceeding 30cm, shuttle type, power looms</t>
  </si>
  <si>
    <t>Dry-cleaning machines</t>
  </si>
  <si>
    <t>Electric generators; AC generators, (alternators), other than photovoltaic generators, of an output exceeding 375kVA but not exceeding 750kVA</t>
  </si>
  <si>
    <t>Converts mechanical rotation (from diesel/gas engine or turbine) into alternating current (AC) electricity</t>
  </si>
  <si>
    <t>Power backup</t>
  </si>
  <si>
    <t>Stamps; date, numbering, sealing stamps and the like (including devices for printing or embossing labels), designed for operating by hand; hand operated composing sticks and printing sets</t>
  </si>
  <si>
    <t>Tractors; track-laying</t>
  </si>
  <si>
    <t>Image projectors, photographic enlargers and reducers, excluding cinematographic</t>
  </si>
  <si>
    <t>Tools, hand; files, rasps and similar tools</t>
  </si>
  <si>
    <t>Used for shaping/finishing materials manually, aligns with cutting/shaping tools</t>
  </si>
  <si>
    <t>Blades; cutting, serrated or not, excluding those of heading no. 8208</t>
  </si>
  <si>
    <t>Amusement park rides and water park amusements; carousels, swings and roundabouts</t>
  </si>
  <si>
    <t>Machines; for assembling electric or electronic lamps, tubes, valves or flashbulbs, in glass envelopes</t>
  </si>
  <si>
    <t>Electrical industry related</t>
  </si>
  <si>
    <t>Machine-tools; bending, folding, straightening or flattening machines (including presses), for working metal, numerically controlled roll forming machines</t>
  </si>
  <si>
    <t>Weighing machines; other than personal, conveyor or constant weight scales, having a maximum weighing capacity exceeding 30kg but not exceeding 5000kg</t>
  </si>
  <si>
    <t>determine mass/weight of items over 30 kg up to 5,000 kg</t>
  </si>
  <si>
    <t>Machinery and apparatus; hand-held blow pipes for soldering, brazing or welding, whether or not capable of cutting</t>
  </si>
  <si>
    <t>Microscopes, compound optical; for photomicrography, cinephotomicrography or microprojection</t>
  </si>
  <si>
    <t>optical microscopes that provide a three-dimensional view of specimens by using two separate optical paths and two eyepieces</t>
  </si>
  <si>
    <t>Used widely in electronics &amp; semiconductor, precision engineering, jewelry &amp; watchmaking</t>
  </si>
  <si>
    <t>Tools, hand; drilling, threading or tapping tools</t>
  </si>
  <si>
    <t>Cutting/boring functions - direct fit under cutting/shaping machine tools</t>
  </si>
  <si>
    <t>Tools, hand; hand saws</t>
  </si>
  <si>
    <t>Tools, hand; hammers and sledge hammers</t>
  </si>
  <si>
    <t>Tools used in shaping material - machine tools</t>
  </si>
  <si>
    <t>Tools; knives and cutting blades, for kitchen appliances or for machines used by the food industry</t>
  </si>
  <si>
    <t>Used specifically in food industry</t>
  </si>
  <si>
    <t>Machine-tools; way-type unit head machines, for drilling, boring, milling, threading or tapping by removing metal, other than lathes of heading no. 8458</t>
  </si>
  <si>
    <t>Machines; automatic beverage-vending machines, incorporating heating or refrigerating devices</t>
  </si>
  <si>
    <t>Tools, hand; straight saw blades, for working metal</t>
  </si>
  <si>
    <t>Tools, hand; planes, chisels, gauges and similar cutting tools for working wood</t>
  </si>
  <si>
    <t>Cameras, cinematographic; whether or not incorporating sound recording apparatus</t>
  </si>
  <si>
    <t>Navigational instruments and appliances; direction finding compasses</t>
  </si>
  <si>
    <t>Hand Tools: hedge shears, two-handed pruning shears and similar two-handed shears</t>
  </si>
  <si>
    <t>Machinery; industrial, brewery machinery</t>
  </si>
  <si>
    <t>Hand Tools: Secateurs and similar one-handed pruners and shears (including poultry shears)</t>
  </si>
  <si>
    <t>Calculating machines; non-electronic</t>
  </si>
  <si>
    <t>includes coin sorting, money counting or wrapping machines</t>
  </si>
  <si>
    <t>Boilers; central heating boilers (excluding those of heading no. 8402)</t>
  </si>
  <si>
    <t>Providing central heating in residential, commercial, and industrial buildings</t>
  </si>
  <si>
    <t>Part of HVAC systems</t>
  </si>
  <si>
    <t>Printing machinery; letterpress, other than reel-fed, excluding flexographic printing</t>
  </si>
  <si>
    <t>Amusement park rides and water park amusements; Roller coasters</t>
  </si>
  <si>
    <t>Dryers; for wood, paper pulp, paper or paperboard, not used for domestic purposes</t>
  </si>
  <si>
    <t>remove moisture from wood, paper pulp, or finished paper/paperboard using controlled heat, air flow, or steam</t>
  </si>
  <si>
    <t>Used in the industry to prepare raw material</t>
  </si>
  <si>
    <t>Tools, hand; metal cutting shears and similar tools</t>
  </si>
  <si>
    <t>Liquid elevators</t>
  </si>
  <si>
    <t>mechanical devices for raising liquids vertically that are not pumps</t>
  </si>
  <si>
    <t>Specialized liquid transfer equipment</t>
  </si>
  <si>
    <t>Fairground amusements; including shooting galleries</t>
  </si>
  <si>
    <t>Sound recording or reproducing apparatus; using magnetic, optical or semiconductor media, n.e.c. in item no 8519.20, 8519.30 or 8519.50</t>
  </si>
  <si>
    <t>Machines; automatic beverage-vending machines, not incorporating heating or refrigerating devices</t>
  </si>
  <si>
    <t>Turbines; steam and other vapour turbines, for marine propulsion</t>
  </si>
  <si>
    <t>Turbines for marine propulsion</t>
  </si>
  <si>
    <t>Knives; with cutting blades, serrated or not (including pruning knives), sets of assorted articles, excluding knives and blades of heading no. 8208</t>
  </si>
  <si>
    <t>Knives with cutting blades - so hand tools than machine tool</t>
  </si>
  <si>
    <t>Knives; with handles of base metal</t>
  </si>
  <si>
    <t>Not power operated</t>
  </si>
  <si>
    <t>Boilers; watertube boilers with a steam production not exceeding 45t per hour</t>
  </si>
  <si>
    <t>Office equipment; filing cabinets, card-index cabinets, paper trays, paper rests, pen trays, office-stamp stands and similar office or desk equipment, of base metal, other than office furniture of heading no. 9403</t>
  </si>
  <si>
    <t>Office equipments</t>
  </si>
  <si>
    <t>Mowers; n.e.c. in item no. 8433.1 (including cutter bars for tractor mounting)</t>
  </si>
  <si>
    <t>Land-clearing/cutting equipment, like other earth prep machines.</t>
  </si>
  <si>
    <t>Amusement park rides and water park amusements; motion simulators and moving theatres</t>
  </si>
  <si>
    <t>Projectors, cinematographic; whether or not incorporating sound recording or reproducing apparatus</t>
  </si>
  <si>
    <t>Milking machines</t>
  </si>
  <si>
    <t>Calculating machines; electronic, incorporating a printing device, needing an external source of power</t>
  </si>
  <si>
    <t>E.g - Desktop printing calculators, accounting or financial printing calculators</t>
  </si>
  <si>
    <t>Hand Tools: mattocks, picks, hoes and rakes</t>
  </si>
  <si>
    <t>Machines and mechanical appliances; cold isostatic presses</t>
  </si>
  <si>
    <t xml:space="preserve">Cold isostatic pressing (CIP) is a powder metallurgy technique that uses high, uniform fluid pressure to compact powder within a flexible mold to a high, consistent density. </t>
  </si>
  <si>
    <t>Machinery; for tamping or compacting, not self-propelled</t>
  </si>
  <si>
    <t>Used in construction of railway tracks.</t>
  </si>
  <si>
    <t>Snow-ploughs and snow-blowers</t>
  </si>
  <si>
    <t>Tractors; n.e.c. in heading no 8701 (other than tractors of heading no 8709); of an engine power not exceeding 18kW</t>
  </si>
  <si>
    <t>Travelling theatres</t>
  </si>
  <si>
    <t>Photographic laboratory apparatus and equipment; n.e.c. in item no. 9010.10, for photographic (including cinematographic) laboratories; negatoscopes</t>
  </si>
  <si>
    <t>Because 901690 is put as one</t>
  </si>
  <si>
    <t>Heaters; solar water heaters, non-electric</t>
  </si>
  <si>
    <t>heat water using solar energy</t>
  </si>
  <si>
    <t>Used in industrial facilities, food-processing plants, laboratories, and manufacturing where a reliable hot-water supply is needed for cleaning, sterilization, or process heating</t>
  </si>
  <si>
    <t>Machine-tools; for working any material by removal of material; operated by other light or photon beam processes (not laser)</t>
  </si>
  <si>
    <t>Weaving machines (looms); for weaving fabrics of a width exceeding 30cm, shuttle type, other than power looms</t>
  </si>
  <si>
    <t>Photographic laboratory apparatus and equipment; for automatically developing photographic (including cinematographic) film or paper in rolls or for automatically exposing developed film to rolls of paper</t>
  </si>
  <si>
    <t>Tractors; n.e.c. in heading no 8701 (other than tractors of heading no 8709); of an engine power exceeding 37kW but not exceeding 75kW</t>
  </si>
  <si>
    <t>Amusement park rides and water park amusements; dodge'em cars</t>
  </si>
  <si>
    <t>Seats; swivel with variable height adjustment of wood, excluding medical, surgical, dental, veterinary or barber furniture</t>
  </si>
  <si>
    <r>
      <t xml:space="preserve">Turbines; </t>
    </r>
    <r>
      <rPr>
        <b/>
        <sz val="10.5"/>
        <color theme="1"/>
        <rFont val="Aptos Display"/>
        <family val="2"/>
        <scheme val="major"/>
      </rPr>
      <t>hydraulic</t>
    </r>
    <r>
      <rPr>
        <sz val="10.5"/>
        <color theme="1"/>
        <rFont val="Aptos Display"/>
        <family val="2"/>
        <scheme val="major"/>
      </rPr>
      <t xml:space="preserve"> turbines and water wheels, of a power </t>
    </r>
    <r>
      <rPr>
        <b/>
        <sz val="10.5"/>
        <color theme="1"/>
        <rFont val="Aptos Display"/>
        <family val="2"/>
        <scheme val="major"/>
      </rPr>
      <t>exceeding 10000kW</t>
    </r>
  </si>
  <si>
    <t>Large-scale - used for Power generation</t>
  </si>
  <si>
    <t>Major dams / power stations, large industrial power consumers</t>
  </si>
  <si>
    <t>Hydraulic turbines also generate energy</t>
  </si>
  <si>
    <t>Hydraulic Turbines</t>
  </si>
  <si>
    <t>Used in hydropower plant</t>
  </si>
  <si>
    <t>Electric generators; photovoltaic DC generators, of an output not exceeding 50W</t>
  </si>
  <si>
    <t>Small DC generators utilizing photovoltaic (solar) technology with output up to 50 watts.</t>
  </si>
  <si>
    <t>Small solar panels for lighting, charging devices, or low-power electronics.</t>
  </si>
  <si>
    <t>Electric generators; (excluding generating sets), photovoltaic AC generators (alternators)</t>
  </si>
  <si>
    <t>sunlight → DC → AC</t>
  </si>
  <si>
    <t>Renewable energy power generation, grid-connected solar installations</t>
  </si>
  <si>
    <t>Furnaces and ovens; electric, for industrial or laboratory use, other than those functioning by induction, dielectric loss or resistance heated, electron beam furnaces</t>
  </si>
  <si>
    <t>Furnaces that use a focused electron beam in vacuum to melt/purify metals.</t>
  </si>
  <si>
    <t>Used for ultra-pure metal refining required in semiconductor fabrication and equipment.</t>
  </si>
  <si>
    <r>
      <t xml:space="preserve">Turbines; </t>
    </r>
    <r>
      <rPr>
        <b/>
        <sz val="10.5"/>
        <color theme="1"/>
        <rFont val="Aptos Display"/>
        <family val="2"/>
        <scheme val="major"/>
      </rPr>
      <t>hydraulic</t>
    </r>
    <r>
      <rPr>
        <sz val="10.5"/>
        <color theme="1"/>
        <rFont val="Aptos Display"/>
        <family val="2"/>
        <scheme val="major"/>
      </rPr>
      <t xml:space="preserve"> turbines and water wheels, of a power </t>
    </r>
    <r>
      <rPr>
        <b/>
        <sz val="10.5"/>
        <color theme="1"/>
        <rFont val="Aptos Display"/>
        <family val="2"/>
        <scheme val="major"/>
      </rPr>
      <t>exceeding 1000kW but not exceeding 10000kW</t>
    </r>
  </si>
  <si>
    <t>Medium-scale - used for Power generation</t>
  </si>
  <si>
    <t>Large-scale hydroelectric power generation / Industrial power supply</t>
  </si>
  <si>
    <t>Amusement park rides and water park amusements; water park amusements</t>
  </si>
  <si>
    <t>Hand Tools: axes, bill hooks and similar hewing tools</t>
  </si>
  <si>
    <t>Furnace accessories; mechanical stokers, mechanical grates, mechanical ash dischargers and similar appliances</t>
  </si>
  <si>
    <t>Support equipment for furnaces</t>
  </si>
  <si>
    <t>Office machines; duplicating machines</t>
  </si>
  <si>
    <t>machines used to make copies - mechanical or stencil based</t>
  </si>
  <si>
    <t>Time recording apparatus; time-registers, time recorders, with clock, watch movement or synchronous motor</t>
  </si>
  <si>
    <t>Tractors; n.e.c. in heading no 8701 (other than tractors of heading no 8709); of an engine power exceeding 75kW but not exceeding 130kW</t>
  </si>
  <si>
    <t>Office machines; for sorting or folding mail or for inserting mail in envelopes or bands, machines for opening, closing or sealing mail and machines for affixing or cancelling postage stamps</t>
  </si>
  <si>
    <t>Centrifuges; clothes-dryers</t>
  </si>
  <si>
    <t>Industrial clothes-drying centrifuges are used in textile/garment production</t>
  </si>
  <si>
    <t>Cameras, photographic (excluding cinematographic), for roll film of a width of 35mm</t>
  </si>
  <si>
    <t>Machines; automatic goods-vending machines, (e.g. postage stamp, cigarette, food or money-changing machines, excluding beverage-vending machines), incorporating heating or refrigerating devices</t>
  </si>
  <si>
    <t>Sound recording or reproducing apparatus; operated by coins, banknotes, bank cards, tokens or by other means of payment</t>
  </si>
  <si>
    <t>Drafting tables and machines; whether or not automatic</t>
  </si>
  <si>
    <t>Machines; for mixing mineral substances with bitumen</t>
  </si>
  <si>
    <t>Furnaces and ovens; electric, for industrial or laboratory use, other than those functioning by induction, dielectric loss or resistance heated, plasma and vacuum arc furnaces</t>
  </si>
  <si>
    <t>Used in high-end metal refining</t>
  </si>
  <si>
    <t>Can process advanced ceramics and high-purity oxides used in semiconductor equipment</t>
  </si>
  <si>
    <t>Machines for additive manufacturing; by plaster, cement, ceramics or glass deposit</t>
  </si>
  <si>
    <t>capital equipment used to fabricate parts or structures directly from digital models</t>
  </si>
  <si>
    <t>Most aligned sector.</t>
  </si>
  <si>
    <t>Harrows; disc harrows</t>
  </si>
  <si>
    <t>Tools, hand; blow lamps</t>
  </si>
  <si>
    <t>These are cutting / soldering tools - although not used for metal but other material</t>
  </si>
  <si>
    <t>Tractors; single axle</t>
  </si>
  <si>
    <r>
      <t xml:space="preserve">Turbines; </t>
    </r>
    <r>
      <rPr>
        <b/>
        <sz val="10.5"/>
        <color theme="1"/>
        <rFont val="Aptos Display"/>
        <family val="2"/>
        <scheme val="major"/>
      </rPr>
      <t>hydrauli</t>
    </r>
    <r>
      <rPr>
        <sz val="10.5"/>
        <color theme="1"/>
        <rFont val="Aptos Display"/>
        <family val="2"/>
        <scheme val="major"/>
      </rPr>
      <t xml:space="preserve">c turbines and water wheels, of a power </t>
    </r>
    <r>
      <rPr>
        <b/>
        <sz val="10.5"/>
        <color theme="1"/>
        <rFont val="Aptos Display"/>
        <family val="2"/>
        <scheme val="major"/>
      </rPr>
      <t>not exceeding 1000kW</t>
    </r>
  </si>
  <si>
    <t>Small to medium hydraulic turbines used to generate electricity</t>
  </si>
  <si>
    <t>hydroelectric power plants, small scale industrial and agricultural setup</t>
  </si>
  <si>
    <r>
      <t xml:space="preserve">Turbines; </t>
    </r>
    <r>
      <rPr>
        <b/>
        <sz val="10.5"/>
        <color theme="1"/>
        <rFont val="Aptos Display"/>
        <family val="2"/>
        <scheme val="major"/>
      </rPr>
      <t>steam and other vapour turbines</t>
    </r>
    <r>
      <rPr>
        <sz val="10.5"/>
        <color theme="1"/>
        <rFont val="Aptos Display"/>
        <family val="2"/>
        <scheme val="major"/>
      </rPr>
      <t xml:space="preserve">, (for other than marine propulsion), of an </t>
    </r>
    <r>
      <rPr>
        <b/>
        <sz val="10.5"/>
        <color theme="1"/>
        <rFont val="Aptos Display"/>
        <family val="2"/>
        <scheme val="major"/>
      </rPr>
      <t>output exceeding 40MW</t>
    </r>
  </si>
  <si>
    <t>Convert energy from steam or vapour into rotational mechanical energy, which typically drives generators to produce electricity</t>
  </si>
  <si>
    <t>Power plants for electricity generation, heavy industrial sites for on-site power like in Oil, gas and refiniries, steel and metallurgical</t>
  </si>
  <si>
    <t>Machinery and apparatus; for isotopic separation, and parts thereof</t>
  </si>
  <si>
    <t>used to separate isotopes of elements. Can be part of radio-pharma industry</t>
  </si>
  <si>
    <t>Specialized machines for separating isotopes (nuclear industry, research, fuel enrichment)</t>
  </si>
  <si>
    <t>Nuclear reactors</t>
  </si>
  <si>
    <t>Generate energy</t>
  </si>
  <si>
    <t>Power Plants</t>
  </si>
  <si>
    <t xml:space="preserve">Generate energy </t>
  </si>
  <si>
    <t>Nickel-iron accumulators</t>
  </si>
  <si>
    <t>rechargeable batteries</t>
  </si>
  <si>
    <t>Not Present</t>
  </si>
  <si>
    <t>Amusement park rides and water park amusements; water rides</t>
  </si>
  <si>
    <t>Road tractors for semi-trailers</t>
  </si>
  <si>
    <t xml:space="preserve"> Other instruments and apparatus -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</si>
  <si>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analytical instruments used to measure, detect, or analyze physical and chemical properties of materials</t>
  </si>
  <si>
    <t>Used in laboratories, chemical plants, pharmaceuticals, environmental monitoring, food testing, and research for material characterization, quality control, and process monitoring</t>
  </si>
  <si>
    <t>Analysis equipment</t>
  </si>
  <si>
    <t>Dryers for agricultural products</t>
  </si>
  <si>
    <t>Used in dryng grain, crops - food supply chain</t>
  </si>
  <si>
    <t>Used in the processing of agricultural products, hence food processing industry</t>
  </si>
  <si>
    <t>Others tractors</t>
  </si>
  <si>
    <t>Other -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</si>
  <si>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Hydraulic presses-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</si>
  <si>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Electric industrial or laboratory furnaces and ovens (excluding resistance heated, induction, dielectric and drying furnaces and ovens)</t>
  </si>
  <si>
    <t>use electrical resistance elements (NiCr, FeCrAl, SiC, MoSi₂, graphite, etc.) to generate heat for processing materials. Examples include box furnaces, muffle furnaces, tube furnaces, reflow/curing ovens, conveyor/belt furnaces, and kiln-style units</t>
  </si>
  <si>
    <t>Used in Metals &amp; heat-treat (annealing, tempering, brazing etc), Glass &amp; material labs, in Electronics SMT, Power metallurgy &amp; ceramics</t>
  </si>
  <si>
    <t>mechanical appliances for projecting, dispersing, or spraying liquids or powders, specifically for agricultural or horticultural use</t>
  </si>
  <si>
    <t>Seeders, planters and transplanters</t>
  </si>
  <si>
    <t>Forks</t>
  </si>
  <si>
    <t>Hand tools with self-contained electric motor</t>
  </si>
  <si>
    <t>Dryers for wood, paper pulp, paper or paperboard</t>
  </si>
  <si>
    <t>Covers industrial dryers/kilns used to reduce moisture in sawn timber/veneer and drying sections/equipment for pulp &amp; paper/board (e.g., kiln dryers, veneer dryers, Yankee/through-air/web dryers and similar)</t>
  </si>
  <si>
    <t>Manure spreaders and fertiliser distributors</t>
  </si>
  <si>
    <t xml:space="preserve"> Numerically controlled-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</si>
  <si>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450 HS Codes</t>
  </si>
  <si>
    <t>Agriculture &amp; Food Processing Machinery</t>
  </si>
  <si>
    <t>65 HS codes moved to Parts &amp; Accessories</t>
  </si>
  <si>
    <t>Parts &amp; Accessories</t>
  </si>
  <si>
    <t>Turbines; steam and other vapour turbines, (for other than marine propulsion), of an output exceeding 40MW</t>
  </si>
  <si>
    <t>Turbines; steam and other vapour turbines, (for other than marine propulsion), of an output not exceeding 40MW</t>
  </si>
  <si>
    <t>Turbines; hydraulic turbines and water wheels, of a power not exceeding 1000kW</t>
  </si>
  <si>
    <t>Turbines; hydraulic turbines and water wheels, of a power exceeding 1000kW but not exceeding 10000kW</t>
  </si>
  <si>
    <t>Turbines; hydraulic turbines and water wheels, of a power exceeding 10000kW</t>
  </si>
  <si>
    <t>60 codes removed from capital goods definition</t>
  </si>
  <si>
    <t>Removed from list</t>
  </si>
  <si>
    <t>Covers hydraulic cylinders that use pressurized fluid to create linear motion or force in machinery and equipmen</t>
  </si>
  <si>
    <t>Used in construction machinery (excavators, loaders), industrial automation, agricultural equipment, material handling, and manufacturing systems for lifting, pushing, clamping, or pressing operations</t>
  </si>
  <si>
    <t>Detachable cutting blades for power saws, used to cut wood, metals, composites, stone/concrete</t>
  </si>
  <si>
    <t>Reclassify</t>
  </si>
  <si>
    <t>Wood shops &amp; sawmills, metal fabrication, food processing (meat/fish), plastics shops. But the code covers the blade only</t>
  </si>
  <si>
    <t>Covers various types of saw blades that don’t fall under circular, band, or chain categories — usually detachable blades used with powered or manual tools</t>
  </si>
  <si>
    <t>Covers circular saw blades made of steel, designed for use in manual or powered saws to cut various materials.</t>
  </si>
  <si>
    <t>blades only - so consumables?</t>
  </si>
  <si>
    <t>Blade specific HS code</t>
  </si>
  <si>
    <t>Covers blades</t>
  </si>
  <si>
    <t>Consumables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</si>
</sst>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0.0000"/>
    <numFmt numFmtId="166" formatCode="0.00000"/>
  </numFmts>
  <fonts count="7">
    <font>
      <sz val="11"/>
      <color theme="1"/>
      <name val="Aptos Narrow"/>
      <family val="2"/>
      <scheme val="minor"/>
    </font>
    <font>
      <sz val="10.5"/>
      <color theme="1"/>
      <name val="Aptos Display"/>
      <family val="2"/>
      <scheme val="major"/>
    </font>
    <font>
      <b/>
      <sz val="10.5"/>
      <color theme="0"/>
      <name val="Aptos Display"/>
      <family val="2"/>
      <scheme val="major"/>
    </font>
    <font>
      <b/>
      <sz val="10.5"/>
      <color theme="1"/>
      <name val="Aptos Display"/>
      <family val="2"/>
      <scheme val="major"/>
    </font>
    <font>
      <sz val="10.5"/>
      <color theme="1"/>
      <name val="Calibri"/>
      <family val="2"/>
    </font>
    <font>
      <b/>
      <sz val="11"/>
      <color theme="0"/>
      <name val="Aptos Narrow"/>
      <family val="2"/>
      <scheme val="minor"/>
    </font>
    <font>
      <sz val="11"/>
      <color theme="1"/>
      <name val="Aptos Narrow"/>
      <family val="2"/>
      <scheme val="minor"/>
    </font>
  </fonts>
  <fills count="5">
    <fill>
      <patternFill patternType="none"/>
    </fill>
    <fill>
      <patternFill patternType="gray125"/>
    </fill>
    <fill>
      <patternFill patternType="solid">
        <fgColor theme="4"/>
        <bgColor indexed="64"/>
      </patternFill>
    </fill>
    <fill>
      <patternFill patternType="solid">
        <fgColor theme="5"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6" fillId="0" borderId="0" applyFont="0" applyFill="0" applyBorder="0" applyAlignment="0" applyProtection="0"/>
  </cellStyleXfs>
  <cellXfs count="26">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1" fillId="0" borderId="1" xfId="0" applyFont="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vertical="center" wrapText="1"/>
    </xf>
    <xf numFmtId="2" fontId="1" fillId="0" borderId="1" xfId="0" applyNumberFormat="1" applyFont="1" applyBorder="1" applyAlignment="1">
      <alignment vertical="center"/>
    </xf>
    <xf numFmtId="2" fontId="1" fillId="0" borderId="1" xfId="0" applyNumberFormat="1" applyFont="1" applyBorder="1" applyAlignment="1">
      <alignment vertical="center" wrapText="1"/>
    </xf>
    <xf numFmtId="0" fontId="4" fillId="0" borderId="1" xfId="0" applyFont="1" applyBorder="1" applyAlignment="1">
      <alignment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left" vertical="center" wrapText="1"/>
    </xf>
    <xf numFmtId="0" fontId="1" fillId="0" borderId="1" xfId="0" applyFont="1" applyBorder="1" applyAlignment="1">
      <alignment horizontal="center" vertical="center" wrapText="1"/>
    </xf>
    <xf numFmtId="2" fontId="1" fillId="0" borderId="1" xfId="0" applyNumberFormat="1" applyFont="1" applyBorder="1" applyAlignment="1">
      <alignment horizontal="center" vertical="center" wrapText="1"/>
    </xf>
    <xf numFmtId="165" fontId="1" fillId="0" borderId="1" xfId="0" applyNumberFormat="1" applyFont="1" applyBorder="1" applyAlignment="1">
      <alignment horizontal="center" vertical="center" wrapText="1"/>
    </xf>
    <xf numFmtId="0" fontId="5" fillId="2" borderId="0" xfId="0" applyFont="1" applyFill="1" applyAlignment="1">
      <alignment horizontal="center" vertical="center" wrapText="1"/>
    </xf>
    <xf numFmtId="0" fontId="1" fillId="0" borderId="0" xfId="0" applyFont="1" applyAlignment="1">
      <alignment horizontal="left" vertical="center" wrapText="1"/>
    </xf>
    <xf numFmtId="166" fontId="1" fillId="0" borderId="1" xfId="0" applyNumberFormat="1" applyFont="1" applyBorder="1" applyAlignment="1">
      <alignment horizontal="center" vertical="center" wrapText="1"/>
    </xf>
    <xf numFmtId="0" fontId="0" fillId="0" borderId="1" xfId="0" applyBorder="1" applyAlignment="1">
      <alignment wrapText="1"/>
    </xf>
    <xf numFmtId="0" fontId="0" fillId="0" borderId="0" xfId="0" applyAlignment="1">
      <alignment wrapText="1"/>
    </xf>
    <xf numFmtId="164" fontId="1" fillId="0" borderId="1" xfId="1" applyFont="1" applyBorder="1" applyAlignment="1">
      <alignment horizontal="left"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ED\Desktop\VG%20-%20Python%20Files\Analysis%20Files%20-%20Main\Capital%20Goods.xlsx" TargetMode="External"/><Relationship Id="rId1" Type="http://schemas.microsoft.com/office/2019/04/relationships/externalLinkLongPath" Target="Analysis%20Files%20-%20Main/Capital%20Good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le:///C:\Users\FED\Desktop\VG%20-%20Python%20Files\Analysis%20Files%20-%20Main\Electronics_CG_Supplier_Name.xlsx" TargetMode="External"/><Relationship Id="rId2" Type="http://schemas.microsoft.com/office/2019/04/relationships/externalLinkLongPath" Target="Analysis%20Files%20-%20Main/Electronics_CG_Supplier_Name.xlsx?7425B723" TargetMode="External"/><Relationship Id="rId1" Type="http://schemas.openxmlformats.org/officeDocument/2006/relationships/externalLinkPath" Target="file:///\\7425B723\Electronics_CG_Supplier_Nam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finition"/>
      <sheetName val="ccopy"/>
      <sheetName val="Sector Framework"/>
      <sheetName val="Sector Mapping"/>
      <sheetName val="Data Availability"/>
      <sheetName val="Classification"/>
      <sheetName val="Analysis &gt;&gt;"/>
      <sheetName val="Global EXIM"/>
      <sheetName val="Pivot-Global HS"/>
      <sheetName val="Top Supplier List"/>
      <sheetName val="India Summary"/>
      <sheetName val="Country EXIM"/>
      <sheetName val="India EXIM"/>
      <sheetName val="Sheet4"/>
      <sheetName val="India Pivot"/>
      <sheetName val="Sheet2"/>
      <sheetName val="China EXIM"/>
      <sheetName val="China Pivot"/>
      <sheetName val="Rough_Deficit"/>
      <sheetName val="Raw Data &gt;&gt;"/>
      <sheetName val="HS_Summary"/>
      <sheetName val="Country_Summary"/>
      <sheetName val="Pivot-Sector"/>
      <sheetName val="China_Summary"/>
      <sheetName val="India_Detail"/>
      <sheetName val="Sheet3"/>
      <sheetName val="India_Import_Segrigation"/>
      <sheetName val="India_Product wise"/>
      <sheetName val="India_CG_CountryWise"/>
      <sheetName val="Change in india import"/>
      <sheetName val="China Share in India "/>
      <sheetName val="EXIM"/>
      <sheetName val="Category_Country"/>
      <sheetName val="HS &amp; Product"/>
      <sheetName val="Cap Good Rationale"/>
    </sheetNames>
    <sheetDataSet>
      <sheetData sheetId="0">
        <row r="5">
          <cell r="D5">
            <v>10121</v>
          </cell>
          <cell r="E5" t="str">
            <v>Horses; live, pure-bred breeding animals</v>
          </cell>
          <cell r="F5">
            <v>0</v>
          </cell>
          <cell r="G5">
            <v>0</v>
          </cell>
          <cell r="H5">
            <v>0</v>
          </cell>
          <cell r="I5" t="str">
            <v>Others</v>
          </cell>
          <cell r="J5">
            <v>3</v>
          </cell>
          <cell r="K5" t="str">
            <v>Others</v>
          </cell>
        </row>
        <row r="6">
          <cell r="D6">
            <v>10129</v>
          </cell>
          <cell r="E6" t="str">
            <v>Horses; live, other than pure-bred breeding animals</v>
          </cell>
          <cell r="F6">
            <v>0</v>
          </cell>
          <cell r="G6">
            <v>0</v>
          </cell>
          <cell r="H6">
            <v>0</v>
          </cell>
          <cell r="I6" t="str">
            <v>Others</v>
          </cell>
          <cell r="J6">
            <v>3</v>
          </cell>
          <cell r="K6" t="str">
            <v>Others</v>
          </cell>
        </row>
        <row r="7">
          <cell r="D7">
            <v>10130</v>
          </cell>
          <cell r="E7" t="str">
            <v>Asses; live</v>
          </cell>
          <cell r="F7">
            <v>0</v>
          </cell>
          <cell r="G7">
            <v>0</v>
          </cell>
          <cell r="H7">
            <v>0</v>
          </cell>
          <cell r="I7" t="str">
            <v>Others</v>
          </cell>
          <cell r="J7">
            <v>3</v>
          </cell>
          <cell r="K7" t="str">
            <v>Others</v>
          </cell>
        </row>
        <row r="8">
          <cell r="D8">
            <v>10190</v>
          </cell>
          <cell r="E8" t="str">
            <v>Mules and hinnies; live</v>
          </cell>
          <cell r="F8">
            <v>0</v>
          </cell>
          <cell r="G8">
            <v>0</v>
          </cell>
          <cell r="H8">
            <v>0</v>
          </cell>
          <cell r="I8" t="str">
            <v>Others</v>
          </cell>
          <cell r="J8">
            <v>3</v>
          </cell>
          <cell r="K8" t="str">
            <v>Others</v>
          </cell>
        </row>
        <row r="9">
          <cell r="D9">
            <v>10221</v>
          </cell>
          <cell r="E9" t="str">
            <v>Cattle; live, pure-bred breeding animals</v>
          </cell>
          <cell r="F9">
            <v>0</v>
          </cell>
          <cell r="G9">
            <v>0</v>
          </cell>
          <cell r="H9">
            <v>0</v>
          </cell>
          <cell r="I9" t="str">
            <v>Others</v>
          </cell>
          <cell r="J9">
            <v>3</v>
          </cell>
          <cell r="K9" t="str">
            <v>Others</v>
          </cell>
        </row>
        <row r="10">
          <cell r="D10">
            <v>10229</v>
          </cell>
          <cell r="E10" t="str">
            <v>Cattle; live, other than pure-bred breeding animals</v>
          </cell>
          <cell r="F10">
            <v>0</v>
          </cell>
          <cell r="G10">
            <v>0</v>
          </cell>
          <cell r="H10">
            <v>0</v>
          </cell>
          <cell r="I10" t="str">
            <v>Others</v>
          </cell>
          <cell r="J10">
            <v>3</v>
          </cell>
          <cell r="K10" t="str">
            <v>Others</v>
          </cell>
        </row>
        <row r="11">
          <cell r="D11">
            <v>10231</v>
          </cell>
          <cell r="E11" t="str">
            <v>Buffalo; live, pure-bred breeding animals</v>
          </cell>
          <cell r="F11">
            <v>0</v>
          </cell>
          <cell r="G11">
            <v>0</v>
          </cell>
          <cell r="H11">
            <v>0</v>
          </cell>
          <cell r="I11" t="str">
            <v>Others</v>
          </cell>
          <cell r="J11">
            <v>3</v>
          </cell>
          <cell r="K11" t="str">
            <v>Others</v>
          </cell>
        </row>
        <row r="12">
          <cell r="D12">
            <v>10239</v>
          </cell>
          <cell r="E12" t="str">
            <v>Buffalo; live, other than pure-bred breeding animals</v>
          </cell>
          <cell r="F12">
            <v>0</v>
          </cell>
          <cell r="G12">
            <v>0</v>
          </cell>
          <cell r="H12">
            <v>0</v>
          </cell>
          <cell r="I12" t="str">
            <v>Others</v>
          </cell>
          <cell r="J12">
            <v>3</v>
          </cell>
          <cell r="K12" t="str">
            <v>Others</v>
          </cell>
        </row>
        <row r="13">
          <cell r="D13">
            <v>10290</v>
          </cell>
          <cell r="E13" t="str">
            <v>Bovine animals; live, other than cattle and buffalo</v>
          </cell>
          <cell r="F13">
            <v>0</v>
          </cell>
          <cell r="G13">
            <v>0</v>
          </cell>
          <cell r="H13">
            <v>0</v>
          </cell>
          <cell r="I13" t="str">
            <v>Others</v>
          </cell>
          <cell r="J13">
            <v>3</v>
          </cell>
          <cell r="K13" t="str">
            <v>Others</v>
          </cell>
        </row>
        <row r="14">
          <cell r="D14">
            <v>10310</v>
          </cell>
          <cell r="E14" t="str">
            <v>Swine; live, pure-bred breeding animals</v>
          </cell>
          <cell r="F14">
            <v>0</v>
          </cell>
          <cell r="G14">
            <v>0</v>
          </cell>
          <cell r="H14">
            <v>0</v>
          </cell>
          <cell r="I14" t="str">
            <v>Others</v>
          </cell>
          <cell r="J14">
            <v>3</v>
          </cell>
          <cell r="K14" t="str">
            <v>Others</v>
          </cell>
        </row>
        <row r="15">
          <cell r="D15">
            <v>10391</v>
          </cell>
          <cell r="E15" t="str">
            <v>Swine; live, other than pure-bred breeding animals, weighing less than 50kg</v>
          </cell>
          <cell r="F15">
            <v>0</v>
          </cell>
          <cell r="G15">
            <v>0</v>
          </cell>
          <cell r="H15">
            <v>0</v>
          </cell>
          <cell r="I15" t="str">
            <v>Others</v>
          </cell>
          <cell r="J15">
            <v>3</v>
          </cell>
          <cell r="K15" t="str">
            <v>Others</v>
          </cell>
        </row>
        <row r="16">
          <cell r="D16">
            <v>10392</v>
          </cell>
          <cell r="E16" t="str">
            <v>Swine; live, other than pure-bred breeding animals, weighing 50kg or more</v>
          </cell>
          <cell r="F16">
            <v>0</v>
          </cell>
          <cell r="G16">
            <v>0</v>
          </cell>
          <cell r="H16">
            <v>0</v>
          </cell>
          <cell r="I16" t="str">
            <v>Others</v>
          </cell>
          <cell r="J16">
            <v>3</v>
          </cell>
          <cell r="K16" t="str">
            <v>Others</v>
          </cell>
        </row>
        <row r="17">
          <cell r="D17">
            <v>10410</v>
          </cell>
          <cell r="E17" t="str">
            <v>Sheep; live</v>
          </cell>
          <cell r="F17">
            <v>0</v>
          </cell>
          <cell r="G17">
            <v>0</v>
          </cell>
          <cell r="H17">
            <v>0</v>
          </cell>
          <cell r="I17" t="str">
            <v>Others</v>
          </cell>
          <cell r="J17">
            <v>3</v>
          </cell>
          <cell r="K17" t="str">
            <v>Others</v>
          </cell>
        </row>
        <row r="18">
          <cell r="D18">
            <v>10420</v>
          </cell>
          <cell r="E18" t="str">
            <v>Goats; live</v>
          </cell>
          <cell r="F18">
            <v>0</v>
          </cell>
          <cell r="G18">
            <v>0</v>
          </cell>
          <cell r="H18">
            <v>0</v>
          </cell>
          <cell r="I18" t="str">
            <v>Others</v>
          </cell>
          <cell r="J18">
            <v>3</v>
          </cell>
          <cell r="K18" t="str">
            <v>Others</v>
          </cell>
        </row>
        <row r="19">
          <cell r="D19">
            <v>10511</v>
          </cell>
          <cell r="E19" t="str">
            <v>Poultry; live, fowls of the species Gallus domesticus, weighing not more than 185g</v>
          </cell>
          <cell r="F19">
            <v>0</v>
          </cell>
          <cell r="G19">
            <v>0</v>
          </cell>
          <cell r="H19">
            <v>0</v>
          </cell>
          <cell r="I19" t="str">
            <v>Others</v>
          </cell>
          <cell r="J19">
            <v>3</v>
          </cell>
          <cell r="K19" t="str">
            <v>Others</v>
          </cell>
        </row>
        <row r="20">
          <cell r="D20">
            <v>10512</v>
          </cell>
          <cell r="E20" t="str">
            <v>Poultry; live, turkeys, weighing not more than 185g</v>
          </cell>
          <cell r="F20">
            <v>0</v>
          </cell>
          <cell r="G20">
            <v>0</v>
          </cell>
          <cell r="H20">
            <v>0</v>
          </cell>
          <cell r="I20" t="str">
            <v>Others</v>
          </cell>
          <cell r="J20">
            <v>3</v>
          </cell>
          <cell r="K20" t="str">
            <v>Others</v>
          </cell>
        </row>
        <row r="21">
          <cell r="D21">
            <v>10513</v>
          </cell>
          <cell r="E21" t="str">
            <v>Poultry; live, ducks, weighing not more than 185g</v>
          </cell>
          <cell r="F21">
            <v>0</v>
          </cell>
          <cell r="G21">
            <v>0</v>
          </cell>
          <cell r="H21">
            <v>0</v>
          </cell>
          <cell r="I21" t="str">
            <v>Others</v>
          </cell>
          <cell r="J21">
            <v>3</v>
          </cell>
          <cell r="K21" t="str">
            <v>Others</v>
          </cell>
        </row>
        <row r="22">
          <cell r="D22">
            <v>10514</v>
          </cell>
          <cell r="E22" t="str">
            <v>Poultry; live, geese, weighing not more than 185g</v>
          </cell>
          <cell r="F22">
            <v>0</v>
          </cell>
          <cell r="G22">
            <v>0</v>
          </cell>
          <cell r="H22">
            <v>0</v>
          </cell>
          <cell r="I22" t="str">
            <v>Others</v>
          </cell>
          <cell r="J22">
            <v>3</v>
          </cell>
          <cell r="K22" t="str">
            <v>Others</v>
          </cell>
        </row>
        <row r="23">
          <cell r="D23">
            <v>10515</v>
          </cell>
          <cell r="E23" t="str">
            <v>Poultry; live, guinea fowls, weighing not more than 185g</v>
          </cell>
          <cell r="F23">
            <v>0</v>
          </cell>
          <cell r="G23">
            <v>0</v>
          </cell>
          <cell r="H23">
            <v>0</v>
          </cell>
          <cell r="I23" t="str">
            <v>Others</v>
          </cell>
          <cell r="J23">
            <v>3</v>
          </cell>
          <cell r="K23" t="str">
            <v>Others</v>
          </cell>
        </row>
        <row r="24">
          <cell r="D24">
            <v>10594</v>
          </cell>
          <cell r="E24" t="str">
            <v>Poultry; live, fowls of the species Gallus domesticus, weighing more than 185g</v>
          </cell>
          <cell r="F24">
            <v>0</v>
          </cell>
          <cell r="G24">
            <v>0</v>
          </cell>
          <cell r="H24">
            <v>0</v>
          </cell>
          <cell r="I24" t="str">
            <v>Others</v>
          </cell>
          <cell r="J24">
            <v>3</v>
          </cell>
          <cell r="K24" t="str">
            <v>Others</v>
          </cell>
        </row>
        <row r="25">
          <cell r="D25">
            <v>10599</v>
          </cell>
          <cell r="E25" t="str">
            <v>Poultry; live, ducks, geese, turkeys and guinea fowls, weighing more than 185g</v>
          </cell>
          <cell r="F25">
            <v>0</v>
          </cell>
          <cell r="G25">
            <v>0</v>
          </cell>
          <cell r="H25">
            <v>0</v>
          </cell>
          <cell r="I25" t="str">
            <v>Others</v>
          </cell>
          <cell r="J25">
            <v>3</v>
          </cell>
          <cell r="K25" t="str">
            <v>Others</v>
          </cell>
        </row>
        <row r="26">
          <cell r="D26">
            <v>10611</v>
          </cell>
          <cell r="E26" t="str">
            <v>Mammals; live, primates</v>
          </cell>
          <cell r="F26">
            <v>0</v>
          </cell>
          <cell r="G26">
            <v>0</v>
          </cell>
          <cell r="H26">
            <v>0</v>
          </cell>
          <cell r="I26" t="str">
            <v>Others</v>
          </cell>
          <cell r="J26">
            <v>3</v>
          </cell>
          <cell r="K26" t="str">
            <v>Others</v>
          </cell>
        </row>
        <row r="27">
          <cell r="D27">
            <v>10612</v>
          </cell>
          <cell r="E27" t="str">
            <v>Mammals; live, whales, dolphins and porpoises (mammals of the order Cetacea); manatees and dugongs (mammals of the order Sirenia); seals, sea lions and walruses (mammals of the suborder Pinnipedia)</v>
          </cell>
          <cell r="F27">
            <v>0</v>
          </cell>
          <cell r="G27">
            <v>0</v>
          </cell>
          <cell r="H27">
            <v>0</v>
          </cell>
          <cell r="I27" t="str">
            <v>Others</v>
          </cell>
          <cell r="J27">
            <v>3</v>
          </cell>
          <cell r="K27" t="str">
            <v>Others</v>
          </cell>
        </row>
        <row r="28">
          <cell r="D28">
            <v>10613</v>
          </cell>
          <cell r="E28" t="str">
            <v>Mammals; live, camels and other camelids (Camelidae)</v>
          </cell>
          <cell r="F28">
            <v>0</v>
          </cell>
          <cell r="G28">
            <v>0</v>
          </cell>
          <cell r="H28">
            <v>0</v>
          </cell>
          <cell r="I28" t="str">
            <v>Others</v>
          </cell>
          <cell r="J28">
            <v>3</v>
          </cell>
          <cell r="K28" t="str">
            <v>Others</v>
          </cell>
        </row>
        <row r="29">
          <cell r="D29">
            <v>10614</v>
          </cell>
          <cell r="E29" t="str">
            <v>Mammals; live, rabbits and hares</v>
          </cell>
          <cell r="F29">
            <v>0</v>
          </cell>
          <cell r="G29">
            <v>0</v>
          </cell>
          <cell r="H29">
            <v>0</v>
          </cell>
          <cell r="I29" t="str">
            <v>Others</v>
          </cell>
          <cell r="J29">
            <v>3</v>
          </cell>
          <cell r="K29" t="str">
            <v>Others</v>
          </cell>
        </row>
        <row r="30">
          <cell r="D30">
            <v>10619</v>
          </cell>
          <cell r="E30" t="str">
            <v>Mammals; live, other than primates, whales, dolphins, porpoises (mammals of the order Cetacea); manatees, dugongs (mammals of the order Sirenia); seals, sea lions, walruses (mammals of the suborder Pinnipedia), camels, other camelids, rabbits and hares</v>
          </cell>
          <cell r="F30">
            <v>0</v>
          </cell>
          <cell r="G30">
            <v>0</v>
          </cell>
          <cell r="H30">
            <v>0</v>
          </cell>
          <cell r="I30" t="str">
            <v>Others</v>
          </cell>
          <cell r="J30">
            <v>3</v>
          </cell>
          <cell r="K30" t="str">
            <v>Others</v>
          </cell>
        </row>
        <row r="31">
          <cell r="D31">
            <v>10620</v>
          </cell>
          <cell r="E31" t="str">
            <v>Reptiles; live (including snakes and turtles)</v>
          </cell>
          <cell r="F31">
            <v>0</v>
          </cell>
          <cell r="G31">
            <v>0</v>
          </cell>
          <cell r="H31">
            <v>0</v>
          </cell>
          <cell r="I31" t="str">
            <v>Others</v>
          </cell>
          <cell r="J31">
            <v>3</v>
          </cell>
          <cell r="K31" t="str">
            <v>Others</v>
          </cell>
        </row>
        <row r="32">
          <cell r="D32">
            <v>10631</v>
          </cell>
          <cell r="E32" t="str">
            <v>Birds; live, birds of prey</v>
          </cell>
          <cell r="F32">
            <v>0</v>
          </cell>
          <cell r="G32">
            <v>0</v>
          </cell>
          <cell r="H32">
            <v>0</v>
          </cell>
          <cell r="I32" t="str">
            <v>Others</v>
          </cell>
          <cell r="J32">
            <v>3</v>
          </cell>
          <cell r="K32" t="str">
            <v>Others</v>
          </cell>
        </row>
        <row r="33">
          <cell r="D33">
            <v>10632</v>
          </cell>
          <cell r="E33" t="str">
            <v>Birds; live, Psittaciformes</v>
          </cell>
          <cell r="F33">
            <v>0</v>
          </cell>
          <cell r="G33">
            <v>0</v>
          </cell>
          <cell r="H33">
            <v>0</v>
          </cell>
          <cell r="I33" t="str">
            <v>Others</v>
          </cell>
          <cell r="J33">
            <v>3</v>
          </cell>
          <cell r="K33" t="str">
            <v>Others</v>
          </cell>
        </row>
        <row r="34">
          <cell r="D34">
            <v>10633</v>
          </cell>
          <cell r="E34" t="str">
            <v>Birds; live, ostriches; emus (Dromaius novaehollandiae)</v>
          </cell>
          <cell r="F34">
            <v>0</v>
          </cell>
          <cell r="G34">
            <v>0</v>
          </cell>
          <cell r="H34">
            <v>0</v>
          </cell>
          <cell r="I34" t="str">
            <v>Others</v>
          </cell>
          <cell r="J34">
            <v>3</v>
          </cell>
          <cell r="K34" t="str">
            <v>Others</v>
          </cell>
        </row>
        <row r="35">
          <cell r="D35">
            <v>10639</v>
          </cell>
          <cell r="E35" t="str">
            <v>Birds; live, other than birds of prey, Psittaciformes, ostriches and emus (Dromaius novaehollandiae)</v>
          </cell>
          <cell r="F35">
            <v>0</v>
          </cell>
          <cell r="G35">
            <v>0</v>
          </cell>
          <cell r="H35">
            <v>0</v>
          </cell>
          <cell r="I35" t="str">
            <v>Others</v>
          </cell>
          <cell r="J35">
            <v>3</v>
          </cell>
          <cell r="K35" t="str">
            <v>Others</v>
          </cell>
        </row>
        <row r="36">
          <cell r="D36">
            <v>10641</v>
          </cell>
          <cell r="E36" t="str">
            <v>Insects; live, bees</v>
          </cell>
          <cell r="F36">
            <v>0</v>
          </cell>
          <cell r="G36">
            <v>0</v>
          </cell>
          <cell r="H36">
            <v>0</v>
          </cell>
          <cell r="I36" t="str">
            <v>Others</v>
          </cell>
          <cell r="J36">
            <v>3</v>
          </cell>
          <cell r="K36" t="str">
            <v>Others</v>
          </cell>
        </row>
        <row r="37">
          <cell r="D37">
            <v>10649</v>
          </cell>
          <cell r="E37" t="str">
            <v>Insects; live, other than bees</v>
          </cell>
          <cell r="F37">
            <v>0</v>
          </cell>
          <cell r="G37">
            <v>0</v>
          </cell>
          <cell r="H37">
            <v>0</v>
          </cell>
          <cell r="I37" t="str">
            <v>Others</v>
          </cell>
          <cell r="J37">
            <v>3</v>
          </cell>
          <cell r="K37" t="str">
            <v>Others</v>
          </cell>
        </row>
        <row r="38">
          <cell r="D38">
            <v>10690</v>
          </cell>
          <cell r="E38" t="str">
            <v>Animals; live, n.e.c. in chapter 01, other than mammals, reptiles, birds and insects</v>
          </cell>
          <cell r="F38">
            <v>0</v>
          </cell>
          <cell r="G38">
            <v>0</v>
          </cell>
          <cell r="H38">
            <v>0</v>
          </cell>
          <cell r="I38" t="str">
            <v>Others</v>
          </cell>
          <cell r="J38">
            <v>3</v>
          </cell>
          <cell r="K38" t="str">
            <v>Others</v>
          </cell>
        </row>
        <row r="39">
          <cell r="D39">
            <v>20110</v>
          </cell>
          <cell r="E39" t="str">
            <v>Meat; of bovine animals, carcasses and half-carcasses, fresh or chilled</v>
          </cell>
          <cell r="F39">
            <v>0</v>
          </cell>
          <cell r="G39">
            <v>0</v>
          </cell>
          <cell r="H39">
            <v>0</v>
          </cell>
          <cell r="I39" t="str">
            <v>Others</v>
          </cell>
          <cell r="J39">
            <v>3</v>
          </cell>
          <cell r="K39" t="str">
            <v>Others</v>
          </cell>
        </row>
        <row r="40">
          <cell r="D40">
            <v>20120</v>
          </cell>
          <cell r="E40" t="str">
            <v>Meat; of bovine animals, cuts with bone in (excluding carcasses and half-carcasses), fresh or chilled</v>
          </cell>
          <cell r="F40">
            <v>0</v>
          </cell>
          <cell r="G40">
            <v>0</v>
          </cell>
          <cell r="H40">
            <v>0</v>
          </cell>
          <cell r="I40" t="str">
            <v>Others</v>
          </cell>
          <cell r="J40">
            <v>3</v>
          </cell>
          <cell r="K40" t="str">
            <v>Others</v>
          </cell>
        </row>
        <row r="41">
          <cell r="D41">
            <v>20130</v>
          </cell>
          <cell r="E41" t="str">
            <v>Meat; of bovine animals, boneless cuts, fresh or chilled</v>
          </cell>
          <cell r="F41">
            <v>0</v>
          </cell>
          <cell r="G41">
            <v>0</v>
          </cell>
          <cell r="H41">
            <v>0</v>
          </cell>
          <cell r="I41" t="str">
            <v>Others</v>
          </cell>
          <cell r="J41">
            <v>3</v>
          </cell>
          <cell r="K41" t="str">
            <v>Others</v>
          </cell>
        </row>
        <row r="42">
          <cell r="D42">
            <v>20210</v>
          </cell>
          <cell r="E42" t="str">
            <v>Meat; of bovine animals, carcasses and half-carcasses, frozen</v>
          </cell>
          <cell r="F42">
            <v>0</v>
          </cell>
          <cell r="G42">
            <v>0</v>
          </cell>
          <cell r="H42">
            <v>0</v>
          </cell>
          <cell r="I42" t="str">
            <v>Others</v>
          </cell>
          <cell r="J42">
            <v>3</v>
          </cell>
          <cell r="K42" t="str">
            <v>Others</v>
          </cell>
        </row>
        <row r="43">
          <cell r="D43">
            <v>20220</v>
          </cell>
          <cell r="E43" t="str">
            <v>Meat; of bovine animals, cuts with bone in (excluding carcasses and half-carcasses), frozen</v>
          </cell>
          <cell r="F43">
            <v>0</v>
          </cell>
          <cell r="G43">
            <v>0</v>
          </cell>
          <cell r="H43">
            <v>0</v>
          </cell>
          <cell r="I43" t="str">
            <v>Others</v>
          </cell>
          <cell r="J43">
            <v>3</v>
          </cell>
          <cell r="K43" t="str">
            <v>Others</v>
          </cell>
        </row>
        <row r="44">
          <cell r="D44">
            <v>20230</v>
          </cell>
          <cell r="E44" t="str">
            <v>Meat; of bovine animals, boneless cuts, frozen</v>
          </cell>
          <cell r="F44">
            <v>0</v>
          </cell>
          <cell r="G44">
            <v>0</v>
          </cell>
          <cell r="H44">
            <v>0</v>
          </cell>
          <cell r="I44" t="str">
            <v>Others</v>
          </cell>
          <cell r="J44">
            <v>3</v>
          </cell>
          <cell r="K44" t="str">
            <v>Others</v>
          </cell>
        </row>
        <row r="45">
          <cell r="D45">
            <v>20311</v>
          </cell>
          <cell r="E45" t="str">
            <v>Meat; of swine, carcasses and half-carcasses, fresh or chilled</v>
          </cell>
          <cell r="F45">
            <v>0</v>
          </cell>
          <cell r="G45">
            <v>0</v>
          </cell>
          <cell r="H45">
            <v>0</v>
          </cell>
          <cell r="I45" t="str">
            <v>Others</v>
          </cell>
          <cell r="J45">
            <v>3</v>
          </cell>
          <cell r="K45" t="str">
            <v>Others</v>
          </cell>
        </row>
        <row r="46">
          <cell r="D46">
            <v>20312</v>
          </cell>
          <cell r="E46" t="str">
            <v>Meat; of swine, hams, shoulders and cuts thereof, with bone in, fresh or chilled</v>
          </cell>
          <cell r="F46">
            <v>0</v>
          </cell>
          <cell r="G46">
            <v>0</v>
          </cell>
          <cell r="H46">
            <v>0</v>
          </cell>
          <cell r="I46" t="str">
            <v>Others</v>
          </cell>
          <cell r="J46">
            <v>3</v>
          </cell>
          <cell r="K46" t="str">
            <v>Others</v>
          </cell>
        </row>
        <row r="47">
          <cell r="D47">
            <v>20319</v>
          </cell>
          <cell r="E47" t="str">
            <v>Meat; of swine, n.e.c. in item no. 0203.1, fresh or chilled</v>
          </cell>
          <cell r="F47">
            <v>0</v>
          </cell>
          <cell r="G47">
            <v>0</v>
          </cell>
          <cell r="H47">
            <v>0</v>
          </cell>
          <cell r="I47" t="str">
            <v>Others</v>
          </cell>
          <cell r="J47">
            <v>3</v>
          </cell>
          <cell r="K47" t="str">
            <v>Others</v>
          </cell>
        </row>
        <row r="48">
          <cell r="D48">
            <v>20321</v>
          </cell>
          <cell r="E48" t="str">
            <v>Meat; of swine, carcasses and half-carcasses, frozen</v>
          </cell>
          <cell r="F48">
            <v>0</v>
          </cell>
          <cell r="G48">
            <v>0</v>
          </cell>
          <cell r="H48">
            <v>0</v>
          </cell>
          <cell r="I48" t="str">
            <v>Others</v>
          </cell>
          <cell r="J48">
            <v>3</v>
          </cell>
          <cell r="K48" t="str">
            <v>Others</v>
          </cell>
        </row>
        <row r="49">
          <cell r="D49">
            <v>20322</v>
          </cell>
          <cell r="E49" t="str">
            <v>Meat; of swine, hams, shoulders and cuts thereof, with bone in, frozen</v>
          </cell>
          <cell r="F49">
            <v>0</v>
          </cell>
          <cell r="G49">
            <v>0</v>
          </cell>
          <cell r="H49">
            <v>0</v>
          </cell>
          <cell r="I49" t="str">
            <v>Others</v>
          </cell>
          <cell r="J49">
            <v>3</v>
          </cell>
          <cell r="K49" t="str">
            <v>Others</v>
          </cell>
        </row>
        <row r="50">
          <cell r="D50">
            <v>20329</v>
          </cell>
          <cell r="E50" t="str">
            <v>Meat; of swine, n.e.c. in item no. 0203.2, frozen</v>
          </cell>
          <cell r="F50">
            <v>0</v>
          </cell>
          <cell r="G50">
            <v>0</v>
          </cell>
          <cell r="H50">
            <v>0</v>
          </cell>
          <cell r="I50" t="str">
            <v>Others</v>
          </cell>
          <cell r="J50">
            <v>3</v>
          </cell>
          <cell r="K50" t="str">
            <v>Others</v>
          </cell>
        </row>
        <row r="51">
          <cell r="D51">
            <v>20410</v>
          </cell>
          <cell r="E51" t="str">
            <v>Meat; of sheep, lamb carcasses and half-carcasses, fresh or chilled</v>
          </cell>
          <cell r="F51">
            <v>0</v>
          </cell>
          <cell r="G51">
            <v>0</v>
          </cell>
          <cell r="H51">
            <v>0</v>
          </cell>
          <cell r="I51" t="str">
            <v>Others</v>
          </cell>
          <cell r="J51">
            <v>3</v>
          </cell>
          <cell r="K51" t="str">
            <v>Others</v>
          </cell>
        </row>
        <row r="52">
          <cell r="D52">
            <v>20421</v>
          </cell>
          <cell r="E52" t="str">
            <v>Meat; of sheep, carcasses and half-carcasses (excluding carcasses and half-carcasses of lamb), fresh or chilled</v>
          </cell>
          <cell r="F52">
            <v>0</v>
          </cell>
          <cell r="G52">
            <v>0</v>
          </cell>
          <cell r="H52">
            <v>0</v>
          </cell>
          <cell r="I52" t="str">
            <v>Others</v>
          </cell>
          <cell r="J52">
            <v>3</v>
          </cell>
          <cell r="K52" t="str">
            <v>Others</v>
          </cell>
        </row>
        <row r="53">
          <cell r="D53">
            <v>20422</v>
          </cell>
          <cell r="E53" t="str">
            <v>Meat; of sheep (including lamb), cuts with bone in (excluding carcasses and half-carcasses), fresh or chilled</v>
          </cell>
          <cell r="F53">
            <v>0</v>
          </cell>
          <cell r="G53">
            <v>0</v>
          </cell>
          <cell r="H53">
            <v>0</v>
          </cell>
          <cell r="I53" t="str">
            <v>Others</v>
          </cell>
          <cell r="J53">
            <v>3</v>
          </cell>
          <cell r="K53" t="str">
            <v>Others</v>
          </cell>
        </row>
        <row r="54">
          <cell r="D54">
            <v>20423</v>
          </cell>
          <cell r="E54" t="str">
            <v>Meat; of sheep (including lamb), boneless cuts, fresh or chilled</v>
          </cell>
          <cell r="F54">
            <v>0</v>
          </cell>
          <cell r="G54">
            <v>0</v>
          </cell>
          <cell r="H54">
            <v>0</v>
          </cell>
          <cell r="I54" t="str">
            <v>Others</v>
          </cell>
          <cell r="J54">
            <v>3</v>
          </cell>
          <cell r="K54" t="str">
            <v>Others</v>
          </cell>
        </row>
        <row r="55">
          <cell r="D55">
            <v>20430</v>
          </cell>
          <cell r="E55" t="str">
            <v>Meat; of sheep, lamb carcasses and half-carcasses, frozen</v>
          </cell>
          <cell r="F55">
            <v>0</v>
          </cell>
          <cell r="G55">
            <v>0</v>
          </cell>
          <cell r="H55">
            <v>0</v>
          </cell>
          <cell r="I55" t="str">
            <v>Others</v>
          </cell>
          <cell r="J55">
            <v>3</v>
          </cell>
          <cell r="K55" t="str">
            <v>Others</v>
          </cell>
        </row>
        <row r="56">
          <cell r="D56">
            <v>20441</v>
          </cell>
          <cell r="E56" t="str">
            <v>Meat; of sheep, carcasses and half-carcasses (excluding carcasses and half-carcasses of lamb), frozen</v>
          </cell>
          <cell r="F56">
            <v>0</v>
          </cell>
          <cell r="G56">
            <v>0</v>
          </cell>
          <cell r="H56">
            <v>0</v>
          </cell>
          <cell r="I56" t="str">
            <v>Others</v>
          </cell>
          <cell r="J56">
            <v>3</v>
          </cell>
          <cell r="K56" t="str">
            <v>Others</v>
          </cell>
        </row>
        <row r="57">
          <cell r="D57">
            <v>20442</v>
          </cell>
          <cell r="E57" t="str">
            <v>Meat; of sheep (including lamb), cuts with bone in (excluding carcasses and half-carcasses), frozen</v>
          </cell>
          <cell r="F57">
            <v>0</v>
          </cell>
          <cell r="G57">
            <v>0</v>
          </cell>
          <cell r="H57">
            <v>0</v>
          </cell>
          <cell r="I57" t="str">
            <v>Others</v>
          </cell>
          <cell r="J57">
            <v>3</v>
          </cell>
          <cell r="K57" t="str">
            <v>Others</v>
          </cell>
        </row>
        <row r="58">
          <cell r="D58">
            <v>20443</v>
          </cell>
          <cell r="E58" t="str">
            <v>Meat; of sheep (including lamb), boneless cuts, frozen</v>
          </cell>
          <cell r="F58">
            <v>0</v>
          </cell>
          <cell r="G58">
            <v>0</v>
          </cell>
          <cell r="H58">
            <v>0</v>
          </cell>
          <cell r="I58" t="str">
            <v>Others</v>
          </cell>
          <cell r="J58">
            <v>3</v>
          </cell>
          <cell r="K58" t="str">
            <v>Others</v>
          </cell>
        </row>
        <row r="59">
          <cell r="D59">
            <v>20450</v>
          </cell>
          <cell r="E59" t="str">
            <v>Meat; of goats, fresh, chilled or frozen</v>
          </cell>
          <cell r="F59">
            <v>0</v>
          </cell>
          <cell r="G59">
            <v>0</v>
          </cell>
          <cell r="H59">
            <v>0</v>
          </cell>
          <cell r="I59" t="str">
            <v>Others</v>
          </cell>
          <cell r="J59">
            <v>3</v>
          </cell>
          <cell r="K59" t="str">
            <v>Others</v>
          </cell>
        </row>
        <row r="60">
          <cell r="D60">
            <v>20500</v>
          </cell>
          <cell r="E60" t="str">
            <v>Meat; of horses, asses, mules or hinnies, fresh, chilled or frozen</v>
          </cell>
          <cell r="F60">
            <v>0</v>
          </cell>
          <cell r="G60">
            <v>0</v>
          </cell>
          <cell r="H60">
            <v>0</v>
          </cell>
          <cell r="I60" t="str">
            <v>Others</v>
          </cell>
          <cell r="J60">
            <v>3</v>
          </cell>
          <cell r="K60" t="str">
            <v>Others</v>
          </cell>
        </row>
        <row r="61">
          <cell r="D61">
            <v>20610</v>
          </cell>
          <cell r="E61" t="str">
            <v>Offal, edible; of bovine animals, fresh or chilled</v>
          </cell>
          <cell r="F61">
            <v>0</v>
          </cell>
          <cell r="G61">
            <v>0</v>
          </cell>
          <cell r="H61">
            <v>0</v>
          </cell>
          <cell r="I61" t="str">
            <v>Others</v>
          </cell>
          <cell r="J61">
            <v>3</v>
          </cell>
          <cell r="K61" t="str">
            <v>Others</v>
          </cell>
        </row>
        <row r="62">
          <cell r="D62">
            <v>20621</v>
          </cell>
          <cell r="E62" t="str">
            <v>Offal, edible; of bovine animals, tongues, frozen</v>
          </cell>
          <cell r="F62">
            <v>0</v>
          </cell>
          <cell r="G62">
            <v>0</v>
          </cell>
          <cell r="H62">
            <v>0</v>
          </cell>
          <cell r="I62" t="str">
            <v>Others</v>
          </cell>
          <cell r="J62">
            <v>3</v>
          </cell>
          <cell r="K62" t="str">
            <v>Others</v>
          </cell>
        </row>
        <row r="63">
          <cell r="D63">
            <v>20622</v>
          </cell>
          <cell r="E63" t="str">
            <v>Offal, edible; of bovine animals, livers, frozen</v>
          </cell>
          <cell r="F63">
            <v>0</v>
          </cell>
          <cell r="G63">
            <v>0</v>
          </cell>
          <cell r="H63">
            <v>0</v>
          </cell>
          <cell r="I63" t="str">
            <v>Others</v>
          </cell>
          <cell r="J63">
            <v>3</v>
          </cell>
          <cell r="K63" t="str">
            <v>Others</v>
          </cell>
        </row>
        <row r="64">
          <cell r="D64">
            <v>20629</v>
          </cell>
          <cell r="E64" t="str">
            <v>Offal, edible; of bovine animals, (other than tongues and livers), frozen</v>
          </cell>
          <cell r="F64">
            <v>0</v>
          </cell>
          <cell r="G64">
            <v>0</v>
          </cell>
          <cell r="H64">
            <v>0</v>
          </cell>
          <cell r="I64" t="str">
            <v>Others</v>
          </cell>
          <cell r="J64">
            <v>3</v>
          </cell>
          <cell r="K64" t="str">
            <v>Others</v>
          </cell>
        </row>
        <row r="65">
          <cell r="D65">
            <v>20630</v>
          </cell>
          <cell r="E65" t="str">
            <v>Offal, edible; of swine, fresh or chilled</v>
          </cell>
          <cell r="F65">
            <v>0</v>
          </cell>
          <cell r="G65">
            <v>0</v>
          </cell>
          <cell r="H65">
            <v>0</v>
          </cell>
          <cell r="I65" t="str">
            <v>Others</v>
          </cell>
          <cell r="J65">
            <v>3</v>
          </cell>
          <cell r="K65" t="str">
            <v>Others</v>
          </cell>
        </row>
        <row r="66">
          <cell r="D66">
            <v>20641</v>
          </cell>
          <cell r="E66" t="str">
            <v>Offal, edible; of swine, livers, frozen</v>
          </cell>
          <cell r="F66">
            <v>0</v>
          </cell>
          <cell r="G66">
            <v>0</v>
          </cell>
          <cell r="H66">
            <v>0</v>
          </cell>
          <cell r="I66" t="str">
            <v>Others</v>
          </cell>
          <cell r="J66">
            <v>3</v>
          </cell>
          <cell r="K66" t="str">
            <v>Others</v>
          </cell>
        </row>
        <row r="67">
          <cell r="D67">
            <v>20649</v>
          </cell>
          <cell r="E67" t="str">
            <v>Offal, edible; of swine, (other than livers), frozen</v>
          </cell>
          <cell r="F67">
            <v>0</v>
          </cell>
          <cell r="G67">
            <v>0</v>
          </cell>
          <cell r="H67">
            <v>0</v>
          </cell>
          <cell r="I67" t="str">
            <v>Others</v>
          </cell>
          <cell r="J67">
            <v>3</v>
          </cell>
          <cell r="K67" t="str">
            <v>Others</v>
          </cell>
        </row>
        <row r="68">
          <cell r="D68">
            <v>20680</v>
          </cell>
          <cell r="E68" t="str">
            <v>Offal, edible; of sheep, goats, horses, asses, mules or hinnies, fresh or chilled</v>
          </cell>
          <cell r="F68">
            <v>0</v>
          </cell>
          <cell r="G68">
            <v>0</v>
          </cell>
          <cell r="H68">
            <v>0</v>
          </cell>
          <cell r="I68" t="str">
            <v>Others</v>
          </cell>
          <cell r="J68">
            <v>3</v>
          </cell>
          <cell r="K68" t="str">
            <v>Others</v>
          </cell>
        </row>
        <row r="69">
          <cell r="D69">
            <v>20690</v>
          </cell>
          <cell r="E69" t="str">
            <v>Offal, edible; of sheep, goats, horses, asses, mules or hinnies, frozen</v>
          </cell>
          <cell r="F69">
            <v>0</v>
          </cell>
          <cell r="G69">
            <v>0</v>
          </cell>
          <cell r="H69">
            <v>0</v>
          </cell>
          <cell r="I69" t="str">
            <v>Others</v>
          </cell>
          <cell r="J69">
            <v>3</v>
          </cell>
          <cell r="K69" t="str">
            <v>Others</v>
          </cell>
        </row>
        <row r="70">
          <cell r="D70">
            <v>20711</v>
          </cell>
          <cell r="E70" t="str">
            <v>Meat and edible offal; of fowls of the species Gallus domesticus, not cut in pieces, fresh or chilled</v>
          </cell>
          <cell r="F70">
            <v>0</v>
          </cell>
          <cell r="G70">
            <v>0</v>
          </cell>
          <cell r="H70">
            <v>0</v>
          </cell>
          <cell r="I70" t="str">
            <v>Others</v>
          </cell>
          <cell r="J70">
            <v>3</v>
          </cell>
          <cell r="K70" t="str">
            <v>Others</v>
          </cell>
        </row>
        <row r="71">
          <cell r="D71">
            <v>20712</v>
          </cell>
          <cell r="E71" t="str">
            <v>Meat and edible offal; of fowls of the species Gallus domesticus, not cut in pieces, frozen</v>
          </cell>
          <cell r="F71">
            <v>0</v>
          </cell>
          <cell r="G71">
            <v>0</v>
          </cell>
          <cell r="H71">
            <v>0</v>
          </cell>
          <cell r="I71" t="str">
            <v>Others</v>
          </cell>
          <cell r="J71">
            <v>3</v>
          </cell>
          <cell r="K71" t="str">
            <v>Others</v>
          </cell>
        </row>
        <row r="72">
          <cell r="D72">
            <v>20713</v>
          </cell>
          <cell r="E72" t="str">
            <v>Meat and edible offal; of fowls of the species Gallus domesticus, cuts and offal, fresh or chilled</v>
          </cell>
          <cell r="F72">
            <v>0</v>
          </cell>
          <cell r="G72">
            <v>0</v>
          </cell>
          <cell r="H72">
            <v>0</v>
          </cell>
          <cell r="I72" t="str">
            <v>Others</v>
          </cell>
          <cell r="J72">
            <v>3</v>
          </cell>
          <cell r="K72" t="str">
            <v>Others</v>
          </cell>
        </row>
        <row r="73">
          <cell r="D73">
            <v>20714</v>
          </cell>
          <cell r="E73" t="str">
            <v>Meat and edible offal; of fowls of the species Gallus domesticus, cuts and offal, frozen</v>
          </cell>
          <cell r="F73">
            <v>0</v>
          </cell>
          <cell r="G73">
            <v>0</v>
          </cell>
          <cell r="H73">
            <v>0</v>
          </cell>
          <cell r="I73" t="str">
            <v>Others</v>
          </cell>
          <cell r="J73">
            <v>3</v>
          </cell>
          <cell r="K73" t="str">
            <v>Others</v>
          </cell>
        </row>
        <row r="74">
          <cell r="D74">
            <v>20724</v>
          </cell>
          <cell r="E74" t="str">
            <v>Meat and edible offal; of turkeys, not cut in pieces, fresh or chilled</v>
          </cell>
          <cell r="F74">
            <v>0</v>
          </cell>
          <cell r="G74">
            <v>0</v>
          </cell>
          <cell r="H74">
            <v>0</v>
          </cell>
          <cell r="I74" t="str">
            <v>Others</v>
          </cell>
          <cell r="J74">
            <v>3</v>
          </cell>
          <cell r="K74" t="str">
            <v>Others</v>
          </cell>
        </row>
        <row r="75">
          <cell r="D75">
            <v>20725</v>
          </cell>
          <cell r="E75" t="str">
            <v>Meat and edible offal; of turkeys, not cut in pieces, frozen</v>
          </cell>
          <cell r="F75">
            <v>0</v>
          </cell>
          <cell r="G75">
            <v>0</v>
          </cell>
          <cell r="H75">
            <v>0</v>
          </cell>
          <cell r="I75" t="str">
            <v>Others</v>
          </cell>
          <cell r="J75">
            <v>3</v>
          </cell>
          <cell r="K75" t="str">
            <v>Others</v>
          </cell>
        </row>
        <row r="76">
          <cell r="D76">
            <v>20726</v>
          </cell>
          <cell r="E76" t="str">
            <v>Meat and edible offal; of turkeys, cuts and offal, fresh or chilled</v>
          </cell>
          <cell r="F76">
            <v>0</v>
          </cell>
          <cell r="G76">
            <v>0</v>
          </cell>
          <cell r="H76">
            <v>0</v>
          </cell>
          <cell r="I76" t="str">
            <v>Others</v>
          </cell>
          <cell r="J76">
            <v>3</v>
          </cell>
          <cell r="K76" t="str">
            <v>Others</v>
          </cell>
        </row>
        <row r="77">
          <cell r="D77">
            <v>20727</v>
          </cell>
          <cell r="E77" t="str">
            <v>Meat and edible offal; of turkeys, cuts and offal, frozen</v>
          </cell>
          <cell r="F77">
            <v>0</v>
          </cell>
          <cell r="G77">
            <v>0</v>
          </cell>
          <cell r="H77">
            <v>0</v>
          </cell>
          <cell r="I77" t="str">
            <v>Others</v>
          </cell>
          <cell r="J77">
            <v>3</v>
          </cell>
          <cell r="K77" t="str">
            <v>Others</v>
          </cell>
        </row>
        <row r="78">
          <cell r="D78">
            <v>20741</v>
          </cell>
          <cell r="E78" t="str">
            <v>Meat and edible offal; of ducks, not cut in pieces, fresh or chilled</v>
          </cell>
          <cell r="F78">
            <v>0</v>
          </cell>
          <cell r="G78">
            <v>0</v>
          </cell>
          <cell r="H78">
            <v>0</v>
          </cell>
          <cell r="I78" t="str">
            <v>Others</v>
          </cell>
          <cell r="J78">
            <v>3</v>
          </cell>
          <cell r="K78" t="str">
            <v>Others</v>
          </cell>
        </row>
        <row r="79">
          <cell r="D79">
            <v>20742</v>
          </cell>
          <cell r="E79" t="str">
            <v>Meat and edible offal; of ducks, not cut in pieces, frozen</v>
          </cell>
          <cell r="F79">
            <v>0</v>
          </cell>
          <cell r="G79">
            <v>0</v>
          </cell>
          <cell r="H79">
            <v>0</v>
          </cell>
          <cell r="I79" t="str">
            <v>Others</v>
          </cell>
          <cell r="J79">
            <v>3</v>
          </cell>
          <cell r="K79" t="str">
            <v>Others</v>
          </cell>
        </row>
        <row r="80">
          <cell r="D80">
            <v>20743</v>
          </cell>
          <cell r="E80" t="str">
            <v>Meat and edible offal; of ducks, fatty livers (foie gras), fresh or chilled</v>
          </cell>
          <cell r="F80">
            <v>0</v>
          </cell>
          <cell r="G80">
            <v>0</v>
          </cell>
          <cell r="H80">
            <v>0</v>
          </cell>
          <cell r="I80" t="str">
            <v>Others</v>
          </cell>
          <cell r="J80">
            <v>3</v>
          </cell>
          <cell r="K80" t="str">
            <v>Others</v>
          </cell>
        </row>
        <row r="81">
          <cell r="D81">
            <v>20744</v>
          </cell>
          <cell r="E81" t="str">
            <v>Meat and edible offal; of ducks, cuts and offal, excluding fatty livers, fresh or chilled</v>
          </cell>
          <cell r="F81">
            <v>0</v>
          </cell>
          <cell r="G81">
            <v>0</v>
          </cell>
          <cell r="H81">
            <v>0</v>
          </cell>
          <cell r="I81" t="str">
            <v>Others</v>
          </cell>
          <cell r="J81">
            <v>3</v>
          </cell>
          <cell r="K81" t="str">
            <v>Others</v>
          </cell>
        </row>
        <row r="82">
          <cell r="D82">
            <v>20745</v>
          </cell>
          <cell r="E82" t="str">
            <v>Meat and edible offal; of ducks, cuts and offal, excluding fatty livers, frozen</v>
          </cell>
          <cell r="F82">
            <v>0</v>
          </cell>
          <cell r="G82">
            <v>0</v>
          </cell>
          <cell r="H82">
            <v>0</v>
          </cell>
          <cell r="I82" t="str">
            <v>Others</v>
          </cell>
          <cell r="J82">
            <v>3</v>
          </cell>
          <cell r="K82" t="str">
            <v>Others</v>
          </cell>
        </row>
        <row r="83">
          <cell r="D83">
            <v>20751</v>
          </cell>
          <cell r="E83" t="str">
            <v>Meat and edible offal; of geese, not cut in pieces, fresh or chilled</v>
          </cell>
          <cell r="F83">
            <v>0</v>
          </cell>
          <cell r="G83">
            <v>0</v>
          </cell>
          <cell r="H83">
            <v>0</v>
          </cell>
          <cell r="I83" t="str">
            <v>Others</v>
          </cell>
          <cell r="J83">
            <v>3</v>
          </cell>
          <cell r="K83" t="str">
            <v>Others</v>
          </cell>
        </row>
        <row r="84">
          <cell r="D84">
            <v>20752</v>
          </cell>
          <cell r="E84" t="str">
            <v>Meat and edible offal; of geese, not cut in pieces, frozen</v>
          </cell>
          <cell r="F84">
            <v>0</v>
          </cell>
          <cell r="G84">
            <v>0</v>
          </cell>
          <cell r="H84">
            <v>0</v>
          </cell>
          <cell r="I84" t="str">
            <v>Others</v>
          </cell>
          <cell r="J84">
            <v>3</v>
          </cell>
          <cell r="K84" t="str">
            <v>Others</v>
          </cell>
        </row>
        <row r="85">
          <cell r="D85">
            <v>20753</v>
          </cell>
          <cell r="E85" t="str">
            <v>Meat and edible offal; of geese, fatty livers (foie gras), fresh or chilled</v>
          </cell>
          <cell r="F85">
            <v>0</v>
          </cell>
          <cell r="G85">
            <v>0</v>
          </cell>
          <cell r="H85">
            <v>0</v>
          </cell>
          <cell r="I85" t="str">
            <v>Others</v>
          </cell>
          <cell r="J85">
            <v>3</v>
          </cell>
          <cell r="K85" t="str">
            <v>Others</v>
          </cell>
        </row>
        <row r="86">
          <cell r="D86">
            <v>20754</v>
          </cell>
          <cell r="E86" t="str">
            <v>Meat and edible offal; of geese, cuts and offal, excluding fatty livers, fresh or chilled</v>
          </cell>
          <cell r="F86">
            <v>0</v>
          </cell>
          <cell r="G86">
            <v>0</v>
          </cell>
          <cell r="H86">
            <v>0</v>
          </cell>
          <cell r="I86" t="str">
            <v>Others</v>
          </cell>
          <cell r="J86">
            <v>3</v>
          </cell>
          <cell r="K86" t="str">
            <v>Others</v>
          </cell>
        </row>
        <row r="87">
          <cell r="D87">
            <v>20755</v>
          </cell>
          <cell r="E87" t="str">
            <v>Meat and edible offal; of geese, cuts and offal, excluding fatty livers, frozen</v>
          </cell>
          <cell r="F87">
            <v>0</v>
          </cell>
          <cell r="G87">
            <v>0</v>
          </cell>
          <cell r="H87">
            <v>0</v>
          </cell>
          <cell r="I87" t="str">
            <v>Others</v>
          </cell>
          <cell r="J87">
            <v>3</v>
          </cell>
          <cell r="K87" t="str">
            <v>Others</v>
          </cell>
        </row>
        <row r="88">
          <cell r="D88">
            <v>20760</v>
          </cell>
          <cell r="E88" t="str">
            <v>Meat and edible offal; of guinea fowls, fresh, chilled or frozen</v>
          </cell>
          <cell r="F88">
            <v>0</v>
          </cell>
          <cell r="G88">
            <v>0</v>
          </cell>
          <cell r="H88">
            <v>0</v>
          </cell>
          <cell r="I88" t="str">
            <v>Others</v>
          </cell>
          <cell r="J88">
            <v>3</v>
          </cell>
          <cell r="K88" t="str">
            <v>Others</v>
          </cell>
        </row>
        <row r="89">
          <cell r="D89">
            <v>20810</v>
          </cell>
          <cell r="E89" t="str">
            <v>Meat and edible meat offal; of rabbits or hares, fresh, chilled or frozen</v>
          </cell>
          <cell r="F89">
            <v>0</v>
          </cell>
          <cell r="G89">
            <v>0</v>
          </cell>
          <cell r="H89">
            <v>0</v>
          </cell>
          <cell r="I89" t="str">
            <v>Others</v>
          </cell>
          <cell r="J89">
            <v>3</v>
          </cell>
          <cell r="K89" t="str">
            <v>Others</v>
          </cell>
        </row>
        <row r="90">
          <cell r="D90">
            <v>20830</v>
          </cell>
          <cell r="E90" t="str">
            <v>Meat and edible meat offal; of primates, fresh, chilled or frozen</v>
          </cell>
          <cell r="F90">
            <v>0</v>
          </cell>
          <cell r="G90">
            <v>0</v>
          </cell>
          <cell r="H90">
            <v>0</v>
          </cell>
          <cell r="I90" t="str">
            <v>Others</v>
          </cell>
          <cell r="J90">
            <v>3</v>
          </cell>
          <cell r="K90" t="str">
            <v>Others</v>
          </cell>
        </row>
        <row r="91">
          <cell r="D91">
            <v>20840</v>
          </cell>
          <cell r="E91" t="str">
            <v>Meat and edible meat offal; of whales, dolphins and porpoises (mammals of the order Cetacea); of manatees and dugongs (mammals of the order Sirenia); of seals, sea lions and walruses (mammals of the suborder Pinnipedia), fresh, chilled or frozen</v>
          </cell>
          <cell r="F91">
            <v>0</v>
          </cell>
          <cell r="G91">
            <v>0</v>
          </cell>
          <cell r="H91">
            <v>0</v>
          </cell>
          <cell r="I91" t="str">
            <v>Others</v>
          </cell>
          <cell r="J91">
            <v>3</v>
          </cell>
          <cell r="K91" t="str">
            <v>Others</v>
          </cell>
        </row>
        <row r="92">
          <cell r="D92">
            <v>20850</v>
          </cell>
          <cell r="E92" t="str">
            <v>Meat and edible meat offal; of reptiles (including snakes and turtles), fresh, chilled or frozen</v>
          </cell>
          <cell r="F92">
            <v>0</v>
          </cell>
          <cell r="G92">
            <v>0</v>
          </cell>
          <cell r="H92">
            <v>0</v>
          </cell>
          <cell r="I92" t="str">
            <v>Others</v>
          </cell>
          <cell r="J92">
            <v>3</v>
          </cell>
          <cell r="K92" t="str">
            <v>Others</v>
          </cell>
        </row>
        <row r="93">
          <cell r="D93">
            <v>20860</v>
          </cell>
          <cell r="E93" t="str">
            <v>Meat and edible meat offal; of camels and other camelids (Camelidae), fresh, chilled or frozen</v>
          </cell>
          <cell r="F93">
            <v>0</v>
          </cell>
          <cell r="G93">
            <v>0</v>
          </cell>
          <cell r="H93">
            <v>0</v>
          </cell>
          <cell r="I93" t="str">
            <v>Others</v>
          </cell>
          <cell r="J93">
            <v>3</v>
          </cell>
          <cell r="K93" t="str">
            <v>Others</v>
          </cell>
        </row>
        <row r="94">
          <cell r="D94">
            <v>20890</v>
          </cell>
          <cell r="E94" t="str">
            <v>Meat and edible meat offal; n.e.c. in chapter 2, fresh, chilled or frozen</v>
          </cell>
          <cell r="F94">
            <v>0</v>
          </cell>
          <cell r="G94">
            <v>0</v>
          </cell>
          <cell r="H94">
            <v>0</v>
          </cell>
          <cell r="I94" t="str">
            <v>Others</v>
          </cell>
          <cell r="J94">
            <v>3</v>
          </cell>
          <cell r="K94" t="str">
            <v>Others</v>
          </cell>
        </row>
        <row r="95">
          <cell r="D95">
            <v>20910</v>
          </cell>
          <cell r="E95" t="str">
            <v>Fat; pig fat, free of lean meat, not rendered or otherwise extracted, fresh, chilled, frozen, salted, in brine, dried or smoked</v>
          </cell>
          <cell r="F95">
            <v>0</v>
          </cell>
          <cell r="G95">
            <v>0</v>
          </cell>
          <cell r="H95">
            <v>0</v>
          </cell>
          <cell r="I95" t="str">
            <v>Others</v>
          </cell>
          <cell r="J95">
            <v>3</v>
          </cell>
          <cell r="K95" t="str">
            <v>Others</v>
          </cell>
        </row>
        <row r="96">
          <cell r="D96">
            <v>20990</v>
          </cell>
          <cell r="E96" t="str">
            <v>Fat; poultry fat, not rendered or otherwise extracted, fresh, chilled, frozen, salted, in brine, dried or smoked</v>
          </cell>
          <cell r="F96">
            <v>0</v>
          </cell>
          <cell r="G96">
            <v>0</v>
          </cell>
          <cell r="H96">
            <v>0</v>
          </cell>
          <cell r="I96" t="str">
            <v>Others</v>
          </cell>
          <cell r="J96">
            <v>3</v>
          </cell>
          <cell r="K96" t="str">
            <v>Others</v>
          </cell>
        </row>
        <row r="97">
          <cell r="D97">
            <v>21011</v>
          </cell>
          <cell r="E97" t="str">
            <v>Meat; salted, in brine, dried or smoked, of swine, hams, shoulders and cuts thereof, with bone in</v>
          </cell>
          <cell r="F97">
            <v>0</v>
          </cell>
          <cell r="G97">
            <v>0</v>
          </cell>
          <cell r="H97">
            <v>0</v>
          </cell>
          <cell r="I97" t="str">
            <v>Others</v>
          </cell>
          <cell r="J97">
            <v>3</v>
          </cell>
          <cell r="K97" t="str">
            <v>Others</v>
          </cell>
        </row>
        <row r="98">
          <cell r="D98">
            <v>21012</v>
          </cell>
          <cell r="E98" t="str">
            <v>Meat; salted, in brine, dried or smoked, of swine, bellies (streaky) and cuts thereof</v>
          </cell>
          <cell r="F98">
            <v>0</v>
          </cell>
          <cell r="G98">
            <v>0</v>
          </cell>
          <cell r="H98">
            <v>0</v>
          </cell>
          <cell r="I98" t="str">
            <v>Others</v>
          </cell>
          <cell r="J98">
            <v>3</v>
          </cell>
          <cell r="K98" t="str">
            <v>Others</v>
          </cell>
        </row>
        <row r="99">
          <cell r="D99">
            <v>21019</v>
          </cell>
          <cell r="E99" t="str">
            <v>Meat; salted in brine, dried or smoked, of swine, n.e.c. in item no. 0210.1</v>
          </cell>
          <cell r="F99">
            <v>0</v>
          </cell>
          <cell r="G99">
            <v>0</v>
          </cell>
          <cell r="H99">
            <v>0</v>
          </cell>
          <cell r="I99" t="str">
            <v>Others</v>
          </cell>
          <cell r="J99">
            <v>3</v>
          </cell>
          <cell r="K99" t="str">
            <v>Others</v>
          </cell>
        </row>
        <row r="100">
          <cell r="D100">
            <v>21020</v>
          </cell>
          <cell r="E100" t="str">
            <v>Meat; salted, in brine, dried or smoked, of bovine animals</v>
          </cell>
          <cell r="F100">
            <v>0</v>
          </cell>
          <cell r="G100">
            <v>0</v>
          </cell>
          <cell r="H100">
            <v>0</v>
          </cell>
          <cell r="I100" t="str">
            <v>Others</v>
          </cell>
          <cell r="J100">
            <v>3</v>
          </cell>
          <cell r="K100" t="str">
            <v>Others</v>
          </cell>
        </row>
        <row r="101">
          <cell r="D101">
            <v>21091</v>
          </cell>
          <cell r="E101" t="str">
            <v>Meat and edible meat offal; salted, in brine, dried or smoked, and edible flours and meals of meat or meat offal, of primates</v>
          </cell>
          <cell r="F101">
            <v>0</v>
          </cell>
          <cell r="G101">
            <v>0</v>
          </cell>
          <cell r="H101">
            <v>0</v>
          </cell>
          <cell r="I101" t="str">
            <v>Others</v>
          </cell>
          <cell r="J101">
            <v>3</v>
          </cell>
          <cell r="K101" t="str">
            <v>Others</v>
          </cell>
        </row>
        <row r="102">
          <cell r="D102">
            <v>21092</v>
          </cell>
          <cell r="E102" t="str">
            <v>Meat and edible meat offal; salted, in brine, dried or smoked; edible flours, meals of meat or meat offal, of whales, dolphins, porpoises (of order Cetacea); manatees, dugongs (of order Sirenia); seals, sea lions, and walruses (of suborder Pinnipedia)</v>
          </cell>
          <cell r="F102">
            <v>0</v>
          </cell>
          <cell r="G102">
            <v>0</v>
          </cell>
          <cell r="H102">
            <v>0</v>
          </cell>
          <cell r="I102" t="str">
            <v>Others</v>
          </cell>
          <cell r="J102">
            <v>3</v>
          </cell>
          <cell r="K102" t="str">
            <v>Others</v>
          </cell>
        </row>
        <row r="103">
          <cell r="D103">
            <v>21093</v>
          </cell>
          <cell r="E103" t="str">
            <v>Meat and edible meat offal; salted, in brine, dried or smoked, and edible flours and meals of meat or meat offal, of reptiles (including snakes and turtles)</v>
          </cell>
          <cell r="F103">
            <v>0</v>
          </cell>
          <cell r="G103">
            <v>0</v>
          </cell>
          <cell r="H103">
            <v>0</v>
          </cell>
          <cell r="I103" t="str">
            <v>Others</v>
          </cell>
          <cell r="J103">
            <v>3</v>
          </cell>
          <cell r="K103" t="str">
            <v>Others</v>
          </cell>
        </row>
        <row r="104">
          <cell r="D104">
            <v>21099</v>
          </cell>
          <cell r="E104" t="str">
            <v>Meat and edible meat offal; salted, in brine, dried or smoked, and edible flours and meals of meat or meat offal, other than of primates, whales, dolphins, porpoises, manatees, dugongs, seals, sea lions, walruses, reptiles (including snakes and turtles)</v>
          </cell>
          <cell r="F104">
            <v>0</v>
          </cell>
          <cell r="G104">
            <v>0</v>
          </cell>
          <cell r="H104">
            <v>0</v>
          </cell>
          <cell r="I104" t="str">
            <v>Others</v>
          </cell>
          <cell r="J104">
            <v>3</v>
          </cell>
          <cell r="K104" t="str">
            <v>Others</v>
          </cell>
        </row>
        <row r="105">
          <cell r="D105">
            <v>30111</v>
          </cell>
          <cell r="E105" t="str">
            <v>Fish; live, ornamental, freshwater</v>
          </cell>
          <cell r="F105">
            <v>0</v>
          </cell>
          <cell r="G105">
            <v>0</v>
          </cell>
          <cell r="H105">
            <v>0</v>
          </cell>
          <cell r="I105" t="str">
            <v>Others</v>
          </cell>
          <cell r="J105">
            <v>3</v>
          </cell>
          <cell r="K105" t="str">
            <v>Others</v>
          </cell>
        </row>
        <row r="106">
          <cell r="D106">
            <v>30119</v>
          </cell>
          <cell r="E106" t="str">
            <v>Fish; live, ornamental, other than freshwater</v>
          </cell>
          <cell r="F106">
            <v>0</v>
          </cell>
          <cell r="G106">
            <v>0</v>
          </cell>
          <cell r="H106">
            <v>0</v>
          </cell>
          <cell r="I106" t="str">
            <v>Others</v>
          </cell>
          <cell r="J106">
            <v>3</v>
          </cell>
          <cell r="K106" t="str">
            <v>Others</v>
          </cell>
        </row>
        <row r="107">
          <cell r="D107">
            <v>30191</v>
          </cell>
          <cell r="E107" t="str">
            <v>Fish; live, trout (Salmo trutta, Oncorhynchus mykiss, Oncorhynchus clarki, Oncorhynchus aguabonita, Oncorhynchus gilae, Oncorhynchus apache and Oncorhynchus chrysogaster)</v>
          </cell>
          <cell r="F107">
            <v>0</v>
          </cell>
          <cell r="G107">
            <v>0</v>
          </cell>
          <cell r="H107">
            <v>0</v>
          </cell>
          <cell r="I107" t="str">
            <v>Others</v>
          </cell>
          <cell r="J107">
            <v>3</v>
          </cell>
          <cell r="K107" t="str">
            <v>Others</v>
          </cell>
        </row>
        <row r="108">
          <cell r="D108">
            <v>30192</v>
          </cell>
          <cell r="E108" t="str">
            <v>Fish; live, eels (Anguilla spp.)</v>
          </cell>
          <cell r="F108">
            <v>0</v>
          </cell>
          <cell r="G108">
            <v>0</v>
          </cell>
          <cell r="H108">
            <v>0</v>
          </cell>
          <cell r="I108" t="str">
            <v>Others</v>
          </cell>
          <cell r="J108">
            <v>3</v>
          </cell>
          <cell r="K108" t="str">
            <v>Others</v>
          </cell>
        </row>
        <row r="109">
          <cell r="D109">
            <v>30193</v>
          </cell>
          <cell r="E109" t="str">
            <v>Fish; live, carp (Cyprinus spp., Carassius spp., Ctenopharyngodon idellus, Hypophthalmichthys spp., Cirrhinus spp., Mylopharyngodon piceus, Catla catla, Labeo spp., Osteochilus hasselti, Leptobarbus hoeveni, Megalobrama spp.)</v>
          </cell>
          <cell r="F109">
            <v>0</v>
          </cell>
          <cell r="G109">
            <v>0</v>
          </cell>
          <cell r="H109">
            <v>0</v>
          </cell>
          <cell r="I109" t="str">
            <v>Others</v>
          </cell>
          <cell r="J109">
            <v>3</v>
          </cell>
          <cell r="K109" t="str">
            <v>Others</v>
          </cell>
        </row>
        <row r="110">
          <cell r="D110">
            <v>30194</v>
          </cell>
          <cell r="E110" t="str">
            <v>Fish; live, Atlantic and Pacific bluefin tunas (Thunnus thynnus, Thunnus orientalis)</v>
          </cell>
          <cell r="F110">
            <v>0</v>
          </cell>
          <cell r="G110">
            <v>0</v>
          </cell>
          <cell r="H110">
            <v>0</v>
          </cell>
          <cell r="I110" t="str">
            <v>Others</v>
          </cell>
          <cell r="J110">
            <v>3</v>
          </cell>
          <cell r="K110" t="str">
            <v>Others</v>
          </cell>
        </row>
        <row r="111">
          <cell r="D111">
            <v>30195</v>
          </cell>
          <cell r="E111" t="str">
            <v>Fish; live, southern bluefin tunas (Thunnus maccoyii)</v>
          </cell>
          <cell r="F111">
            <v>0</v>
          </cell>
          <cell r="G111">
            <v>0</v>
          </cell>
          <cell r="H111">
            <v>0</v>
          </cell>
          <cell r="I111" t="str">
            <v>Others</v>
          </cell>
          <cell r="J111">
            <v>3</v>
          </cell>
          <cell r="K111" t="str">
            <v>Others</v>
          </cell>
        </row>
        <row r="112">
          <cell r="D112">
            <v>30199</v>
          </cell>
          <cell r="E112" t="str">
            <v>Fish; live, n.e.c. in heading 0301</v>
          </cell>
          <cell r="F112">
            <v>0</v>
          </cell>
          <cell r="G112">
            <v>0</v>
          </cell>
          <cell r="H112">
            <v>0</v>
          </cell>
          <cell r="I112" t="str">
            <v>Others</v>
          </cell>
          <cell r="J112">
            <v>3</v>
          </cell>
          <cell r="K112" t="str">
            <v>Others</v>
          </cell>
        </row>
        <row r="113">
          <cell r="D113">
            <v>30211</v>
          </cell>
          <cell r="E113" t="str">
            <v>Fish; fresh or chilled, trout (Salmo trutta, Oncorhynchus mykiss, Oncorhynchus clarki, Oncorhynchus aguabonita, Oncorhynchus gilae, Oncorhynchus apache and Oncorhynchus chrysogaster), excluding fillets, fish meat of 0304, and edible fish offal of 0302.9</v>
          </cell>
          <cell r="F113">
            <v>0</v>
          </cell>
          <cell r="G113">
            <v>0</v>
          </cell>
          <cell r="H113">
            <v>0</v>
          </cell>
          <cell r="I113" t="str">
            <v>Others</v>
          </cell>
          <cell r="J113">
            <v>3</v>
          </cell>
          <cell r="K113" t="str">
            <v>Others</v>
          </cell>
        </row>
        <row r="114">
          <cell r="D114">
            <v>30213</v>
          </cell>
          <cell r="E114" t="str">
            <v>Fish; fresh or chilled, Pacific salmon (Oncorhynchus nerka, Oncorhynchus gorbuscha, Oncorhynchus keta, Oncorhynchus tschawytscha, Oncorhynchus kisutch, Oncorhynchus masou, Oncorhynchus rhodurus), not fillets, meat of 0304, and edible fish offal of 0302.9</v>
          </cell>
          <cell r="F114">
            <v>0</v>
          </cell>
          <cell r="G114">
            <v>0</v>
          </cell>
          <cell r="H114">
            <v>0</v>
          </cell>
          <cell r="I114" t="str">
            <v>Others</v>
          </cell>
          <cell r="J114">
            <v>3</v>
          </cell>
          <cell r="K114" t="str">
            <v>Others</v>
          </cell>
        </row>
        <row r="115">
          <cell r="D115">
            <v>30214</v>
          </cell>
          <cell r="E115" t="str">
            <v>Fish; fresh or chilled, Atlantic salmon (Salmo salar) and Danube salmon (Hucho hucho), excluding fillets, fish meat of 0304, and edible fish offal of subheadings 0302.91 to 0302.99</v>
          </cell>
          <cell r="F115">
            <v>0</v>
          </cell>
          <cell r="G115">
            <v>0</v>
          </cell>
          <cell r="H115">
            <v>0</v>
          </cell>
          <cell r="I115" t="str">
            <v>Others</v>
          </cell>
          <cell r="J115">
            <v>3</v>
          </cell>
          <cell r="K115" t="str">
            <v>Others</v>
          </cell>
        </row>
        <row r="116">
          <cell r="D116">
            <v>30219</v>
          </cell>
          <cell r="E116" t="str">
            <v>Fish; fresh or chilled, salmonidae, n.e.c. in item no. 0302.1, excluding fillets, fish meat of 0304, and edible fish offal of subheadings 0302.91 to 0302.99</v>
          </cell>
          <cell r="F116">
            <v>0</v>
          </cell>
          <cell r="G116">
            <v>0</v>
          </cell>
          <cell r="H116">
            <v>0</v>
          </cell>
          <cell r="I116" t="str">
            <v>Others</v>
          </cell>
          <cell r="J116">
            <v>3</v>
          </cell>
          <cell r="K116" t="str">
            <v>Others</v>
          </cell>
        </row>
        <row r="117">
          <cell r="D117">
            <v>30221</v>
          </cell>
          <cell r="E117" t="str">
            <v>Fish; fresh or chilled, halibut (Reinhardtius hippoglossoides, Hippoglossus hippoglossus, Hippoglossus stenolepis), excluding fillets, fish meat of 0304, and edible fish offal of subheadings 0302.91 to 0302.99</v>
          </cell>
          <cell r="F117">
            <v>0</v>
          </cell>
          <cell r="G117">
            <v>0</v>
          </cell>
          <cell r="H117">
            <v>0</v>
          </cell>
          <cell r="I117" t="str">
            <v>Others</v>
          </cell>
          <cell r="J117">
            <v>3</v>
          </cell>
          <cell r="K117" t="str">
            <v>Others</v>
          </cell>
        </row>
        <row r="118">
          <cell r="D118">
            <v>30222</v>
          </cell>
          <cell r="E118" t="str">
            <v>Fish; fresh or chilled, plaice (Pleuronectes platessa), excluding fillets, fish meat of 0304, and edible fish offal of subheadings 0302.91 to 0302.99</v>
          </cell>
          <cell r="F118">
            <v>0</v>
          </cell>
          <cell r="G118">
            <v>0</v>
          </cell>
          <cell r="H118">
            <v>0</v>
          </cell>
          <cell r="I118" t="str">
            <v>Others</v>
          </cell>
          <cell r="J118">
            <v>3</v>
          </cell>
          <cell r="K118" t="str">
            <v>Others</v>
          </cell>
        </row>
        <row r="119">
          <cell r="D119">
            <v>30223</v>
          </cell>
          <cell r="E119" t="str">
            <v>Fish; fresh or chilled, sole (Solea spp.), excluding fillets, fish meat of 0304, and edible fish offal of subheadings 0302.91 to 0302.99</v>
          </cell>
          <cell r="F119">
            <v>0</v>
          </cell>
          <cell r="G119">
            <v>0</v>
          </cell>
          <cell r="H119">
            <v>0</v>
          </cell>
          <cell r="I119" t="str">
            <v>Others</v>
          </cell>
          <cell r="J119">
            <v>3</v>
          </cell>
          <cell r="K119" t="str">
            <v>Others</v>
          </cell>
        </row>
        <row r="120">
          <cell r="D120">
            <v>30224</v>
          </cell>
          <cell r="E120" t="str">
            <v>Fish; fresh or chilled, turbots (Psetta maxima, Scophthalmidae), excluding fillets, fish meat of 0304, and edible fish offal of subheadings 0302.91 to 0302.99</v>
          </cell>
          <cell r="F120">
            <v>0</v>
          </cell>
          <cell r="G120">
            <v>0</v>
          </cell>
          <cell r="H120">
            <v>0</v>
          </cell>
          <cell r="I120" t="str">
            <v>Others</v>
          </cell>
          <cell r="J120">
            <v>3</v>
          </cell>
          <cell r="K120" t="str">
            <v>Others</v>
          </cell>
        </row>
        <row r="121">
          <cell r="D121">
            <v>30229</v>
          </cell>
          <cell r="E121" t="str">
            <v>Fish; fresh or chilled, flat fish, n.e.c. in item no. 0302.2, excluding fillets, fish meat of 0304, and edible fish offal of subheadings 0302.91 to 0302.99</v>
          </cell>
          <cell r="F121">
            <v>0</v>
          </cell>
          <cell r="G121">
            <v>0</v>
          </cell>
          <cell r="H121">
            <v>0</v>
          </cell>
          <cell r="I121" t="str">
            <v>Others</v>
          </cell>
          <cell r="J121">
            <v>3</v>
          </cell>
          <cell r="K121" t="str">
            <v>Others</v>
          </cell>
        </row>
        <row r="122">
          <cell r="D122">
            <v>30231</v>
          </cell>
          <cell r="E122" t="str">
            <v>Fish; fresh or chilled, albacore or longfinned tunas (Thunnus alalunga), excluding fillets, fish meat of 0304, and edible fish offal of subheadings 0302.91 to 0302.99</v>
          </cell>
          <cell r="F122">
            <v>0</v>
          </cell>
          <cell r="G122">
            <v>0</v>
          </cell>
          <cell r="H122">
            <v>0</v>
          </cell>
          <cell r="I122" t="str">
            <v>Others</v>
          </cell>
          <cell r="J122">
            <v>3</v>
          </cell>
          <cell r="K122" t="str">
            <v>Others</v>
          </cell>
        </row>
        <row r="123">
          <cell r="D123">
            <v>30232</v>
          </cell>
          <cell r="E123" t="str">
            <v>Fish; fresh or chilled, yellowfin tunas (Thunnus albacares), excluding fillets, fish meat of 0304, and edible fish offal of subheadings 0302.91 to 0302.99</v>
          </cell>
          <cell r="F123">
            <v>0</v>
          </cell>
          <cell r="G123">
            <v>0</v>
          </cell>
          <cell r="H123">
            <v>0</v>
          </cell>
          <cell r="I123" t="str">
            <v>Others</v>
          </cell>
          <cell r="J123">
            <v>3</v>
          </cell>
          <cell r="K123" t="str">
            <v>Others</v>
          </cell>
        </row>
        <row r="124">
          <cell r="D124">
            <v>30233</v>
          </cell>
          <cell r="E124" t="str">
            <v>Fish; fresh or chilled, skipjack tuna (stripe-bellied bonito) (Katsuwonus pelamis), excluding fillets, fish meat of 0304, and edible fish offal of subheadings 0302.91 to 0302.99</v>
          </cell>
          <cell r="F124">
            <v>0</v>
          </cell>
          <cell r="G124">
            <v>0</v>
          </cell>
          <cell r="H124">
            <v>0</v>
          </cell>
          <cell r="I124" t="str">
            <v>Others</v>
          </cell>
          <cell r="J124">
            <v>3</v>
          </cell>
          <cell r="K124" t="str">
            <v>Others</v>
          </cell>
        </row>
        <row r="125">
          <cell r="D125">
            <v>30234</v>
          </cell>
          <cell r="E125" t="str">
            <v>Fish; fresh or chilled, bigeye tunas (Thunnus obesus), excluding fillets, fish meat of 0304, and edible fish offal of subheadings 0302.91 to 0302.99</v>
          </cell>
          <cell r="F125">
            <v>0</v>
          </cell>
          <cell r="G125">
            <v>0</v>
          </cell>
          <cell r="H125">
            <v>0</v>
          </cell>
          <cell r="I125" t="str">
            <v>Others</v>
          </cell>
          <cell r="J125">
            <v>3</v>
          </cell>
          <cell r="K125" t="str">
            <v>Others</v>
          </cell>
        </row>
        <row r="126">
          <cell r="D126">
            <v>30235</v>
          </cell>
          <cell r="E126" t="str">
            <v>Fish; fresh or chilled, Atlantic and Pacific bluefin tunas (Thunnus thynnus, Thunnus orientalis), excluding fillets, fish meat of 0304, and edible fish offal of subheadings 0302.91 to 0302.99</v>
          </cell>
          <cell r="F126">
            <v>0</v>
          </cell>
          <cell r="G126">
            <v>0</v>
          </cell>
          <cell r="H126">
            <v>0</v>
          </cell>
          <cell r="I126" t="str">
            <v>Others</v>
          </cell>
          <cell r="J126">
            <v>3</v>
          </cell>
          <cell r="K126" t="str">
            <v>Others</v>
          </cell>
        </row>
        <row r="127">
          <cell r="D127">
            <v>30236</v>
          </cell>
          <cell r="E127" t="str">
            <v>Fish; fresh or chilled, southern bluefin tunas (Thunnus maccoyii), excluding fillets, fish meat of 0304, and edible fish offal of subheadings 0302.91 to 0302.99</v>
          </cell>
          <cell r="F127">
            <v>0</v>
          </cell>
          <cell r="G127">
            <v>0</v>
          </cell>
          <cell r="H127">
            <v>0</v>
          </cell>
          <cell r="I127" t="str">
            <v>Others</v>
          </cell>
          <cell r="J127">
            <v>3</v>
          </cell>
          <cell r="K127" t="str">
            <v>Others</v>
          </cell>
        </row>
        <row r="128">
          <cell r="D128">
            <v>30239</v>
          </cell>
          <cell r="E128" t="str">
            <v>Fish; fresh or chilled, tuna, n.e.c. in item no. 0302.3, excluding fillets, fish meat of 0304, and edible fish offal of subheadings 0302.91 to 0302.99</v>
          </cell>
          <cell r="F128">
            <v>0</v>
          </cell>
          <cell r="G128">
            <v>0</v>
          </cell>
          <cell r="H128">
            <v>0</v>
          </cell>
          <cell r="I128" t="str">
            <v>Others</v>
          </cell>
          <cell r="J128">
            <v>3</v>
          </cell>
          <cell r="K128" t="str">
            <v>Others</v>
          </cell>
        </row>
        <row r="129">
          <cell r="D129">
            <v>30241</v>
          </cell>
          <cell r="E129" t="str">
            <v>Fish; fresh or chilled, herrings (Clupea harengus, Clupea pallasii), excluding fillets, fish meat of 0304, and edible fish offal of subheadings 0302.91 to 0302.99</v>
          </cell>
          <cell r="F129">
            <v>0</v>
          </cell>
          <cell r="G129">
            <v>0</v>
          </cell>
          <cell r="H129">
            <v>0</v>
          </cell>
          <cell r="I129" t="str">
            <v>Others</v>
          </cell>
          <cell r="J129">
            <v>3</v>
          </cell>
          <cell r="K129" t="str">
            <v>Others</v>
          </cell>
        </row>
        <row r="130">
          <cell r="D130">
            <v>30242</v>
          </cell>
          <cell r="E130" t="str">
            <v>Fish; fresh or chilled, anchovies (Engraulis spp.), excluding fillets, fish meat of 0304, and edible fish offal of subheadings 0302.91 to 0302.99</v>
          </cell>
          <cell r="F130">
            <v>0</v>
          </cell>
          <cell r="G130">
            <v>0</v>
          </cell>
          <cell r="H130">
            <v>0</v>
          </cell>
          <cell r="I130" t="str">
            <v>Others</v>
          </cell>
          <cell r="J130">
            <v>3</v>
          </cell>
          <cell r="K130" t="str">
            <v>Others</v>
          </cell>
        </row>
        <row r="131">
          <cell r="D131">
            <v>30243</v>
          </cell>
          <cell r="E131" t="str">
            <v>Fish; fresh or chilled, sardines (Sardina pilchardus, Sardinops spp.), sardinella (Sardinella spp.), brisling or sprats (Sprattus sprattus), excluding fillets, fish meat of 0304, and edible fish offal of subheadings 0302.91 to 0302.99</v>
          </cell>
          <cell r="F131">
            <v>0</v>
          </cell>
          <cell r="G131">
            <v>0</v>
          </cell>
          <cell r="H131">
            <v>0</v>
          </cell>
          <cell r="I131" t="str">
            <v>Others</v>
          </cell>
          <cell r="J131">
            <v>3</v>
          </cell>
          <cell r="K131" t="str">
            <v>Others</v>
          </cell>
        </row>
        <row r="132">
          <cell r="D132">
            <v>30244</v>
          </cell>
          <cell r="E132" t="str">
            <v>Fish; fresh or chilled, mackerel (Scomber scombrus, Scomber australasicus, Scomber japonicus), excluding fillets, fish meat of 0304, and edible fish offal of subheadings 0302.91 to 0302.99</v>
          </cell>
          <cell r="F132">
            <v>0</v>
          </cell>
          <cell r="G132">
            <v>0</v>
          </cell>
          <cell r="H132">
            <v>0</v>
          </cell>
          <cell r="I132" t="str">
            <v>Others</v>
          </cell>
          <cell r="J132">
            <v>3</v>
          </cell>
          <cell r="K132" t="str">
            <v>Others</v>
          </cell>
        </row>
        <row r="133">
          <cell r="D133">
            <v>30245</v>
          </cell>
          <cell r="E133" t="str">
            <v>Fish; fresh or chilled, jack and horse mackerel (Trachurus spp.), excluding fillets, fish meat of 0304, and edible fish offal of subheadings 0302.91 to 0302.99</v>
          </cell>
          <cell r="F133">
            <v>0</v>
          </cell>
          <cell r="G133">
            <v>0</v>
          </cell>
          <cell r="H133">
            <v>0</v>
          </cell>
          <cell r="I133" t="str">
            <v>Others</v>
          </cell>
          <cell r="J133">
            <v>3</v>
          </cell>
          <cell r="K133" t="str">
            <v>Others</v>
          </cell>
        </row>
        <row r="134">
          <cell r="D134">
            <v>30246</v>
          </cell>
          <cell r="E134" t="str">
            <v>Fish; fresh or chilled, cobia (Rachycentron canadum), excluding fillets, fish meat of 0304, and edible fish offal of subheadings 0302.91 to 0302.99</v>
          </cell>
          <cell r="F134">
            <v>0</v>
          </cell>
          <cell r="G134">
            <v>0</v>
          </cell>
          <cell r="H134">
            <v>0</v>
          </cell>
          <cell r="I134" t="str">
            <v>Others</v>
          </cell>
          <cell r="J134">
            <v>3</v>
          </cell>
          <cell r="K134" t="str">
            <v>Others</v>
          </cell>
        </row>
        <row r="135">
          <cell r="D135">
            <v>30247</v>
          </cell>
          <cell r="E135" t="str">
            <v>Fish; fresh or chilled, swordfish (Xiphias gladius), excluding fillets, fish meat of 0304, and edible fish offal of subheadings 0302.91 to 0302.99</v>
          </cell>
          <cell r="F135">
            <v>0</v>
          </cell>
          <cell r="G135">
            <v>0</v>
          </cell>
          <cell r="H135">
            <v>0</v>
          </cell>
          <cell r="I135" t="str">
            <v>Others</v>
          </cell>
          <cell r="J135">
            <v>3</v>
          </cell>
          <cell r="K135" t="str">
            <v>Others</v>
          </cell>
        </row>
        <row r="136">
          <cell r="D136">
            <v>30249</v>
          </cell>
          <cell r="E136" t="str">
            <v>Fish; fresh or chilled, n.e.c. in item no. 0302.4, excluding fillets, fish meat of 0304, and edible fish offal of subheadings 0302.91 to 0302.99</v>
          </cell>
          <cell r="F136">
            <v>0</v>
          </cell>
          <cell r="G136">
            <v>0</v>
          </cell>
          <cell r="H136">
            <v>0</v>
          </cell>
          <cell r="I136" t="str">
            <v>Others</v>
          </cell>
          <cell r="J136">
            <v>3</v>
          </cell>
          <cell r="K136" t="str">
            <v>Others</v>
          </cell>
        </row>
        <row r="137">
          <cell r="D137">
            <v>30251</v>
          </cell>
          <cell r="E137" t="str">
            <v>Fish; fresh or chilled, cod (Gadus morhua, Gadus ogac, Gadus macrocephalus), excluding fillets, fish meat of 0304, and edible fish offal of subheadings 0302.91 to 0302.99</v>
          </cell>
          <cell r="F137">
            <v>0</v>
          </cell>
          <cell r="G137">
            <v>0</v>
          </cell>
          <cell r="H137">
            <v>0</v>
          </cell>
          <cell r="I137" t="str">
            <v>Others</v>
          </cell>
          <cell r="J137">
            <v>3</v>
          </cell>
          <cell r="K137" t="str">
            <v>Others</v>
          </cell>
        </row>
        <row r="138">
          <cell r="D138">
            <v>30252</v>
          </cell>
          <cell r="E138" t="str">
            <v>Fish; fresh or chilled, haddock (Melanogrammus aeglefinus), excluding fillets, fish meat of 0304, and edible fish offal of subheadings 0302.91 to 0302.99</v>
          </cell>
          <cell r="F138">
            <v>0</v>
          </cell>
          <cell r="G138">
            <v>0</v>
          </cell>
          <cell r="H138">
            <v>0</v>
          </cell>
          <cell r="I138" t="str">
            <v>Others</v>
          </cell>
          <cell r="J138">
            <v>3</v>
          </cell>
          <cell r="K138" t="str">
            <v>Others</v>
          </cell>
        </row>
        <row r="139">
          <cell r="D139">
            <v>30253</v>
          </cell>
          <cell r="E139" t="str">
            <v>Fish; fresh or chilled, coalfish (Pollachius virens), excluding fillets, fish meat of 0304, and edible fish offal of subheadings 0302.91 to 0302.99</v>
          </cell>
          <cell r="F139">
            <v>0</v>
          </cell>
          <cell r="G139">
            <v>0</v>
          </cell>
          <cell r="H139">
            <v>0</v>
          </cell>
          <cell r="I139" t="str">
            <v>Others</v>
          </cell>
          <cell r="J139">
            <v>3</v>
          </cell>
          <cell r="K139" t="str">
            <v>Others</v>
          </cell>
        </row>
        <row r="140">
          <cell r="D140">
            <v>30254</v>
          </cell>
          <cell r="E140" t="str">
            <v>Fish; fresh or chilled, hake (Merluccius spp., Urophycis spp.), excluding fillets, fish meat of 0304, and edible fish offal of subheadings 0302.91 to 0302.99</v>
          </cell>
          <cell r="F140">
            <v>0</v>
          </cell>
          <cell r="G140">
            <v>0</v>
          </cell>
          <cell r="H140">
            <v>0</v>
          </cell>
          <cell r="I140" t="str">
            <v>Others</v>
          </cell>
          <cell r="J140">
            <v>3</v>
          </cell>
          <cell r="K140" t="str">
            <v>Others</v>
          </cell>
        </row>
        <row r="141">
          <cell r="D141">
            <v>30255</v>
          </cell>
          <cell r="E141" t="str">
            <v>Fish; fresh or chilled, Alaska pollock (Theragra chalcogramma), excluding fillets, fish meat of 0304, and edible fish offal of subheadings 0302.91 to 0302.99</v>
          </cell>
          <cell r="F141">
            <v>0</v>
          </cell>
          <cell r="G141">
            <v>0</v>
          </cell>
          <cell r="H141">
            <v>0</v>
          </cell>
          <cell r="I141" t="str">
            <v>Others</v>
          </cell>
          <cell r="J141">
            <v>3</v>
          </cell>
          <cell r="K141" t="str">
            <v>Others</v>
          </cell>
        </row>
        <row r="142">
          <cell r="D142">
            <v>30256</v>
          </cell>
          <cell r="E142" t="str">
            <v>Fish; fresh or chilled, blue whitings (Micromesistius poutassou, Micromesistius australis),excluding fillets, fish meat of 0304, and edible fish offal of subheadings 0302.91 to 0302.99</v>
          </cell>
          <cell r="F142">
            <v>0</v>
          </cell>
          <cell r="G142">
            <v>0</v>
          </cell>
          <cell r="H142">
            <v>0</v>
          </cell>
          <cell r="I142" t="str">
            <v>Others</v>
          </cell>
          <cell r="J142">
            <v>3</v>
          </cell>
          <cell r="K142" t="str">
            <v>Others</v>
          </cell>
        </row>
        <row r="143">
          <cell r="D143">
            <v>30259</v>
          </cell>
          <cell r="E143" t="str">
            <v>Fish; fresh or chilled, n.e.c. in item no. 0302.5, excluding fillets, fish meat of 0304, and edible fish offal of subheadings 0302.91 to 0302.99</v>
          </cell>
          <cell r="F143">
            <v>0</v>
          </cell>
          <cell r="G143">
            <v>0</v>
          </cell>
          <cell r="H143">
            <v>0</v>
          </cell>
          <cell r="I143" t="str">
            <v>Others</v>
          </cell>
          <cell r="J143">
            <v>3</v>
          </cell>
          <cell r="K143" t="str">
            <v>Others</v>
          </cell>
        </row>
        <row r="144">
          <cell r="D144">
            <v>30271</v>
          </cell>
          <cell r="E144" t="str">
            <v>Fish; fresh or chilled, tilapias (Oreochromis spp.), excluding fillets, fish meat of 0304, and edible fish offal of subheadings 0302.91 to 0302.99</v>
          </cell>
          <cell r="F144">
            <v>0</v>
          </cell>
          <cell r="G144">
            <v>0</v>
          </cell>
          <cell r="H144">
            <v>0</v>
          </cell>
          <cell r="I144" t="str">
            <v>Others</v>
          </cell>
          <cell r="J144">
            <v>3</v>
          </cell>
          <cell r="K144" t="str">
            <v>Others</v>
          </cell>
        </row>
        <row r="145">
          <cell r="D145">
            <v>30272</v>
          </cell>
          <cell r="E145" t="str">
            <v>Fish; fresh or chilled, catfish (Pangasius spp., Silurus spp., Clarias spp., Ictalurus spp.), excluding fillets, fish meat of 0304, and edible fish offal of subheadings 0302.91 to 0302.99</v>
          </cell>
          <cell r="F145">
            <v>0</v>
          </cell>
          <cell r="G145">
            <v>0</v>
          </cell>
          <cell r="H145">
            <v>0</v>
          </cell>
          <cell r="I145" t="str">
            <v>Others</v>
          </cell>
          <cell r="J145">
            <v>3</v>
          </cell>
          <cell r="K145" t="str">
            <v>Others</v>
          </cell>
        </row>
        <row r="146">
          <cell r="D146">
            <v>30273</v>
          </cell>
          <cell r="E146" t="str">
            <v>Fish; fresh or chilled, Carp (as specified by the WCO.), excluding fillets, fish meat of 0304, and edible fish offal of subheadings 0302.91 to 0302.99</v>
          </cell>
          <cell r="F146">
            <v>0</v>
          </cell>
          <cell r="G146">
            <v>0</v>
          </cell>
          <cell r="H146">
            <v>0</v>
          </cell>
          <cell r="I146" t="str">
            <v>Others</v>
          </cell>
          <cell r="J146">
            <v>3</v>
          </cell>
          <cell r="K146" t="str">
            <v>Others</v>
          </cell>
        </row>
        <row r="147">
          <cell r="D147">
            <v>30274</v>
          </cell>
          <cell r="E147" t="str">
            <v>Fish; fresh or chilled, eels (Anguilla spp.), excluding fillets, fish meat of 0304, and edible fish offal of subheadings 0302.91 to 0302.99</v>
          </cell>
          <cell r="F147">
            <v>0</v>
          </cell>
          <cell r="G147">
            <v>0</v>
          </cell>
          <cell r="H147">
            <v>0</v>
          </cell>
          <cell r="I147" t="str">
            <v>Others</v>
          </cell>
          <cell r="J147">
            <v>3</v>
          </cell>
          <cell r="K147" t="str">
            <v>Others</v>
          </cell>
        </row>
        <row r="148">
          <cell r="D148">
            <v>30279</v>
          </cell>
          <cell r="E148" t="str">
            <v>Fish; fresh or chilled, Nile perch (Lates niloticus) and snakeheads (Channa spp.), excluding fillets, fish meat of 0304, and edible fish offal of subheadings 0302.91 to 0302.99</v>
          </cell>
          <cell r="F148">
            <v>0</v>
          </cell>
          <cell r="G148">
            <v>0</v>
          </cell>
          <cell r="H148">
            <v>0</v>
          </cell>
          <cell r="I148" t="str">
            <v>Others</v>
          </cell>
          <cell r="J148">
            <v>3</v>
          </cell>
          <cell r="K148" t="str">
            <v>Others</v>
          </cell>
        </row>
        <row r="149">
          <cell r="D149">
            <v>30281</v>
          </cell>
          <cell r="E149" t="str">
            <v>Fish; fresh or chilled, dogfish and other sharks, excluding fillets, fish meat of 0304, and edible fish offal of subheadings 0302.91 to 0302.99</v>
          </cell>
          <cell r="F149">
            <v>0</v>
          </cell>
          <cell r="G149">
            <v>0</v>
          </cell>
          <cell r="H149">
            <v>0</v>
          </cell>
          <cell r="I149" t="str">
            <v>Others</v>
          </cell>
          <cell r="J149">
            <v>3</v>
          </cell>
          <cell r="K149" t="str">
            <v>Others</v>
          </cell>
        </row>
        <row r="150">
          <cell r="D150">
            <v>30282</v>
          </cell>
          <cell r="E150" t="str">
            <v>Fish; fresh or chilled, rays and skates (Rajidae), excluding fillets, fish meat of 0304, and edible fish offal of subheadings 0302.91 to 0302.99</v>
          </cell>
          <cell r="F150">
            <v>0</v>
          </cell>
          <cell r="G150">
            <v>0</v>
          </cell>
          <cell r="H150">
            <v>0</v>
          </cell>
          <cell r="I150" t="str">
            <v>Others</v>
          </cell>
          <cell r="J150">
            <v>3</v>
          </cell>
          <cell r="K150" t="str">
            <v>Others</v>
          </cell>
        </row>
        <row r="151">
          <cell r="D151">
            <v>30283</v>
          </cell>
          <cell r="E151" t="str">
            <v>Fish; fresh or chilled, toothfish (Dissostichus spp.), excluding fillets, fish meat of 0304, and edible fish offal of subheadings 0302.91 to 0302.99</v>
          </cell>
          <cell r="F151">
            <v>0</v>
          </cell>
          <cell r="G151">
            <v>0</v>
          </cell>
          <cell r="H151">
            <v>0</v>
          </cell>
          <cell r="I151" t="str">
            <v>Others</v>
          </cell>
          <cell r="J151">
            <v>3</v>
          </cell>
          <cell r="K151" t="str">
            <v>Others</v>
          </cell>
        </row>
        <row r="152">
          <cell r="D152">
            <v>30284</v>
          </cell>
          <cell r="E152" t="str">
            <v>Fish; fresh or chilled, seabass (Dicentrarchus spp.), excluding fillets, fish meat of 0304, and edible fish offal of subheadings 0302.91 to 0302.99</v>
          </cell>
          <cell r="F152">
            <v>0</v>
          </cell>
          <cell r="G152">
            <v>0</v>
          </cell>
          <cell r="H152">
            <v>0</v>
          </cell>
          <cell r="I152" t="str">
            <v>Others</v>
          </cell>
          <cell r="J152">
            <v>3</v>
          </cell>
          <cell r="K152" t="str">
            <v>Others</v>
          </cell>
        </row>
        <row r="153">
          <cell r="D153">
            <v>30285</v>
          </cell>
          <cell r="E153" t="str">
            <v>Fish; fresh or chilled, seabream (Sparidae), excluding fillets, fish meat of 0304, and edible fish offal of subheadings 0302.91 to 0302.99</v>
          </cell>
          <cell r="F153">
            <v>0</v>
          </cell>
          <cell r="G153">
            <v>0</v>
          </cell>
          <cell r="H153">
            <v>0</v>
          </cell>
          <cell r="I153" t="str">
            <v>Others</v>
          </cell>
          <cell r="J153">
            <v>3</v>
          </cell>
          <cell r="K153" t="str">
            <v>Others</v>
          </cell>
        </row>
        <row r="154">
          <cell r="D154">
            <v>30289</v>
          </cell>
          <cell r="E154" t="str">
            <v>Fish; fresh or chilled, n.e.c. in heading 0302, excluding fillets, fish meat of 0304, and edible fish offal of subheadings 0302.91 to 0302.99</v>
          </cell>
          <cell r="F154">
            <v>0</v>
          </cell>
          <cell r="G154">
            <v>0</v>
          </cell>
          <cell r="H154">
            <v>0</v>
          </cell>
          <cell r="I154" t="str">
            <v>Others</v>
          </cell>
          <cell r="J154">
            <v>3</v>
          </cell>
          <cell r="K154" t="str">
            <v>Others</v>
          </cell>
        </row>
        <row r="155">
          <cell r="D155">
            <v>30291</v>
          </cell>
          <cell r="E155" t="str">
            <v>Fish; fresh or chilled, livers, roes and milt</v>
          </cell>
          <cell r="F155">
            <v>0</v>
          </cell>
          <cell r="G155">
            <v>0</v>
          </cell>
          <cell r="H155">
            <v>0</v>
          </cell>
          <cell r="I155" t="str">
            <v>Others</v>
          </cell>
          <cell r="J155">
            <v>3</v>
          </cell>
          <cell r="K155" t="str">
            <v>Others</v>
          </cell>
        </row>
        <row r="156">
          <cell r="D156">
            <v>30292</v>
          </cell>
          <cell r="E156" t="str">
            <v>Fish; fresh or chilled, shark fins</v>
          </cell>
          <cell r="F156">
            <v>0</v>
          </cell>
          <cell r="G156">
            <v>0</v>
          </cell>
          <cell r="H156">
            <v>0</v>
          </cell>
          <cell r="I156" t="str">
            <v>Others</v>
          </cell>
          <cell r="J156">
            <v>3</v>
          </cell>
          <cell r="K156" t="str">
            <v>Others</v>
          </cell>
        </row>
        <row r="157">
          <cell r="D157">
            <v>30299</v>
          </cell>
          <cell r="E157" t="str">
            <v>Fish; fresh or chilled, fish fins (other than shark fins), heads, tails, maws and other edible fish offal</v>
          </cell>
          <cell r="F157">
            <v>0</v>
          </cell>
          <cell r="G157">
            <v>0</v>
          </cell>
          <cell r="H157">
            <v>0</v>
          </cell>
          <cell r="I157" t="str">
            <v>Others</v>
          </cell>
          <cell r="J157">
            <v>3</v>
          </cell>
          <cell r="K157" t="str">
            <v>Others</v>
          </cell>
        </row>
        <row r="158">
          <cell r="D158">
            <v>30311</v>
          </cell>
          <cell r="E158" t="str">
            <v>Fish; frozen, Pacific salmon, sockeye salmon (red salmon) (Oncorhynchus nerka), excluding fillets, fish meat of 0304, and edible fish offal of subheadings 0303.91 to 0303.99</v>
          </cell>
          <cell r="F158">
            <v>0</v>
          </cell>
          <cell r="G158">
            <v>0</v>
          </cell>
          <cell r="H158">
            <v>0</v>
          </cell>
          <cell r="I158" t="str">
            <v>Others</v>
          </cell>
          <cell r="J158">
            <v>3</v>
          </cell>
          <cell r="K158" t="str">
            <v>Others</v>
          </cell>
        </row>
        <row r="159">
          <cell r="D159">
            <v>30312</v>
          </cell>
          <cell r="E159" t="str">
            <v>Fish; frozen, Pacific salmon (Oncorhynchus gorbuscha/keta/tschawytscha/ kisutch/masou/rhodurus) other than sockeye salmon (Oncorhynchus nerka), excluding fillets, fish meat of 0304, and edible fish offal of subheadings 0303.91 to 0303.99</v>
          </cell>
          <cell r="F159">
            <v>0</v>
          </cell>
          <cell r="G159">
            <v>0</v>
          </cell>
          <cell r="H159">
            <v>0</v>
          </cell>
          <cell r="I159" t="str">
            <v>Others</v>
          </cell>
          <cell r="J159">
            <v>3</v>
          </cell>
          <cell r="K159" t="str">
            <v>Others</v>
          </cell>
        </row>
        <row r="160">
          <cell r="D160">
            <v>30313</v>
          </cell>
          <cell r="E160" t="str">
            <v>Fish; frozen, Atlantic salmon (Salmo salar) and Danube salmon (Hucho hucho), excluding fillets, fish meat of 0304, and edible fish offal of subheadings 0303.91 to 0303.99</v>
          </cell>
          <cell r="F160">
            <v>0</v>
          </cell>
          <cell r="G160">
            <v>0</v>
          </cell>
          <cell r="H160">
            <v>0</v>
          </cell>
          <cell r="I160" t="str">
            <v>Others</v>
          </cell>
          <cell r="J160">
            <v>3</v>
          </cell>
          <cell r="K160" t="str">
            <v>Others</v>
          </cell>
        </row>
        <row r="161">
          <cell r="D161">
            <v>30314</v>
          </cell>
          <cell r="E161" t="str">
            <v>Fish; frozen, trout (Salmo trutta, Oncorhynchus mykiss, Oncorhynchus clarki, Oncorhynchus aguabonita, Oncorhynchus gilae, Oncorhynchus apache and Oncorhynchus chrysogaster), excluding fillets, meat of 0304, and edible fish offal of 0303.91 to 0303.99</v>
          </cell>
          <cell r="F161">
            <v>0</v>
          </cell>
          <cell r="G161">
            <v>0</v>
          </cell>
          <cell r="H161">
            <v>0</v>
          </cell>
          <cell r="I161" t="str">
            <v>Others</v>
          </cell>
          <cell r="J161">
            <v>3</v>
          </cell>
          <cell r="K161" t="str">
            <v>Others</v>
          </cell>
        </row>
        <row r="162">
          <cell r="D162">
            <v>30319</v>
          </cell>
          <cell r="E162" t="str">
            <v>Fish; frozen, salmonidae, n.e.c. in item no. 0303.1, excluding fillets, fish meat of 0304, and edible fish offal of subheadings 0303.91 to 0303.99</v>
          </cell>
          <cell r="F162">
            <v>0</v>
          </cell>
          <cell r="G162">
            <v>0</v>
          </cell>
          <cell r="H162">
            <v>0</v>
          </cell>
          <cell r="I162" t="str">
            <v>Others</v>
          </cell>
          <cell r="J162">
            <v>3</v>
          </cell>
          <cell r="K162" t="str">
            <v>Others</v>
          </cell>
        </row>
        <row r="163">
          <cell r="D163">
            <v>30323</v>
          </cell>
          <cell r="E163" t="str">
            <v>Fish; frozen, tilapias (Oreochromis spp.), excluding fillets, fish meat of 0304, and edible fish offal of subheadings 0303.91 to 0303.99</v>
          </cell>
          <cell r="F163">
            <v>0</v>
          </cell>
          <cell r="G163">
            <v>0</v>
          </cell>
          <cell r="H163">
            <v>0</v>
          </cell>
          <cell r="I163" t="str">
            <v>Others</v>
          </cell>
          <cell r="J163">
            <v>3</v>
          </cell>
          <cell r="K163" t="str">
            <v>Others</v>
          </cell>
        </row>
        <row r="164">
          <cell r="D164">
            <v>30324</v>
          </cell>
          <cell r="E164" t="str">
            <v>Fish; frozen, catfish (Pangasius spp., Silurus spp., Clarias spp., Ictalurus spp.), excluding fillets, fish meat of 0304, and edible fish offal of subheadings 0303.91 to 0303.99</v>
          </cell>
          <cell r="F164">
            <v>0</v>
          </cell>
          <cell r="G164">
            <v>0</v>
          </cell>
          <cell r="H164">
            <v>0</v>
          </cell>
          <cell r="I164" t="str">
            <v>Others</v>
          </cell>
          <cell r="J164">
            <v>3</v>
          </cell>
          <cell r="K164" t="str">
            <v>Others</v>
          </cell>
        </row>
        <row r="165">
          <cell r="D165">
            <v>30325</v>
          </cell>
          <cell r="E165" t="str">
            <v>Fish; frozen, carp (as specified by the WCO), excluding fillets, fish meat of 0304, and edible fish offal of subheadings 0303.91 to 0303.99</v>
          </cell>
          <cell r="F165">
            <v>0</v>
          </cell>
          <cell r="G165">
            <v>0</v>
          </cell>
          <cell r="H165">
            <v>0</v>
          </cell>
          <cell r="I165" t="str">
            <v>Others</v>
          </cell>
          <cell r="J165">
            <v>3</v>
          </cell>
          <cell r="K165" t="str">
            <v>Others</v>
          </cell>
        </row>
        <row r="166">
          <cell r="D166">
            <v>30326</v>
          </cell>
          <cell r="E166" t="str">
            <v>Fish; frozen, eels (Anguilla spp.), excluding fillets, fish meat of 0304, and edible fish offal of subheadings 0303.91 to 0303.99</v>
          </cell>
          <cell r="F166">
            <v>0</v>
          </cell>
          <cell r="G166">
            <v>0</v>
          </cell>
          <cell r="H166">
            <v>0</v>
          </cell>
          <cell r="I166" t="str">
            <v>Others</v>
          </cell>
          <cell r="J166">
            <v>3</v>
          </cell>
          <cell r="K166" t="str">
            <v>Others</v>
          </cell>
        </row>
        <row r="167">
          <cell r="D167">
            <v>30329</v>
          </cell>
          <cell r="E167" t="str">
            <v>Fish; frozen, Nile perch (Lates niloticus) and snakeheads (Channa spp.), excluding fillets, fish meat of 0304, and edible fish offal of subheadings 0303.91 to 0303.99</v>
          </cell>
          <cell r="F167">
            <v>0</v>
          </cell>
          <cell r="G167">
            <v>0</v>
          </cell>
          <cell r="H167">
            <v>0</v>
          </cell>
          <cell r="I167" t="str">
            <v>Others</v>
          </cell>
          <cell r="J167">
            <v>3</v>
          </cell>
          <cell r="K167" t="str">
            <v>Others</v>
          </cell>
        </row>
        <row r="168">
          <cell r="D168">
            <v>30331</v>
          </cell>
          <cell r="E168" t="str">
            <v>Fish; frozen, halibut (Reinhardtius hippoglossoides, Hippoglossus hippoglossus, Hippoglossus stenolepis), excluding fillets, fish meat of 0304, and edible fish offal of subheadings 0303.91 to 0303.99</v>
          </cell>
          <cell r="F168">
            <v>0</v>
          </cell>
          <cell r="G168">
            <v>0</v>
          </cell>
          <cell r="H168">
            <v>0</v>
          </cell>
          <cell r="I168" t="str">
            <v>Others</v>
          </cell>
          <cell r="J168">
            <v>3</v>
          </cell>
          <cell r="K168" t="str">
            <v>Others</v>
          </cell>
        </row>
        <row r="169">
          <cell r="D169">
            <v>30332</v>
          </cell>
          <cell r="E169" t="str">
            <v>Fish; frozen, plaice (Pleuronectes platessa), excluding fillets, fish meat of 0304, and edible fish offal of subheadings 0303.91 to 0303.99</v>
          </cell>
          <cell r="F169">
            <v>0</v>
          </cell>
          <cell r="G169">
            <v>0</v>
          </cell>
          <cell r="H169">
            <v>0</v>
          </cell>
          <cell r="I169" t="str">
            <v>Others</v>
          </cell>
          <cell r="J169">
            <v>3</v>
          </cell>
          <cell r="K169" t="str">
            <v>Others</v>
          </cell>
        </row>
        <row r="170">
          <cell r="D170">
            <v>30333</v>
          </cell>
          <cell r="E170" t="str">
            <v>Fish; frozen, sole (Solea spp.), excluding fillets, fish meat of 0304, and edible fish offal of subheadings 0303.91 to 0303.99</v>
          </cell>
          <cell r="F170">
            <v>0</v>
          </cell>
          <cell r="G170">
            <v>0</v>
          </cell>
          <cell r="H170">
            <v>0</v>
          </cell>
          <cell r="I170" t="str">
            <v>Others</v>
          </cell>
          <cell r="J170">
            <v>3</v>
          </cell>
          <cell r="K170" t="str">
            <v>Others</v>
          </cell>
        </row>
        <row r="171">
          <cell r="D171">
            <v>30334</v>
          </cell>
          <cell r="E171" t="str">
            <v>Fish; frozen, turbots (Psetta maxima, Scophthalmidae), excluding fillets, fish meat of 0304, and edible fish offal of subheadings 0303.91 to 0303.99</v>
          </cell>
          <cell r="F171">
            <v>0</v>
          </cell>
          <cell r="G171">
            <v>0</v>
          </cell>
          <cell r="H171">
            <v>0</v>
          </cell>
          <cell r="I171" t="str">
            <v>Others</v>
          </cell>
          <cell r="J171">
            <v>3</v>
          </cell>
          <cell r="K171" t="str">
            <v>Others</v>
          </cell>
        </row>
        <row r="172">
          <cell r="D172">
            <v>30339</v>
          </cell>
          <cell r="E172" t="str">
            <v>Fish; frozen, flat fish, n.e.c. in item no. 0303.3, excluding fillets, fish meat of 0304, and edible fish offal of subheadings 0303.91 to 0303.99</v>
          </cell>
          <cell r="F172">
            <v>0</v>
          </cell>
          <cell r="G172">
            <v>0</v>
          </cell>
          <cell r="H172">
            <v>0</v>
          </cell>
          <cell r="I172" t="str">
            <v>Others</v>
          </cell>
          <cell r="J172">
            <v>3</v>
          </cell>
          <cell r="K172" t="str">
            <v>Others</v>
          </cell>
        </row>
        <row r="173">
          <cell r="D173">
            <v>30341</v>
          </cell>
          <cell r="E173" t="str">
            <v>Fish; frozen, albacore or longfinned tunas (Thunnus alalunga), excluding fillets, fish meat of 0304, and edible fish offal of subheadings 0303.91 to 0303.99</v>
          </cell>
          <cell r="F173">
            <v>0</v>
          </cell>
          <cell r="G173">
            <v>0</v>
          </cell>
          <cell r="H173">
            <v>0</v>
          </cell>
          <cell r="I173" t="str">
            <v>Others</v>
          </cell>
          <cell r="J173">
            <v>3</v>
          </cell>
          <cell r="K173" t="str">
            <v>Others</v>
          </cell>
        </row>
        <row r="174">
          <cell r="D174">
            <v>30342</v>
          </cell>
          <cell r="E174" t="str">
            <v>Fish; frozen, yellowfin tunas (Thunnus albacares), excluding fillets, fish meat of 0304, and edible fish offal of subheadings 0303.91 to 0303.99</v>
          </cell>
          <cell r="F174">
            <v>0</v>
          </cell>
          <cell r="G174">
            <v>0</v>
          </cell>
          <cell r="H174">
            <v>0</v>
          </cell>
          <cell r="I174" t="str">
            <v>Others</v>
          </cell>
          <cell r="J174">
            <v>3</v>
          </cell>
          <cell r="K174" t="str">
            <v>Others</v>
          </cell>
        </row>
        <row r="175">
          <cell r="D175">
            <v>30343</v>
          </cell>
          <cell r="E175" t="str">
            <v>Fish; frozen, skipjack tuna (stripe-bellied bonito) (Katsuwonus pelamis), excluding fillets, fish meat of 0304, and edible fish offal of subheadings 0303.91 to 0303.99</v>
          </cell>
          <cell r="F175">
            <v>0</v>
          </cell>
          <cell r="G175">
            <v>0</v>
          </cell>
          <cell r="H175">
            <v>0</v>
          </cell>
          <cell r="I175" t="str">
            <v>Others</v>
          </cell>
          <cell r="J175">
            <v>3</v>
          </cell>
          <cell r="K175" t="str">
            <v>Others</v>
          </cell>
        </row>
        <row r="176">
          <cell r="D176">
            <v>30344</v>
          </cell>
          <cell r="E176" t="str">
            <v>Fish; frozen, bigeye tunas (Thunnus obesus), excluding fillets, fish meat of 0304, and edible fish offal of subheadings 0303.91 to 0303.99</v>
          </cell>
          <cell r="F176">
            <v>0</v>
          </cell>
          <cell r="G176">
            <v>0</v>
          </cell>
          <cell r="H176">
            <v>0</v>
          </cell>
          <cell r="I176" t="str">
            <v>Others</v>
          </cell>
          <cell r="J176">
            <v>3</v>
          </cell>
          <cell r="K176" t="str">
            <v>Others</v>
          </cell>
        </row>
        <row r="177">
          <cell r="D177">
            <v>30345</v>
          </cell>
          <cell r="E177" t="str">
            <v>Fish; frozen, Atlantic and Pacific bluefin tunas (Thunnus thynnus, Thunnus orientalis), excluding fillets, fish meat of 0304, and edible fish offal of subheadings 0303.91 to 0303.99</v>
          </cell>
          <cell r="F177">
            <v>0</v>
          </cell>
          <cell r="G177">
            <v>0</v>
          </cell>
          <cell r="H177">
            <v>0</v>
          </cell>
          <cell r="I177" t="str">
            <v>Others</v>
          </cell>
          <cell r="J177">
            <v>3</v>
          </cell>
          <cell r="K177" t="str">
            <v>Others</v>
          </cell>
        </row>
        <row r="178">
          <cell r="D178">
            <v>30346</v>
          </cell>
          <cell r="E178" t="str">
            <v>Fish; frozen, southern bluefin tunas (Thunnus maccoyii), excluding fillets, fish meat of 0304, and edible fish offal of subheadings 0303.91 to 0303.99</v>
          </cell>
          <cell r="F178">
            <v>0</v>
          </cell>
          <cell r="G178">
            <v>0</v>
          </cell>
          <cell r="H178">
            <v>0</v>
          </cell>
          <cell r="I178" t="str">
            <v>Others</v>
          </cell>
          <cell r="J178">
            <v>3</v>
          </cell>
          <cell r="K178" t="str">
            <v>Others</v>
          </cell>
        </row>
        <row r="179">
          <cell r="D179">
            <v>30349</v>
          </cell>
          <cell r="E179" t="str">
            <v>Fish; frozen, tuna, n.e.c. in item no. 0303.4, excluding fillets, fish meat of 0304, and edible fish offal of subheadings 0303.91 to 0303.99</v>
          </cell>
          <cell r="F179">
            <v>0</v>
          </cell>
          <cell r="G179">
            <v>0</v>
          </cell>
          <cell r="H179">
            <v>0</v>
          </cell>
          <cell r="I179" t="str">
            <v>Others</v>
          </cell>
          <cell r="J179">
            <v>3</v>
          </cell>
          <cell r="K179" t="str">
            <v>Others</v>
          </cell>
        </row>
        <row r="180">
          <cell r="D180">
            <v>30351</v>
          </cell>
          <cell r="E180" t="str">
            <v>Fish; frozen, herrings (Clupea harengus, Clupea pallasii), excluding fillets, fish meat of 0304, and edible fish offal of subheadings 0303.91 to 0303.99</v>
          </cell>
          <cell r="F180">
            <v>0</v>
          </cell>
          <cell r="G180">
            <v>0</v>
          </cell>
          <cell r="H180">
            <v>0</v>
          </cell>
          <cell r="I180" t="str">
            <v>Others</v>
          </cell>
          <cell r="J180">
            <v>3</v>
          </cell>
          <cell r="K180" t="str">
            <v>Others</v>
          </cell>
        </row>
        <row r="181">
          <cell r="D181">
            <v>30353</v>
          </cell>
          <cell r="E181" t="str">
            <v>Fish; frozen, sardines (Sardina pilchardus, Sardinops spp.), sardinella (Sardinella spp.), brisling or sprats (Sprattus sprattus), excluding fillets, fish meat of 0304, and edible fish offal of subheadings 0303.91 to 0303.99</v>
          </cell>
          <cell r="F181">
            <v>0</v>
          </cell>
          <cell r="G181">
            <v>0</v>
          </cell>
          <cell r="H181">
            <v>0</v>
          </cell>
          <cell r="I181" t="str">
            <v>Others</v>
          </cell>
          <cell r="J181">
            <v>3</v>
          </cell>
          <cell r="K181" t="str">
            <v>Others</v>
          </cell>
        </row>
        <row r="182">
          <cell r="D182">
            <v>30354</v>
          </cell>
          <cell r="E182" t="str">
            <v>Fish; frozen, mackerel (Scomber scombrus, Scomber australasicus, Scomber japonicus), excluding fillets, fish meat of 0304, and edible fish offal of subheadings 0303.91 to 0303.99</v>
          </cell>
          <cell r="F182">
            <v>0</v>
          </cell>
          <cell r="G182">
            <v>0</v>
          </cell>
          <cell r="H182">
            <v>0</v>
          </cell>
          <cell r="I182" t="str">
            <v>Others</v>
          </cell>
          <cell r="J182">
            <v>3</v>
          </cell>
          <cell r="K182" t="str">
            <v>Others</v>
          </cell>
        </row>
        <row r="183">
          <cell r="D183">
            <v>30355</v>
          </cell>
          <cell r="E183" t="str">
            <v>Fish; frozen, jack and horse mackerel (Trachurus spp.), excluding fillets, fish meat of 0304, and edible fish offal of subheadings 0303.91 to 0303.99</v>
          </cell>
          <cell r="F183">
            <v>0</v>
          </cell>
          <cell r="G183">
            <v>0</v>
          </cell>
          <cell r="H183">
            <v>0</v>
          </cell>
          <cell r="I183" t="str">
            <v>Others</v>
          </cell>
          <cell r="J183">
            <v>3</v>
          </cell>
          <cell r="K183" t="str">
            <v>Others</v>
          </cell>
        </row>
        <row r="184">
          <cell r="D184">
            <v>30356</v>
          </cell>
          <cell r="E184" t="str">
            <v>Fish; frozen, cobia (Rachycentron canadum), excluding fillets, fish meat of 0304, and edible fish offal of subheadings 0303.91 to 0303.99</v>
          </cell>
          <cell r="F184">
            <v>0</v>
          </cell>
          <cell r="G184">
            <v>0</v>
          </cell>
          <cell r="H184">
            <v>0</v>
          </cell>
          <cell r="I184" t="str">
            <v>Others</v>
          </cell>
          <cell r="J184">
            <v>3</v>
          </cell>
          <cell r="K184" t="str">
            <v>Others</v>
          </cell>
        </row>
        <row r="185">
          <cell r="D185">
            <v>30357</v>
          </cell>
          <cell r="E185" t="str">
            <v>Fish; frozen, swordfish (Xiphias gladius), excluding fillets, fish meat of 0304, and edible fish offal of subheadings 0303.91 to 0303.99</v>
          </cell>
          <cell r="F185">
            <v>0</v>
          </cell>
          <cell r="G185">
            <v>0</v>
          </cell>
          <cell r="H185">
            <v>0</v>
          </cell>
          <cell r="I185" t="str">
            <v>Others</v>
          </cell>
          <cell r="J185">
            <v>3</v>
          </cell>
          <cell r="K185" t="str">
            <v>Others</v>
          </cell>
        </row>
        <row r="186">
          <cell r="D186">
            <v>30359</v>
          </cell>
          <cell r="E186" t="str">
            <v>Fish; frozen, n.e.c. in item no. 0303.5, excluding fillets, fish meat of 0304, and edible fish offal of subheadings 0303.91 to 0303.99</v>
          </cell>
          <cell r="F186">
            <v>0</v>
          </cell>
          <cell r="G186">
            <v>0</v>
          </cell>
          <cell r="H186">
            <v>0</v>
          </cell>
          <cell r="I186" t="str">
            <v>Others</v>
          </cell>
          <cell r="J186">
            <v>3</v>
          </cell>
          <cell r="K186" t="str">
            <v>Others</v>
          </cell>
        </row>
        <row r="187">
          <cell r="D187">
            <v>30363</v>
          </cell>
          <cell r="E187" t="str">
            <v>Fish; frozen, cod (Gadus morhua, Gadus ogac, Gadus macrocephalus), excluding fillets, fish meat of 0304, and edible fish offal of subheadings 0303.91 to 0303.99</v>
          </cell>
          <cell r="F187">
            <v>0</v>
          </cell>
          <cell r="G187">
            <v>0</v>
          </cell>
          <cell r="H187">
            <v>0</v>
          </cell>
          <cell r="I187" t="str">
            <v>Others</v>
          </cell>
          <cell r="J187">
            <v>3</v>
          </cell>
          <cell r="K187" t="str">
            <v>Others</v>
          </cell>
        </row>
        <row r="188">
          <cell r="D188">
            <v>30364</v>
          </cell>
          <cell r="E188" t="str">
            <v>Fish; frozen, haddock (Melanogrammus aeglefinus), excluding fillets, fish meat of 0304, and edible fish offal of subheadings 0303.91 to 0303.99</v>
          </cell>
          <cell r="F188">
            <v>0</v>
          </cell>
          <cell r="G188">
            <v>0</v>
          </cell>
          <cell r="H188">
            <v>0</v>
          </cell>
          <cell r="I188" t="str">
            <v>Others</v>
          </cell>
          <cell r="J188">
            <v>3</v>
          </cell>
          <cell r="K188" t="str">
            <v>Others</v>
          </cell>
        </row>
        <row r="189">
          <cell r="D189">
            <v>30365</v>
          </cell>
          <cell r="E189" t="str">
            <v>Fish; frozen, coalfish (Pollachius virens), excluding fillets, fish meat of 0304, and edible fish offal of subheadings 0303.91 to 0303.99</v>
          </cell>
          <cell r="F189">
            <v>0</v>
          </cell>
          <cell r="G189">
            <v>0</v>
          </cell>
          <cell r="H189">
            <v>0</v>
          </cell>
          <cell r="I189" t="str">
            <v>Others</v>
          </cell>
          <cell r="J189">
            <v>3</v>
          </cell>
          <cell r="K189" t="str">
            <v>Others</v>
          </cell>
        </row>
        <row r="190">
          <cell r="D190">
            <v>30366</v>
          </cell>
          <cell r="E190" t="str">
            <v>Fish; frozen, hake (Merluccius spp., Urophycis spp.), excluding fillets, fish meat of 0304, and edible fish offal of subheadings 0303.91 to 0303.99</v>
          </cell>
          <cell r="F190">
            <v>0</v>
          </cell>
          <cell r="G190">
            <v>0</v>
          </cell>
          <cell r="H190">
            <v>0</v>
          </cell>
          <cell r="I190" t="str">
            <v>Others</v>
          </cell>
          <cell r="J190">
            <v>3</v>
          </cell>
          <cell r="K190" t="str">
            <v>Others</v>
          </cell>
        </row>
        <row r="191">
          <cell r="D191">
            <v>30367</v>
          </cell>
          <cell r="E191" t="str">
            <v>Fish; frozen, Alaska pollock (Theragra chalcogramma), excluding fillets, fish meat of 0304, and edible fish offal of subheadings 0303.91 to 0303.99</v>
          </cell>
          <cell r="F191">
            <v>0</v>
          </cell>
          <cell r="G191">
            <v>0</v>
          </cell>
          <cell r="H191">
            <v>0</v>
          </cell>
          <cell r="I191" t="str">
            <v>Others</v>
          </cell>
          <cell r="J191">
            <v>3</v>
          </cell>
          <cell r="K191" t="str">
            <v>Others</v>
          </cell>
        </row>
        <row r="192">
          <cell r="D192">
            <v>30368</v>
          </cell>
          <cell r="E192" t="str">
            <v>Fish; frozen, blue whitings (Micromesistius poutassou, Micromesistius australis), excluding fillets, fish meat of 0304, and edible fish offal of subheadings 0303.91 to 0303.99</v>
          </cell>
          <cell r="F192">
            <v>0</v>
          </cell>
          <cell r="G192">
            <v>0</v>
          </cell>
          <cell r="H192">
            <v>0</v>
          </cell>
          <cell r="I192" t="str">
            <v>Others</v>
          </cell>
          <cell r="J192">
            <v>3</v>
          </cell>
          <cell r="K192" t="str">
            <v>Others</v>
          </cell>
        </row>
        <row r="193">
          <cell r="D193">
            <v>30369</v>
          </cell>
          <cell r="E193" t="str">
            <v>Fish; frozen, of Bregmacerotidae, Euclichthyidae, Gadidae, Macrouridae, Melanonidae, Merlucciidae, Moridae, Muraenolepididae, other than cod, haddock, coalfish, hake, Alaska pollack, blue whitings, not fillets, meat of 0304, and edible offal of 0303.9</v>
          </cell>
          <cell r="F193">
            <v>0</v>
          </cell>
          <cell r="G193">
            <v>0</v>
          </cell>
          <cell r="H193">
            <v>0</v>
          </cell>
          <cell r="I193" t="str">
            <v>Others</v>
          </cell>
          <cell r="J193">
            <v>3</v>
          </cell>
          <cell r="K193" t="str">
            <v>Others</v>
          </cell>
        </row>
        <row r="194">
          <cell r="D194">
            <v>30381</v>
          </cell>
          <cell r="E194" t="str">
            <v>Fish; frozen, dogfish and other sharks, excluding fillets, fish meat of 0304, and edible fish offal of subheadings 0303.91 to 0303.99</v>
          </cell>
          <cell r="F194">
            <v>0</v>
          </cell>
          <cell r="G194">
            <v>0</v>
          </cell>
          <cell r="H194">
            <v>0</v>
          </cell>
          <cell r="I194" t="str">
            <v>Others</v>
          </cell>
          <cell r="J194">
            <v>3</v>
          </cell>
          <cell r="K194" t="str">
            <v>Others</v>
          </cell>
        </row>
        <row r="195">
          <cell r="D195">
            <v>30382</v>
          </cell>
          <cell r="E195" t="str">
            <v>Fish; frozen, rays and skates (Rajidae), excluding fillets, fish meat of 0304, and edible fish offal of subheadings 0303.91 to 0303.99</v>
          </cell>
          <cell r="F195">
            <v>0</v>
          </cell>
          <cell r="G195">
            <v>0</v>
          </cell>
          <cell r="H195">
            <v>0</v>
          </cell>
          <cell r="I195" t="str">
            <v>Others</v>
          </cell>
          <cell r="J195">
            <v>3</v>
          </cell>
          <cell r="K195" t="str">
            <v>Others</v>
          </cell>
        </row>
        <row r="196">
          <cell r="D196">
            <v>30383</v>
          </cell>
          <cell r="E196" t="str">
            <v>Fish; frozen, toothfish (Dissostichus spp.), excluding fillets, livers, roes, and edible fish offal of subheadings 0303.91 to 0303.99</v>
          </cell>
          <cell r="F196">
            <v>0</v>
          </cell>
          <cell r="G196">
            <v>0</v>
          </cell>
          <cell r="H196">
            <v>0</v>
          </cell>
          <cell r="I196" t="str">
            <v>Others</v>
          </cell>
          <cell r="J196">
            <v>3</v>
          </cell>
          <cell r="K196" t="str">
            <v>Others</v>
          </cell>
        </row>
        <row r="197">
          <cell r="D197">
            <v>30384</v>
          </cell>
          <cell r="E197" t="str">
            <v>Fish; frozen, seabass (Dicentrarchus spp.), excluding fillets, fish meat of 0304, and edible fish offal of subheadings 0303.91 to 0303.99</v>
          </cell>
          <cell r="F197">
            <v>0</v>
          </cell>
          <cell r="G197">
            <v>0</v>
          </cell>
          <cell r="H197">
            <v>0</v>
          </cell>
          <cell r="I197" t="str">
            <v>Others</v>
          </cell>
          <cell r="J197">
            <v>3</v>
          </cell>
          <cell r="K197" t="str">
            <v>Others</v>
          </cell>
        </row>
        <row r="198">
          <cell r="D198">
            <v>30389</v>
          </cell>
          <cell r="E198" t="str">
            <v>Fish; frozen, n.e.c. in heading 0303, excluding fillets, fish meat of 0304, and edible fish offal of subheadings 0303.91 to 0303.99</v>
          </cell>
          <cell r="F198">
            <v>0</v>
          </cell>
          <cell r="G198">
            <v>0</v>
          </cell>
          <cell r="H198">
            <v>0</v>
          </cell>
          <cell r="I198" t="str">
            <v>Others</v>
          </cell>
          <cell r="J198">
            <v>3</v>
          </cell>
          <cell r="K198" t="str">
            <v>Others</v>
          </cell>
        </row>
        <row r="199">
          <cell r="D199">
            <v>30391</v>
          </cell>
          <cell r="E199" t="str">
            <v>Fish; frozen, livers, roes and milt</v>
          </cell>
          <cell r="F199">
            <v>0</v>
          </cell>
          <cell r="G199">
            <v>0</v>
          </cell>
          <cell r="H199">
            <v>0</v>
          </cell>
          <cell r="I199" t="str">
            <v>Others</v>
          </cell>
          <cell r="J199">
            <v>3</v>
          </cell>
          <cell r="K199" t="str">
            <v>Others</v>
          </cell>
        </row>
        <row r="200">
          <cell r="D200">
            <v>30392</v>
          </cell>
          <cell r="E200" t="str">
            <v>Fish; frozen, shark fins</v>
          </cell>
          <cell r="F200">
            <v>0</v>
          </cell>
          <cell r="G200">
            <v>0</v>
          </cell>
          <cell r="H200">
            <v>0</v>
          </cell>
          <cell r="I200" t="str">
            <v>Others</v>
          </cell>
          <cell r="J200">
            <v>3</v>
          </cell>
          <cell r="K200" t="str">
            <v>Others</v>
          </cell>
        </row>
        <row r="201">
          <cell r="D201">
            <v>30399</v>
          </cell>
          <cell r="E201" t="str">
            <v>Fish; frozen, fish fins (other than shark fins), heads, tails, maws and other edible fish offal</v>
          </cell>
          <cell r="F201">
            <v>0</v>
          </cell>
          <cell r="G201">
            <v>0</v>
          </cell>
          <cell r="H201">
            <v>0</v>
          </cell>
          <cell r="I201" t="str">
            <v>Others</v>
          </cell>
          <cell r="J201">
            <v>3</v>
          </cell>
          <cell r="K201" t="str">
            <v>Others</v>
          </cell>
        </row>
        <row r="202">
          <cell r="D202">
            <v>30431</v>
          </cell>
          <cell r="E202" t="str">
            <v>Fish fillets; fresh or chilled, tilapias (Oreochromis spp.)</v>
          </cell>
          <cell r="F202">
            <v>0</v>
          </cell>
          <cell r="G202">
            <v>0</v>
          </cell>
          <cell r="H202">
            <v>0</v>
          </cell>
          <cell r="I202" t="str">
            <v>Others</v>
          </cell>
          <cell r="J202">
            <v>3</v>
          </cell>
          <cell r="K202" t="str">
            <v>Others</v>
          </cell>
        </row>
        <row r="203">
          <cell r="D203">
            <v>30432</v>
          </cell>
          <cell r="E203" t="str">
            <v>Fish fillets; fresh or chilled, catfish (Pangasius spp., Silurus spp., Clarias spp., Ictalurus spp.)</v>
          </cell>
          <cell r="F203">
            <v>0</v>
          </cell>
          <cell r="G203">
            <v>0</v>
          </cell>
          <cell r="H203">
            <v>0</v>
          </cell>
          <cell r="I203" t="str">
            <v>Others</v>
          </cell>
          <cell r="J203">
            <v>3</v>
          </cell>
          <cell r="K203" t="str">
            <v>Others</v>
          </cell>
        </row>
        <row r="204">
          <cell r="D204">
            <v>30433</v>
          </cell>
          <cell r="E204" t="str">
            <v>Fish fillets; fresh or chilled, Nile perch (Lates niloticus)</v>
          </cell>
          <cell r="F204">
            <v>0</v>
          </cell>
          <cell r="G204">
            <v>0</v>
          </cell>
          <cell r="H204">
            <v>0</v>
          </cell>
          <cell r="I204" t="str">
            <v>Others</v>
          </cell>
          <cell r="J204">
            <v>3</v>
          </cell>
          <cell r="K204" t="str">
            <v>Others</v>
          </cell>
        </row>
        <row r="205">
          <cell r="D205">
            <v>30439</v>
          </cell>
          <cell r="E205" t="str">
            <v>Fish fillets; fresh or chilled, carp (as specified by the WCO), eels (Anguilla spp.), and snakeheads (Channa spp.)</v>
          </cell>
          <cell r="F205">
            <v>0</v>
          </cell>
          <cell r="G205">
            <v>0</v>
          </cell>
          <cell r="H205">
            <v>0</v>
          </cell>
          <cell r="I205" t="str">
            <v>Others</v>
          </cell>
          <cell r="J205">
            <v>3</v>
          </cell>
          <cell r="K205" t="str">
            <v>Others</v>
          </cell>
        </row>
        <row r="206">
          <cell r="D206">
            <v>30441</v>
          </cell>
          <cell r="E206" t="str">
            <v>Fish fillets; fresh or chilled, salmon, Pacific (Oncorhynchus nerka, Oncorhynchus gorbuscha, Oncorhynchus keta, Oncorhynchus tschawytscha, Oncorhynchus kisutch, Oncorhynchus masou and Oncorhynchus rhodurus), Atlantic (Salmo salar), Danube (Hucho hucho)</v>
          </cell>
          <cell r="F206">
            <v>0</v>
          </cell>
          <cell r="G206">
            <v>0</v>
          </cell>
          <cell r="H206">
            <v>0</v>
          </cell>
          <cell r="I206" t="str">
            <v>Others</v>
          </cell>
          <cell r="J206">
            <v>3</v>
          </cell>
          <cell r="K206" t="str">
            <v>Others</v>
          </cell>
        </row>
        <row r="207">
          <cell r="D207">
            <v>30442</v>
          </cell>
          <cell r="E207" t="str">
            <v>Fish fillets; fresh or chilled, trout (Salmo trutta, Oncorhynchus mykiss, Oncorhynchus clarki, Oncorhynchus aguabonita, Oncorhynchus gilae, Oncorhynchus apache and Oncorhynchus chrysogaster)</v>
          </cell>
          <cell r="F207">
            <v>0</v>
          </cell>
          <cell r="G207">
            <v>0</v>
          </cell>
          <cell r="H207">
            <v>0</v>
          </cell>
          <cell r="I207" t="str">
            <v>Others</v>
          </cell>
          <cell r="J207">
            <v>3</v>
          </cell>
          <cell r="K207" t="str">
            <v>Others</v>
          </cell>
        </row>
        <row r="208">
          <cell r="D208">
            <v>30443</v>
          </cell>
          <cell r="E208" t="str">
            <v>Fish fillets; fresh or chilled, flat fish (Pleuronectidae, Bothidae, Cynoglossidae, Soleidae, Scophthalmidae and Citharidae)</v>
          </cell>
          <cell r="F208">
            <v>0</v>
          </cell>
          <cell r="G208">
            <v>0</v>
          </cell>
          <cell r="H208">
            <v>0</v>
          </cell>
          <cell r="I208" t="str">
            <v>Others</v>
          </cell>
          <cell r="J208">
            <v>3</v>
          </cell>
          <cell r="K208" t="str">
            <v>Others</v>
          </cell>
        </row>
        <row r="209">
          <cell r="D209">
            <v>30444</v>
          </cell>
          <cell r="E209" t="str">
            <v>Fish fillets; fresh or chilled, of the families Bregmacerotidae, Euclichthyidae, Gadidae, Macrouridae, Melanonidae, Merlucciidae, Moridae, and Muraenolepididae</v>
          </cell>
          <cell r="F209">
            <v>0</v>
          </cell>
          <cell r="G209">
            <v>0</v>
          </cell>
          <cell r="H209">
            <v>0</v>
          </cell>
          <cell r="I209" t="str">
            <v>Others</v>
          </cell>
          <cell r="J209">
            <v>3</v>
          </cell>
          <cell r="K209" t="str">
            <v>Others</v>
          </cell>
        </row>
        <row r="210">
          <cell r="D210">
            <v>30445</v>
          </cell>
          <cell r="E210" t="str">
            <v>Fish fillets; fresh or chilled, swordfish (Xiphias gladius)</v>
          </cell>
          <cell r="F210">
            <v>0</v>
          </cell>
          <cell r="G210">
            <v>0</v>
          </cell>
          <cell r="H210">
            <v>0</v>
          </cell>
          <cell r="I210" t="str">
            <v>Others</v>
          </cell>
          <cell r="J210">
            <v>3</v>
          </cell>
          <cell r="K210" t="str">
            <v>Others</v>
          </cell>
        </row>
        <row r="211">
          <cell r="D211">
            <v>30446</v>
          </cell>
          <cell r="E211" t="str">
            <v>Fish fillets; fresh or chilled, toothfish (Dissostichus spp.)</v>
          </cell>
          <cell r="F211">
            <v>0</v>
          </cell>
          <cell r="G211">
            <v>0</v>
          </cell>
          <cell r="H211">
            <v>0</v>
          </cell>
          <cell r="I211" t="str">
            <v>Others</v>
          </cell>
          <cell r="J211">
            <v>3</v>
          </cell>
          <cell r="K211" t="str">
            <v>Others</v>
          </cell>
        </row>
        <row r="212">
          <cell r="D212">
            <v>30447</v>
          </cell>
          <cell r="E212" t="str">
            <v>Fish fillets; fresh or chilled, dogfish and other sharks</v>
          </cell>
          <cell r="F212">
            <v>0</v>
          </cell>
          <cell r="G212">
            <v>0</v>
          </cell>
          <cell r="H212">
            <v>0</v>
          </cell>
          <cell r="I212" t="str">
            <v>Others</v>
          </cell>
          <cell r="J212">
            <v>3</v>
          </cell>
          <cell r="K212" t="str">
            <v>Others</v>
          </cell>
        </row>
        <row r="213">
          <cell r="D213">
            <v>30448</v>
          </cell>
          <cell r="E213" t="str">
            <v>Fish fillets; fresh or chilled, rays and skates (Rajidae)</v>
          </cell>
          <cell r="F213">
            <v>0</v>
          </cell>
          <cell r="G213">
            <v>0</v>
          </cell>
          <cell r="H213">
            <v>0</v>
          </cell>
          <cell r="I213" t="str">
            <v>Others</v>
          </cell>
          <cell r="J213">
            <v>3</v>
          </cell>
          <cell r="K213" t="str">
            <v>Others</v>
          </cell>
        </row>
        <row r="214">
          <cell r="D214">
            <v>30449</v>
          </cell>
          <cell r="E214" t="str">
            <v>Fish fillets; fresh or chilled, other than fish of heading 0304.4</v>
          </cell>
          <cell r="F214">
            <v>0</v>
          </cell>
          <cell r="G214">
            <v>0</v>
          </cell>
          <cell r="H214">
            <v>0</v>
          </cell>
          <cell r="I214" t="str">
            <v>Others</v>
          </cell>
          <cell r="J214">
            <v>3</v>
          </cell>
          <cell r="K214" t="str">
            <v>Others</v>
          </cell>
        </row>
        <row r="215">
          <cell r="D215">
            <v>30451</v>
          </cell>
          <cell r="E215" t="str">
            <v>Fish meat, excluding fillets, whether or not minced; fresh or chilled, tilapias, catfish, carp, eels, Nile perch, and snakeheads</v>
          </cell>
          <cell r="F215">
            <v>0</v>
          </cell>
          <cell r="G215">
            <v>0</v>
          </cell>
          <cell r="H215">
            <v>0</v>
          </cell>
          <cell r="I215" t="str">
            <v>Others</v>
          </cell>
          <cell r="J215">
            <v>3</v>
          </cell>
          <cell r="K215" t="str">
            <v>Others</v>
          </cell>
        </row>
        <row r="216">
          <cell r="D216">
            <v>30452</v>
          </cell>
          <cell r="E216" t="str">
            <v>Fish meat, excluding fillets, whether or not minced; fresh or chilled, salmonidae</v>
          </cell>
          <cell r="F216">
            <v>0</v>
          </cell>
          <cell r="G216">
            <v>0</v>
          </cell>
          <cell r="H216">
            <v>0</v>
          </cell>
          <cell r="I216" t="str">
            <v>Others</v>
          </cell>
          <cell r="J216">
            <v>3</v>
          </cell>
          <cell r="K216" t="str">
            <v>Others</v>
          </cell>
        </row>
        <row r="217">
          <cell r="D217">
            <v>30453</v>
          </cell>
          <cell r="E217" t="str">
            <v>Fish meat, excluding fillets, whether or not minced; fresh or chilled, of the families Bregmacerotidae, Euclichthyidae, Gadidae, Macrouridae, Melanonidae, Merlucciidae, Moridae, and Muraenolepididae</v>
          </cell>
          <cell r="F217">
            <v>0</v>
          </cell>
          <cell r="G217">
            <v>0</v>
          </cell>
          <cell r="H217">
            <v>0</v>
          </cell>
          <cell r="I217" t="str">
            <v>Others</v>
          </cell>
          <cell r="J217">
            <v>3</v>
          </cell>
          <cell r="K217" t="str">
            <v>Others</v>
          </cell>
        </row>
        <row r="218">
          <cell r="D218">
            <v>30454</v>
          </cell>
          <cell r="E218" t="str">
            <v>Fish meat, excluding fillets, whether or not minced; fresh or chilled, swordfish (Xiphias gladius)</v>
          </cell>
          <cell r="F218">
            <v>0</v>
          </cell>
          <cell r="G218">
            <v>0</v>
          </cell>
          <cell r="H218">
            <v>0</v>
          </cell>
          <cell r="I218" t="str">
            <v>Others</v>
          </cell>
          <cell r="J218">
            <v>3</v>
          </cell>
          <cell r="K218" t="str">
            <v>Others</v>
          </cell>
        </row>
        <row r="219">
          <cell r="D219">
            <v>30455</v>
          </cell>
          <cell r="E219" t="str">
            <v>Fish meat, excluding fillets, whether or not minced; fresh or chilled, toothfish (Dissostichus spp.)</v>
          </cell>
          <cell r="F219">
            <v>0</v>
          </cell>
          <cell r="G219">
            <v>0</v>
          </cell>
          <cell r="H219">
            <v>0</v>
          </cell>
          <cell r="I219" t="str">
            <v>Others</v>
          </cell>
          <cell r="J219">
            <v>3</v>
          </cell>
          <cell r="K219" t="str">
            <v>Others</v>
          </cell>
        </row>
        <row r="220">
          <cell r="D220">
            <v>30456</v>
          </cell>
          <cell r="E220" t="str">
            <v>Fish meat; excluding fillets, whether or not minced; fresh or chilled, dogfish and other sharks</v>
          </cell>
          <cell r="F220">
            <v>0</v>
          </cell>
          <cell r="G220">
            <v>0</v>
          </cell>
          <cell r="H220">
            <v>0</v>
          </cell>
          <cell r="I220" t="str">
            <v>Others</v>
          </cell>
          <cell r="J220">
            <v>3</v>
          </cell>
          <cell r="K220" t="str">
            <v>Others</v>
          </cell>
        </row>
        <row r="221">
          <cell r="D221">
            <v>30457</v>
          </cell>
          <cell r="E221" t="str">
            <v>Fish meat; excluding fillets, whether or not minced; fresh or chilled, rays and skates (Rajidae)</v>
          </cell>
          <cell r="F221">
            <v>0</v>
          </cell>
          <cell r="G221">
            <v>0</v>
          </cell>
          <cell r="H221">
            <v>0</v>
          </cell>
          <cell r="I221" t="str">
            <v>Others</v>
          </cell>
          <cell r="J221">
            <v>3</v>
          </cell>
          <cell r="K221" t="str">
            <v>Others</v>
          </cell>
        </row>
        <row r="222">
          <cell r="D222">
            <v>30459</v>
          </cell>
          <cell r="E222" t="str">
            <v>Fish meat; excluding fillets, whether or not minced; fresh or chilled, of fish n.e.c. in item no. 0304.5</v>
          </cell>
          <cell r="F222">
            <v>0</v>
          </cell>
          <cell r="G222">
            <v>0</v>
          </cell>
          <cell r="H222">
            <v>0</v>
          </cell>
          <cell r="I222" t="str">
            <v>Others</v>
          </cell>
          <cell r="J222">
            <v>3</v>
          </cell>
          <cell r="K222" t="str">
            <v>Others</v>
          </cell>
        </row>
        <row r="223">
          <cell r="D223">
            <v>30461</v>
          </cell>
          <cell r="E223" t="str">
            <v>Fish fillets; frozen, tilapias (Oreochromis spp.)</v>
          </cell>
          <cell r="F223">
            <v>0</v>
          </cell>
          <cell r="G223">
            <v>0</v>
          </cell>
          <cell r="H223">
            <v>0</v>
          </cell>
          <cell r="I223" t="str">
            <v>Others</v>
          </cell>
          <cell r="J223">
            <v>3</v>
          </cell>
          <cell r="K223" t="str">
            <v>Others</v>
          </cell>
        </row>
        <row r="224">
          <cell r="D224">
            <v>30462</v>
          </cell>
          <cell r="E224" t="str">
            <v>Fish fillets; frozen, catfish (Pangasius spp., Silurus spp., Clarias spp., Ictalurus spp.)</v>
          </cell>
          <cell r="F224">
            <v>0</v>
          </cell>
          <cell r="G224">
            <v>0</v>
          </cell>
          <cell r="H224">
            <v>0</v>
          </cell>
          <cell r="I224" t="str">
            <v>Others</v>
          </cell>
          <cell r="J224">
            <v>3</v>
          </cell>
          <cell r="K224" t="str">
            <v>Others</v>
          </cell>
        </row>
        <row r="225">
          <cell r="D225">
            <v>30463</v>
          </cell>
          <cell r="E225" t="str">
            <v>Fish fillets; frozen, Nile Perch (Lates niloticus)</v>
          </cell>
          <cell r="F225">
            <v>0</v>
          </cell>
          <cell r="G225">
            <v>0</v>
          </cell>
          <cell r="H225">
            <v>0</v>
          </cell>
          <cell r="I225" t="str">
            <v>Others</v>
          </cell>
          <cell r="J225">
            <v>3</v>
          </cell>
          <cell r="K225" t="str">
            <v>Others</v>
          </cell>
        </row>
        <row r="226">
          <cell r="D226">
            <v>30469</v>
          </cell>
          <cell r="E226" t="str">
            <v>Fish fillets; frozen, carp (Cyprinus/Carassius/Ctenopharyngodon idellus/Hypophthalmichthys/Cirrhinus/Mylopharyngodon piceus/Catla catla/Labeo/Osteochilus hasselti/Leptobarbus hoeveni/Megalobrama), eels (Anguilla) and snakeheads (Channa)</v>
          </cell>
          <cell r="F226">
            <v>0</v>
          </cell>
          <cell r="G226">
            <v>0</v>
          </cell>
          <cell r="H226">
            <v>0</v>
          </cell>
          <cell r="I226" t="str">
            <v>Others</v>
          </cell>
          <cell r="J226">
            <v>3</v>
          </cell>
          <cell r="K226" t="str">
            <v>Others</v>
          </cell>
        </row>
        <row r="227">
          <cell r="D227">
            <v>30471</v>
          </cell>
          <cell r="E227" t="str">
            <v>Fish fillets; frozen, cod (Gadus morhua, Gadus ogac, Gadus macrocephalus)</v>
          </cell>
          <cell r="F227">
            <v>0</v>
          </cell>
          <cell r="G227">
            <v>0</v>
          </cell>
          <cell r="H227">
            <v>0</v>
          </cell>
          <cell r="I227" t="str">
            <v>Others</v>
          </cell>
          <cell r="J227">
            <v>3</v>
          </cell>
          <cell r="K227" t="str">
            <v>Others</v>
          </cell>
        </row>
        <row r="228">
          <cell r="D228">
            <v>30472</v>
          </cell>
          <cell r="E228" t="str">
            <v>Fish fillets; frozen, haddock (Melanogrammus aeglefinus)</v>
          </cell>
          <cell r="F228">
            <v>0</v>
          </cell>
          <cell r="G228">
            <v>0</v>
          </cell>
          <cell r="H228">
            <v>0</v>
          </cell>
          <cell r="I228" t="str">
            <v>Others</v>
          </cell>
          <cell r="J228">
            <v>3</v>
          </cell>
          <cell r="K228" t="str">
            <v>Others</v>
          </cell>
        </row>
        <row r="229">
          <cell r="D229">
            <v>30473</v>
          </cell>
          <cell r="E229" t="str">
            <v>Fish fillets; frozen, coalfish (Pollachius virens)</v>
          </cell>
          <cell r="F229">
            <v>0</v>
          </cell>
          <cell r="G229">
            <v>0</v>
          </cell>
          <cell r="H229">
            <v>0</v>
          </cell>
          <cell r="I229" t="str">
            <v>Others</v>
          </cell>
          <cell r="J229">
            <v>3</v>
          </cell>
          <cell r="K229" t="str">
            <v>Others</v>
          </cell>
        </row>
        <row r="230">
          <cell r="D230">
            <v>30474</v>
          </cell>
          <cell r="E230" t="str">
            <v>Fish fillets; frozen, hake (Merluccius spp., Urophycis spp.)</v>
          </cell>
          <cell r="F230">
            <v>0</v>
          </cell>
          <cell r="G230">
            <v>0</v>
          </cell>
          <cell r="H230">
            <v>0</v>
          </cell>
          <cell r="I230" t="str">
            <v>Others</v>
          </cell>
          <cell r="J230">
            <v>3</v>
          </cell>
          <cell r="K230" t="str">
            <v>Others</v>
          </cell>
        </row>
        <row r="231">
          <cell r="D231">
            <v>30475</v>
          </cell>
          <cell r="E231" t="str">
            <v>Fish fillets; frozen, Alaska pollock (Theragra chalcogramma)</v>
          </cell>
          <cell r="F231">
            <v>0</v>
          </cell>
          <cell r="G231">
            <v>0</v>
          </cell>
          <cell r="H231">
            <v>0</v>
          </cell>
          <cell r="I231" t="str">
            <v>Others</v>
          </cell>
          <cell r="J231">
            <v>3</v>
          </cell>
          <cell r="K231" t="str">
            <v>Others</v>
          </cell>
        </row>
        <row r="232">
          <cell r="D232">
            <v>30479</v>
          </cell>
          <cell r="E232" t="str">
            <v>Fish fillets; frozen, of the families Bregmacerotidae, Euclichthyidae, Gadidae, Macrouridae, Melanonidae, Merlucciidae, Moridae and Muraenolepididae other than cod, haddock, coalfish, hake, and Alaska pollock</v>
          </cell>
          <cell r="F232">
            <v>0</v>
          </cell>
          <cell r="G232">
            <v>0</v>
          </cell>
          <cell r="H232">
            <v>0</v>
          </cell>
          <cell r="I232" t="str">
            <v>Others</v>
          </cell>
          <cell r="J232">
            <v>3</v>
          </cell>
          <cell r="K232" t="str">
            <v>Others</v>
          </cell>
        </row>
        <row r="233">
          <cell r="D233">
            <v>30481</v>
          </cell>
          <cell r="E233" t="str">
            <v>Fish fillets; frozen, salmon, Pacific (Oncorhynchus nerka, Oncorhynchus gorbuscha, Oncorhynchus keta, Oncorhynchus tschawytscha, Oncorhynchus kisutch, Oncorhynchus masou, Oncorhynchus rhodurus), Atlantic (Salmo salar), and Danube (Hucho hucho)</v>
          </cell>
          <cell r="F233">
            <v>0</v>
          </cell>
          <cell r="G233">
            <v>0</v>
          </cell>
          <cell r="H233">
            <v>0</v>
          </cell>
          <cell r="I233" t="str">
            <v>Others</v>
          </cell>
          <cell r="J233">
            <v>3</v>
          </cell>
          <cell r="K233" t="str">
            <v>Others</v>
          </cell>
        </row>
        <row r="234">
          <cell r="D234">
            <v>30482</v>
          </cell>
          <cell r="E234" t="str">
            <v>Fish fillets; frozen, trout (Salmo trutta, Oncorhynchus mykiss, Oncorhynchus clarki, Oncorhynchus aguabonita, Oncorhynchus gilae, Oncorhynchus apache and Oncorhynchus chrysogaster)</v>
          </cell>
          <cell r="F234">
            <v>0</v>
          </cell>
          <cell r="G234">
            <v>0</v>
          </cell>
          <cell r="H234">
            <v>0</v>
          </cell>
          <cell r="I234" t="str">
            <v>Others</v>
          </cell>
          <cell r="J234">
            <v>3</v>
          </cell>
          <cell r="K234" t="str">
            <v>Others</v>
          </cell>
        </row>
        <row r="235">
          <cell r="D235">
            <v>30483</v>
          </cell>
          <cell r="E235" t="str">
            <v>Fish fillets; frozen, flat fish (Pleuronectidae, Bothidae, Cynoglossidae, Soleidae, Scophthalmidae and Citharidae)</v>
          </cell>
          <cell r="F235">
            <v>0</v>
          </cell>
          <cell r="G235">
            <v>0</v>
          </cell>
          <cell r="H235">
            <v>0</v>
          </cell>
          <cell r="I235" t="str">
            <v>Others</v>
          </cell>
          <cell r="J235">
            <v>3</v>
          </cell>
          <cell r="K235" t="str">
            <v>Others</v>
          </cell>
        </row>
        <row r="236">
          <cell r="D236">
            <v>30484</v>
          </cell>
          <cell r="E236" t="str">
            <v>Fish fillets; frozen, swordfish (Xiphias gladius)</v>
          </cell>
          <cell r="F236">
            <v>0</v>
          </cell>
          <cell r="G236">
            <v>0</v>
          </cell>
          <cell r="H236">
            <v>0</v>
          </cell>
          <cell r="I236" t="str">
            <v>Others</v>
          </cell>
          <cell r="J236">
            <v>3</v>
          </cell>
          <cell r="K236" t="str">
            <v>Others</v>
          </cell>
        </row>
        <row r="237">
          <cell r="D237">
            <v>30485</v>
          </cell>
          <cell r="E237" t="str">
            <v>Fish fillets; frozen, toothfish (Dissostichus spp.)</v>
          </cell>
          <cell r="F237">
            <v>0</v>
          </cell>
          <cell r="G237">
            <v>0</v>
          </cell>
          <cell r="H237">
            <v>0</v>
          </cell>
          <cell r="I237" t="str">
            <v>Others</v>
          </cell>
          <cell r="J237">
            <v>3</v>
          </cell>
          <cell r="K237" t="str">
            <v>Others</v>
          </cell>
        </row>
        <row r="238">
          <cell r="D238">
            <v>30486</v>
          </cell>
          <cell r="E238" t="str">
            <v>Fish fillets; frozen, herrings (Clupea harengus, Clupea pallasii)</v>
          </cell>
          <cell r="F238">
            <v>0</v>
          </cell>
          <cell r="G238">
            <v>0</v>
          </cell>
          <cell r="H238">
            <v>0</v>
          </cell>
          <cell r="I238" t="str">
            <v>Others</v>
          </cell>
          <cell r="J238">
            <v>3</v>
          </cell>
          <cell r="K238" t="str">
            <v>Others</v>
          </cell>
        </row>
        <row r="239">
          <cell r="D239">
            <v>30487</v>
          </cell>
          <cell r="E239" t="str">
            <v>Fish fillets; frozen, tunas (of the genus Thunnus), skipjack tuna (stripe-bellied bonito) (Katsuwonus pelamis)</v>
          </cell>
          <cell r="F239">
            <v>0</v>
          </cell>
          <cell r="G239">
            <v>0</v>
          </cell>
          <cell r="H239">
            <v>0</v>
          </cell>
          <cell r="I239" t="str">
            <v>Others</v>
          </cell>
          <cell r="J239">
            <v>3</v>
          </cell>
          <cell r="K239" t="str">
            <v>Others</v>
          </cell>
        </row>
        <row r="240">
          <cell r="D240">
            <v>30488</v>
          </cell>
          <cell r="E240" t="str">
            <v>Fish fillets; frozen, dogfish, other sharks, rays and skates (Rajidae)</v>
          </cell>
          <cell r="F240">
            <v>0</v>
          </cell>
          <cell r="G240">
            <v>0</v>
          </cell>
          <cell r="H240">
            <v>0</v>
          </cell>
          <cell r="I240" t="str">
            <v>Others</v>
          </cell>
          <cell r="J240">
            <v>3</v>
          </cell>
          <cell r="K240" t="str">
            <v>Others</v>
          </cell>
        </row>
        <row r="241">
          <cell r="D241">
            <v>30489</v>
          </cell>
          <cell r="E241" t="str">
            <v>Fish fillets; frozen, of fish n.e.c. in heading 0304.8</v>
          </cell>
          <cell r="F241">
            <v>0</v>
          </cell>
          <cell r="G241">
            <v>0</v>
          </cell>
          <cell r="H241">
            <v>0</v>
          </cell>
          <cell r="I241" t="str">
            <v>Others</v>
          </cell>
          <cell r="J241">
            <v>3</v>
          </cell>
          <cell r="K241" t="str">
            <v>Others</v>
          </cell>
        </row>
        <row r="242">
          <cell r="D242">
            <v>30491</v>
          </cell>
          <cell r="E242" t="str">
            <v>Fish meat, excluding fillets, whether or not minced; frozen, swordfish (Xiphias gladius)</v>
          </cell>
          <cell r="F242">
            <v>0</v>
          </cell>
          <cell r="G242">
            <v>0</v>
          </cell>
          <cell r="H242">
            <v>0</v>
          </cell>
          <cell r="I242" t="str">
            <v>Others</v>
          </cell>
          <cell r="J242">
            <v>3</v>
          </cell>
          <cell r="K242" t="str">
            <v>Others</v>
          </cell>
        </row>
        <row r="243">
          <cell r="D243">
            <v>30492</v>
          </cell>
          <cell r="E243" t="str">
            <v>Fish meat, excluding fillets, whether or not minced; frozen, toothfish (Dissostichus spp.)</v>
          </cell>
          <cell r="F243">
            <v>0</v>
          </cell>
          <cell r="G243">
            <v>0</v>
          </cell>
          <cell r="H243">
            <v>0</v>
          </cell>
          <cell r="I243" t="str">
            <v>Others</v>
          </cell>
          <cell r="J243">
            <v>3</v>
          </cell>
          <cell r="K243" t="str">
            <v>Others</v>
          </cell>
        </row>
        <row r="244">
          <cell r="D244">
            <v>30493</v>
          </cell>
          <cell r="E244" t="str">
            <v>Fish meat, excluding fillets, whether or not minced; frozen, tilapias, catfish, carp, eels, Nile perch, and snakeheads</v>
          </cell>
          <cell r="F244">
            <v>0</v>
          </cell>
          <cell r="G244">
            <v>0</v>
          </cell>
          <cell r="H244">
            <v>0</v>
          </cell>
          <cell r="I244" t="str">
            <v>Others</v>
          </cell>
          <cell r="J244">
            <v>3</v>
          </cell>
          <cell r="K244" t="str">
            <v>Others</v>
          </cell>
        </row>
        <row r="245">
          <cell r="D245">
            <v>30494</v>
          </cell>
          <cell r="E245" t="str">
            <v>Fish meat, excluding fillets, whether or not minced; frozen, Alaska Pollock (Theragra chalcogramma)</v>
          </cell>
          <cell r="F245">
            <v>0</v>
          </cell>
          <cell r="G245">
            <v>0</v>
          </cell>
          <cell r="H245">
            <v>0</v>
          </cell>
          <cell r="I245" t="str">
            <v>Others</v>
          </cell>
          <cell r="J245">
            <v>3</v>
          </cell>
          <cell r="K245" t="str">
            <v>Others</v>
          </cell>
        </row>
        <row r="246">
          <cell r="D246">
            <v>30495</v>
          </cell>
          <cell r="E246" t="str">
            <v>Fish meat, excluding fillets, whether or not minced; frozen, of the families Bregmacerotidae, Euclichthyidae, Gadidae, Macrouridae, Melanonidae, Merlucciidae, Moridae and Muraenolepididae, other than Alaska Pollock (Theragra chalcogramma)</v>
          </cell>
          <cell r="F246">
            <v>0</v>
          </cell>
          <cell r="G246">
            <v>0</v>
          </cell>
          <cell r="H246">
            <v>0</v>
          </cell>
          <cell r="I246" t="str">
            <v>Others</v>
          </cell>
          <cell r="J246">
            <v>3</v>
          </cell>
          <cell r="K246" t="str">
            <v>Others</v>
          </cell>
        </row>
        <row r="247">
          <cell r="D247">
            <v>30496</v>
          </cell>
          <cell r="E247" t="str">
            <v>Fish meat, excluding fillets, whether or not minced; frozen, dogfish and other sharks</v>
          </cell>
          <cell r="F247">
            <v>0</v>
          </cell>
          <cell r="G247">
            <v>0</v>
          </cell>
          <cell r="H247">
            <v>0</v>
          </cell>
          <cell r="I247" t="str">
            <v>Others</v>
          </cell>
          <cell r="J247">
            <v>3</v>
          </cell>
          <cell r="K247" t="str">
            <v>Others</v>
          </cell>
        </row>
        <row r="248">
          <cell r="D248">
            <v>30497</v>
          </cell>
          <cell r="E248" t="str">
            <v>Fish meat, excluding fillets, whether or not minced; frozen, rays and skates (Rajidae)</v>
          </cell>
          <cell r="F248">
            <v>0</v>
          </cell>
          <cell r="G248">
            <v>0</v>
          </cell>
          <cell r="H248">
            <v>0</v>
          </cell>
          <cell r="I248" t="str">
            <v>Others</v>
          </cell>
          <cell r="J248">
            <v>3</v>
          </cell>
          <cell r="K248" t="str">
            <v>Others</v>
          </cell>
        </row>
        <row r="249">
          <cell r="D249">
            <v>30499</v>
          </cell>
          <cell r="E249" t="str">
            <v>Fish meat, excluding fillets, whether or not minced; frozen, n.e.c. in item no. 0304.9</v>
          </cell>
          <cell r="F249">
            <v>0</v>
          </cell>
          <cell r="G249">
            <v>0</v>
          </cell>
          <cell r="H249">
            <v>0</v>
          </cell>
          <cell r="I249" t="str">
            <v>Others</v>
          </cell>
          <cell r="J249">
            <v>3</v>
          </cell>
          <cell r="K249" t="str">
            <v>Others</v>
          </cell>
        </row>
        <row r="250">
          <cell r="D250">
            <v>30520</v>
          </cell>
          <cell r="E250" t="str">
            <v>Fish; livers, roes and milt of fish, dried, smoked, salted or in brine</v>
          </cell>
          <cell r="F250">
            <v>0</v>
          </cell>
          <cell r="G250">
            <v>0</v>
          </cell>
          <cell r="H250">
            <v>0</v>
          </cell>
          <cell r="I250" t="str">
            <v>Others</v>
          </cell>
          <cell r="J250">
            <v>3</v>
          </cell>
          <cell r="K250" t="str">
            <v>Others</v>
          </cell>
        </row>
        <row r="251">
          <cell r="D251">
            <v>30531</v>
          </cell>
          <cell r="E251" t="str">
            <v>Fish fillets; dried, salted or in brine, but not smoked, tilapias, catfish, carp, eels, Nile perch, and snakeheads</v>
          </cell>
          <cell r="F251">
            <v>0</v>
          </cell>
          <cell r="G251">
            <v>0</v>
          </cell>
          <cell r="H251">
            <v>0</v>
          </cell>
          <cell r="I251" t="str">
            <v>Others</v>
          </cell>
          <cell r="J251">
            <v>3</v>
          </cell>
          <cell r="K251" t="str">
            <v>Others</v>
          </cell>
        </row>
        <row r="252">
          <cell r="D252">
            <v>30532</v>
          </cell>
          <cell r="E252" t="str">
            <v>Fish fillets; dried, salted or in brine, but not smoked, of the families Bregmacerotidae, Euclichthyidae, Gadidae, Macrouridae, Melanonidae, Merlucciidae, Moridae and Muraenolepididae</v>
          </cell>
          <cell r="F252">
            <v>0</v>
          </cell>
          <cell r="G252">
            <v>0</v>
          </cell>
          <cell r="H252">
            <v>0</v>
          </cell>
          <cell r="I252" t="str">
            <v>Others</v>
          </cell>
          <cell r="J252">
            <v>3</v>
          </cell>
          <cell r="K252" t="str">
            <v>Others</v>
          </cell>
        </row>
        <row r="253">
          <cell r="D253">
            <v>30539</v>
          </cell>
          <cell r="E253" t="str">
            <v>Fish fillets; dried, salted or in brine, but not smoked, n.e.c. in item no. 0305.3</v>
          </cell>
          <cell r="F253">
            <v>0</v>
          </cell>
          <cell r="G253">
            <v>0</v>
          </cell>
          <cell r="H253">
            <v>0</v>
          </cell>
          <cell r="I253" t="str">
            <v>Others</v>
          </cell>
          <cell r="J253">
            <v>3</v>
          </cell>
          <cell r="K253" t="str">
            <v>Others</v>
          </cell>
        </row>
        <row r="254">
          <cell r="D254">
            <v>30541</v>
          </cell>
          <cell r="E254" t="str">
            <v>Fish; smoked, whether or not cooked before or during smoking, salmon, Pacific (Oncorhynchus nerka, gorbuscha, keta, tschawytscha, kisutch, masou, rhodurus), Atlantic (Salmo salar) and Danube (Hucho hucho), includes fillets, but excludes edible fish offal</v>
          </cell>
          <cell r="F254">
            <v>0</v>
          </cell>
          <cell r="G254">
            <v>0</v>
          </cell>
          <cell r="H254">
            <v>0</v>
          </cell>
          <cell r="I254" t="str">
            <v>Others</v>
          </cell>
          <cell r="J254">
            <v>3</v>
          </cell>
          <cell r="K254" t="str">
            <v>Others</v>
          </cell>
        </row>
        <row r="255">
          <cell r="D255">
            <v>30542</v>
          </cell>
          <cell r="E255" t="str">
            <v>Fish; smoked, whether or not cooked before or during smoking, herrings (Clupea harengus, Clupea pallasii), includes fillets, but excludes edible fish offal</v>
          </cell>
          <cell r="F255">
            <v>0</v>
          </cell>
          <cell r="G255">
            <v>0</v>
          </cell>
          <cell r="H255">
            <v>0</v>
          </cell>
          <cell r="I255" t="str">
            <v>Others</v>
          </cell>
          <cell r="J255">
            <v>3</v>
          </cell>
          <cell r="K255" t="str">
            <v>Others</v>
          </cell>
        </row>
        <row r="256">
          <cell r="D256">
            <v>30543</v>
          </cell>
          <cell r="E256" t="str">
            <v>Fish; smoked, whether or not cooked before or during smoking, trout (Salmo trutta, Oncorhynchus mykiss/clarki/aguabonita/gilae/apache/chrysogaster), includes fillets, but excludes edible fish offal</v>
          </cell>
          <cell r="F256">
            <v>0</v>
          </cell>
          <cell r="G256">
            <v>0</v>
          </cell>
          <cell r="H256">
            <v>0</v>
          </cell>
          <cell r="I256" t="str">
            <v>Others</v>
          </cell>
          <cell r="J256">
            <v>3</v>
          </cell>
          <cell r="K256" t="str">
            <v>Others</v>
          </cell>
        </row>
        <row r="257">
          <cell r="D257">
            <v>30544</v>
          </cell>
          <cell r="E257" t="str">
            <v>Fish; smoked, whether or not cooked before or during smoking, tilapias, catfish, carp, eels, Nile perch, and snakeheads, includes fillets, but excludes edible fish offal</v>
          </cell>
          <cell r="F257">
            <v>0</v>
          </cell>
          <cell r="G257">
            <v>0</v>
          </cell>
          <cell r="H257">
            <v>0</v>
          </cell>
          <cell r="I257" t="str">
            <v>Others</v>
          </cell>
          <cell r="J257">
            <v>3</v>
          </cell>
          <cell r="K257" t="str">
            <v>Others</v>
          </cell>
        </row>
        <row r="258">
          <cell r="D258">
            <v>30549</v>
          </cell>
          <cell r="E258" t="str">
            <v>Fish; smoked, whether or not cooked before or during smoking, n.e.c. in item no. 0305.4, includes fillets, but excludes edible fish offal</v>
          </cell>
          <cell r="F258">
            <v>0</v>
          </cell>
          <cell r="G258">
            <v>0</v>
          </cell>
          <cell r="H258">
            <v>0</v>
          </cell>
          <cell r="I258" t="str">
            <v>Others</v>
          </cell>
          <cell r="J258">
            <v>3</v>
          </cell>
          <cell r="K258" t="str">
            <v>Others</v>
          </cell>
        </row>
        <row r="259">
          <cell r="D259">
            <v>30551</v>
          </cell>
          <cell r="E259" t="str">
            <v>Fish; dried, whether or not salted but not smoked, other than edible fish offal, cod (Gadus morhua, Gadus ogac, Gadus macrocephalus)</v>
          </cell>
          <cell r="F259">
            <v>0</v>
          </cell>
          <cell r="G259">
            <v>0</v>
          </cell>
          <cell r="H259">
            <v>0</v>
          </cell>
          <cell r="I259" t="str">
            <v>Others</v>
          </cell>
          <cell r="J259">
            <v>3</v>
          </cell>
          <cell r="K259" t="str">
            <v>Others</v>
          </cell>
        </row>
        <row r="260">
          <cell r="D260">
            <v>30552</v>
          </cell>
          <cell r="E260" t="str">
            <v>Fish; dried, whether or not salted but not smoked, tilapias, catfish, carp, eels, Nile perch, and snakeheads</v>
          </cell>
          <cell r="F260">
            <v>0</v>
          </cell>
          <cell r="G260">
            <v>0</v>
          </cell>
          <cell r="H260">
            <v>0</v>
          </cell>
          <cell r="I260" t="str">
            <v>Others</v>
          </cell>
          <cell r="J260">
            <v>3</v>
          </cell>
          <cell r="K260" t="str">
            <v>Others</v>
          </cell>
        </row>
        <row r="261">
          <cell r="D261">
            <v>30553</v>
          </cell>
          <cell r="E261" t="str">
            <v>Fish; dried, whether or not salted but not smoked, fish of the families Bregmacerotidae, Euclichthyidae, Gadidae, Macrouridae, Melanonidae, Merlucciidae, Moridae and Muraenolepididae, other than cod</v>
          </cell>
          <cell r="F261">
            <v>0</v>
          </cell>
          <cell r="G261">
            <v>0</v>
          </cell>
          <cell r="H261">
            <v>0</v>
          </cell>
          <cell r="I261" t="str">
            <v>Others</v>
          </cell>
          <cell r="J261">
            <v>3</v>
          </cell>
          <cell r="K261" t="str">
            <v>Others</v>
          </cell>
        </row>
        <row r="262">
          <cell r="D262">
            <v>30554</v>
          </cell>
          <cell r="E262" t="str">
            <v>Dried herrings, anchovies, sardines, sardinella, brisling or sprats, mackerel (incl Indian, jack, or horse), seerfishes, jacks, crevalles, cobia, silver pomfrets, Pacific saury, scads, capelin, swordfish, Kawakawa, bonitos, marlins, sailfishes, spearfish</v>
          </cell>
          <cell r="F262">
            <v>0</v>
          </cell>
          <cell r="G262">
            <v>0</v>
          </cell>
          <cell r="H262">
            <v>0</v>
          </cell>
          <cell r="I262" t="str">
            <v>Others</v>
          </cell>
          <cell r="J262">
            <v>3</v>
          </cell>
          <cell r="K262" t="str">
            <v>Others</v>
          </cell>
        </row>
        <row r="263">
          <cell r="D263">
            <v>30559</v>
          </cell>
          <cell r="E263" t="str">
            <v>Fish; dried, whether or not salted but not smoked, other than edible fish offal, n.e.c. in item no. 0305.5</v>
          </cell>
          <cell r="F263">
            <v>0</v>
          </cell>
          <cell r="G263">
            <v>0</v>
          </cell>
          <cell r="H263">
            <v>0</v>
          </cell>
          <cell r="I263" t="str">
            <v>Others</v>
          </cell>
          <cell r="J263">
            <v>3</v>
          </cell>
          <cell r="K263" t="str">
            <v>Others</v>
          </cell>
        </row>
        <row r="264">
          <cell r="D264">
            <v>30561</v>
          </cell>
          <cell r="E264" t="str">
            <v>Fish; salted or in brine, not dried or smoked, other than edible fish offal, herrings (Clupea harengas, Clupea pallasii)</v>
          </cell>
          <cell r="F264">
            <v>0</v>
          </cell>
          <cell r="G264">
            <v>0</v>
          </cell>
          <cell r="H264">
            <v>0</v>
          </cell>
          <cell r="I264" t="str">
            <v>Others</v>
          </cell>
          <cell r="J264">
            <v>3</v>
          </cell>
          <cell r="K264" t="str">
            <v>Others</v>
          </cell>
        </row>
        <row r="265">
          <cell r="D265">
            <v>30562</v>
          </cell>
          <cell r="E265" t="str">
            <v>Fish; salted or in brine, not dried or smoked, other than edible fish offal, cod (Gadus morhua, Gadus ogac, Gadus macrocephalus)</v>
          </cell>
          <cell r="F265">
            <v>0</v>
          </cell>
          <cell r="G265">
            <v>0</v>
          </cell>
          <cell r="H265">
            <v>0</v>
          </cell>
          <cell r="I265" t="str">
            <v>Others</v>
          </cell>
          <cell r="J265">
            <v>3</v>
          </cell>
          <cell r="K265" t="str">
            <v>Others</v>
          </cell>
        </row>
        <row r="266">
          <cell r="D266">
            <v>30563</v>
          </cell>
          <cell r="E266" t="str">
            <v>Fish; salted or in brine, not dried or smoked, other than edible fish offal, anchovies (Engrails spp.)</v>
          </cell>
          <cell r="F266">
            <v>0</v>
          </cell>
          <cell r="G266">
            <v>0</v>
          </cell>
          <cell r="H266">
            <v>0</v>
          </cell>
          <cell r="I266" t="str">
            <v>Others</v>
          </cell>
          <cell r="J266">
            <v>3</v>
          </cell>
          <cell r="K266" t="str">
            <v>Others</v>
          </cell>
        </row>
        <row r="267">
          <cell r="D267">
            <v>30564</v>
          </cell>
          <cell r="E267" t="str">
            <v>Fish; salted or in brine, not dried or smoked, other than edible fish offal, tilapias, catfish, carp, eels, Nile perch, and snakeheads</v>
          </cell>
          <cell r="F267">
            <v>0</v>
          </cell>
          <cell r="G267">
            <v>0</v>
          </cell>
          <cell r="H267">
            <v>0</v>
          </cell>
          <cell r="I267" t="str">
            <v>Others</v>
          </cell>
          <cell r="J267">
            <v>3</v>
          </cell>
          <cell r="K267" t="str">
            <v>Others</v>
          </cell>
        </row>
        <row r="268">
          <cell r="D268">
            <v>30569</v>
          </cell>
          <cell r="E268" t="str">
            <v>Fish; salted or in brine, not dried or smoked, other than edible fish offal, n.e.c. in item no. 0305.6</v>
          </cell>
          <cell r="F268">
            <v>0</v>
          </cell>
          <cell r="G268">
            <v>0</v>
          </cell>
          <cell r="H268">
            <v>0</v>
          </cell>
          <cell r="I268" t="str">
            <v>Others</v>
          </cell>
          <cell r="J268">
            <v>3</v>
          </cell>
          <cell r="K268" t="str">
            <v>Others</v>
          </cell>
        </row>
        <row r="269">
          <cell r="D269">
            <v>30571</v>
          </cell>
          <cell r="E269" t="str">
            <v>Fish; edible offal, shark fins</v>
          </cell>
          <cell r="F269">
            <v>0</v>
          </cell>
          <cell r="G269">
            <v>0</v>
          </cell>
          <cell r="H269">
            <v>0</v>
          </cell>
          <cell r="I269" t="str">
            <v>Others</v>
          </cell>
          <cell r="J269">
            <v>3</v>
          </cell>
          <cell r="K269" t="str">
            <v>Others</v>
          </cell>
        </row>
        <row r="270">
          <cell r="D270">
            <v>30572</v>
          </cell>
          <cell r="E270" t="str">
            <v>Fish; edible offal, fish heads, tails and maws</v>
          </cell>
          <cell r="F270">
            <v>0</v>
          </cell>
          <cell r="G270">
            <v>0</v>
          </cell>
          <cell r="H270">
            <v>0</v>
          </cell>
          <cell r="I270" t="str">
            <v>Others</v>
          </cell>
          <cell r="J270">
            <v>3</v>
          </cell>
          <cell r="K270" t="str">
            <v>Others</v>
          </cell>
        </row>
        <row r="271">
          <cell r="D271">
            <v>30579</v>
          </cell>
          <cell r="E271" t="str">
            <v>Fish; edible offal, other than shark fins, fish heads, tails and maws</v>
          </cell>
          <cell r="F271">
            <v>0</v>
          </cell>
          <cell r="G271">
            <v>0</v>
          </cell>
          <cell r="H271">
            <v>0</v>
          </cell>
          <cell r="I271" t="str">
            <v>Others</v>
          </cell>
          <cell r="J271">
            <v>3</v>
          </cell>
          <cell r="K271" t="str">
            <v>Others</v>
          </cell>
        </row>
        <row r="272">
          <cell r="D272">
            <v>30611</v>
          </cell>
          <cell r="E272" t="str">
            <v>Crustaceans; frozen, rock lobsters and other sea crawfish (Palinurus spp., Panulirus spp., Jasus spp.), in shell or not, smoked, cooked or not before or during smoking; in shell, cooked by steaming or by boiling in water</v>
          </cell>
          <cell r="F272">
            <v>0</v>
          </cell>
          <cell r="G272">
            <v>0</v>
          </cell>
          <cell r="H272">
            <v>0</v>
          </cell>
          <cell r="I272" t="str">
            <v>Others</v>
          </cell>
          <cell r="J272">
            <v>3</v>
          </cell>
          <cell r="K272" t="str">
            <v>Others</v>
          </cell>
        </row>
        <row r="273">
          <cell r="D273">
            <v>30612</v>
          </cell>
          <cell r="E273" t="str">
            <v>Crustaceans; frozen, lobsters (Homarus spp.), in shell or not, smoked, cooked or not before or during smoking; in shell, cooked by steaming or by boiling in water</v>
          </cell>
          <cell r="F273">
            <v>0</v>
          </cell>
          <cell r="G273">
            <v>0</v>
          </cell>
          <cell r="H273">
            <v>0</v>
          </cell>
          <cell r="I273" t="str">
            <v>Others</v>
          </cell>
          <cell r="J273">
            <v>3</v>
          </cell>
          <cell r="K273" t="str">
            <v>Others</v>
          </cell>
        </row>
        <row r="274">
          <cell r="D274">
            <v>30614</v>
          </cell>
          <cell r="E274" t="str">
            <v>Crustaceans; frozen, crabs, in shell or not, smoked, cooked or not before or during smoking; in shell, cooked by steaming or by boiling in water</v>
          </cell>
          <cell r="F274">
            <v>0</v>
          </cell>
          <cell r="G274">
            <v>0</v>
          </cell>
          <cell r="H274">
            <v>0</v>
          </cell>
          <cell r="I274" t="str">
            <v>Others</v>
          </cell>
          <cell r="J274">
            <v>3</v>
          </cell>
          <cell r="K274" t="str">
            <v>Others</v>
          </cell>
        </row>
        <row r="275">
          <cell r="D275">
            <v>30615</v>
          </cell>
          <cell r="E275" t="str">
            <v>Crustaceans; frozen, Norway lobsters (Nephrops norvegicus), in shell or not, smoked, cooked or not before or during smoking; in shell, cooked by steaming or by boiling in water</v>
          </cell>
          <cell r="F275">
            <v>0</v>
          </cell>
          <cell r="G275">
            <v>0</v>
          </cell>
          <cell r="H275">
            <v>0</v>
          </cell>
          <cell r="I275" t="str">
            <v>Others</v>
          </cell>
          <cell r="J275">
            <v>3</v>
          </cell>
          <cell r="K275" t="str">
            <v>Others</v>
          </cell>
        </row>
        <row r="276">
          <cell r="D276">
            <v>30616</v>
          </cell>
          <cell r="E276" t="str">
            <v>Crustaceans; frozen, cold-water shrimps and prawns (Pandalus spp., Crangon crangon), in shell or not, smoked, cooked or not before or during smoking; in shell, cooked by steaming or by boiling in water</v>
          </cell>
          <cell r="F276">
            <v>0</v>
          </cell>
          <cell r="G276">
            <v>0</v>
          </cell>
          <cell r="H276">
            <v>0</v>
          </cell>
          <cell r="I276" t="str">
            <v>Others</v>
          </cell>
          <cell r="J276">
            <v>3</v>
          </cell>
          <cell r="K276" t="str">
            <v>Others</v>
          </cell>
        </row>
        <row r="277">
          <cell r="D277">
            <v>30617</v>
          </cell>
          <cell r="E277" t="str">
            <v>Crustaceans; frozen, shrimps and prawns, excluding cold-water varieties, in shell or not, smoked, cooked or not before or during smoking; in shell, cooked by steaming or by boiling in water</v>
          </cell>
          <cell r="F277">
            <v>0</v>
          </cell>
          <cell r="G277">
            <v>0</v>
          </cell>
          <cell r="H277">
            <v>0</v>
          </cell>
          <cell r="I277" t="str">
            <v>Others</v>
          </cell>
          <cell r="J277">
            <v>3</v>
          </cell>
          <cell r="K277" t="str">
            <v>Others</v>
          </cell>
        </row>
        <row r="278">
          <cell r="D278">
            <v>30619</v>
          </cell>
          <cell r="E278" t="str">
            <v>Crustaceans; frozen, n.e.c. in item no. 0306.1, in shell or not, smoked, cooked or not before or during smoking; in shell, cooked by steaming or by boiling in water</v>
          </cell>
          <cell r="F278">
            <v>0</v>
          </cell>
          <cell r="G278">
            <v>0</v>
          </cell>
          <cell r="H278">
            <v>0</v>
          </cell>
          <cell r="I278" t="str">
            <v>Others</v>
          </cell>
          <cell r="J278">
            <v>3</v>
          </cell>
          <cell r="K278" t="str">
            <v>Others</v>
          </cell>
        </row>
        <row r="279">
          <cell r="D279">
            <v>30631</v>
          </cell>
          <cell r="E279" t="str">
            <v>Crustaceans; live, fresh or chilled, rock lobsters and other sea crawfish (Palinurus spp., Panulirus spp., Jasus spp.), in shell or not</v>
          </cell>
          <cell r="F279">
            <v>0</v>
          </cell>
          <cell r="G279">
            <v>0</v>
          </cell>
          <cell r="H279">
            <v>0</v>
          </cell>
          <cell r="I279" t="str">
            <v>Others</v>
          </cell>
          <cell r="J279">
            <v>3</v>
          </cell>
          <cell r="K279" t="str">
            <v>Others</v>
          </cell>
        </row>
        <row r="280">
          <cell r="D280">
            <v>30632</v>
          </cell>
          <cell r="E280" t="str">
            <v>Crustaceans; live, fresh or chilled, lobsters (Homarus spp.), whether in shell or not</v>
          </cell>
          <cell r="F280">
            <v>0</v>
          </cell>
          <cell r="G280">
            <v>0</v>
          </cell>
          <cell r="H280">
            <v>0</v>
          </cell>
          <cell r="I280" t="str">
            <v>Others</v>
          </cell>
          <cell r="J280">
            <v>3</v>
          </cell>
          <cell r="K280" t="str">
            <v>Others</v>
          </cell>
        </row>
        <row r="281">
          <cell r="D281">
            <v>30633</v>
          </cell>
          <cell r="E281" t="str">
            <v>Crustaceans; live, fresh or chilled, crabs, whether in shell or not</v>
          </cell>
          <cell r="F281">
            <v>0</v>
          </cell>
          <cell r="G281">
            <v>0</v>
          </cell>
          <cell r="H281">
            <v>0</v>
          </cell>
          <cell r="I281" t="str">
            <v>Others</v>
          </cell>
          <cell r="J281">
            <v>3</v>
          </cell>
          <cell r="K281" t="str">
            <v>Others</v>
          </cell>
        </row>
        <row r="282">
          <cell r="D282">
            <v>30634</v>
          </cell>
          <cell r="E282" t="str">
            <v>Crustaceans; live, fresh or chilled, Norway lobsters (Nephrops norvegicus), in shell or not</v>
          </cell>
          <cell r="F282">
            <v>0</v>
          </cell>
          <cell r="G282">
            <v>0</v>
          </cell>
          <cell r="H282">
            <v>0</v>
          </cell>
          <cell r="I282" t="str">
            <v>Others</v>
          </cell>
          <cell r="J282">
            <v>3</v>
          </cell>
          <cell r="K282" t="str">
            <v>Others</v>
          </cell>
        </row>
        <row r="283">
          <cell r="D283">
            <v>30635</v>
          </cell>
          <cell r="E283" t="str">
            <v>Crustaceans; live, fresh or chilled, cold-water shrimps and prawns (Pandalus spp., Crangon crangon), in shell or not</v>
          </cell>
          <cell r="F283">
            <v>0</v>
          </cell>
          <cell r="G283">
            <v>0</v>
          </cell>
          <cell r="H283">
            <v>0</v>
          </cell>
          <cell r="I283" t="str">
            <v>Others</v>
          </cell>
          <cell r="J283">
            <v>3</v>
          </cell>
          <cell r="K283" t="str">
            <v>Others</v>
          </cell>
        </row>
        <row r="284">
          <cell r="D284">
            <v>30636</v>
          </cell>
          <cell r="E284" t="str">
            <v>Crustaceans; live, fresh or chilled, shrimps and prawns excluding cold-water varieties, in shell or not</v>
          </cell>
          <cell r="F284">
            <v>0</v>
          </cell>
          <cell r="G284">
            <v>0</v>
          </cell>
          <cell r="H284">
            <v>0</v>
          </cell>
          <cell r="I284" t="str">
            <v>Others</v>
          </cell>
          <cell r="J284">
            <v>3</v>
          </cell>
          <cell r="K284" t="str">
            <v>Others</v>
          </cell>
        </row>
        <row r="285">
          <cell r="D285">
            <v>30639</v>
          </cell>
          <cell r="E285" t="str">
            <v>Crustaceans; live, fresh or chilled, n.e.c. in item no. 0306.3, in shell or not</v>
          </cell>
          <cell r="F285">
            <v>0</v>
          </cell>
          <cell r="G285">
            <v>0</v>
          </cell>
          <cell r="H285">
            <v>0</v>
          </cell>
          <cell r="I285" t="str">
            <v>Others</v>
          </cell>
          <cell r="J285">
            <v>3</v>
          </cell>
          <cell r="K285" t="str">
            <v>Others</v>
          </cell>
        </row>
        <row r="286">
          <cell r="D286">
            <v>30691</v>
          </cell>
          <cell r="E286" t="str">
            <v>Crustaceans; rock lobsters and other sea crawfish (Palinurus spp., Panulirus spp., Jasus spp.), smoked, cooked or not, whether in shell or not, whether or not cooked before or during smoking</v>
          </cell>
          <cell r="F286">
            <v>0</v>
          </cell>
          <cell r="G286">
            <v>0</v>
          </cell>
          <cell r="H286">
            <v>0</v>
          </cell>
          <cell r="I286" t="str">
            <v>Others</v>
          </cell>
          <cell r="J286">
            <v>3</v>
          </cell>
          <cell r="K286" t="str">
            <v>Others</v>
          </cell>
        </row>
        <row r="287">
          <cell r="D287">
            <v>30692</v>
          </cell>
          <cell r="E287" t="str">
            <v>Crustaceans; lobsters (Homarus spp.), smoked, cooked or not, whether in shell or not, whether or not cooked before or during smoking</v>
          </cell>
          <cell r="F287">
            <v>0</v>
          </cell>
          <cell r="G287">
            <v>0</v>
          </cell>
          <cell r="H287">
            <v>0</v>
          </cell>
          <cell r="I287" t="str">
            <v>Others</v>
          </cell>
          <cell r="J287">
            <v>3</v>
          </cell>
          <cell r="K287" t="str">
            <v>Others</v>
          </cell>
        </row>
        <row r="288">
          <cell r="D288">
            <v>30693</v>
          </cell>
          <cell r="E288" t="str">
            <v>Crustaceans; crabs, smoked, cooked or not, whether in shell or not, whether or not cooked before or during smoking</v>
          </cell>
          <cell r="F288">
            <v>0</v>
          </cell>
          <cell r="G288">
            <v>0</v>
          </cell>
          <cell r="H288">
            <v>0</v>
          </cell>
          <cell r="I288" t="str">
            <v>Others</v>
          </cell>
          <cell r="J288">
            <v>3</v>
          </cell>
          <cell r="K288" t="str">
            <v>Others</v>
          </cell>
        </row>
        <row r="289">
          <cell r="D289">
            <v>30694</v>
          </cell>
          <cell r="E289" t="str">
            <v>Crustaceans; Norway lobsters (Nephrops norvegicus), smoked, cooked or not, whether in shell or not, whether or not cooked before or during smoking</v>
          </cell>
          <cell r="F289">
            <v>0</v>
          </cell>
          <cell r="G289">
            <v>0</v>
          </cell>
          <cell r="H289">
            <v>0</v>
          </cell>
          <cell r="I289" t="str">
            <v>Others</v>
          </cell>
          <cell r="J289">
            <v>3</v>
          </cell>
          <cell r="K289" t="str">
            <v>Others</v>
          </cell>
        </row>
        <row r="290">
          <cell r="D290">
            <v>30695</v>
          </cell>
          <cell r="E290" t="str">
            <v>Crustaceans; shrimps and prawns, smoked, cooked or not, whether in shell or not, whether or not cooked before or during smoking</v>
          </cell>
          <cell r="F290">
            <v>0</v>
          </cell>
          <cell r="G290">
            <v>0</v>
          </cell>
          <cell r="H290">
            <v>0</v>
          </cell>
          <cell r="I290" t="str">
            <v>Others</v>
          </cell>
          <cell r="J290">
            <v>3</v>
          </cell>
          <cell r="K290" t="str">
            <v>Others</v>
          </cell>
        </row>
        <row r="291">
          <cell r="D291">
            <v>30699</v>
          </cell>
          <cell r="E291" t="str">
            <v>Crustaceans; smoked, whole, cooked or not, n.e.c. in item no. 0306.9, in shell or not</v>
          </cell>
          <cell r="F291">
            <v>0</v>
          </cell>
          <cell r="G291">
            <v>0</v>
          </cell>
          <cell r="H291">
            <v>0</v>
          </cell>
          <cell r="I291" t="str">
            <v>Others</v>
          </cell>
          <cell r="J291">
            <v>3</v>
          </cell>
          <cell r="K291" t="str">
            <v>Others</v>
          </cell>
        </row>
        <row r="292">
          <cell r="D292">
            <v>30711</v>
          </cell>
          <cell r="E292" t="str">
            <v>Molluscs; oysters, whether in shell or not, live, fresh or chilled</v>
          </cell>
          <cell r="F292">
            <v>0</v>
          </cell>
          <cell r="G292">
            <v>0</v>
          </cell>
          <cell r="H292">
            <v>0</v>
          </cell>
          <cell r="I292" t="str">
            <v>Others</v>
          </cell>
          <cell r="J292">
            <v>3</v>
          </cell>
          <cell r="K292" t="str">
            <v>Others</v>
          </cell>
        </row>
        <row r="293">
          <cell r="D293">
            <v>30712</v>
          </cell>
          <cell r="E293" t="str">
            <v>Molluscs; oysters, whether in shell or not, frozen</v>
          </cell>
          <cell r="F293">
            <v>0</v>
          </cell>
          <cell r="G293">
            <v>0</v>
          </cell>
          <cell r="H293">
            <v>0</v>
          </cell>
          <cell r="I293" t="str">
            <v>Others</v>
          </cell>
          <cell r="J293">
            <v>3</v>
          </cell>
          <cell r="K293" t="str">
            <v>Others</v>
          </cell>
        </row>
        <row r="294">
          <cell r="D294">
            <v>30719</v>
          </cell>
          <cell r="E294" t="str">
            <v>Molluscs; oysters, whether in shell or not, dried, salted or in brine, smoked, cooked or not before or during the smoking process</v>
          </cell>
          <cell r="F294">
            <v>0</v>
          </cell>
          <cell r="G294">
            <v>0</v>
          </cell>
          <cell r="H294">
            <v>0</v>
          </cell>
          <cell r="I294" t="str">
            <v>Others</v>
          </cell>
          <cell r="J294">
            <v>3</v>
          </cell>
          <cell r="K294" t="str">
            <v>Others</v>
          </cell>
        </row>
        <row r="295">
          <cell r="D295">
            <v>30721</v>
          </cell>
          <cell r="E295" t="str">
            <v>Molluscs; scallops and other molluscs of the family Pectinidae, whether in shell or not, live, fresh or chilled</v>
          </cell>
          <cell r="F295">
            <v>0</v>
          </cell>
          <cell r="G295">
            <v>0</v>
          </cell>
          <cell r="H295">
            <v>0</v>
          </cell>
          <cell r="I295" t="str">
            <v>Others</v>
          </cell>
          <cell r="J295">
            <v>3</v>
          </cell>
          <cell r="K295" t="str">
            <v>Others</v>
          </cell>
        </row>
        <row r="296">
          <cell r="D296">
            <v>30722</v>
          </cell>
          <cell r="E296" t="str">
            <v>Molluscs; scallops and other molluscs of the family Pectinidae, whether in shell or not, frozen</v>
          </cell>
          <cell r="F296">
            <v>0</v>
          </cell>
          <cell r="G296">
            <v>0</v>
          </cell>
          <cell r="H296">
            <v>0</v>
          </cell>
          <cell r="I296" t="str">
            <v>Others</v>
          </cell>
          <cell r="J296">
            <v>3</v>
          </cell>
          <cell r="K296" t="str">
            <v>Others</v>
          </cell>
        </row>
        <row r="297">
          <cell r="D297">
            <v>30729</v>
          </cell>
          <cell r="E297" t="str">
            <v>Molluscs; scallops and other molluscs of the family Pectinidae, whether in shell or not, dried, salted, in brine, or smoked, cooked or not before or during the smoking process</v>
          </cell>
          <cell r="F297">
            <v>0</v>
          </cell>
          <cell r="G297">
            <v>0</v>
          </cell>
          <cell r="H297">
            <v>0</v>
          </cell>
          <cell r="I297" t="str">
            <v>Others</v>
          </cell>
          <cell r="J297">
            <v>3</v>
          </cell>
          <cell r="K297" t="str">
            <v>Others</v>
          </cell>
        </row>
        <row r="298">
          <cell r="D298">
            <v>30731</v>
          </cell>
          <cell r="E298" t="str">
            <v>Molluscs; mussels (Mytilus spp., Perna spp.), whether in shell or not, live, fresh or chilled</v>
          </cell>
          <cell r="F298">
            <v>0</v>
          </cell>
          <cell r="G298">
            <v>0</v>
          </cell>
          <cell r="H298">
            <v>0</v>
          </cell>
          <cell r="I298" t="str">
            <v>Others</v>
          </cell>
          <cell r="J298">
            <v>3</v>
          </cell>
          <cell r="K298" t="str">
            <v>Others</v>
          </cell>
        </row>
        <row r="299">
          <cell r="D299">
            <v>30732</v>
          </cell>
          <cell r="E299" t="str">
            <v>Molluscs; mussels (Mytilus spp., Perna spp.), whether in shell or not, frozen</v>
          </cell>
          <cell r="F299">
            <v>0</v>
          </cell>
          <cell r="G299">
            <v>0</v>
          </cell>
          <cell r="H299">
            <v>0</v>
          </cell>
          <cell r="I299" t="str">
            <v>Others</v>
          </cell>
          <cell r="J299">
            <v>3</v>
          </cell>
          <cell r="K299" t="str">
            <v>Others</v>
          </cell>
        </row>
        <row r="300">
          <cell r="D300">
            <v>30739</v>
          </cell>
          <cell r="E300" t="str">
            <v>Molluscs; mussels (Mytilus spp., Perna spp.), whether in shell or not, dried, salted, in brine, or smoked, cooked or not before or during the smoking process</v>
          </cell>
          <cell r="F300">
            <v>0</v>
          </cell>
          <cell r="G300">
            <v>0</v>
          </cell>
          <cell r="H300">
            <v>0</v>
          </cell>
          <cell r="I300" t="str">
            <v>Others</v>
          </cell>
          <cell r="J300">
            <v>3</v>
          </cell>
          <cell r="K300" t="str">
            <v>Others</v>
          </cell>
        </row>
        <row r="301">
          <cell r="D301">
            <v>30742</v>
          </cell>
          <cell r="E301" t="str">
            <v>Molluscs; cuttle fish and squid, whether in shell or not, live, fresh or chilled</v>
          </cell>
          <cell r="F301">
            <v>0</v>
          </cell>
          <cell r="G301">
            <v>0</v>
          </cell>
          <cell r="H301">
            <v>0</v>
          </cell>
          <cell r="I301" t="str">
            <v>Others</v>
          </cell>
          <cell r="J301">
            <v>3</v>
          </cell>
          <cell r="K301" t="str">
            <v>Others</v>
          </cell>
        </row>
        <row r="302">
          <cell r="D302">
            <v>30743</v>
          </cell>
          <cell r="E302" t="str">
            <v>Molluscs; cuttle fish and squid, whether in shell or not, frozen</v>
          </cell>
          <cell r="F302">
            <v>0</v>
          </cell>
          <cell r="G302">
            <v>0</v>
          </cell>
          <cell r="H302">
            <v>0</v>
          </cell>
          <cell r="I302" t="str">
            <v>Others</v>
          </cell>
          <cell r="J302">
            <v>3</v>
          </cell>
          <cell r="K302" t="str">
            <v>Others</v>
          </cell>
        </row>
        <row r="303">
          <cell r="D303">
            <v>30749</v>
          </cell>
          <cell r="E303" t="str">
            <v>Molluscs; cuttle fish and squid, whether in shell or not, dried, salted, in brine, or smoked, cooked or not before or during the smoking process</v>
          </cell>
          <cell r="F303">
            <v>0</v>
          </cell>
          <cell r="G303">
            <v>0</v>
          </cell>
          <cell r="H303">
            <v>0</v>
          </cell>
          <cell r="I303" t="str">
            <v>Others</v>
          </cell>
          <cell r="J303">
            <v>3</v>
          </cell>
          <cell r="K303" t="str">
            <v>Others</v>
          </cell>
        </row>
        <row r="304">
          <cell r="D304">
            <v>30751</v>
          </cell>
          <cell r="E304" t="str">
            <v>Molluscs; octopus (Octopus spp.), live, fresh or chilled</v>
          </cell>
          <cell r="F304">
            <v>0</v>
          </cell>
          <cell r="G304">
            <v>0</v>
          </cell>
          <cell r="H304">
            <v>0</v>
          </cell>
          <cell r="I304" t="str">
            <v>Others</v>
          </cell>
          <cell r="J304">
            <v>3</v>
          </cell>
          <cell r="K304" t="str">
            <v>Others</v>
          </cell>
        </row>
        <row r="305">
          <cell r="D305">
            <v>30752</v>
          </cell>
          <cell r="E305" t="str">
            <v>Molluscs; octopus (Octopus spp.), frozen</v>
          </cell>
          <cell r="F305">
            <v>0</v>
          </cell>
          <cell r="G305">
            <v>0</v>
          </cell>
          <cell r="H305">
            <v>0</v>
          </cell>
          <cell r="I305" t="str">
            <v>Others</v>
          </cell>
          <cell r="J305">
            <v>3</v>
          </cell>
          <cell r="K305" t="str">
            <v>Others</v>
          </cell>
        </row>
        <row r="306">
          <cell r="D306">
            <v>30759</v>
          </cell>
          <cell r="E306" t="str">
            <v>Molluscs; octopus (Octopus spp.), dried, salted, in brine, or smoked, cooked or not before or during the smoking process</v>
          </cell>
          <cell r="F306">
            <v>0</v>
          </cell>
          <cell r="G306">
            <v>0</v>
          </cell>
          <cell r="H306">
            <v>0</v>
          </cell>
          <cell r="I306" t="str">
            <v>Others</v>
          </cell>
          <cell r="J306">
            <v>3</v>
          </cell>
          <cell r="K306" t="str">
            <v>Others</v>
          </cell>
        </row>
        <row r="307">
          <cell r="D307">
            <v>30760</v>
          </cell>
          <cell r="E307" t="str">
            <v>Molluscs; snails, other than sea snails, whether in shell or not, live, fresh, chilled, frozen, dried, salted, in brine, or smoked, cooked or not before or during the smoking process</v>
          </cell>
          <cell r="F307">
            <v>0</v>
          </cell>
          <cell r="G307">
            <v>0</v>
          </cell>
          <cell r="H307">
            <v>0</v>
          </cell>
          <cell r="I307" t="str">
            <v>Others</v>
          </cell>
          <cell r="J307">
            <v>3</v>
          </cell>
          <cell r="K307" t="str">
            <v>Others</v>
          </cell>
        </row>
        <row r="308">
          <cell r="D308">
            <v>30771</v>
          </cell>
          <cell r="E308" t="str">
            <v>Molluscs; clams, cockles and ark shells (families Arcidae, Arcticidae, Cardiidae, Donacidae, Hiatellidae, Mactridae, Mesodesmatidae, Myidae, Semelidae, Solecurtidae, Solenidae, Tridacnidae and Veneridae), whether in shell or not, live, fresh or chilled</v>
          </cell>
          <cell r="F308">
            <v>0</v>
          </cell>
          <cell r="G308">
            <v>0</v>
          </cell>
          <cell r="H308">
            <v>0</v>
          </cell>
          <cell r="I308" t="str">
            <v>Others</v>
          </cell>
          <cell r="J308">
            <v>3</v>
          </cell>
          <cell r="K308" t="str">
            <v>Others</v>
          </cell>
        </row>
        <row r="309">
          <cell r="D309">
            <v>30772</v>
          </cell>
          <cell r="E309" t="str">
            <v>Molluscs; clams, cockles, ark shells (Arcidae, Arcticidae, Cardiidae, Donacidae, Hiatellidae, Mactridae, Mesodesmatidae, Myidae, Semelidae, Solecurtidae, Solenidae, Tridacnidae and Veneridae), whether in shell or not, frozen</v>
          </cell>
          <cell r="F309">
            <v>0</v>
          </cell>
          <cell r="G309">
            <v>0</v>
          </cell>
          <cell r="H309">
            <v>0</v>
          </cell>
          <cell r="I309" t="str">
            <v>Others</v>
          </cell>
          <cell r="J309">
            <v>3</v>
          </cell>
          <cell r="K309" t="str">
            <v>Others</v>
          </cell>
        </row>
        <row r="310">
          <cell r="D310">
            <v>30779</v>
          </cell>
          <cell r="E310" t="str">
            <v>Molluscs; clams, cockle, ark shells (families Arcidae, Arcticidae, Cardiidae, Donacidae, Hiatellidae, Mactridae, Mesodesmatidae, Myidae, Semelidae, Solecurtidae, Solenidae, Tridacnidae, Veneridae), whether in shell or not, dried, salted, in brine, smoked</v>
          </cell>
          <cell r="F310">
            <v>0</v>
          </cell>
          <cell r="G310">
            <v>0</v>
          </cell>
          <cell r="H310">
            <v>0</v>
          </cell>
          <cell r="I310" t="str">
            <v>Others</v>
          </cell>
          <cell r="J310">
            <v>3</v>
          </cell>
          <cell r="K310" t="str">
            <v>Others</v>
          </cell>
        </row>
        <row r="311">
          <cell r="D311">
            <v>30781</v>
          </cell>
          <cell r="E311" t="str">
            <v>Molluscs; abalone (Haliotis spp.), whether in shell or not, live, fresh or chilled</v>
          </cell>
          <cell r="F311">
            <v>0</v>
          </cell>
          <cell r="G311">
            <v>0</v>
          </cell>
          <cell r="H311">
            <v>0</v>
          </cell>
          <cell r="I311" t="str">
            <v>Others</v>
          </cell>
          <cell r="J311">
            <v>3</v>
          </cell>
          <cell r="K311" t="str">
            <v>Others</v>
          </cell>
        </row>
        <row r="312">
          <cell r="D312">
            <v>30782</v>
          </cell>
          <cell r="E312" t="str">
            <v>Molluscs; stromboid conchs (Strombus spp.), whether in shell or not, live, fresh or chilled</v>
          </cell>
          <cell r="F312">
            <v>0</v>
          </cell>
          <cell r="G312">
            <v>0</v>
          </cell>
          <cell r="H312">
            <v>0</v>
          </cell>
          <cell r="I312" t="str">
            <v>Others</v>
          </cell>
          <cell r="J312">
            <v>3</v>
          </cell>
          <cell r="K312" t="str">
            <v>Others</v>
          </cell>
        </row>
        <row r="313">
          <cell r="D313">
            <v>30783</v>
          </cell>
          <cell r="E313" t="str">
            <v>Molluscs; abalone (Haliotis spp.), whether in shell or not, frozen</v>
          </cell>
          <cell r="F313">
            <v>0</v>
          </cell>
          <cell r="G313">
            <v>0</v>
          </cell>
          <cell r="H313">
            <v>0</v>
          </cell>
          <cell r="I313" t="str">
            <v>Others</v>
          </cell>
          <cell r="J313">
            <v>3</v>
          </cell>
          <cell r="K313" t="str">
            <v>Others</v>
          </cell>
        </row>
        <row r="314">
          <cell r="D314">
            <v>30784</v>
          </cell>
          <cell r="E314" t="str">
            <v>Molluscs; stromboid conchs (Strombus spp.), whether in shell or not, frozen</v>
          </cell>
          <cell r="F314">
            <v>0</v>
          </cell>
          <cell r="G314">
            <v>0</v>
          </cell>
          <cell r="H314">
            <v>0</v>
          </cell>
          <cell r="I314" t="str">
            <v>Others</v>
          </cell>
          <cell r="J314">
            <v>3</v>
          </cell>
          <cell r="K314" t="str">
            <v>Others</v>
          </cell>
        </row>
        <row r="315">
          <cell r="D315">
            <v>30787</v>
          </cell>
          <cell r="E315" t="str">
            <v>Molluscs; abalone (Haliotis spp.), whether in shell or not, dried, salted, in brine, or smoked, cooked or not before or during the smoking process</v>
          </cell>
          <cell r="F315">
            <v>0</v>
          </cell>
          <cell r="G315">
            <v>0</v>
          </cell>
          <cell r="H315">
            <v>0</v>
          </cell>
          <cell r="I315" t="str">
            <v>Others</v>
          </cell>
          <cell r="J315">
            <v>3</v>
          </cell>
          <cell r="K315" t="str">
            <v>Others</v>
          </cell>
        </row>
        <row r="316">
          <cell r="D316">
            <v>30788</v>
          </cell>
          <cell r="E316" t="str">
            <v>Molluscs; stromboid conchs (Strombus spp.), whether in shell or not, dried, salted, in brine, or smoked, cooked or not before or during the smoking process</v>
          </cell>
          <cell r="F316">
            <v>0</v>
          </cell>
          <cell r="G316">
            <v>0</v>
          </cell>
          <cell r="H316">
            <v>0</v>
          </cell>
          <cell r="I316" t="str">
            <v>Others</v>
          </cell>
          <cell r="J316">
            <v>3</v>
          </cell>
          <cell r="K316" t="str">
            <v>Others</v>
          </cell>
        </row>
        <row r="317">
          <cell r="D317">
            <v>30791</v>
          </cell>
          <cell r="E317" t="str">
            <v>Molluscs; n.e.c. in heading 0307, whether in shell or not, live or fresh, chilled</v>
          </cell>
          <cell r="F317">
            <v>0</v>
          </cell>
          <cell r="G317">
            <v>0</v>
          </cell>
          <cell r="H317">
            <v>0</v>
          </cell>
          <cell r="I317" t="str">
            <v>Others</v>
          </cell>
          <cell r="J317">
            <v>3</v>
          </cell>
          <cell r="K317" t="str">
            <v>Others</v>
          </cell>
        </row>
        <row r="318">
          <cell r="D318">
            <v>30792</v>
          </cell>
          <cell r="E318" t="str">
            <v>Molluscs; n.e.c. in heading 0307, whether in shell or not, frozen</v>
          </cell>
          <cell r="F318">
            <v>0</v>
          </cell>
          <cell r="G318">
            <v>0</v>
          </cell>
          <cell r="H318">
            <v>0</v>
          </cell>
          <cell r="I318" t="str">
            <v>Others</v>
          </cell>
          <cell r="J318">
            <v>3</v>
          </cell>
          <cell r="K318" t="str">
            <v>Others</v>
          </cell>
        </row>
        <row r="319">
          <cell r="D319">
            <v>30799</v>
          </cell>
          <cell r="E319" t="str">
            <v>Molluscs; n.e.c. in heading 0307, whether in shell or not, dried, salted, in brine, or smoked, cooked or not before or during the smoking process</v>
          </cell>
          <cell r="F319">
            <v>0</v>
          </cell>
          <cell r="G319">
            <v>0</v>
          </cell>
          <cell r="H319">
            <v>0</v>
          </cell>
          <cell r="I319" t="str">
            <v>Others</v>
          </cell>
          <cell r="J319">
            <v>3</v>
          </cell>
          <cell r="K319" t="str">
            <v>Others</v>
          </cell>
        </row>
        <row r="320">
          <cell r="D320">
            <v>30811</v>
          </cell>
          <cell r="E320" t="str">
            <v>Aquatic invertebrates; sea cucumbers (Stichopus japonicus, Holothuroidea), live, fresh or chilled</v>
          </cell>
          <cell r="F320">
            <v>0</v>
          </cell>
          <cell r="G320">
            <v>0</v>
          </cell>
          <cell r="H320">
            <v>0</v>
          </cell>
          <cell r="I320" t="str">
            <v>Others</v>
          </cell>
          <cell r="J320">
            <v>3</v>
          </cell>
          <cell r="K320" t="str">
            <v>Others</v>
          </cell>
        </row>
        <row r="321">
          <cell r="D321">
            <v>30812</v>
          </cell>
          <cell r="E321" t="str">
            <v>Aquatic invertebrates; sea cucumbers (Stichopus japonicus, Holothuroidea), frozen</v>
          </cell>
          <cell r="F321">
            <v>0</v>
          </cell>
          <cell r="G321">
            <v>0</v>
          </cell>
          <cell r="H321">
            <v>0</v>
          </cell>
          <cell r="I321" t="str">
            <v>Others</v>
          </cell>
          <cell r="J321">
            <v>3</v>
          </cell>
          <cell r="K321" t="str">
            <v>Others</v>
          </cell>
        </row>
        <row r="322">
          <cell r="D322">
            <v>30819</v>
          </cell>
          <cell r="E322" t="str">
            <v>Aquatic invertebrates; sea cucumbers (Stichopus japonicus, Holothuroidea), dried, salted or in brine, smoked, whether or not cooked before or during the smoking process</v>
          </cell>
          <cell r="F322">
            <v>0</v>
          </cell>
          <cell r="G322">
            <v>0</v>
          </cell>
          <cell r="H322">
            <v>0</v>
          </cell>
          <cell r="I322" t="str">
            <v>Others</v>
          </cell>
          <cell r="J322">
            <v>3</v>
          </cell>
          <cell r="K322" t="str">
            <v>Others</v>
          </cell>
        </row>
        <row r="323">
          <cell r="D323">
            <v>30821</v>
          </cell>
          <cell r="E323" t="str">
            <v>Aquatic invertebrates; sea urchins (Strongylocentrotus spp., Paracentrotus lividus, Loxechinus albus, Echinus esculentus), live, fresh or chilled</v>
          </cell>
          <cell r="F323">
            <v>0</v>
          </cell>
          <cell r="G323">
            <v>0</v>
          </cell>
          <cell r="H323">
            <v>0</v>
          </cell>
          <cell r="I323" t="str">
            <v>Others</v>
          </cell>
          <cell r="J323">
            <v>3</v>
          </cell>
          <cell r="K323" t="str">
            <v>Others</v>
          </cell>
        </row>
        <row r="324">
          <cell r="D324">
            <v>30822</v>
          </cell>
          <cell r="E324" t="str">
            <v>Aquatic invertebrates; sea urchins (Strongylocentrotus spp., Paracentrotus lividus, Loxechinus albus, Echinus esculentus), frozen</v>
          </cell>
          <cell r="F324">
            <v>0</v>
          </cell>
          <cell r="G324">
            <v>0</v>
          </cell>
          <cell r="H324">
            <v>0</v>
          </cell>
          <cell r="I324" t="str">
            <v>Others</v>
          </cell>
          <cell r="J324">
            <v>3</v>
          </cell>
          <cell r="K324" t="str">
            <v>Others</v>
          </cell>
        </row>
        <row r="325">
          <cell r="D325">
            <v>30829</v>
          </cell>
          <cell r="E325" t="str">
            <v>Aquatic invertebrates; sea urchins (Strongylocentrotus spp., Paracentrotus lividus, Loxechinus albus, Echinus esculentus), dried, salted or in brine, smoked, whether or not cooked before or during smoking process</v>
          </cell>
          <cell r="F325">
            <v>0</v>
          </cell>
          <cell r="G325">
            <v>0</v>
          </cell>
          <cell r="H325">
            <v>0</v>
          </cell>
          <cell r="I325" t="str">
            <v>Others</v>
          </cell>
          <cell r="J325">
            <v>3</v>
          </cell>
          <cell r="K325" t="str">
            <v>Others</v>
          </cell>
        </row>
        <row r="326">
          <cell r="D326">
            <v>30830</v>
          </cell>
          <cell r="E326" t="str">
            <v>Aquatic invertebrates; jellyfish (Rhopilema spp.), live, fresh, chilled, frozen, dried, salted or in brine, smoked, whether or not cooked before or during smoking</v>
          </cell>
          <cell r="F326">
            <v>0</v>
          </cell>
          <cell r="G326">
            <v>0</v>
          </cell>
          <cell r="H326">
            <v>0</v>
          </cell>
          <cell r="I326" t="str">
            <v>Others</v>
          </cell>
          <cell r="J326">
            <v>3</v>
          </cell>
          <cell r="K326" t="str">
            <v>Others</v>
          </cell>
        </row>
        <row r="327">
          <cell r="D327">
            <v>30890</v>
          </cell>
          <cell r="E327" t="str">
            <v>Aquatic invertebrates; other than crustaceans, molluscs, sea urchins, sea cucumbers and jellyfish, live, fresh, chilled, frozen, dried, salted or in brine, smoked, cooked or not before or during smoking</v>
          </cell>
          <cell r="F327">
            <v>0</v>
          </cell>
          <cell r="G327">
            <v>0</v>
          </cell>
          <cell r="H327">
            <v>0</v>
          </cell>
          <cell r="I327" t="str">
            <v>Others</v>
          </cell>
          <cell r="J327">
            <v>3</v>
          </cell>
          <cell r="K327" t="str">
            <v>Others</v>
          </cell>
        </row>
        <row r="328">
          <cell r="D328">
            <v>30910</v>
          </cell>
          <cell r="E328" t="str">
            <v>Flours, meals and pellets of fish, fit for human consumption</v>
          </cell>
          <cell r="F328">
            <v>0</v>
          </cell>
          <cell r="G328">
            <v>0</v>
          </cell>
          <cell r="H328">
            <v>0</v>
          </cell>
          <cell r="I328" t="str">
            <v>Others</v>
          </cell>
          <cell r="J328">
            <v>3</v>
          </cell>
          <cell r="K328" t="str">
            <v>Others</v>
          </cell>
        </row>
        <row r="329">
          <cell r="D329">
            <v>30990</v>
          </cell>
          <cell r="E329" t="str">
            <v>Flours, meals and pellets of crustaceans, molluscs and other aquatic invertebrates, fit for human consumption</v>
          </cell>
          <cell r="F329">
            <v>0</v>
          </cell>
          <cell r="G329">
            <v>0</v>
          </cell>
          <cell r="H329">
            <v>0</v>
          </cell>
          <cell r="I329" t="str">
            <v>Others</v>
          </cell>
          <cell r="J329">
            <v>3</v>
          </cell>
          <cell r="K329" t="str">
            <v>Others</v>
          </cell>
        </row>
        <row r="330">
          <cell r="D330">
            <v>40110</v>
          </cell>
          <cell r="E330" t="str">
            <v>Dairy produce; milk and cream, not concentrated, not containing added sugar or other sweetening matter, of a fat content, by weight, not exceeding 1%</v>
          </cell>
          <cell r="F330">
            <v>0</v>
          </cell>
          <cell r="G330">
            <v>0</v>
          </cell>
          <cell r="H330">
            <v>0</v>
          </cell>
          <cell r="I330" t="str">
            <v>Others</v>
          </cell>
          <cell r="J330">
            <v>3</v>
          </cell>
          <cell r="K330" t="str">
            <v>Others</v>
          </cell>
        </row>
        <row r="331">
          <cell r="D331">
            <v>40120</v>
          </cell>
          <cell r="E331" t="str">
            <v>Dairy produce; milk and cream, not concentrated, not containing added sugar or other sweetening matter, of a fat content, by weight, exceeding 1% but not exceeding 6%</v>
          </cell>
          <cell r="F331">
            <v>0</v>
          </cell>
          <cell r="G331">
            <v>0</v>
          </cell>
          <cell r="H331">
            <v>0</v>
          </cell>
          <cell r="I331" t="str">
            <v>Others</v>
          </cell>
          <cell r="J331">
            <v>3</v>
          </cell>
          <cell r="K331" t="str">
            <v>Others</v>
          </cell>
        </row>
        <row r="332">
          <cell r="D332">
            <v>40140</v>
          </cell>
          <cell r="E332" t="str">
            <v>Dairy produce; milk and cream, not concentrated, not containing added sugar or other sweetening matter, of a fat content, by weight, exceeding 6% but not exceeding 10%</v>
          </cell>
          <cell r="F332">
            <v>0</v>
          </cell>
          <cell r="G332">
            <v>0</v>
          </cell>
          <cell r="H332">
            <v>0</v>
          </cell>
          <cell r="I332" t="str">
            <v>Others</v>
          </cell>
          <cell r="J332">
            <v>3</v>
          </cell>
          <cell r="K332" t="str">
            <v>Others</v>
          </cell>
        </row>
        <row r="333">
          <cell r="D333">
            <v>40150</v>
          </cell>
          <cell r="E333" t="str">
            <v>Dairy produce; milk and cream, not concentrated, not containing added sugar or other sweetening matter, of a fat content, by weight, exceeding 10%</v>
          </cell>
          <cell r="F333">
            <v>0</v>
          </cell>
          <cell r="G333">
            <v>0</v>
          </cell>
          <cell r="H333">
            <v>0</v>
          </cell>
          <cell r="I333" t="str">
            <v>Others</v>
          </cell>
          <cell r="J333">
            <v>3</v>
          </cell>
          <cell r="K333" t="str">
            <v>Others</v>
          </cell>
        </row>
        <row r="334">
          <cell r="D334">
            <v>40210</v>
          </cell>
          <cell r="E334" t="str">
            <v>Dairy produce; milk and cream, concentrated or containing added sugar or other sweetening matter, in powder, granules or other solid forms, of a fat content not exceeding 1.5% (by weight)</v>
          </cell>
          <cell r="F334">
            <v>0</v>
          </cell>
          <cell r="G334">
            <v>0</v>
          </cell>
          <cell r="H334">
            <v>0</v>
          </cell>
          <cell r="I334" t="str">
            <v>Others</v>
          </cell>
          <cell r="J334">
            <v>3</v>
          </cell>
          <cell r="K334" t="str">
            <v>Others</v>
          </cell>
        </row>
        <row r="335">
          <cell r="D335">
            <v>40221</v>
          </cell>
          <cell r="E335" t="str">
            <v>Dairy produce; milk and cream, concentrated, not containing added sugar or other sweetening matter, in powder, granules or other solid forms, of a fat content exceeding 1.5% (by weight)</v>
          </cell>
          <cell r="F335">
            <v>0</v>
          </cell>
          <cell r="G335">
            <v>0</v>
          </cell>
          <cell r="H335">
            <v>0</v>
          </cell>
          <cell r="I335" t="str">
            <v>Others</v>
          </cell>
          <cell r="J335">
            <v>3</v>
          </cell>
          <cell r="K335" t="str">
            <v>Others</v>
          </cell>
        </row>
        <row r="336">
          <cell r="D336">
            <v>40229</v>
          </cell>
          <cell r="E336" t="str">
            <v>Dairy produce; milk and cream, containing added sugar or other sweetening matter, in powder, granules or other solid forms, of a fat content exceeding 1.5% (by weight)</v>
          </cell>
          <cell r="F336">
            <v>0</v>
          </cell>
          <cell r="G336">
            <v>0</v>
          </cell>
          <cell r="H336">
            <v>0</v>
          </cell>
          <cell r="I336" t="str">
            <v>Others</v>
          </cell>
          <cell r="J336">
            <v>3</v>
          </cell>
          <cell r="K336" t="str">
            <v>Others</v>
          </cell>
        </row>
        <row r="337">
          <cell r="D337">
            <v>40291</v>
          </cell>
          <cell r="E337" t="str">
            <v>Dairy produce; milk and cream, concentrated, not containing added sugar or other sweetening matter, other than in powder, granules or other solid forms</v>
          </cell>
          <cell r="F337">
            <v>0</v>
          </cell>
          <cell r="G337">
            <v>0</v>
          </cell>
          <cell r="H337">
            <v>0</v>
          </cell>
          <cell r="I337" t="str">
            <v>Others</v>
          </cell>
          <cell r="J337">
            <v>3</v>
          </cell>
          <cell r="K337" t="str">
            <v>Others</v>
          </cell>
        </row>
        <row r="338">
          <cell r="D338">
            <v>40299</v>
          </cell>
          <cell r="E338" t="str">
            <v>Dairy produce; milk and cream, containing added sugar or other sweetening matter, other than in powder, granules or other solid forms</v>
          </cell>
          <cell r="F338">
            <v>0</v>
          </cell>
          <cell r="G338">
            <v>0</v>
          </cell>
          <cell r="H338">
            <v>0</v>
          </cell>
          <cell r="I338" t="str">
            <v>Others</v>
          </cell>
          <cell r="J338">
            <v>3</v>
          </cell>
          <cell r="K338" t="str">
            <v>Others</v>
          </cell>
        </row>
        <row r="339">
          <cell r="D339">
            <v>40320</v>
          </cell>
          <cell r="E339" t="str">
            <v>Dairy produce; yoghurt, whether or not concentrated or containing added sugar or other sweetening matter or flavoured or containing added fruit, nuts or cocoa</v>
          </cell>
          <cell r="F339">
            <v>0</v>
          </cell>
          <cell r="G339">
            <v>0</v>
          </cell>
          <cell r="H339">
            <v>0</v>
          </cell>
          <cell r="I339" t="str">
            <v>Others</v>
          </cell>
          <cell r="J339">
            <v>3</v>
          </cell>
          <cell r="K339" t="str">
            <v>Others</v>
          </cell>
        </row>
        <row r="340">
          <cell r="D340">
            <v>40390</v>
          </cell>
          <cell r="E340" t="str">
            <v>Dairy produce; buttermilk, curdled milk or cream, kephir, fermented or acidified milk or cream, whether or not concentrated or containing added sweetening, flavouring, fruit, nuts or cocoa (excluding yoghurt)</v>
          </cell>
          <cell r="F340">
            <v>0</v>
          </cell>
          <cell r="G340">
            <v>0</v>
          </cell>
          <cell r="H340">
            <v>0</v>
          </cell>
          <cell r="I340" t="str">
            <v>Others</v>
          </cell>
          <cell r="J340">
            <v>3</v>
          </cell>
          <cell r="K340" t="str">
            <v>Others</v>
          </cell>
        </row>
        <row r="341">
          <cell r="D341">
            <v>40410</v>
          </cell>
          <cell r="E341" t="str">
            <v>Dairy produce; whey, whether or not concentrated or containing added sugar or other sweetening matter</v>
          </cell>
          <cell r="F341">
            <v>0</v>
          </cell>
          <cell r="G341">
            <v>0</v>
          </cell>
          <cell r="H341">
            <v>0</v>
          </cell>
          <cell r="I341" t="str">
            <v>Others</v>
          </cell>
          <cell r="J341">
            <v>3</v>
          </cell>
          <cell r="K341" t="str">
            <v>Others</v>
          </cell>
        </row>
        <row r="342">
          <cell r="D342">
            <v>40490</v>
          </cell>
          <cell r="E342" t="str">
            <v>Dairy produce; natural milk constituents (excluding whey), whether or not containing added sugar or other sweetening matter, n.e.c. in chapter 04</v>
          </cell>
          <cell r="F342">
            <v>0</v>
          </cell>
          <cell r="G342">
            <v>0</v>
          </cell>
          <cell r="H342">
            <v>0</v>
          </cell>
          <cell r="I342" t="str">
            <v>Others</v>
          </cell>
          <cell r="J342">
            <v>3</v>
          </cell>
          <cell r="K342" t="str">
            <v>Others</v>
          </cell>
        </row>
        <row r="343">
          <cell r="D343">
            <v>40510</v>
          </cell>
          <cell r="E343" t="str">
            <v>Dairy produce; derived from milk, butter</v>
          </cell>
          <cell r="F343">
            <v>0</v>
          </cell>
          <cell r="G343">
            <v>0</v>
          </cell>
          <cell r="H343">
            <v>0</v>
          </cell>
          <cell r="I343" t="str">
            <v>Others</v>
          </cell>
          <cell r="J343">
            <v>3</v>
          </cell>
          <cell r="K343" t="str">
            <v>Others</v>
          </cell>
        </row>
        <row r="344">
          <cell r="D344">
            <v>40520</v>
          </cell>
          <cell r="E344" t="str">
            <v>Dairy produce; dairy spreads</v>
          </cell>
          <cell r="F344">
            <v>0</v>
          </cell>
          <cell r="G344">
            <v>0</v>
          </cell>
          <cell r="H344">
            <v>0</v>
          </cell>
          <cell r="I344" t="str">
            <v>Others</v>
          </cell>
          <cell r="J344">
            <v>3</v>
          </cell>
          <cell r="K344" t="str">
            <v>Others</v>
          </cell>
        </row>
        <row r="345">
          <cell r="D345">
            <v>40590</v>
          </cell>
          <cell r="E345" t="str">
            <v>Dairy produce; fats and oils derived from milk (other than butter or dairy spreads)</v>
          </cell>
          <cell r="F345">
            <v>0</v>
          </cell>
          <cell r="G345">
            <v>0</v>
          </cell>
          <cell r="H345">
            <v>0</v>
          </cell>
          <cell r="I345" t="str">
            <v>Others</v>
          </cell>
          <cell r="J345">
            <v>3</v>
          </cell>
          <cell r="K345" t="str">
            <v>Others</v>
          </cell>
        </row>
        <row r="346">
          <cell r="D346">
            <v>40610</v>
          </cell>
          <cell r="E346" t="str">
            <v>Dairy produce; fresh cheese (including whey cheese), not fermented, and curd</v>
          </cell>
          <cell r="F346">
            <v>0</v>
          </cell>
          <cell r="G346">
            <v>0</v>
          </cell>
          <cell r="H346">
            <v>0</v>
          </cell>
          <cell r="I346" t="str">
            <v>Others</v>
          </cell>
          <cell r="J346">
            <v>3</v>
          </cell>
          <cell r="K346" t="str">
            <v>Others</v>
          </cell>
        </row>
        <row r="347">
          <cell r="D347">
            <v>40620</v>
          </cell>
          <cell r="E347" t="str">
            <v>Dairy produce; cheese of all kinds, grated or powdered</v>
          </cell>
          <cell r="F347">
            <v>0</v>
          </cell>
          <cell r="G347">
            <v>0</v>
          </cell>
          <cell r="H347">
            <v>0</v>
          </cell>
          <cell r="I347" t="str">
            <v>Others</v>
          </cell>
          <cell r="J347">
            <v>3</v>
          </cell>
          <cell r="K347" t="str">
            <v>Others</v>
          </cell>
        </row>
        <row r="348">
          <cell r="D348">
            <v>40630</v>
          </cell>
          <cell r="E348" t="str">
            <v>Dairy produce; cheese, processed (not grated or powdered)</v>
          </cell>
          <cell r="F348">
            <v>0</v>
          </cell>
          <cell r="G348">
            <v>0</v>
          </cell>
          <cell r="H348">
            <v>0</v>
          </cell>
          <cell r="I348" t="str">
            <v>Others</v>
          </cell>
          <cell r="J348">
            <v>3</v>
          </cell>
          <cell r="K348" t="str">
            <v>Others</v>
          </cell>
        </row>
        <row r="349">
          <cell r="D349">
            <v>40640</v>
          </cell>
          <cell r="E349" t="str">
            <v>Dairy produce; cheese, blue-veined and other cheese containing veins produced by Penicillium roqueforti (not grated, powdered or processed)</v>
          </cell>
          <cell r="F349">
            <v>0</v>
          </cell>
          <cell r="G349">
            <v>0</v>
          </cell>
          <cell r="H349">
            <v>0</v>
          </cell>
          <cell r="I349" t="str">
            <v>Others</v>
          </cell>
          <cell r="J349">
            <v>3</v>
          </cell>
          <cell r="K349" t="str">
            <v>Others</v>
          </cell>
        </row>
        <row r="350">
          <cell r="D350">
            <v>40690</v>
          </cell>
          <cell r="E350" t="str">
            <v>Dairy produce; cheese (not grated, powdered or processed), n.e.c. in heading no. 0406</v>
          </cell>
          <cell r="F350">
            <v>0</v>
          </cell>
          <cell r="G350">
            <v>0</v>
          </cell>
          <cell r="H350">
            <v>0</v>
          </cell>
          <cell r="I350" t="str">
            <v>Others</v>
          </cell>
          <cell r="J350">
            <v>3</v>
          </cell>
          <cell r="K350" t="str">
            <v>Others</v>
          </cell>
        </row>
        <row r="351">
          <cell r="D351">
            <v>40711</v>
          </cell>
          <cell r="E351" t="str">
            <v>Birds' eggs, in shell; fresh, fertilised eggs for incubation, of fowls of the species Gallus domesticus (domestic hens)</v>
          </cell>
          <cell r="F351">
            <v>0</v>
          </cell>
          <cell r="G351">
            <v>0</v>
          </cell>
          <cell r="H351">
            <v>0</v>
          </cell>
          <cell r="I351" t="str">
            <v>Others</v>
          </cell>
          <cell r="J351">
            <v>3</v>
          </cell>
          <cell r="K351" t="str">
            <v>Others</v>
          </cell>
        </row>
        <row r="352">
          <cell r="D352">
            <v>40719</v>
          </cell>
          <cell r="E352" t="str">
            <v>Birds' eggs, in shell; fresh, fertilised eggs for incubation, other than fowls of the species Gallus domesticus (domestic hens)</v>
          </cell>
          <cell r="F352">
            <v>0</v>
          </cell>
          <cell r="G352">
            <v>0</v>
          </cell>
          <cell r="H352">
            <v>0</v>
          </cell>
          <cell r="I352" t="str">
            <v>Others</v>
          </cell>
          <cell r="J352">
            <v>3</v>
          </cell>
          <cell r="K352" t="str">
            <v>Others</v>
          </cell>
        </row>
        <row r="353">
          <cell r="D353">
            <v>40721</v>
          </cell>
          <cell r="E353" t="str">
            <v>Birds' eggs, in shell; fresh, not for incubation, of fowls of the species Gallus domesticus (domestic hens)</v>
          </cell>
          <cell r="F353">
            <v>0</v>
          </cell>
          <cell r="G353">
            <v>0</v>
          </cell>
          <cell r="H353">
            <v>0</v>
          </cell>
          <cell r="I353" t="str">
            <v>Others</v>
          </cell>
          <cell r="J353">
            <v>3</v>
          </cell>
          <cell r="K353" t="str">
            <v>Others</v>
          </cell>
        </row>
        <row r="354">
          <cell r="D354">
            <v>40729</v>
          </cell>
          <cell r="E354" t="str">
            <v>Birds' eggs, in shell; fresh, not for incubation, other than fowls of the species Gallus domesticus (domestic hens)</v>
          </cell>
          <cell r="F354">
            <v>0</v>
          </cell>
          <cell r="G354">
            <v>0</v>
          </cell>
          <cell r="H354">
            <v>0</v>
          </cell>
          <cell r="I354" t="str">
            <v>Others</v>
          </cell>
          <cell r="J354">
            <v>3</v>
          </cell>
          <cell r="K354" t="str">
            <v>Others</v>
          </cell>
        </row>
        <row r="355">
          <cell r="D355">
            <v>40790</v>
          </cell>
          <cell r="E355" t="str">
            <v>Birds' eggs, in shell; preserved or cooked</v>
          </cell>
          <cell r="F355">
            <v>0</v>
          </cell>
          <cell r="G355">
            <v>0</v>
          </cell>
          <cell r="H355">
            <v>0</v>
          </cell>
          <cell r="I355" t="str">
            <v>Others</v>
          </cell>
          <cell r="J355">
            <v>3</v>
          </cell>
          <cell r="K355" t="str">
            <v>Others</v>
          </cell>
        </row>
        <row r="356">
          <cell r="D356">
            <v>40811</v>
          </cell>
          <cell r="E356" t="str">
            <v>Eggs; birds' eggs, yolks, dried, whether or not containing added sugar or other sweetening matter</v>
          </cell>
          <cell r="F356">
            <v>0</v>
          </cell>
          <cell r="G356">
            <v>0</v>
          </cell>
          <cell r="H356">
            <v>0</v>
          </cell>
          <cell r="I356" t="str">
            <v>Others</v>
          </cell>
          <cell r="J356">
            <v>3</v>
          </cell>
          <cell r="K356" t="str">
            <v>Others</v>
          </cell>
        </row>
        <row r="357">
          <cell r="D357">
            <v>40819</v>
          </cell>
          <cell r="E357" t="str">
            <v>Eggs; birds' eggs, yolks, fresh, cooked by steaming or by boiling in water, moulded, frozen or otherwise preserved, whether or not containing added sugar or other sweetening matter</v>
          </cell>
          <cell r="F357">
            <v>0</v>
          </cell>
          <cell r="G357">
            <v>0</v>
          </cell>
          <cell r="H357">
            <v>0</v>
          </cell>
          <cell r="I357" t="str">
            <v>Others</v>
          </cell>
          <cell r="J357">
            <v>3</v>
          </cell>
          <cell r="K357" t="str">
            <v>Others</v>
          </cell>
        </row>
        <row r="358">
          <cell r="D358">
            <v>40891</v>
          </cell>
          <cell r="E358" t="str">
            <v>Eggs; birds' eggs (not in shell, excluding yolks only), dried, whether or not containing added sugar or other sweetening matter</v>
          </cell>
          <cell r="F358">
            <v>0</v>
          </cell>
          <cell r="G358">
            <v>0</v>
          </cell>
          <cell r="H358">
            <v>0</v>
          </cell>
          <cell r="I358" t="str">
            <v>Others</v>
          </cell>
          <cell r="J358">
            <v>3</v>
          </cell>
          <cell r="K358" t="str">
            <v>Others</v>
          </cell>
        </row>
        <row r="359">
          <cell r="D359">
            <v>40899</v>
          </cell>
          <cell r="E359" t="str">
            <v>Eggs; birds' eggs (not in shell, excluding yolks only), fresh, cooked by steaming or boiling in water, moulded, frozen, otherwise preserved, whether or not containing added sugar or other sweetening matter</v>
          </cell>
          <cell r="F359">
            <v>0</v>
          </cell>
          <cell r="G359">
            <v>0</v>
          </cell>
          <cell r="H359">
            <v>0</v>
          </cell>
          <cell r="I359" t="str">
            <v>Others</v>
          </cell>
          <cell r="J359">
            <v>3</v>
          </cell>
          <cell r="K359" t="str">
            <v>Others</v>
          </cell>
        </row>
        <row r="360">
          <cell r="D360">
            <v>40900</v>
          </cell>
          <cell r="E360" t="str">
            <v>Honey; natural</v>
          </cell>
          <cell r="F360">
            <v>0</v>
          </cell>
          <cell r="G360">
            <v>0</v>
          </cell>
          <cell r="H360">
            <v>0</v>
          </cell>
          <cell r="I360" t="str">
            <v>Others</v>
          </cell>
          <cell r="J360">
            <v>3</v>
          </cell>
          <cell r="K360" t="str">
            <v>Others</v>
          </cell>
        </row>
        <row r="361">
          <cell r="D361">
            <v>41010</v>
          </cell>
          <cell r="E361" t="str">
            <v>Animal products; insects</v>
          </cell>
          <cell r="F361">
            <v>0</v>
          </cell>
          <cell r="G361">
            <v>0</v>
          </cell>
          <cell r="H361">
            <v>0</v>
          </cell>
          <cell r="I361" t="str">
            <v>Others</v>
          </cell>
          <cell r="J361">
            <v>3</v>
          </cell>
          <cell r="K361" t="str">
            <v>Others</v>
          </cell>
        </row>
        <row r="362">
          <cell r="D362">
            <v>41090</v>
          </cell>
          <cell r="E362" t="str">
            <v>Animal products; edible products of animal origin, not elsewhere specified or included, other than insects</v>
          </cell>
          <cell r="F362">
            <v>0</v>
          </cell>
          <cell r="G362">
            <v>0</v>
          </cell>
          <cell r="H362">
            <v>0</v>
          </cell>
          <cell r="I362" t="str">
            <v>Others</v>
          </cell>
          <cell r="J362">
            <v>3</v>
          </cell>
          <cell r="K362" t="str">
            <v>Others</v>
          </cell>
        </row>
        <row r="363">
          <cell r="D363">
            <v>50100</v>
          </cell>
          <cell r="E363" t="str">
            <v>Animal products; hair, human, unworked, whether or not washed or scoured, and waste of human hair</v>
          </cell>
          <cell r="F363">
            <v>0</v>
          </cell>
          <cell r="G363">
            <v>0</v>
          </cell>
          <cell r="H363">
            <v>0</v>
          </cell>
          <cell r="I363" t="str">
            <v>Others</v>
          </cell>
          <cell r="J363">
            <v>3</v>
          </cell>
          <cell r="K363" t="str">
            <v>Others</v>
          </cell>
        </row>
        <row r="364">
          <cell r="D364">
            <v>50210</v>
          </cell>
          <cell r="E364" t="str">
            <v>Animal products; hair and bristles, of pigs, hogs or boars, and waste thereof</v>
          </cell>
          <cell r="F364">
            <v>0</v>
          </cell>
          <cell r="G364">
            <v>0</v>
          </cell>
          <cell r="H364">
            <v>0</v>
          </cell>
          <cell r="I364" t="str">
            <v>Others</v>
          </cell>
          <cell r="J364">
            <v>3</v>
          </cell>
          <cell r="K364" t="str">
            <v>Others</v>
          </cell>
        </row>
        <row r="365">
          <cell r="D365">
            <v>50290</v>
          </cell>
          <cell r="E365" t="str">
            <v>Animal products; badger hair and other brush making hair and waste of such bristles or hair, n.e.c. in heading no. 0502 (excluding horsehair)</v>
          </cell>
          <cell r="F365">
            <v>0</v>
          </cell>
          <cell r="G365">
            <v>0</v>
          </cell>
          <cell r="H365">
            <v>0</v>
          </cell>
          <cell r="I365" t="str">
            <v>Others</v>
          </cell>
          <cell r="J365">
            <v>3</v>
          </cell>
          <cell r="K365" t="str">
            <v>Others</v>
          </cell>
        </row>
        <row r="366">
          <cell r="D366">
            <v>50400</v>
          </cell>
          <cell r="E366" t="str">
            <v>Animal products; guts, bladders and stomachs of animals (other than fish), whole and pieces thereof, fresh, chilled, frozen, salted, in brine, dried or smoked</v>
          </cell>
          <cell r="F366">
            <v>0</v>
          </cell>
          <cell r="G366">
            <v>0</v>
          </cell>
          <cell r="H366">
            <v>0</v>
          </cell>
          <cell r="I366" t="str">
            <v>Others</v>
          </cell>
          <cell r="J366">
            <v>3</v>
          </cell>
          <cell r="K366" t="str">
            <v>Others</v>
          </cell>
        </row>
        <row r="367">
          <cell r="D367">
            <v>50510</v>
          </cell>
          <cell r="E367" t="str">
            <v>Animal products; feathers and down used for stuffing, not further worked than cleaned, disinfected or treated for preservation</v>
          </cell>
          <cell r="F367">
            <v>0</v>
          </cell>
          <cell r="G367">
            <v>0</v>
          </cell>
          <cell r="H367">
            <v>0</v>
          </cell>
          <cell r="I367" t="str">
            <v>Others</v>
          </cell>
          <cell r="J367">
            <v>3</v>
          </cell>
          <cell r="K367" t="str">
            <v>Others</v>
          </cell>
        </row>
        <row r="368">
          <cell r="D368">
            <v>50590</v>
          </cell>
          <cell r="E368" t="str">
            <v>Animal products; skins and other parts of birds, feathers and down (not for stuffing), powder and waste of such, not further worked than cleaned, disinfected or treated for preservation</v>
          </cell>
          <cell r="F368">
            <v>0</v>
          </cell>
          <cell r="G368">
            <v>0</v>
          </cell>
          <cell r="H368">
            <v>0</v>
          </cell>
          <cell r="I368" t="str">
            <v>Others</v>
          </cell>
          <cell r="J368">
            <v>3</v>
          </cell>
          <cell r="K368" t="str">
            <v>Others</v>
          </cell>
        </row>
        <row r="369">
          <cell r="D369">
            <v>50610</v>
          </cell>
          <cell r="E369" t="str">
            <v>Animal products; ossein and bones treated with acid</v>
          </cell>
          <cell r="F369">
            <v>0</v>
          </cell>
          <cell r="G369">
            <v>0</v>
          </cell>
          <cell r="H369">
            <v>0</v>
          </cell>
          <cell r="I369" t="str">
            <v>Others</v>
          </cell>
          <cell r="J369">
            <v>3</v>
          </cell>
          <cell r="K369" t="str">
            <v>Others</v>
          </cell>
        </row>
        <row r="370">
          <cell r="D370">
            <v>50690</v>
          </cell>
          <cell r="E370" t="str">
            <v>Animal products; bones and horn-cores and powder or waste of such, unworked, defatted, simply prepared (not cut to shape), or treated with acid or degelatinised, n.e.c. in heading no. 0506</v>
          </cell>
          <cell r="F370">
            <v>0</v>
          </cell>
          <cell r="G370">
            <v>0</v>
          </cell>
          <cell r="H370">
            <v>0</v>
          </cell>
          <cell r="I370" t="str">
            <v>Others</v>
          </cell>
          <cell r="J370">
            <v>3</v>
          </cell>
          <cell r="K370" t="str">
            <v>Others</v>
          </cell>
        </row>
        <row r="371">
          <cell r="D371">
            <v>50710</v>
          </cell>
          <cell r="E371" t="str">
            <v>Animal products; ivory, unworked or simply prepared but not cut to shape, ivory powder and waste</v>
          </cell>
          <cell r="F371">
            <v>0</v>
          </cell>
          <cell r="G371">
            <v>0</v>
          </cell>
          <cell r="H371">
            <v>0</v>
          </cell>
          <cell r="I371" t="str">
            <v>Others</v>
          </cell>
          <cell r="J371">
            <v>3</v>
          </cell>
          <cell r="K371" t="str">
            <v>Others</v>
          </cell>
        </row>
        <row r="372">
          <cell r="D372">
            <v>50790</v>
          </cell>
          <cell r="E372" t="str">
            <v>Animal products; tortoise-shell, whalebone and whalebone hair, horns, antlers, hooves, nails, claws and beaks, unworked or simply prepared but not cut to shape, waste and powder of these products</v>
          </cell>
          <cell r="F372">
            <v>0</v>
          </cell>
          <cell r="G372">
            <v>0</v>
          </cell>
          <cell r="H372">
            <v>0</v>
          </cell>
          <cell r="I372" t="str">
            <v>Others</v>
          </cell>
          <cell r="J372">
            <v>3</v>
          </cell>
          <cell r="K372" t="str">
            <v>Others</v>
          </cell>
        </row>
        <row r="373">
          <cell r="D373">
            <v>50800</v>
          </cell>
          <cell r="E373" t="str">
            <v>Animal products; coral and similar materials, shells of molluscs, crustaceans, echinoderms, cuttle-bone, unworked or simply prepared but not cut to shape, powder and waste thereof</v>
          </cell>
          <cell r="F373">
            <v>0</v>
          </cell>
          <cell r="G373">
            <v>0</v>
          </cell>
          <cell r="H373">
            <v>0</v>
          </cell>
          <cell r="I373" t="str">
            <v>Others</v>
          </cell>
          <cell r="J373">
            <v>3</v>
          </cell>
          <cell r="K373" t="str">
            <v>Others</v>
          </cell>
        </row>
        <row r="374">
          <cell r="D374">
            <v>51000</v>
          </cell>
          <cell r="E374" t="str">
            <v>Animal products; ambergris, castoreum, civet, musk, cantharides, bile (dried or not) glands and other animal products, for pharmaceutical purposes, fresh, chilled, frozen or otherwise provisionally preserved</v>
          </cell>
          <cell r="F374">
            <v>0</v>
          </cell>
          <cell r="G374">
            <v>0</v>
          </cell>
          <cell r="H374">
            <v>0</v>
          </cell>
          <cell r="I374" t="str">
            <v>Others</v>
          </cell>
          <cell r="J374">
            <v>3</v>
          </cell>
          <cell r="K374" t="str">
            <v>Others</v>
          </cell>
        </row>
        <row r="375">
          <cell r="D375">
            <v>51110</v>
          </cell>
          <cell r="E375" t="str">
            <v>Animal products; bovine semen</v>
          </cell>
          <cell r="F375">
            <v>0</v>
          </cell>
          <cell r="G375">
            <v>0</v>
          </cell>
          <cell r="H375">
            <v>0</v>
          </cell>
          <cell r="I375" t="str">
            <v>Others</v>
          </cell>
          <cell r="J375">
            <v>3</v>
          </cell>
          <cell r="K375" t="str">
            <v>Others</v>
          </cell>
        </row>
        <row r="376">
          <cell r="D376">
            <v>51191</v>
          </cell>
          <cell r="E376" t="str">
            <v>Animal products; of fish or crustaceans, molluscs or other aquatic invertebrates; dead animals of chapter 03, unfit for human consumption</v>
          </cell>
          <cell r="F376">
            <v>0</v>
          </cell>
          <cell r="G376">
            <v>0</v>
          </cell>
          <cell r="H376">
            <v>0</v>
          </cell>
          <cell r="I376" t="str">
            <v>Others</v>
          </cell>
          <cell r="J376">
            <v>3</v>
          </cell>
          <cell r="K376" t="str">
            <v>Others</v>
          </cell>
        </row>
        <row r="377">
          <cell r="D377">
            <v>51199</v>
          </cell>
          <cell r="E377" t="str">
            <v>Animal products; n.e.c. in chapter 5</v>
          </cell>
          <cell r="F377">
            <v>0</v>
          </cell>
          <cell r="G377">
            <v>0</v>
          </cell>
          <cell r="H377">
            <v>0</v>
          </cell>
          <cell r="I377" t="str">
            <v>Others</v>
          </cell>
          <cell r="J377">
            <v>3</v>
          </cell>
          <cell r="K377" t="str">
            <v>Others</v>
          </cell>
        </row>
        <row r="378">
          <cell r="D378">
            <v>60110</v>
          </cell>
          <cell r="E378" t="str">
            <v>Plants, live; bulbs, tubers, tuberous roots, corms, crowns and rhizomes, dormant</v>
          </cell>
          <cell r="F378">
            <v>0</v>
          </cell>
          <cell r="G378">
            <v>0</v>
          </cell>
          <cell r="H378">
            <v>0</v>
          </cell>
          <cell r="I378" t="str">
            <v>Others</v>
          </cell>
          <cell r="J378">
            <v>3</v>
          </cell>
          <cell r="K378" t="str">
            <v>Others</v>
          </cell>
        </row>
        <row r="379">
          <cell r="D379">
            <v>60120</v>
          </cell>
          <cell r="E379" t="str">
            <v>Plants, live; bulbs, tubers, tuberous roots, corms, crowns and rhizomes, in growth or in flower, chicory plants and roots other than of heading no. 1212</v>
          </cell>
          <cell r="F379">
            <v>0</v>
          </cell>
          <cell r="G379">
            <v>0</v>
          </cell>
          <cell r="H379">
            <v>0</v>
          </cell>
          <cell r="I379" t="str">
            <v>Others</v>
          </cell>
          <cell r="J379">
            <v>3</v>
          </cell>
          <cell r="K379" t="str">
            <v>Others</v>
          </cell>
        </row>
        <row r="380">
          <cell r="D380">
            <v>60210</v>
          </cell>
          <cell r="E380" t="str">
            <v>Plants, live; unrooted cuttings and slips</v>
          </cell>
          <cell r="F380">
            <v>0</v>
          </cell>
          <cell r="G380">
            <v>0</v>
          </cell>
          <cell r="H380">
            <v>0</v>
          </cell>
          <cell r="I380" t="str">
            <v>Others</v>
          </cell>
          <cell r="J380">
            <v>3</v>
          </cell>
          <cell r="K380" t="str">
            <v>Others</v>
          </cell>
        </row>
        <row r="381">
          <cell r="D381">
            <v>60220</v>
          </cell>
          <cell r="E381" t="str">
            <v>Plants, live; edible fruit or nut trees, shrubs and bushes, grafted or not</v>
          </cell>
          <cell r="F381">
            <v>0</v>
          </cell>
          <cell r="G381">
            <v>0</v>
          </cell>
          <cell r="H381">
            <v>0</v>
          </cell>
          <cell r="I381" t="str">
            <v>Others</v>
          </cell>
          <cell r="J381">
            <v>3</v>
          </cell>
          <cell r="K381" t="str">
            <v>Others</v>
          </cell>
        </row>
        <row r="382">
          <cell r="D382">
            <v>60230</v>
          </cell>
          <cell r="E382" t="str">
            <v>Plants, live; rhododendrons and azaleas, grafted or not</v>
          </cell>
          <cell r="F382">
            <v>0</v>
          </cell>
          <cell r="G382">
            <v>0</v>
          </cell>
          <cell r="H382">
            <v>0</v>
          </cell>
          <cell r="I382" t="str">
            <v>Others</v>
          </cell>
          <cell r="J382">
            <v>3</v>
          </cell>
          <cell r="K382" t="str">
            <v>Others</v>
          </cell>
        </row>
        <row r="383">
          <cell r="D383">
            <v>60240</v>
          </cell>
          <cell r="E383" t="str">
            <v>Plants, live; roses, grafted or not</v>
          </cell>
          <cell r="F383">
            <v>0</v>
          </cell>
          <cell r="G383">
            <v>0</v>
          </cell>
          <cell r="H383">
            <v>0</v>
          </cell>
          <cell r="I383" t="str">
            <v>Others</v>
          </cell>
          <cell r="J383">
            <v>3</v>
          </cell>
          <cell r="K383" t="str">
            <v>Others</v>
          </cell>
        </row>
        <row r="384">
          <cell r="D384">
            <v>60290</v>
          </cell>
          <cell r="E384" t="str">
            <v>Plants, live; n.e.c. in heading no. 0602</v>
          </cell>
          <cell r="F384">
            <v>0</v>
          </cell>
          <cell r="G384">
            <v>0</v>
          </cell>
          <cell r="H384">
            <v>0</v>
          </cell>
          <cell r="I384" t="str">
            <v>Others</v>
          </cell>
          <cell r="J384">
            <v>3</v>
          </cell>
          <cell r="K384" t="str">
            <v>Others</v>
          </cell>
        </row>
        <row r="385">
          <cell r="D385">
            <v>60311</v>
          </cell>
          <cell r="E385" t="str">
            <v>Flowers, cut; roses, flowers and buds of a kind suitable for bouquets or ornamental purposes, fresh</v>
          </cell>
          <cell r="F385">
            <v>0</v>
          </cell>
          <cell r="G385">
            <v>0</v>
          </cell>
          <cell r="H385">
            <v>0</v>
          </cell>
          <cell r="I385" t="str">
            <v>Others</v>
          </cell>
          <cell r="J385">
            <v>3</v>
          </cell>
          <cell r="K385" t="str">
            <v>Others</v>
          </cell>
        </row>
        <row r="386">
          <cell r="D386">
            <v>60312</v>
          </cell>
          <cell r="E386" t="str">
            <v>Flowers, cut; carnations, flowers and buds of a kind suitable for bouquets or ornamental purposes, fresh</v>
          </cell>
          <cell r="F386">
            <v>0</v>
          </cell>
          <cell r="G386">
            <v>0</v>
          </cell>
          <cell r="H386">
            <v>0</v>
          </cell>
          <cell r="I386" t="str">
            <v>Others</v>
          </cell>
          <cell r="J386">
            <v>3</v>
          </cell>
          <cell r="K386" t="str">
            <v>Others</v>
          </cell>
        </row>
        <row r="387">
          <cell r="D387">
            <v>60313</v>
          </cell>
          <cell r="E387" t="str">
            <v>Flowers, cut; orchids, flowers and buds of a kind suitable for bouquets or ornamental purposes, fresh</v>
          </cell>
          <cell r="F387">
            <v>0</v>
          </cell>
          <cell r="G387">
            <v>0</v>
          </cell>
          <cell r="H387">
            <v>0</v>
          </cell>
          <cell r="I387" t="str">
            <v>Others</v>
          </cell>
          <cell r="J387">
            <v>3</v>
          </cell>
          <cell r="K387" t="str">
            <v>Others</v>
          </cell>
        </row>
        <row r="388">
          <cell r="D388">
            <v>60314</v>
          </cell>
          <cell r="E388" t="str">
            <v>Flowers, cut; chrysanthemums, flowers and buds of a kind suitable for bouquets or ornamental purposes, fresh</v>
          </cell>
          <cell r="F388">
            <v>0</v>
          </cell>
          <cell r="G388">
            <v>0</v>
          </cell>
          <cell r="H388">
            <v>0</v>
          </cell>
          <cell r="I388" t="str">
            <v>Others</v>
          </cell>
          <cell r="J388">
            <v>3</v>
          </cell>
          <cell r="K388" t="str">
            <v>Others</v>
          </cell>
        </row>
        <row r="389">
          <cell r="D389">
            <v>60315</v>
          </cell>
          <cell r="E389" t="str">
            <v>Flowers, cut; lilies (Lilium spp.), flowers and flower buds of a kind suitable for bouquets or ornamental purposes, fresh</v>
          </cell>
          <cell r="F389">
            <v>0</v>
          </cell>
          <cell r="G389">
            <v>0</v>
          </cell>
          <cell r="H389">
            <v>0</v>
          </cell>
          <cell r="I389" t="str">
            <v>Others</v>
          </cell>
          <cell r="J389">
            <v>3</v>
          </cell>
          <cell r="K389" t="str">
            <v>Others</v>
          </cell>
        </row>
        <row r="390">
          <cell r="D390">
            <v>60319</v>
          </cell>
          <cell r="E390" t="str">
            <v>Flowers, cut; flowers and buds of a kind suitable for bouquets or ornamental purposes, fresh, other than roses, carnations, orchids, chrysanthemums or lillies</v>
          </cell>
          <cell r="F390">
            <v>0</v>
          </cell>
          <cell r="G390">
            <v>0</v>
          </cell>
          <cell r="H390">
            <v>0</v>
          </cell>
          <cell r="I390" t="str">
            <v>Others</v>
          </cell>
          <cell r="J390">
            <v>3</v>
          </cell>
          <cell r="K390" t="str">
            <v>Others</v>
          </cell>
        </row>
        <row r="391">
          <cell r="D391">
            <v>60390</v>
          </cell>
          <cell r="E391" t="str">
            <v>Flowers, cut; flowers and flower buds of a kind suitable for bouquets or ornamental purposes, dried, dyed, bleached, impregnated or otherwise prepared</v>
          </cell>
          <cell r="F391">
            <v>0</v>
          </cell>
          <cell r="G391">
            <v>0</v>
          </cell>
          <cell r="H391">
            <v>0</v>
          </cell>
          <cell r="I391" t="str">
            <v>Others</v>
          </cell>
          <cell r="J391">
            <v>3</v>
          </cell>
          <cell r="K391" t="str">
            <v>Others</v>
          </cell>
        </row>
        <row r="392">
          <cell r="D392">
            <v>60420</v>
          </cell>
          <cell r="E392" t="str">
            <v>Foliage, branches and other parts of plants, without flowers or flower buds, and grasses, mosses and lichens; suitable for bouquets or for ornamental purposes, fresh</v>
          </cell>
          <cell r="F392">
            <v>0</v>
          </cell>
          <cell r="G392">
            <v>0</v>
          </cell>
          <cell r="H392">
            <v>0</v>
          </cell>
          <cell r="I392" t="str">
            <v>Others</v>
          </cell>
          <cell r="J392">
            <v>3</v>
          </cell>
          <cell r="K392" t="str">
            <v>Others</v>
          </cell>
        </row>
        <row r="393">
          <cell r="D393">
            <v>60490</v>
          </cell>
          <cell r="E393" t="str">
            <v>Foliage, branches and other parts of plants, without flowers or flower buds, and grasses, mosses and lichens; suitable for bouquets or for ornamental purposes, dried, dyed, bleached, impregnated or otherwise prepared</v>
          </cell>
          <cell r="F393">
            <v>0</v>
          </cell>
          <cell r="G393">
            <v>0</v>
          </cell>
          <cell r="H393">
            <v>0</v>
          </cell>
          <cell r="I393" t="str">
            <v>Others</v>
          </cell>
          <cell r="J393">
            <v>3</v>
          </cell>
          <cell r="K393" t="str">
            <v>Others</v>
          </cell>
        </row>
        <row r="394">
          <cell r="D394">
            <v>70110</v>
          </cell>
          <cell r="E394" t="str">
            <v>Vegetables; seed potatoes, fresh or chilled</v>
          </cell>
          <cell r="F394">
            <v>0</v>
          </cell>
          <cell r="G394">
            <v>0</v>
          </cell>
          <cell r="H394">
            <v>0</v>
          </cell>
          <cell r="I394" t="str">
            <v>Others</v>
          </cell>
          <cell r="J394">
            <v>3</v>
          </cell>
          <cell r="K394" t="str">
            <v>Others</v>
          </cell>
        </row>
        <row r="395">
          <cell r="D395">
            <v>70190</v>
          </cell>
          <cell r="E395" t="str">
            <v>Vegetables; potatoes (other than seed), fresh or chilled</v>
          </cell>
          <cell r="F395">
            <v>0</v>
          </cell>
          <cell r="G395">
            <v>0</v>
          </cell>
          <cell r="H395">
            <v>0</v>
          </cell>
          <cell r="I395" t="str">
            <v>Others</v>
          </cell>
          <cell r="J395">
            <v>3</v>
          </cell>
          <cell r="K395" t="str">
            <v>Others</v>
          </cell>
        </row>
        <row r="396">
          <cell r="D396">
            <v>70200</v>
          </cell>
          <cell r="E396" t="str">
            <v>Vegetables; tomatoes, fresh or chilled</v>
          </cell>
          <cell r="F396">
            <v>0</v>
          </cell>
          <cell r="G396">
            <v>0</v>
          </cell>
          <cell r="H396">
            <v>0</v>
          </cell>
          <cell r="I396" t="str">
            <v>Others</v>
          </cell>
          <cell r="J396">
            <v>3</v>
          </cell>
          <cell r="K396" t="str">
            <v>Others</v>
          </cell>
        </row>
        <row r="397">
          <cell r="D397">
            <v>70310</v>
          </cell>
          <cell r="E397" t="str">
            <v>Vegetables, alliaceous; onions and shallots, fresh or chilled</v>
          </cell>
          <cell r="F397">
            <v>0</v>
          </cell>
          <cell r="G397">
            <v>0</v>
          </cell>
          <cell r="H397">
            <v>0</v>
          </cell>
          <cell r="I397" t="str">
            <v>Others</v>
          </cell>
          <cell r="J397">
            <v>3</v>
          </cell>
          <cell r="K397" t="str">
            <v>Others</v>
          </cell>
        </row>
        <row r="398">
          <cell r="D398">
            <v>70320</v>
          </cell>
          <cell r="E398" t="str">
            <v>Vegetables, alliaceous; garlic, fresh or chilled</v>
          </cell>
          <cell r="F398">
            <v>0</v>
          </cell>
          <cell r="G398">
            <v>0</v>
          </cell>
          <cell r="H398">
            <v>0</v>
          </cell>
          <cell r="I398" t="str">
            <v>Others</v>
          </cell>
          <cell r="J398">
            <v>3</v>
          </cell>
          <cell r="K398" t="str">
            <v>Others</v>
          </cell>
        </row>
        <row r="399">
          <cell r="D399">
            <v>70390</v>
          </cell>
          <cell r="E399" t="str">
            <v>Vegetables, alliaceous; leeks and other kinds n.e.c. in heading no. 0703, fresh or chilled</v>
          </cell>
          <cell r="F399">
            <v>0</v>
          </cell>
          <cell r="G399">
            <v>0</v>
          </cell>
          <cell r="H399">
            <v>0</v>
          </cell>
          <cell r="I399" t="str">
            <v>Others</v>
          </cell>
          <cell r="J399">
            <v>3</v>
          </cell>
          <cell r="K399" t="str">
            <v>Others</v>
          </cell>
        </row>
        <row r="400">
          <cell r="D400">
            <v>70410</v>
          </cell>
          <cell r="E400" t="str">
            <v>Vegetables, brassica; cauliflowers and broccoli, fresh or chilled</v>
          </cell>
          <cell r="F400">
            <v>0</v>
          </cell>
          <cell r="G400">
            <v>0</v>
          </cell>
          <cell r="H400">
            <v>0</v>
          </cell>
          <cell r="I400" t="str">
            <v>Others</v>
          </cell>
          <cell r="J400">
            <v>3</v>
          </cell>
          <cell r="K400" t="str">
            <v>Others</v>
          </cell>
        </row>
        <row r="401">
          <cell r="D401">
            <v>70420</v>
          </cell>
          <cell r="E401" t="str">
            <v>Vegetables, brassica; brussel sprouts, fresh or chilled</v>
          </cell>
          <cell r="F401">
            <v>0</v>
          </cell>
          <cell r="G401">
            <v>0</v>
          </cell>
          <cell r="H401">
            <v>0</v>
          </cell>
          <cell r="I401" t="str">
            <v>Others</v>
          </cell>
          <cell r="J401">
            <v>3</v>
          </cell>
          <cell r="K401" t="str">
            <v>Others</v>
          </cell>
        </row>
        <row r="402">
          <cell r="D402">
            <v>70490</v>
          </cell>
          <cell r="E402" t="str">
            <v>Vegetables, brassica; edible, n.e.c. in heading no. 0704, fresh or chilled</v>
          </cell>
          <cell r="F402">
            <v>0</v>
          </cell>
          <cell r="G402">
            <v>0</v>
          </cell>
          <cell r="H402">
            <v>0</v>
          </cell>
          <cell r="I402" t="str">
            <v>Others</v>
          </cell>
          <cell r="J402">
            <v>3</v>
          </cell>
          <cell r="K402" t="str">
            <v>Others</v>
          </cell>
        </row>
        <row r="403">
          <cell r="D403">
            <v>70511</v>
          </cell>
          <cell r="E403" t="str">
            <v>Vegetables; cabbage (head) lettuce (lactuca sativa), fresh or chilled</v>
          </cell>
          <cell r="F403">
            <v>0</v>
          </cell>
          <cell r="G403">
            <v>0</v>
          </cell>
          <cell r="H403">
            <v>0</v>
          </cell>
          <cell r="I403" t="str">
            <v>Others</v>
          </cell>
          <cell r="J403">
            <v>3</v>
          </cell>
          <cell r="K403" t="str">
            <v>Others</v>
          </cell>
        </row>
        <row r="404">
          <cell r="D404">
            <v>70519</v>
          </cell>
          <cell r="E404" t="str">
            <v>Vegetables; lettuce (lactuca sativa), (other than cabbage lettuce), fresh or chilled</v>
          </cell>
          <cell r="F404">
            <v>0</v>
          </cell>
          <cell r="G404">
            <v>0</v>
          </cell>
          <cell r="H404">
            <v>0</v>
          </cell>
          <cell r="I404" t="str">
            <v>Others</v>
          </cell>
          <cell r="J404">
            <v>3</v>
          </cell>
          <cell r="K404" t="str">
            <v>Others</v>
          </cell>
        </row>
        <row r="405">
          <cell r="D405">
            <v>70521</v>
          </cell>
          <cell r="E405" t="str">
            <v>Vegetables; witloff chicory (cichorium intybus var. foliosum), fresh or chilled</v>
          </cell>
          <cell r="F405">
            <v>0</v>
          </cell>
          <cell r="G405">
            <v>0</v>
          </cell>
          <cell r="H405">
            <v>0</v>
          </cell>
          <cell r="I405" t="str">
            <v>Others</v>
          </cell>
          <cell r="J405">
            <v>3</v>
          </cell>
          <cell r="K405" t="str">
            <v>Others</v>
          </cell>
        </row>
        <row r="406">
          <cell r="D406">
            <v>70529</v>
          </cell>
          <cell r="E406" t="str">
            <v>Vegetables; chicory (cichorium spp.), (other than witloof chicory), fresh or chilled</v>
          </cell>
          <cell r="F406">
            <v>0</v>
          </cell>
          <cell r="G406">
            <v>0</v>
          </cell>
          <cell r="H406">
            <v>0</v>
          </cell>
          <cell r="I406" t="str">
            <v>Others</v>
          </cell>
          <cell r="J406">
            <v>3</v>
          </cell>
          <cell r="K406" t="str">
            <v>Others</v>
          </cell>
        </row>
        <row r="407">
          <cell r="D407">
            <v>70610</v>
          </cell>
          <cell r="E407" t="str">
            <v>Vegetables, root; carrots and turnips, fresh or chilled</v>
          </cell>
          <cell r="F407">
            <v>0</v>
          </cell>
          <cell r="G407">
            <v>0</v>
          </cell>
          <cell r="H407">
            <v>0</v>
          </cell>
          <cell r="I407" t="str">
            <v>Others</v>
          </cell>
          <cell r="J407">
            <v>3</v>
          </cell>
          <cell r="K407" t="str">
            <v>Others</v>
          </cell>
        </row>
        <row r="408">
          <cell r="D408">
            <v>70690</v>
          </cell>
          <cell r="E408" t="str">
            <v>Vegetables, root; salad beetroot, salsify, celeric, radishes and similar edible roots, fresh or chilled</v>
          </cell>
          <cell r="F408">
            <v>0</v>
          </cell>
          <cell r="G408">
            <v>0</v>
          </cell>
          <cell r="H408">
            <v>0</v>
          </cell>
          <cell r="I408" t="str">
            <v>Others</v>
          </cell>
          <cell r="J408">
            <v>3</v>
          </cell>
          <cell r="K408" t="str">
            <v>Others</v>
          </cell>
        </row>
        <row r="409">
          <cell r="D409">
            <v>70700</v>
          </cell>
          <cell r="E409" t="str">
            <v>Vegetables; cucumbers and gherkins, fresh or chilled</v>
          </cell>
          <cell r="F409">
            <v>0</v>
          </cell>
          <cell r="G409">
            <v>0</v>
          </cell>
          <cell r="H409">
            <v>0</v>
          </cell>
          <cell r="I409" t="str">
            <v>Others</v>
          </cell>
          <cell r="J409">
            <v>3</v>
          </cell>
          <cell r="K409" t="str">
            <v>Others</v>
          </cell>
        </row>
        <row r="410">
          <cell r="D410">
            <v>70810</v>
          </cell>
          <cell r="E410" t="str">
            <v>Vegetables, leguminous; peas (pisum sativum), shelled or unshelled, fresh or chilled</v>
          </cell>
          <cell r="F410">
            <v>0</v>
          </cell>
          <cell r="G410">
            <v>0</v>
          </cell>
          <cell r="H410">
            <v>0</v>
          </cell>
          <cell r="I410" t="str">
            <v>Others</v>
          </cell>
          <cell r="J410">
            <v>3</v>
          </cell>
          <cell r="K410" t="str">
            <v>Others</v>
          </cell>
        </row>
        <row r="411">
          <cell r="D411">
            <v>70820</v>
          </cell>
          <cell r="E411" t="str">
            <v>Vegetables, leguminous; beans (vigna spp., phaseolus spp.), shelled or unshelled, fresh or chilled</v>
          </cell>
          <cell r="F411">
            <v>0</v>
          </cell>
          <cell r="G411">
            <v>0</v>
          </cell>
          <cell r="H411">
            <v>0</v>
          </cell>
          <cell r="I411" t="str">
            <v>Others</v>
          </cell>
          <cell r="J411">
            <v>3</v>
          </cell>
          <cell r="K411" t="str">
            <v>Others</v>
          </cell>
        </row>
        <row r="412">
          <cell r="D412">
            <v>70890</v>
          </cell>
          <cell r="E412" t="str">
            <v>Vegetables, leguminous; (other than peas and beans), shelled or unshelled, fresh or chilled</v>
          </cell>
          <cell r="F412">
            <v>0</v>
          </cell>
          <cell r="G412">
            <v>0</v>
          </cell>
          <cell r="H412">
            <v>0</v>
          </cell>
          <cell r="I412" t="str">
            <v>Others</v>
          </cell>
          <cell r="J412">
            <v>3</v>
          </cell>
          <cell r="K412" t="str">
            <v>Others</v>
          </cell>
        </row>
        <row r="413">
          <cell r="D413">
            <v>70920</v>
          </cell>
          <cell r="E413" t="str">
            <v>Vegetables; asparagus, fresh or chilled</v>
          </cell>
          <cell r="F413">
            <v>0</v>
          </cell>
          <cell r="G413">
            <v>0</v>
          </cell>
          <cell r="H413">
            <v>0</v>
          </cell>
          <cell r="I413" t="str">
            <v>Others</v>
          </cell>
          <cell r="J413">
            <v>3</v>
          </cell>
          <cell r="K413" t="str">
            <v>Others</v>
          </cell>
        </row>
        <row r="414">
          <cell r="D414">
            <v>70930</v>
          </cell>
          <cell r="E414" t="str">
            <v>Vegetables; aubergines, (e.g. plants), fresh or chilled</v>
          </cell>
          <cell r="F414">
            <v>0</v>
          </cell>
          <cell r="G414">
            <v>0</v>
          </cell>
          <cell r="H414">
            <v>0</v>
          </cell>
          <cell r="I414" t="str">
            <v>Others</v>
          </cell>
          <cell r="J414">
            <v>3</v>
          </cell>
          <cell r="K414" t="str">
            <v>Others</v>
          </cell>
        </row>
        <row r="415">
          <cell r="D415">
            <v>70940</v>
          </cell>
          <cell r="E415" t="str">
            <v>Vegetables; celery (other than celeriac), fresh or chilled</v>
          </cell>
          <cell r="F415">
            <v>0</v>
          </cell>
          <cell r="G415">
            <v>0</v>
          </cell>
          <cell r="H415">
            <v>0</v>
          </cell>
          <cell r="I415" t="str">
            <v>Others</v>
          </cell>
          <cell r="J415">
            <v>3</v>
          </cell>
          <cell r="K415" t="str">
            <v>Others</v>
          </cell>
        </row>
        <row r="416">
          <cell r="D416">
            <v>70951</v>
          </cell>
          <cell r="E416" t="str">
            <v>Vegetables; mushrooms of the genus Agaricus, fresh or chilled</v>
          </cell>
          <cell r="F416">
            <v>0</v>
          </cell>
          <cell r="G416">
            <v>0</v>
          </cell>
          <cell r="H416">
            <v>0</v>
          </cell>
          <cell r="I416" t="str">
            <v>Others</v>
          </cell>
          <cell r="J416">
            <v>3</v>
          </cell>
          <cell r="K416" t="str">
            <v>Others</v>
          </cell>
        </row>
        <row r="417">
          <cell r="D417">
            <v>70952</v>
          </cell>
          <cell r="E417" t="str">
            <v>Vegetables; mushrooms of the genus Boletus, fresh or chilled</v>
          </cell>
          <cell r="F417">
            <v>0</v>
          </cell>
          <cell r="G417">
            <v>0</v>
          </cell>
          <cell r="H417">
            <v>0</v>
          </cell>
          <cell r="I417" t="str">
            <v>Others</v>
          </cell>
          <cell r="J417">
            <v>3</v>
          </cell>
          <cell r="K417" t="str">
            <v>Others</v>
          </cell>
        </row>
        <row r="418">
          <cell r="D418">
            <v>70953</v>
          </cell>
          <cell r="E418" t="str">
            <v>Vegetables; mushrooms of the genus Cantharellus, fresh or chilled</v>
          </cell>
          <cell r="F418">
            <v>0</v>
          </cell>
          <cell r="G418">
            <v>0</v>
          </cell>
          <cell r="H418">
            <v>0</v>
          </cell>
          <cell r="I418" t="str">
            <v>Others</v>
          </cell>
          <cell r="J418">
            <v>3</v>
          </cell>
          <cell r="K418" t="str">
            <v>Others</v>
          </cell>
        </row>
        <row r="419">
          <cell r="D419">
            <v>70954</v>
          </cell>
          <cell r="E419" t="str">
            <v>Vegetables; shiitake mushrooms (Lentinus edodes), fresh or chilled</v>
          </cell>
          <cell r="F419">
            <v>0</v>
          </cell>
          <cell r="G419">
            <v>0</v>
          </cell>
          <cell r="H419">
            <v>0</v>
          </cell>
          <cell r="I419" t="str">
            <v>Others</v>
          </cell>
          <cell r="J419">
            <v>3</v>
          </cell>
          <cell r="K419" t="str">
            <v>Others</v>
          </cell>
        </row>
        <row r="420">
          <cell r="D420">
            <v>70955</v>
          </cell>
          <cell r="E420" t="str">
            <v>Vegetables; matsutake mushrooms (Tricholoma matsutake, Tricholoma magnivelare, Tricholoma anatolicum, Tricholoma dulciolens, Tricholoma caligatum), fresh or chilled</v>
          </cell>
          <cell r="F420">
            <v>0</v>
          </cell>
          <cell r="G420">
            <v>0</v>
          </cell>
          <cell r="H420">
            <v>0</v>
          </cell>
          <cell r="I420" t="str">
            <v>Others</v>
          </cell>
          <cell r="J420">
            <v>3</v>
          </cell>
          <cell r="K420" t="str">
            <v>Others</v>
          </cell>
        </row>
        <row r="421">
          <cell r="D421">
            <v>70956</v>
          </cell>
          <cell r="E421" t="str">
            <v>Vegetables; truffles (Tuber spp.), fresh or chilled</v>
          </cell>
          <cell r="F421">
            <v>0</v>
          </cell>
          <cell r="G421">
            <v>0</v>
          </cell>
          <cell r="H421">
            <v>0</v>
          </cell>
          <cell r="I421" t="str">
            <v>Others</v>
          </cell>
          <cell r="J421">
            <v>3</v>
          </cell>
          <cell r="K421" t="str">
            <v>Others</v>
          </cell>
        </row>
        <row r="422">
          <cell r="D422">
            <v>70959</v>
          </cell>
          <cell r="E422" t="str">
            <v>Vegetables; truffles and mushrooms n.e.c. in heading 0709, fresh or chilled</v>
          </cell>
          <cell r="F422">
            <v>0</v>
          </cell>
          <cell r="G422">
            <v>0</v>
          </cell>
          <cell r="H422">
            <v>0</v>
          </cell>
          <cell r="I422" t="str">
            <v>Others</v>
          </cell>
          <cell r="J422">
            <v>3</v>
          </cell>
          <cell r="K422" t="str">
            <v>Others</v>
          </cell>
        </row>
        <row r="423">
          <cell r="D423">
            <v>70960</v>
          </cell>
          <cell r="E423" t="str">
            <v>Vegetables; fruits of the genus capsicum or of the genus pimenta, fresh or chilled</v>
          </cell>
          <cell r="F423">
            <v>0</v>
          </cell>
          <cell r="G423">
            <v>0</v>
          </cell>
          <cell r="H423">
            <v>0</v>
          </cell>
          <cell r="I423" t="str">
            <v>Others</v>
          </cell>
          <cell r="J423">
            <v>3</v>
          </cell>
          <cell r="K423" t="str">
            <v>Others</v>
          </cell>
        </row>
        <row r="424">
          <cell r="D424">
            <v>70970</v>
          </cell>
          <cell r="E424" t="str">
            <v>Vegetables; spinach, New Zealand spinach and orache spinach (garden spinach), fresh or chilled</v>
          </cell>
          <cell r="F424">
            <v>0</v>
          </cell>
          <cell r="G424">
            <v>0</v>
          </cell>
          <cell r="H424">
            <v>0</v>
          </cell>
          <cell r="I424" t="str">
            <v>Others</v>
          </cell>
          <cell r="J424">
            <v>3</v>
          </cell>
          <cell r="K424" t="str">
            <v>Others</v>
          </cell>
        </row>
        <row r="425">
          <cell r="D425">
            <v>70991</v>
          </cell>
          <cell r="E425" t="str">
            <v>Vegetables; globe artichokes, fresh or chilled</v>
          </cell>
          <cell r="F425">
            <v>0</v>
          </cell>
          <cell r="G425">
            <v>0</v>
          </cell>
          <cell r="H425">
            <v>0</v>
          </cell>
          <cell r="I425" t="str">
            <v>Others</v>
          </cell>
          <cell r="J425">
            <v>3</v>
          </cell>
          <cell r="K425" t="str">
            <v>Others</v>
          </cell>
        </row>
        <row r="426">
          <cell r="D426">
            <v>70992</v>
          </cell>
          <cell r="E426" t="str">
            <v>Vegetables; olives, fresh or chilled</v>
          </cell>
          <cell r="F426">
            <v>0</v>
          </cell>
          <cell r="G426">
            <v>0</v>
          </cell>
          <cell r="H426">
            <v>0</v>
          </cell>
          <cell r="I426" t="str">
            <v>Others</v>
          </cell>
          <cell r="J426">
            <v>3</v>
          </cell>
          <cell r="K426" t="str">
            <v>Others</v>
          </cell>
        </row>
        <row r="427">
          <cell r="D427">
            <v>70993</v>
          </cell>
          <cell r="E427" t="str">
            <v>Vegetables; pumpkins, squash and gourds (Cucurbita spp.), fresh or chilled</v>
          </cell>
          <cell r="F427">
            <v>0</v>
          </cell>
          <cell r="G427">
            <v>0</v>
          </cell>
          <cell r="H427">
            <v>0</v>
          </cell>
          <cell r="I427" t="str">
            <v>Others</v>
          </cell>
          <cell r="J427">
            <v>3</v>
          </cell>
          <cell r="K427" t="str">
            <v>Others</v>
          </cell>
        </row>
        <row r="428">
          <cell r="D428">
            <v>70999</v>
          </cell>
          <cell r="E428" t="str">
            <v>Vegetables; edible, n.e.c. in chapter 07, fresh or chilled</v>
          </cell>
          <cell r="F428">
            <v>0</v>
          </cell>
          <cell r="G428">
            <v>0</v>
          </cell>
          <cell r="H428">
            <v>0</v>
          </cell>
          <cell r="I428" t="str">
            <v>Others</v>
          </cell>
          <cell r="J428">
            <v>3</v>
          </cell>
          <cell r="K428" t="str">
            <v>Others</v>
          </cell>
        </row>
        <row r="429">
          <cell r="D429">
            <v>71010</v>
          </cell>
          <cell r="E429" t="str">
            <v>Vegetables; potatoes, uncooked or cooked by steaming or boiling in water, frozen</v>
          </cell>
          <cell r="F429">
            <v>0</v>
          </cell>
          <cell r="G429">
            <v>0</v>
          </cell>
          <cell r="H429">
            <v>0</v>
          </cell>
          <cell r="I429" t="str">
            <v>Others</v>
          </cell>
          <cell r="J429">
            <v>3</v>
          </cell>
          <cell r="K429" t="str">
            <v>Others</v>
          </cell>
        </row>
        <row r="430">
          <cell r="D430">
            <v>71021</v>
          </cell>
          <cell r="E430" t="str">
            <v>Vegetables, leguminous; peas (pisum sativum), shelled or unshelled, uncooked or cooked by steaming or boiling in water, frozen</v>
          </cell>
          <cell r="F430">
            <v>0</v>
          </cell>
          <cell r="G430">
            <v>0</v>
          </cell>
          <cell r="H430">
            <v>0</v>
          </cell>
          <cell r="I430" t="str">
            <v>Others</v>
          </cell>
          <cell r="J430">
            <v>3</v>
          </cell>
          <cell r="K430" t="str">
            <v>Others</v>
          </cell>
        </row>
        <row r="431">
          <cell r="D431">
            <v>71022</v>
          </cell>
          <cell r="E431" t="str">
            <v>Vegetables, leguminous; beans (vigna spp., phaseolus spp.), shelled or unshelled, uncooked or cooked by steaming or boiling in water, frozen</v>
          </cell>
          <cell r="F431">
            <v>0</v>
          </cell>
          <cell r="G431">
            <v>0</v>
          </cell>
          <cell r="H431">
            <v>0</v>
          </cell>
          <cell r="I431" t="str">
            <v>Others</v>
          </cell>
          <cell r="J431">
            <v>3</v>
          </cell>
          <cell r="K431" t="str">
            <v>Others</v>
          </cell>
        </row>
        <row r="432">
          <cell r="D432">
            <v>71029</v>
          </cell>
          <cell r="E432" t="str">
            <v>Vegetables, leguminous; (other than peas or beans), shelled or unshelled, uncooked or cooked by steaming or boiling in water, frozen</v>
          </cell>
          <cell r="F432">
            <v>0</v>
          </cell>
          <cell r="G432">
            <v>0</v>
          </cell>
          <cell r="H432">
            <v>0</v>
          </cell>
          <cell r="I432" t="str">
            <v>Others</v>
          </cell>
          <cell r="J432">
            <v>3</v>
          </cell>
          <cell r="K432" t="str">
            <v>Others</v>
          </cell>
        </row>
        <row r="433">
          <cell r="D433">
            <v>71030</v>
          </cell>
          <cell r="E433" t="str">
            <v>Vegetables; spinach, New Zealand spinach and orache spinach (garden spinach), uncooked or cooked by steaming or boiling in water, frozen</v>
          </cell>
          <cell r="F433">
            <v>0</v>
          </cell>
          <cell r="G433">
            <v>0</v>
          </cell>
          <cell r="H433">
            <v>0</v>
          </cell>
          <cell r="I433" t="str">
            <v>Others</v>
          </cell>
          <cell r="J433">
            <v>3</v>
          </cell>
          <cell r="K433" t="str">
            <v>Others</v>
          </cell>
        </row>
        <row r="434">
          <cell r="D434">
            <v>71040</v>
          </cell>
          <cell r="E434" t="str">
            <v>Vegetables; sweetcorn, uncooked or cooked by steaming or boiling in water, frozen</v>
          </cell>
          <cell r="F434">
            <v>0</v>
          </cell>
          <cell r="G434">
            <v>0</v>
          </cell>
          <cell r="H434">
            <v>0</v>
          </cell>
          <cell r="I434" t="str">
            <v>Others</v>
          </cell>
          <cell r="J434">
            <v>3</v>
          </cell>
          <cell r="K434" t="str">
            <v>Others</v>
          </cell>
        </row>
        <row r="435">
          <cell r="D435">
            <v>71080</v>
          </cell>
          <cell r="E435" t="str">
            <v>Vegetables; uncooked or cooked by steaming or boiling in water, n.e.c. in heading no. 0710, frozen</v>
          </cell>
          <cell r="F435">
            <v>0</v>
          </cell>
          <cell r="G435">
            <v>0</v>
          </cell>
          <cell r="H435">
            <v>0</v>
          </cell>
          <cell r="I435" t="str">
            <v>Others</v>
          </cell>
          <cell r="J435">
            <v>3</v>
          </cell>
          <cell r="K435" t="str">
            <v>Others</v>
          </cell>
        </row>
        <row r="436">
          <cell r="D436">
            <v>71090</v>
          </cell>
          <cell r="E436" t="str">
            <v>Vegetable mixtures; uncooked or cooked by steaming or boiling in water, frozen</v>
          </cell>
          <cell r="F436">
            <v>0</v>
          </cell>
          <cell r="G436">
            <v>0</v>
          </cell>
          <cell r="H436">
            <v>0</v>
          </cell>
          <cell r="I436" t="str">
            <v>Others</v>
          </cell>
          <cell r="J436">
            <v>3</v>
          </cell>
          <cell r="K436" t="str">
            <v>Others</v>
          </cell>
        </row>
        <row r="437">
          <cell r="D437">
            <v>71120</v>
          </cell>
          <cell r="E437" t="str">
            <v>Vegetables; olives, provisionally preserved but unsuitable in that state for immediate consumption</v>
          </cell>
          <cell r="F437">
            <v>0</v>
          </cell>
          <cell r="G437">
            <v>0</v>
          </cell>
          <cell r="H437">
            <v>0</v>
          </cell>
          <cell r="I437" t="str">
            <v>Others</v>
          </cell>
          <cell r="J437">
            <v>3</v>
          </cell>
          <cell r="K437" t="str">
            <v>Others</v>
          </cell>
        </row>
        <row r="438">
          <cell r="D438">
            <v>71140</v>
          </cell>
          <cell r="E438" t="str">
            <v>Vegetables; cucumbers and gherkins, provisionally preserved but unsuitable in that state for immediate consumption</v>
          </cell>
          <cell r="F438">
            <v>0</v>
          </cell>
          <cell r="G438">
            <v>0</v>
          </cell>
          <cell r="H438">
            <v>0</v>
          </cell>
          <cell r="I438" t="str">
            <v>Others</v>
          </cell>
          <cell r="J438">
            <v>3</v>
          </cell>
          <cell r="K438" t="str">
            <v>Others</v>
          </cell>
        </row>
        <row r="439">
          <cell r="D439">
            <v>71151</v>
          </cell>
          <cell r="E439" t="str">
            <v>Vegetables; mushrooms of the genus Agaricus, provisionally preserved but unsuitable in that state for immediate consumption</v>
          </cell>
          <cell r="F439">
            <v>0</v>
          </cell>
          <cell r="G439">
            <v>0</v>
          </cell>
          <cell r="H439">
            <v>0</v>
          </cell>
          <cell r="I439" t="str">
            <v>Others</v>
          </cell>
          <cell r="J439">
            <v>3</v>
          </cell>
          <cell r="K439" t="str">
            <v>Others</v>
          </cell>
        </row>
        <row r="440">
          <cell r="D440">
            <v>71159</v>
          </cell>
          <cell r="E440" t="str">
            <v>Vegetables; mushrooms other than of the genus Agaricus, provisionally preserved but unsuitable in that state for immediate consumption</v>
          </cell>
          <cell r="F440">
            <v>0</v>
          </cell>
          <cell r="G440">
            <v>0</v>
          </cell>
          <cell r="H440">
            <v>0</v>
          </cell>
          <cell r="I440" t="str">
            <v>Others</v>
          </cell>
          <cell r="J440">
            <v>3</v>
          </cell>
          <cell r="K440" t="str">
            <v>Others</v>
          </cell>
        </row>
        <row r="441">
          <cell r="D441">
            <v>71190</v>
          </cell>
          <cell r="E441" t="str">
            <v>Vegetables and mixed vegetables; n.e.c. in heading no. 0711, provisionally preserved but unsuitable in that state for immediate consumption</v>
          </cell>
          <cell r="F441">
            <v>0</v>
          </cell>
          <cell r="G441">
            <v>0</v>
          </cell>
          <cell r="H441">
            <v>0</v>
          </cell>
          <cell r="I441" t="str">
            <v>Others</v>
          </cell>
          <cell r="J441">
            <v>3</v>
          </cell>
          <cell r="K441" t="str">
            <v>Others</v>
          </cell>
        </row>
        <row r="442">
          <cell r="D442">
            <v>71220</v>
          </cell>
          <cell r="E442" t="str">
            <v>Vegetables; onions, whole, cut, sliced, broken or in powder but not further prepared, dried</v>
          </cell>
          <cell r="F442">
            <v>0</v>
          </cell>
          <cell r="G442">
            <v>0</v>
          </cell>
          <cell r="H442">
            <v>0</v>
          </cell>
          <cell r="I442" t="str">
            <v>Others</v>
          </cell>
          <cell r="J442">
            <v>3</v>
          </cell>
          <cell r="K442" t="str">
            <v>Others</v>
          </cell>
        </row>
        <row r="443">
          <cell r="D443">
            <v>71231</v>
          </cell>
          <cell r="E443" t="str">
            <v>Vegetables; mushrooms of the genus Agaricus, whole, cut, sliced, broken or in powder but not further prepared, dried</v>
          </cell>
          <cell r="F443">
            <v>0</v>
          </cell>
          <cell r="G443">
            <v>0</v>
          </cell>
          <cell r="H443">
            <v>0</v>
          </cell>
          <cell r="I443" t="str">
            <v>Others</v>
          </cell>
          <cell r="J443">
            <v>3</v>
          </cell>
          <cell r="K443" t="str">
            <v>Others</v>
          </cell>
        </row>
        <row r="444">
          <cell r="D444">
            <v>71232</v>
          </cell>
          <cell r="E444" t="str">
            <v>Vegetables; wood ears (Auricularia spp), whole, cut, sliced, broken or in powder but not further prepared, dried</v>
          </cell>
          <cell r="F444">
            <v>0</v>
          </cell>
          <cell r="G444">
            <v>0</v>
          </cell>
          <cell r="H444">
            <v>0</v>
          </cell>
          <cell r="I444" t="str">
            <v>Others</v>
          </cell>
          <cell r="J444">
            <v>3</v>
          </cell>
          <cell r="K444" t="str">
            <v>Others</v>
          </cell>
        </row>
        <row r="445">
          <cell r="D445">
            <v>71233</v>
          </cell>
          <cell r="E445" t="str">
            <v>Vegetables; jelly fungi (Tremella spp)), whole, cut, sliced, broken or in powder but not further prepared, dried</v>
          </cell>
          <cell r="F445">
            <v>0</v>
          </cell>
          <cell r="G445">
            <v>0</v>
          </cell>
          <cell r="H445">
            <v>0</v>
          </cell>
          <cell r="I445" t="str">
            <v>Others</v>
          </cell>
          <cell r="J445">
            <v>3</v>
          </cell>
          <cell r="K445" t="str">
            <v>Others</v>
          </cell>
        </row>
        <row r="446">
          <cell r="D446">
            <v>71234</v>
          </cell>
          <cell r="E446" t="str">
            <v>Vegetables; shiitake mushrooms (Lentinus edodes), whole, cut, sliced, broken or in powder but not further prepared, dried</v>
          </cell>
          <cell r="F446">
            <v>0</v>
          </cell>
          <cell r="G446">
            <v>0</v>
          </cell>
          <cell r="H446">
            <v>0</v>
          </cell>
          <cell r="I446" t="str">
            <v>Others</v>
          </cell>
          <cell r="J446">
            <v>3</v>
          </cell>
          <cell r="K446" t="str">
            <v>Others</v>
          </cell>
        </row>
        <row r="447">
          <cell r="D447">
            <v>71239</v>
          </cell>
          <cell r="E447" t="str">
            <v>Vegetables; mushrooms and truffles n.e.c. in item 0712.3, whole, cut, sliced, broken or in powder but not further prepared, dried</v>
          </cell>
          <cell r="F447">
            <v>0</v>
          </cell>
          <cell r="G447">
            <v>0</v>
          </cell>
          <cell r="H447">
            <v>0</v>
          </cell>
          <cell r="I447" t="str">
            <v>Others</v>
          </cell>
          <cell r="J447">
            <v>3</v>
          </cell>
          <cell r="K447" t="str">
            <v>Others</v>
          </cell>
        </row>
        <row r="448">
          <cell r="D448">
            <v>71290</v>
          </cell>
          <cell r="E448" t="str">
            <v>Vegetables; mixtures of vegetables n.e.c. in heading no. 0712, whole, cut, sliced, broken or in powder but not further prepared, dried</v>
          </cell>
          <cell r="F448">
            <v>0</v>
          </cell>
          <cell r="G448">
            <v>0</v>
          </cell>
          <cell r="H448">
            <v>0</v>
          </cell>
          <cell r="I448" t="str">
            <v>Others</v>
          </cell>
          <cell r="J448">
            <v>3</v>
          </cell>
          <cell r="K448" t="str">
            <v>Others</v>
          </cell>
        </row>
        <row r="449">
          <cell r="D449">
            <v>71310</v>
          </cell>
          <cell r="E449" t="str">
            <v>Vegetables, leguminous; peas (pisum sativum), shelled, whether or not skinned or split, dried</v>
          </cell>
          <cell r="F449">
            <v>0</v>
          </cell>
          <cell r="G449">
            <v>0</v>
          </cell>
          <cell r="H449">
            <v>0</v>
          </cell>
          <cell r="I449" t="str">
            <v>Others</v>
          </cell>
          <cell r="J449">
            <v>3</v>
          </cell>
          <cell r="K449" t="str">
            <v>Others</v>
          </cell>
        </row>
        <row r="450">
          <cell r="D450">
            <v>71320</v>
          </cell>
          <cell r="E450" t="str">
            <v>Vegetables, leguminous; chickpeas (garbanzos), shelled, whether or not skinned or split, dried</v>
          </cell>
          <cell r="F450">
            <v>0</v>
          </cell>
          <cell r="G450">
            <v>0</v>
          </cell>
          <cell r="H450">
            <v>0</v>
          </cell>
          <cell r="I450" t="str">
            <v>Others</v>
          </cell>
          <cell r="J450">
            <v>3</v>
          </cell>
          <cell r="K450" t="str">
            <v>Others</v>
          </cell>
        </row>
        <row r="451">
          <cell r="D451">
            <v>71331</v>
          </cell>
          <cell r="E451" t="str">
            <v>Vegetables, leguminous; beans of the species vigna mungo (l.) hepper or vigna radiata (l.) wilczek, shelled, whether or not skinned or split, dried</v>
          </cell>
          <cell r="F451">
            <v>0</v>
          </cell>
          <cell r="G451">
            <v>0</v>
          </cell>
          <cell r="H451">
            <v>0</v>
          </cell>
          <cell r="I451" t="str">
            <v>Others</v>
          </cell>
          <cell r="J451">
            <v>3</v>
          </cell>
          <cell r="K451" t="str">
            <v>Others</v>
          </cell>
        </row>
        <row r="452">
          <cell r="D452">
            <v>71332</v>
          </cell>
          <cell r="E452" t="str">
            <v>Vegetables, leguminous; small red (adzuki) beans (phaseolus or vigna angularis), shelled, whether or not skinned or split, dried</v>
          </cell>
          <cell r="F452">
            <v>0</v>
          </cell>
          <cell r="G452">
            <v>0</v>
          </cell>
          <cell r="H452">
            <v>0</v>
          </cell>
          <cell r="I452" t="str">
            <v>Others</v>
          </cell>
          <cell r="J452">
            <v>3</v>
          </cell>
          <cell r="K452" t="str">
            <v>Others</v>
          </cell>
        </row>
        <row r="453">
          <cell r="D453">
            <v>71333</v>
          </cell>
          <cell r="E453" t="str">
            <v>Vegetables, leguminous; kidney beans, including white pea beans (phaseolus vulgaris), shelled, whether or not skinned or split, dried</v>
          </cell>
          <cell r="F453">
            <v>0</v>
          </cell>
          <cell r="G453">
            <v>0</v>
          </cell>
          <cell r="H453">
            <v>0</v>
          </cell>
          <cell r="I453" t="str">
            <v>Others</v>
          </cell>
          <cell r="J453">
            <v>3</v>
          </cell>
          <cell r="K453" t="str">
            <v>Others</v>
          </cell>
        </row>
        <row r="454">
          <cell r="D454">
            <v>71334</v>
          </cell>
          <cell r="E454" t="str">
            <v>Vegetables, leguminous; bambara beans (Vigna subterranea or Voandzeia subterranea), shelled, whether or not skinned or split, dried</v>
          </cell>
          <cell r="F454">
            <v>0</v>
          </cell>
          <cell r="G454">
            <v>0</v>
          </cell>
          <cell r="H454">
            <v>0</v>
          </cell>
          <cell r="I454" t="str">
            <v>Others</v>
          </cell>
          <cell r="J454">
            <v>3</v>
          </cell>
          <cell r="K454" t="str">
            <v>Others</v>
          </cell>
        </row>
        <row r="455">
          <cell r="D455">
            <v>71335</v>
          </cell>
          <cell r="E455" t="str">
            <v>Vegetables, leguminous; cow peas (Vigna unguiculata), shelled, whether or not skinned or split, dried</v>
          </cell>
          <cell r="F455">
            <v>0</v>
          </cell>
          <cell r="G455">
            <v>0</v>
          </cell>
          <cell r="H455">
            <v>0</v>
          </cell>
          <cell r="I455" t="str">
            <v>Others</v>
          </cell>
          <cell r="J455">
            <v>3</v>
          </cell>
          <cell r="K455" t="str">
            <v>Others</v>
          </cell>
        </row>
        <row r="456">
          <cell r="D456">
            <v>71339</v>
          </cell>
          <cell r="E456" t="str">
            <v>Vegetables, leguminous; n.e.c. in item no. 0713.3, shelled, whether or not skinned or split, dried</v>
          </cell>
          <cell r="F456">
            <v>0</v>
          </cell>
          <cell r="G456">
            <v>0</v>
          </cell>
          <cell r="H456">
            <v>0</v>
          </cell>
          <cell r="I456" t="str">
            <v>Others</v>
          </cell>
          <cell r="J456">
            <v>3</v>
          </cell>
          <cell r="K456" t="str">
            <v>Others</v>
          </cell>
        </row>
        <row r="457">
          <cell r="D457">
            <v>71340</v>
          </cell>
          <cell r="E457" t="str">
            <v>Vegetables, leguminous; lentils, shelled, whether or not skinned or split, dried</v>
          </cell>
          <cell r="F457">
            <v>0</v>
          </cell>
          <cell r="G457">
            <v>0</v>
          </cell>
          <cell r="H457">
            <v>0</v>
          </cell>
          <cell r="I457" t="str">
            <v>Others</v>
          </cell>
          <cell r="J457">
            <v>3</v>
          </cell>
          <cell r="K457" t="str">
            <v>Others</v>
          </cell>
        </row>
        <row r="458">
          <cell r="D458">
            <v>71350</v>
          </cell>
          <cell r="E458" t="str">
            <v>Vegetables, leguminous; broad beans (vicia faba var. major) and horse beans (vicia faba var. equina, vicia faba var. minor), shelled, whether or not skinned or split, dried</v>
          </cell>
          <cell r="F458">
            <v>0</v>
          </cell>
          <cell r="G458">
            <v>0</v>
          </cell>
          <cell r="H458">
            <v>0</v>
          </cell>
          <cell r="I458" t="str">
            <v>Others</v>
          </cell>
          <cell r="J458">
            <v>3</v>
          </cell>
          <cell r="K458" t="str">
            <v>Others</v>
          </cell>
        </row>
        <row r="459">
          <cell r="D459">
            <v>71360</v>
          </cell>
          <cell r="E459" t="str">
            <v>Vegetables, leguminous; pigeon peas (Cajanus cajan), shelled, whether or not skinned or split, dried</v>
          </cell>
          <cell r="F459">
            <v>0</v>
          </cell>
          <cell r="G459">
            <v>0</v>
          </cell>
          <cell r="H459">
            <v>0</v>
          </cell>
          <cell r="I459" t="str">
            <v>Others</v>
          </cell>
          <cell r="J459">
            <v>3</v>
          </cell>
          <cell r="K459" t="str">
            <v>Others</v>
          </cell>
        </row>
        <row r="460">
          <cell r="D460">
            <v>71390</v>
          </cell>
          <cell r="E460" t="str">
            <v>Vegetables, leguminous; n.e.c. in heading no. 0713, shelled, whether or not skinned or split, dried</v>
          </cell>
          <cell r="F460">
            <v>0</v>
          </cell>
          <cell r="G460">
            <v>0</v>
          </cell>
          <cell r="H460">
            <v>0</v>
          </cell>
          <cell r="I460" t="str">
            <v>Others</v>
          </cell>
          <cell r="J460">
            <v>3</v>
          </cell>
          <cell r="K460" t="str">
            <v>Others</v>
          </cell>
        </row>
        <row r="461">
          <cell r="D461">
            <v>71410</v>
          </cell>
          <cell r="E461" t="str">
            <v>Vegetable roots and tubers; manioc (cassava), with high starch or inulin content, fresh, chilled, frozen or dried, whether or not sliced or in the form of pellets</v>
          </cell>
          <cell r="F461">
            <v>0</v>
          </cell>
          <cell r="G461">
            <v>0</v>
          </cell>
          <cell r="H461">
            <v>0</v>
          </cell>
          <cell r="I461" t="str">
            <v>Others</v>
          </cell>
          <cell r="J461">
            <v>3</v>
          </cell>
          <cell r="K461" t="str">
            <v>Others</v>
          </cell>
        </row>
        <row r="462">
          <cell r="D462">
            <v>71420</v>
          </cell>
          <cell r="E462" t="str">
            <v>Vegetable roots and tubers; sweet potatoes, with high starch or inulin content, fresh, chilled, frozen or dried, whether or not sliced or in the form of pellets</v>
          </cell>
          <cell r="F462">
            <v>0</v>
          </cell>
          <cell r="G462">
            <v>0</v>
          </cell>
          <cell r="H462">
            <v>0</v>
          </cell>
          <cell r="I462" t="str">
            <v>Others</v>
          </cell>
          <cell r="J462">
            <v>3</v>
          </cell>
          <cell r="K462" t="str">
            <v>Others</v>
          </cell>
        </row>
        <row r="463">
          <cell r="D463">
            <v>71430</v>
          </cell>
          <cell r="E463" t="str">
            <v>Vegetable roots and tubers; yams (Dioscorea spp.) with high starch or inulin content, fresh, chilled, frozen or dried, whether or not sliced or in the form of pellets</v>
          </cell>
          <cell r="F463">
            <v>0</v>
          </cell>
          <cell r="G463">
            <v>0</v>
          </cell>
          <cell r="H463">
            <v>0</v>
          </cell>
          <cell r="I463" t="str">
            <v>Others</v>
          </cell>
          <cell r="J463">
            <v>3</v>
          </cell>
          <cell r="K463" t="str">
            <v>Others</v>
          </cell>
        </row>
        <row r="464">
          <cell r="D464">
            <v>71440</v>
          </cell>
          <cell r="E464" t="str">
            <v>Vegetable roots and tubers; taro (Colocasia spp.) with high starch or inulin content, fresh, chilled, frozen or dried, whether or not sliced or in the form of pellets</v>
          </cell>
          <cell r="F464">
            <v>0</v>
          </cell>
          <cell r="G464">
            <v>0</v>
          </cell>
          <cell r="H464">
            <v>0</v>
          </cell>
          <cell r="I464" t="str">
            <v>Others</v>
          </cell>
          <cell r="J464">
            <v>3</v>
          </cell>
          <cell r="K464" t="str">
            <v>Others</v>
          </cell>
        </row>
        <row r="465">
          <cell r="D465">
            <v>71450</v>
          </cell>
          <cell r="E465" t="str">
            <v>Vegetable roots and tubers; yautia (Xanthosoma spp.) with high starch or inulin content, fresh, chilled, frozen or dried, whether or not sliced or in the form of pellets</v>
          </cell>
          <cell r="F465">
            <v>0</v>
          </cell>
          <cell r="G465">
            <v>0</v>
          </cell>
          <cell r="H465">
            <v>0</v>
          </cell>
          <cell r="I465" t="str">
            <v>Others</v>
          </cell>
          <cell r="J465">
            <v>3</v>
          </cell>
          <cell r="K465" t="str">
            <v>Others</v>
          </cell>
        </row>
        <row r="466">
          <cell r="D466">
            <v>71490</v>
          </cell>
          <cell r="E466" t="str">
            <v>Vegetable roots and tubers; arrowroot, salep, Jerusalem artichokes and similar roots and tubers (not manioc, sweet potatoes, yams, taro or yautia), high starch or inulin content, fresh, chilled, frozen, dried, sliced or not, or in pellet form; sago pith</v>
          </cell>
          <cell r="F466">
            <v>0</v>
          </cell>
          <cell r="G466">
            <v>0</v>
          </cell>
          <cell r="H466">
            <v>0</v>
          </cell>
          <cell r="I466" t="str">
            <v>Others</v>
          </cell>
          <cell r="J466">
            <v>3</v>
          </cell>
          <cell r="K466" t="str">
            <v>Others</v>
          </cell>
        </row>
        <row r="467">
          <cell r="D467">
            <v>80111</v>
          </cell>
          <cell r="E467" t="str">
            <v>Nuts, edible; coconuts, desiccated</v>
          </cell>
          <cell r="F467">
            <v>0</v>
          </cell>
          <cell r="G467">
            <v>0</v>
          </cell>
          <cell r="H467">
            <v>0</v>
          </cell>
          <cell r="I467" t="str">
            <v>Others</v>
          </cell>
          <cell r="J467">
            <v>3</v>
          </cell>
          <cell r="K467" t="str">
            <v>Others</v>
          </cell>
        </row>
        <row r="468">
          <cell r="D468">
            <v>80112</v>
          </cell>
          <cell r="E468" t="str">
            <v>Nuts, edible; coconuts, in the inner shell (endocarp)</v>
          </cell>
          <cell r="F468">
            <v>0</v>
          </cell>
          <cell r="G468">
            <v>0</v>
          </cell>
          <cell r="H468">
            <v>0</v>
          </cell>
          <cell r="I468" t="str">
            <v>Others</v>
          </cell>
          <cell r="J468">
            <v>3</v>
          </cell>
          <cell r="K468" t="str">
            <v>Others</v>
          </cell>
        </row>
        <row r="469">
          <cell r="D469">
            <v>80119</v>
          </cell>
          <cell r="E469" t="str">
            <v>Nuts, edible; coconuts, fresh or dried, other than desiccated or in the inner shell (endocarp)</v>
          </cell>
          <cell r="F469">
            <v>0</v>
          </cell>
          <cell r="G469">
            <v>0</v>
          </cell>
          <cell r="H469">
            <v>0</v>
          </cell>
          <cell r="I469" t="str">
            <v>Others</v>
          </cell>
          <cell r="J469">
            <v>3</v>
          </cell>
          <cell r="K469" t="str">
            <v>Others</v>
          </cell>
        </row>
        <row r="470">
          <cell r="D470">
            <v>80121</v>
          </cell>
          <cell r="E470" t="str">
            <v>Nuts, edible; brazil nuts, fresh or dried, in shell</v>
          </cell>
          <cell r="F470">
            <v>0</v>
          </cell>
          <cell r="G470">
            <v>0</v>
          </cell>
          <cell r="H470">
            <v>0</v>
          </cell>
          <cell r="I470" t="str">
            <v>Others</v>
          </cell>
          <cell r="J470">
            <v>3</v>
          </cell>
          <cell r="K470" t="str">
            <v>Others</v>
          </cell>
        </row>
        <row r="471">
          <cell r="D471">
            <v>80122</v>
          </cell>
          <cell r="E471" t="str">
            <v>Nuts, edible; brazil nuts, fresh or dried, shelled</v>
          </cell>
          <cell r="F471">
            <v>0</v>
          </cell>
          <cell r="G471">
            <v>0</v>
          </cell>
          <cell r="H471">
            <v>0</v>
          </cell>
          <cell r="I471" t="str">
            <v>Others</v>
          </cell>
          <cell r="J471">
            <v>3</v>
          </cell>
          <cell r="K471" t="str">
            <v>Others</v>
          </cell>
        </row>
        <row r="472">
          <cell r="D472">
            <v>80131</v>
          </cell>
          <cell r="E472" t="str">
            <v>Nuts, edible; cashew nuts, fresh or dried, in shell</v>
          </cell>
          <cell r="F472">
            <v>0</v>
          </cell>
          <cell r="G472">
            <v>0</v>
          </cell>
          <cell r="H472">
            <v>0</v>
          </cell>
          <cell r="I472" t="str">
            <v>Others</v>
          </cell>
          <cell r="J472">
            <v>3</v>
          </cell>
          <cell r="K472" t="str">
            <v>Others</v>
          </cell>
        </row>
        <row r="473">
          <cell r="D473">
            <v>80132</v>
          </cell>
          <cell r="E473" t="str">
            <v>Nuts, edible; cashew nuts, fresh or dried, shelled</v>
          </cell>
          <cell r="F473">
            <v>0</v>
          </cell>
          <cell r="G473">
            <v>0</v>
          </cell>
          <cell r="H473">
            <v>0</v>
          </cell>
          <cell r="I473" t="str">
            <v>Others</v>
          </cell>
          <cell r="J473">
            <v>3</v>
          </cell>
          <cell r="K473" t="str">
            <v>Others</v>
          </cell>
        </row>
        <row r="474">
          <cell r="D474">
            <v>80211</v>
          </cell>
          <cell r="E474" t="str">
            <v>Nuts, edible; almonds, fresh or dried, in shell</v>
          </cell>
          <cell r="F474">
            <v>0</v>
          </cell>
          <cell r="G474">
            <v>0</v>
          </cell>
          <cell r="H474">
            <v>0</v>
          </cell>
          <cell r="I474" t="str">
            <v>Others</v>
          </cell>
          <cell r="J474">
            <v>3</v>
          </cell>
          <cell r="K474" t="str">
            <v>Others</v>
          </cell>
        </row>
        <row r="475">
          <cell r="D475">
            <v>80212</v>
          </cell>
          <cell r="E475" t="str">
            <v>Nuts, edible; almonds, fresh or dried, shelled</v>
          </cell>
          <cell r="F475">
            <v>0</v>
          </cell>
          <cell r="G475">
            <v>0</v>
          </cell>
          <cell r="H475">
            <v>0</v>
          </cell>
          <cell r="I475" t="str">
            <v>Others</v>
          </cell>
          <cell r="J475">
            <v>3</v>
          </cell>
          <cell r="K475" t="str">
            <v>Others</v>
          </cell>
        </row>
        <row r="476">
          <cell r="D476">
            <v>80221</v>
          </cell>
          <cell r="E476" t="str">
            <v>Nuts, edible; hazelnuts or filberts (corylus spp.), fresh or dried, in shell</v>
          </cell>
          <cell r="F476">
            <v>0</v>
          </cell>
          <cell r="G476">
            <v>0</v>
          </cell>
          <cell r="H476">
            <v>0</v>
          </cell>
          <cell r="I476" t="str">
            <v>Others</v>
          </cell>
          <cell r="J476">
            <v>3</v>
          </cell>
          <cell r="K476" t="str">
            <v>Others</v>
          </cell>
        </row>
        <row r="477">
          <cell r="D477">
            <v>80222</v>
          </cell>
          <cell r="E477" t="str">
            <v>Nuts, edible; hazelnuts or filberts (corylus spp.), fresh or dried, shelled</v>
          </cell>
          <cell r="F477">
            <v>0</v>
          </cell>
          <cell r="G477">
            <v>0</v>
          </cell>
          <cell r="H477">
            <v>0</v>
          </cell>
          <cell r="I477" t="str">
            <v>Others</v>
          </cell>
          <cell r="J477">
            <v>3</v>
          </cell>
          <cell r="K477" t="str">
            <v>Others</v>
          </cell>
        </row>
        <row r="478">
          <cell r="D478">
            <v>80231</v>
          </cell>
          <cell r="E478" t="str">
            <v>Nuts, edible; walnuts, fresh or dried, in shell</v>
          </cell>
          <cell r="F478">
            <v>0</v>
          </cell>
          <cell r="G478">
            <v>0</v>
          </cell>
          <cell r="H478">
            <v>0</v>
          </cell>
          <cell r="I478" t="str">
            <v>Others</v>
          </cell>
          <cell r="J478">
            <v>3</v>
          </cell>
          <cell r="K478" t="str">
            <v>Others</v>
          </cell>
        </row>
        <row r="479">
          <cell r="D479">
            <v>80232</v>
          </cell>
          <cell r="E479" t="str">
            <v>Nuts, edible; walnuts, fresh or dried, shelled</v>
          </cell>
          <cell r="F479">
            <v>0</v>
          </cell>
          <cell r="G479">
            <v>0</v>
          </cell>
          <cell r="H479">
            <v>0</v>
          </cell>
          <cell r="I479" t="str">
            <v>Others</v>
          </cell>
          <cell r="J479">
            <v>3</v>
          </cell>
          <cell r="K479" t="str">
            <v>Others</v>
          </cell>
        </row>
        <row r="480">
          <cell r="D480">
            <v>80241</v>
          </cell>
          <cell r="E480" t="str">
            <v>Nuts, edible; chestnuts (Castanea spp.), fresh or dried, in shell</v>
          </cell>
          <cell r="F480">
            <v>0</v>
          </cell>
          <cell r="G480">
            <v>0</v>
          </cell>
          <cell r="H480">
            <v>0</v>
          </cell>
          <cell r="I480" t="str">
            <v>Others</v>
          </cell>
          <cell r="J480">
            <v>3</v>
          </cell>
          <cell r="K480" t="str">
            <v>Others</v>
          </cell>
        </row>
        <row r="481">
          <cell r="D481">
            <v>80242</v>
          </cell>
          <cell r="E481" t="str">
            <v>Nuts, edible; chestnuts (Castanea spp.), fresh or dried, shelled</v>
          </cell>
          <cell r="F481">
            <v>0</v>
          </cell>
          <cell r="G481">
            <v>0</v>
          </cell>
          <cell r="H481">
            <v>0</v>
          </cell>
          <cell r="I481" t="str">
            <v>Others</v>
          </cell>
          <cell r="J481">
            <v>3</v>
          </cell>
          <cell r="K481" t="str">
            <v>Others</v>
          </cell>
        </row>
        <row r="482">
          <cell r="D482">
            <v>80251</v>
          </cell>
          <cell r="E482" t="str">
            <v>Nuts, edible; pistachios, fresh or dried, in shell</v>
          </cell>
          <cell r="F482">
            <v>0</v>
          </cell>
          <cell r="G482">
            <v>0</v>
          </cell>
          <cell r="H482">
            <v>0</v>
          </cell>
          <cell r="I482" t="str">
            <v>Others</v>
          </cell>
          <cell r="J482">
            <v>3</v>
          </cell>
          <cell r="K482" t="str">
            <v>Others</v>
          </cell>
        </row>
        <row r="483">
          <cell r="D483">
            <v>80252</v>
          </cell>
          <cell r="E483" t="str">
            <v>Nuts, edible; pistachios, fresh or dried, shelled</v>
          </cell>
          <cell r="F483">
            <v>0</v>
          </cell>
          <cell r="G483">
            <v>0</v>
          </cell>
          <cell r="H483">
            <v>0</v>
          </cell>
          <cell r="I483" t="str">
            <v>Others</v>
          </cell>
          <cell r="J483">
            <v>3</v>
          </cell>
          <cell r="K483" t="str">
            <v>Others</v>
          </cell>
        </row>
        <row r="484">
          <cell r="D484">
            <v>80261</v>
          </cell>
          <cell r="E484" t="str">
            <v>Nuts, edible; macadamia, fresh or dried, in shell</v>
          </cell>
          <cell r="F484">
            <v>0</v>
          </cell>
          <cell r="G484">
            <v>0</v>
          </cell>
          <cell r="H484">
            <v>0</v>
          </cell>
          <cell r="I484" t="str">
            <v>Others</v>
          </cell>
          <cell r="J484">
            <v>3</v>
          </cell>
          <cell r="K484" t="str">
            <v>Others</v>
          </cell>
        </row>
        <row r="485">
          <cell r="D485">
            <v>80262</v>
          </cell>
          <cell r="E485" t="str">
            <v>Nuts, edible; macadamia, fresh or dried, shelled</v>
          </cell>
          <cell r="F485">
            <v>0</v>
          </cell>
          <cell r="G485">
            <v>0</v>
          </cell>
          <cell r="H485">
            <v>0</v>
          </cell>
          <cell r="I485" t="str">
            <v>Others</v>
          </cell>
          <cell r="J485">
            <v>3</v>
          </cell>
          <cell r="K485" t="str">
            <v>Others</v>
          </cell>
        </row>
        <row r="486">
          <cell r="D486">
            <v>80270</v>
          </cell>
          <cell r="E486" t="str">
            <v>Nuts, edible; kola nuts (Cola spp.), fresh or dried, whether or not shelled or peeled</v>
          </cell>
          <cell r="F486">
            <v>0</v>
          </cell>
          <cell r="G486">
            <v>0</v>
          </cell>
          <cell r="H486">
            <v>0</v>
          </cell>
          <cell r="I486" t="str">
            <v>Others</v>
          </cell>
          <cell r="J486">
            <v>3</v>
          </cell>
          <cell r="K486" t="str">
            <v>Others</v>
          </cell>
        </row>
        <row r="487">
          <cell r="D487">
            <v>80280</v>
          </cell>
          <cell r="E487" t="str">
            <v>Nuts, edible; areca nuts, fresh or dried, whether or not shelled or peeled</v>
          </cell>
          <cell r="F487">
            <v>0</v>
          </cell>
          <cell r="G487">
            <v>0</v>
          </cell>
          <cell r="H487">
            <v>0</v>
          </cell>
          <cell r="I487" t="str">
            <v>Others</v>
          </cell>
          <cell r="J487">
            <v>3</v>
          </cell>
          <cell r="K487" t="str">
            <v>Others</v>
          </cell>
        </row>
        <row r="488">
          <cell r="D488">
            <v>80291</v>
          </cell>
          <cell r="E488" t="str">
            <v>Nuts, edible; pine nuts, fresh or dried, in shell</v>
          </cell>
          <cell r="F488">
            <v>0</v>
          </cell>
          <cell r="G488">
            <v>0</v>
          </cell>
          <cell r="H488">
            <v>0</v>
          </cell>
          <cell r="I488" t="str">
            <v>Others</v>
          </cell>
          <cell r="J488">
            <v>3</v>
          </cell>
          <cell r="K488" t="str">
            <v>Others</v>
          </cell>
        </row>
        <row r="489">
          <cell r="D489">
            <v>80292</v>
          </cell>
          <cell r="E489" t="str">
            <v>Nuts, edible; pine nuts, fresh or dried, shelled</v>
          </cell>
          <cell r="F489">
            <v>0</v>
          </cell>
          <cell r="G489">
            <v>0</v>
          </cell>
          <cell r="H489">
            <v>0</v>
          </cell>
          <cell r="I489" t="str">
            <v>Others</v>
          </cell>
          <cell r="J489">
            <v>3</v>
          </cell>
          <cell r="K489" t="str">
            <v>Others</v>
          </cell>
        </row>
        <row r="490">
          <cell r="D490">
            <v>80299</v>
          </cell>
          <cell r="E490" t="str">
            <v>Nuts, edible; n.e.c. in heading 0801 and 0802, fresh or dried, whether or not shelled or peeled</v>
          </cell>
          <cell r="F490">
            <v>0</v>
          </cell>
          <cell r="G490">
            <v>0</v>
          </cell>
          <cell r="H490">
            <v>0</v>
          </cell>
          <cell r="I490" t="str">
            <v>Others</v>
          </cell>
          <cell r="J490">
            <v>3</v>
          </cell>
          <cell r="K490" t="str">
            <v>Others</v>
          </cell>
        </row>
        <row r="491">
          <cell r="D491">
            <v>80310</v>
          </cell>
          <cell r="E491" t="str">
            <v>Fruit, edible; plantains, fresh or dried</v>
          </cell>
          <cell r="F491">
            <v>0</v>
          </cell>
          <cell r="G491">
            <v>0</v>
          </cell>
          <cell r="H491">
            <v>0</v>
          </cell>
          <cell r="I491" t="str">
            <v>Others</v>
          </cell>
          <cell r="J491">
            <v>3</v>
          </cell>
          <cell r="K491" t="str">
            <v>Others</v>
          </cell>
        </row>
        <row r="492">
          <cell r="D492">
            <v>80390</v>
          </cell>
          <cell r="E492" t="str">
            <v>Fruit, edible; bananas, other than plantains, fresh or dried</v>
          </cell>
          <cell r="F492">
            <v>0</v>
          </cell>
          <cell r="G492">
            <v>0</v>
          </cell>
          <cell r="H492">
            <v>0</v>
          </cell>
          <cell r="I492" t="str">
            <v>Others</v>
          </cell>
          <cell r="J492">
            <v>3</v>
          </cell>
          <cell r="K492" t="str">
            <v>Others</v>
          </cell>
        </row>
        <row r="493">
          <cell r="D493">
            <v>80410</v>
          </cell>
          <cell r="E493" t="str">
            <v>Fruit, edible; dates, fresh or dried</v>
          </cell>
          <cell r="F493">
            <v>0</v>
          </cell>
          <cell r="G493">
            <v>0</v>
          </cell>
          <cell r="H493">
            <v>0</v>
          </cell>
          <cell r="I493" t="str">
            <v>Others</v>
          </cell>
          <cell r="J493">
            <v>3</v>
          </cell>
          <cell r="K493" t="str">
            <v>Others</v>
          </cell>
        </row>
        <row r="494">
          <cell r="D494">
            <v>80420</v>
          </cell>
          <cell r="E494" t="str">
            <v>Fruit, edible; figs, fresh or dried</v>
          </cell>
          <cell r="F494">
            <v>0</v>
          </cell>
          <cell r="G494">
            <v>0</v>
          </cell>
          <cell r="H494">
            <v>0</v>
          </cell>
          <cell r="I494" t="str">
            <v>Others</v>
          </cell>
          <cell r="J494">
            <v>3</v>
          </cell>
          <cell r="K494" t="str">
            <v>Others</v>
          </cell>
        </row>
        <row r="495">
          <cell r="D495">
            <v>80430</v>
          </cell>
          <cell r="E495" t="str">
            <v>Fruit, edible; pineapples, fresh or dried</v>
          </cell>
          <cell r="F495">
            <v>0</v>
          </cell>
          <cell r="G495">
            <v>0</v>
          </cell>
          <cell r="H495">
            <v>0</v>
          </cell>
          <cell r="I495" t="str">
            <v>Others</v>
          </cell>
          <cell r="J495">
            <v>3</v>
          </cell>
          <cell r="K495" t="str">
            <v>Others</v>
          </cell>
        </row>
        <row r="496">
          <cell r="D496">
            <v>80440</v>
          </cell>
          <cell r="E496" t="str">
            <v>Fruit, edible; avocados, fresh or dried</v>
          </cell>
          <cell r="F496">
            <v>0</v>
          </cell>
          <cell r="G496">
            <v>0</v>
          </cell>
          <cell r="H496">
            <v>0</v>
          </cell>
          <cell r="I496" t="str">
            <v>Others</v>
          </cell>
          <cell r="J496">
            <v>3</v>
          </cell>
          <cell r="K496" t="str">
            <v>Others</v>
          </cell>
        </row>
        <row r="497">
          <cell r="D497">
            <v>80450</v>
          </cell>
          <cell r="E497" t="str">
            <v>Fruit, edible; guavas, mangoes and mangosteens, fresh or dried</v>
          </cell>
          <cell r="F497">
            <v>0</v>
          </cell>
          <cell r="G497">
            <v>0</v>
          </cell>
          <cell r="H497">
            <v>0</v>
          </cell>
          <cell r="I497" t="str">
            <v>Others</v>
          </cell>
          <cell r="J497">
            <v>3</v>
          </cell>
          <cell r="K497" t="str">
            <v>Others</v>
          </cell>
        </row>
        <row r="498">
          <cell r="D498">
            <v>80510</v>
          </cell>
          <cell r="E498" t="str">
            <v>Fruit, edible; oranges, fresh or dried</v>
          </cell>
          <cell r="F498">
            <v>0</v>
          </cell>
          <cell r="G498">
            <v>0</v>
          </cell>
          <cell r="H498">
            <v>0</v>
          </cell>
          <cell r="I498" t="str">
            <v>Others</v>
          </cell>
          <cell r="J498">
            <v>3</v>
          </cell>
          <cell r="K498" t="str">
            <v>Others</v>
          </cell>
        </row>
        <row r="499">
          <cell r="D499">
            <v>80521</v>
          </cell>
          <cell r="E499" t="str">
            <v>Fruit, edible; mandarins (including tangerines and satsumas), fresh or dried</v>
          </cell>
          <cell r="F499">
            <v>0</v>
          </cell>
          <cell r="G499">
            <v>0</v>
          </cell>
          <cell r="H499">
            <v>0</v>
          </cell>
          <cell r="I499" t="str">
            <v>Others</v>
          </cell>
          <cell r="J499">
            <v>3</v>
          </cell>
          <cell r="K499" t="str">
            <v>Others</v>
          </cell>
        </row>
        <row r="500">
          <cell r="D500">
            <v>80522</v>
          </cell>
          <cell r="E500" t="str">
            <v>Fruit, edible; clementines, fresh or dried</v>
          </cell>
          <cell r="F500">
            <v>0</v>
          </cell>
          <cell r="G500">
            <v>0</v>
          </cell>
          <cell r="H500">
            <v>0</v>
          </cell>
          <cell r="I500" t="str">
            <v>Others</v>
          </cell>
          <cell r="J500">
            <v>3</v>
          </cell>
          <cell r="K500" t="str">
            <v>Others</v>
          </cell>
        </row>
        <row r="501">
          <cell r="D501">
            <v>80529</v>
          </cell>
          <cell r="E501" t="str">
            <v>Fruit, edible; tangelos, wilkings and similar citrus hybrid, fresh or dried</v>
          </cell>
          <cell r="F501">
            <v>0</v>
          </cell>
          <cell r="G501">
            <v>0</v>
          </cell>
          <cell r="H501">
            <v>0</v>
          </cell>
          <cell r="I501" t="str">
            <v>Others</v>
          </cell>
          <cell r="J501">
            <v>3</v>
          </cell>
          <cell r="K501" t="str">
            <v>Others</v>
          </cell>
        </row>
        <row r="502">
          <cell r="D502">
            <v>80540</v>
          </cell>
          <cell r="E502" t="str">
            <v>Fruit, edible; grapefruit and pomelos, fresh or dried</v>
          </cell>
          <cell r="F502">
            <v>0</v>
          </cell>
          <cell r="G502">
            <v>0</v>
          </cell>
          <cell r="H502">
            <v>0</v>
          </cell>
          <cell r="I502" t="str">
            <v>Others</v>
          </cell>
          <cell r="J502">
            <v>3</v>
          </cell>
          <cell r="K502" t="str">
            <v>Others</v>
          </cell>
        </row>
        <row r="503">
          <cell r="D503">
            <v>80550</v>
          </cell>
          <cell r="E503" t="str">
            <v>Fruit, edible; lemons (Citrus limon, Citrus limonum), limes (Citrus aurantifolia, Citrus latifolia), fresh or dried</v>
          </cell>
          <cell r="F503">
            <v>0</v>
          </cell>
          <cell r="G503">
            <v>0</v>
          </cell>
          <cell r="H503">
            <v>0</v>
          </cell>
          <cell r="I503" t="str">
            <v>Others</v>
          </cell>
          <cell r="J503">
            <v>3</v>
          </cell>
          <cell r="K503" t="str">
            <v>Others</v>
          </cell>
        </row>
        <row r="504">
          <cell r="D504">
            <v>80590</v>
          </cell>
          <cell r="E504" t="str">
            <v>Fruit, edible; citrus fruit n.e.c. in heading no. 0805, fresh or dried</v>
          </cell>
          <cell r="F504">
            <v>0</v>
          </cell>
          <cell r="G504">
            <v>0</v>
          </cell>
          <cell r="H504">
            <v>0</v>
          </cell>
          <cell r="I504" t="str">
            <v>Others</v>
          </cell>
          <cell r="J504">
            <v>3</v>
          </cell>
          <cell r="K504" t="str">
            <v>Others</v>
          </cell>
        </row>
        <row r="505">
          <cell r="D505">
            <v>80610</v>
          </cell>
          <cell r="E505" t="str">
            <v>Fruit, edible; grapes, fresh</v>
          </cell>
          <cell r="F505">
            <v>0</v>
          </cell>
          <cell r="G505">
            <v>0</v>
          </cell>
          <cell r="H505">
            <v>0</v>
          </cell>
          <cell r="I505" t="str">
            <v>Others</v>
          </cell>
          <cell r="J505">
            <v>3</v>
          </cell>
          <cell r="K505" t="str">
            <v>Others</v>
          </cell>
        </row>
        <row r="506">
          <cell r="D506">
            <v>80620</v>
          </cell>
          <cell r="E506" t="str">
            <v>Fruit, edible; grapes, dried</v>
          </cell>
          <cell r="F506">
            <v>0</v>
          </cell>
          <cell r="G506">
            <v>0</v>
          </cell>
          <cell r="H506">
            <v>0</v>
          </cell>
          <cell r="I506" t="str">
            <v>Others</v>
          </cell>
          <cell r="J506">
            <v>3</v>
          </cell>
          <cell r="K506" t="str">
            <v>Others</v>
          </cell>
        </row>
        <row r="507">
          <cell r="D507">
            <v>80711</v>
          </cell>
          <cell r="E507" t="str">
            <v>Fruit, edible; watermelons, fresh</v>
          </cell>
          <cell r="F507">
            <v>0</v>
          </cell>
          <cell r="G507">
            <v>0</v>
          </cell>
          <cell r="H507">
            <v>0</v>
          </cell>
          <cell r="I507" t="str">
            <v>Others</v>
          </cell>
          <cell r="J507">
            <v>3</v>
          </cell>
          <cell r="K507" t="str">
            <v>Others</v>
          </cell>
        </row>
        <row r="508">
          <cell r="D508">
            <v>80719</v>
          </cell>
          <cell r="E508" t="str">
            <v>Fruit, edible; melons, other than watermelons, fresh</v>
          </cell>
          <cell r="F508">
            <v>0</v>
          </cell>
          <cell r="G508">
            <v>0</v>
          </cell>
          <cell r="H508">
            <v>0</v>
          </cell>
          <cell r="I508" t="str">
            <v>Others</v>
          </cell>
          <cell r="J508">
            <v>3</v>
          </cell>
          <cell r="K508" t="str">
            <v>Others</v>
          </cell>
        </row>
        <row r="509">
          <cell r="D509">
            <v>80720</v>
          </cell>
          <cell r="E509" t="str">
            <v>Fruit, edible; papaws (papayas), fresh</v>
          </cell>
          <cell r="F509">
            <v>0</v>
          </cell>
          <cell r="G509">
            <v>0</v>
          </cell>
          <cell r="H509">
            <v>0</v>
          </cell>
          <cell r="I509" t="str">
            <v>Others</v>
          </cell>
          <cell r="J509">
            <v>3</v>
          </cell>
          <cell r="K509" t="str">
            <v>Others</v>
          </cell>
        </row>
        <row r="510">
          <cell r="D510">
            <v>80810</v>
          </cell>
          <cell r="E510" t="str">
            <v>Fruit, edible; apples, fresh</v>
          </cell>
          <cell r="F510">
            <v>0</v>
          </cell>
          <cell r="G510">
            <v>0</v>
          </cell>
          <cell r="H510">
            <v>0</v>
          </cell>
          <cell r="I510" t="str">
            <v>Others</v>
          </cell>
          <cell r="J510">
            <v>3</v>
          </cell>
          <cell r="K510" t="str">
            <v>Others</v>
          </cell>
        </row>
        <row r="511">
          <cell r="D511">
            <v>80830</v>
          </cell>
          <cell r="E511" t="str">
            <v>Fruit, edible; pears, fresh</v>
          </cell>
          <cell r="F511">
            <v>0</v>
          </cell>
          <cell r="G511">
            <v>0</v>
          </cell>
          <cell r="H511">
            <v>0</v>
          </cell>
          <cell r="I511" t="str">
            <v>Others</v>
          </cell>
          <cell r="J511">
            <v>3</v>
          </cell>
          <cell r="K511" t="str">
            <v>Others</v>
          </cell>
        </row>
        <row r="512">
          <cell r="D512">
            <v>80840</v>
          </cell>
          <cell r="E512" t="str">
            <v>Fruit, edible; quinces, fresh</v>
          </cell>
          <cell r="F512">
            <v>0</v>
          </cell>
          <cell r="G512">
            <v>0</v>
          </cell>
          <cell r="H512">
            <v>0</v>
          </cell>
          <cell r="I512" t="str">
            <v>Others</v>
          </cell>
          <cell r="J512">
            <v>3</v>
          </cell>
          <cell r="K512" t="str">
            <v>Others</v>
          </cell>
        </row>
        <row r="513">
          <cell r="D513">
            <v>80910</v>
          </cell>
          <cell r="E513" t="str">
            <v>Fruit, edible; apricots, fresh</v>
          </cell>
          <cell r="F513">
            <v>0</v>
          </cell>
          <cell r="G513">
            <v>0</v>
          </cell>
          <cell r="H513">
            <v>0</v>
          </cell>
          <cell r="I513" t="str">
            <v>Others</v>
          </cell>
          <cell r="J513">
            <v>3</v>
          </cell>
          <cell r="K513" t="str">
            <v>Others</v>
          </cell>
        </row>
        <row r="514">
          <cell r="D514">
            <v>80921</v>
          </cell>
          <cell r="E514" t="str">
            <v>Fruit, edible; sour cherries (Prunus cerasus), fresh</v>
          </cell>
          <cell r="F514">
            <v>0</v>
          </cell>
          <cell r="G514">
            <v>0</v>
          </cell>
          <cell r="H514">
            <v>0</v>
          </cell>
          <cell r="I514" t="str">
            <v>Others</v>
          </cell>
          <cell r="J514">
            <v>3</v>
          </cell>
          <cell r="K514" t="str">
            <v>Others</v>
          </cell>
        </row>
        <row r="515">
          <cell r="D515">
            <v>80929</v>
          </cell>
          <cell r="E515" t="str">
            <v>Fruit, edible; cherries, other than sour cherries (Prunus cerasus), fresh</v>
          </cell>
          <cell r="F515">
            <v>0</v>
          </cell>
          <cell r="G515">
            <v>0</v>
          </cell>
          <cell r="H515">
            <v>0</v>
          </cell>
          <cell r="I515" t="str">
            <v>Others</v>
          </cell>
          <cell r="J515">
            <v>3</v>
          </cell>
          <cell r="K515" t="str">
            <v>Others</v>
          </cell>
        </row>
        <row r="516">
          <cell r="D516">
            <v>80930</v>
          </cell>
          <cell r="E516" t="str">
            <v>Fruit, edible; peaches, including nectarines, fresh</v>
          </cell>
          <cell r="F516">
            <v>0</v>
          </cell>
          <cell r="G516">
            <v>0</v>
          </cell>
          <cell r="H516">
            <v>0</v>
          </cell>
          <cell r="I516" t="str">
            <v>Others</v>
          </cell>
          <cell r="J516">
            <v>3</v>
          </cell>
          <cell r="K516" t="str">
            <v>Others</v>
          </cell>
        </row>
        <row r="517">
          <cell r="D517">
            <v>80940</v>
          </cell>
          <cell r="E517" t="str">
            <v>Fruit, edible; plums and sloes, fresh</v>
          </cell>
          <cell r="F517">
            <v>0</v>
          </cell>
          <cell r="G517">
            <v>0</v>
          </cell>
          <cell r="H517">
            <v>0</v>
          </cell>
          <cell r="I517" t="str">
            <v>Others</v>
          </cell>
          <cell r="J517">
            <v>3</v>
          </cell>
          <cell r="K517" t="str">
            <v>Others</v>
          </cell>
        </row>
        <row r="518">
          <cell r="D518">
            <v>81010</v>
          </cell>
          <cell r="E518" t="str">
            <v>Fruit, edible; strawberries, fresh</v>
          </cell>
          <cell r="F518">
            <v>0</v>
          </cell>
          <cell r="G518">
            <v>0</v>
          </cell>
          <cell r="H518">
            <v>0</v>
          </cell>
          <cell r="I518" t="str">
            <v>Others</v>
          </cell>
          <cell r="J518">
            <v>3</v>
          </cell>
          <cell r="K518" t="str">
            <v>Others</v>
          </cell>
        </row>
        <row r="519">
          <cell r="D519">
            <v>81020</v>
          </cell>
          <cell r="E519" t="str">
            <v>Fruit, edible; raspberries, blackberries, mulberries, and loganberries, fresh</v>
          </cell>
          <cell r="F519">
            <v>0</v>
          </cell>
          <cell r="G519">
            <v>0</v>
          </cell>
          <cell r="H519">
            <v>0</v>
          </cell>
          <cell r="I519" t="str">
            <v>Others</v>
          </cell>
          <cell r="J519">
            <v>3</v>
          </cell>
          <cell r="K519" t="str">
            <v>Others</v>
          </cell>
        </row>
        <row r="520">
          <cell r="D520">
            <v>81030</v>
          </cell>
          <cell r="E520" t="str">
            <v>Fruit, edible; black, white or red currants and gooseberries, fresh</v>
          </cell>
          <cell r="F520">
            <v>0</v>
          </cell>
          <cell r="G520">
            <v>0</v>
          </cell>
          <cell r="H520">
            <v>0</v>
          </cell>
          <cell r="I520" t="str">
            <v>Others</v>
          </cell>
          <cell r="J520">
            <v>3</v>
          </cell>
          <cell r="K520" t="str">
            <v>Others</v>
          </cell>
        </row>
        <row r="521">
          <cell r="D521">
            <v>81040</v>
          </cell>
          <cell r="E521" t="str">
            <v>Fruit, edible; cranberries, bilberries and other fruits of the genus vaccinium, fresh</v>
          </cell>
          <cell r="F521">
            <v>0</v>
          </cell>
          <cell r="G521">
            <v>0</v>
          </cell>
          <cell r="H521">
            <v>0</v>
          </cell>
          <cell r="I521" t="str">
            <v>Others</v>
          </cell>
          <cell r="J521">
            <v>3</v>
          </cell>
          <cell r="K521" t="str">
            <v>Others</v>
          </cell>
        </row>
        <row r="522">
          <cell r="D522">
            <v>81050</v>
          </cell>
          <cell r="E522" t="str">
            <v>Fruit, edible; kiwifruit, fresh</v>
          </cell>
          <cell r="F522">
            <v>0</v>
          </cell>
          <cell r="G522">
            <v>0</v>
          </cell>
          <cell r="H522">
            <v>0</v>
          </cell>
          <cell r="I522" t="str">
            <v>Others</v>
          </cell>
          <cell r="J522">
            <v>3</v>
          </cell>
          <cell r="K522" t="str">
            <v>Others</v>
          </cell>
        </row>
        <row r="523">
          <cell r="D523">
            <v>81060</v>
          </cell>
          <cell r="E523" t="str">
            <v>Fruit, edible; durians, fresh</v>
          </cell>
          <cell r="F523">
            <v>0</v>
          </cell>
          <cell r="G523">
            <v>0</v>
          </cell>
          <cell r="H523">
            <v>0</v>
          </cell>
          <cell r="I523" t="str">
            <v>Others</v>
          </cell>
          <cell r="J523">
            <v>3</v>
          </cell>
          <cell r="K523" t="str">
            <v>Others</v>
          </cell>
        </row>
        <row r="524">
          <cell r="D524">
            <v>81070</v>
          </cell>
          <cell r="E524" t="str">
            <v>Fruit, edible; persimmons, fresh</v>
          </cell>
          <cell r="F524">
            <v>0</v>
          </cell>
          <cell r="G524">
            <v>0</v>
          </cell>
          <cell r="H524">
            <v>0</v>
          </cell>
          <cell r="I524" t="str">
            <v>Others</v>
          </cell>
          <cell r="J524">
            <v>3</v>
          </cell>
          <cell r="K524" t="str">
            <v>Others</v>
          </cell>
        </row>
        <row r="525">
          <cell r="D525">
            <v>81090</v>
          </cell>
          <cell r="E525" t="str">
            <v>Fruit, edible; fruits n.e.c. in heading no. 0801 to 0810, fresh</v>
          </cell>
          <cell r="F525">
            <v>0</v>
          </cell>
          <cell r="G525">
            <v>0</v>
          </cell>
          <cell r="H525">
            <v>0</v>
          </cell>
          <cell r="I525" t="str">
            <v>Others</v>
          </cell>
          <cell r="J525">
            <v>3</v>
          </cell>
          <cell r="K525" t="str">
            <v>Others</v>
          </cell>
        </row>
        <row r="526">
          <cell r="D526">
            <v>81110</v>
          </cell>
          <cell r="E526" t="str">
            <v>Fruit, edible; strawberries, uncooked or cooked by steaming or boiling in water, frozen, whether or not containing added sugar or other sweetening matter</v>
          </cell>
          <cell r="F526">
            <v>0</v>
          </cell>
          <cell r="G526">
            <v>0</v>
          </cell>
          <cell r="H526">
            <v>0</v>
          </cell>
          <cell r="I526" t="str">
            <v>Others</v>
          </cell>
          <cell r="J526">
            <v>3</v>
          </cell>
          <cell r="K526" t="str">
            <v>Others</v>
          </cell>
        </row>
        <row r="527">
          <cell r="D527">
            <v>81120</v>
          </cell>
          <cell r="E527" t="str">
            <v>Fruit, edible; raspberries, blackberries, mulberries, loganberries, black, white or red currants and gooseberries, uncooked or cooked, whether or not containing added sugar or other sweetening matter</v>
          </cell>
          <cell r="F527">
            <v>0</v>
          </cell>
          <cell r="G527">
            <v>0</v>
          </cell>
          <cell r="H527">
            <v>0</v>
          </cell>
          <cell r="I527" t="str">
            <v>Others</v>
          </cell>
          <cell r="J527">
            <v>3</v>
          </cell>
          <cell r="K527" t="str">
            <v>Others</v>
          </cell>
        </row>
        <row r="528">
          <cell r="D528">
            <v>81190</v>
          </cell>
          <cell r="E528" t="str">
            <v>Fruit, edible; fruit and nuts n.e.c. in heading no. 0811, uncooked or cooked, frozen whether or not containing added sugar or other sweetening matter</v>
          </cell>
          <cell r="F528">
            <v>0</v>
          </cell>
          <cell r="G528">
            <v>0</v>
          </cell>
          <cell r="H528">
            <v>0</v>
          </cell>
          <cell r="I528" t="str">
            <v>Others</v>
          </cell>
          <cell r="J528">
            <v>3</v>
          </cell>
          <cell r="K528" t="str">
            <v>Others</v>
          </cell>
        </row>
        <row r="529">
          <cell r="D529">
            <v>81210</v>
          </cell>
          <cell r="E529" t="str">
            <v>Fruit, edible; cherries, provisionally preserved, but unsuitable in that state for immediate consumption</v>
          </cell>
          <cell r="F529">
            <v>0</v>
          </cell>
          <cell r="G529">
            <v>0</v>
          </cell>
          <cell r="H529">
            <v>0</v>
          </cell>
          <cell r="I529" t="str">
            <v>Others</v>
          </cell>
          <cell r="J529">
            <v>3</v>
          </cell>
          <cell r="K529" t="str">
            <v>Others</v>
          </cell>
        </row>
        <row r="530">
          <cell r="D530">
            <v>81290</v>
          </cell>
          <cell r="E530" t="str">
            <v>Fruit, edible; fruit and nuts n.e.c. in heading no. 0812, provisionally preserved, but unsuitable in that state for immediate consumption</v>
          </cell>
          <cell r="F530">
            <v>0</v>
          </cell>
          <cell r="G530">
            <v>0</v>
          </cell>
          <cell r="H530">
            <v>0</v>
          </cell>
          <cell r="I530" t="str">
            <v>Others</v>
          </cell>
          <cell r="J530">
            <v>3</v>
          </cell>
          <cell r="K530" t="str">
            <v>Others</v>
          </cell>
        </row>
        <row r="531">
          <cell r="D531">
            <v>81310</v>
          </cell>
          <cell r="E531" t="str">
            <v>Fruit, edible; apricots, dried</v>
          </cell>
          <cell r="F531">
            <v>0</v>
          </cell>
          <cell r="G531">
            <v>0</v>
          </cell>
          <cell r="H531">
            <v>0</v>
          </cell>
          <cell r="I531" t="str">
            <v>Others</v>
          </cell>
          <cell r="J531">
            <v>3</v>
          </cell>
          <cell r="K531" t="str">
            <v>Others</v>
          </cell>
        </row>
        <row r="532">
          <cell r="D532">
            <v>81320</v>
          </cell>
          <cell r="E532" t="str">
            <v>Fruit, edible; prunes, dried</v>
          </cell>
          <cell r="F532">
            <v>0</v>
          </cell>
          <cell r="G532">
            <v>0</v>
          </cell>
          <cell r="H532">
            <v>0</v>
          </cell>
          <cell r="I532" t="str">
            <v>Others</v>
          </cell>
          <cell r="J532">
            <v>3</v>
          </cell>
          <cell r="K532" t="str">
            <v>Others</v>
          </cell>
        </row>
        <row r="533">
          <cell r="D533">
            <v>81330</v>
          </cell>
          <cell r="E533" t="str">
            <v>Fruit, edible; apples, dried</v>
          </cell>
          <cell r="F533">
            <v>0</v>
          </cell>
          <cell r="G533">
            <v>0</v>
          </cell>
          <cell r="H533">
            <v>0</v>
          </cell>
          <cell r="I533" t="str">
            <v>Others</v>
          </cell>
          <cell r="J533">
            <v>3</v>
          </cell>
          <cell r="K533" t="str">
            <v>Others</v>
          </cell>
        </row>
        <row r="534">
          <cell r="D534">
            <v>81340</v>
          </cell>
          <cell r="E534" t="str">
            <v>Fruit, edible; fruit n.e.c. in heading no. 0812, dried</v>
          </cell>
          <cell r="F534">
            <v>0</v>
          </cell>
          <cell r="G534">
            <v>0</v>
          </cell>
          <cell r="H534">
            <v>0</v>
          </cell>
          <cell r="I534" t="str">
            <v>Others</v>
          </cell>
          <cell r="J534">
            <v>3</v>
          </cell>
          <cell r="K534" t="str">
            <v>Others</v>
          </cell>
        </row>
        <row r="535">
          <cell r="D535">
            <v>81350</v>
          </cell>
          <cell r="E535" t="str">
            <v>Nuts, edible; mixtures of nuts or dried fruits of chapter 08</v>
          </cell>
          <cell r="F535">
            <v>0</v>
          </cell>
          <cell r="G535">
            <v>0</v>
          </cell>
          <cell r="H535">
            <v>0</v>
          </cell>
          <cell r="I535" t="str">
            <v>Others</v>
          </cell>
          <cell r="J535">
            <v>3</v>
          </cell>
          <cell r="K535" t="str">
            <v>Others</v>
          </cell>
        </row>
        <row r="536">
          <cell r="D536">
            <v>81400</v>
          </cell>
          <cell r="E536" t="str">
            <v>Peel; of citrus fruit or melons (including watermelons), fresh, frozen, dried or provisionally preserved in brine, in sulphur water and other preservative solutions</v>
          </cell>
          <cell r="F536">
            <v>0</v>
          </cell>
          <cell r="G536">
            <v>0</v>
          </cell>
          <cell r="H536">
            <v>0</v>
          </cell>
          <cell r="I536" t="str">
            <v>Others</v>
          </cell>
          <cell r="J536">
            <v>3</v>
          </cell>
          <cell r="K536" t="str">
            <v>Others</v>
          </cell>
        </row>
        <row r="537">
          <cell r="D537">
            <v>90111</v>
          </cell>
          <cell r="E537" t="str">
            <v>Coffee; not roasted or decaffeinated</v>
          </cell>
          <cell r="F537">
            <v>0</v>
          </cell>
          <cell r="G537">
            <v>0</v>
          </cell>
          <cell r="H537">
            <v>0</v>
          </cell>
          <cell r="I537" t="str">
            <v>Others</v>
          </cell>
          <cell r="J537">
            <v>3</v>
          </cell>
          <cell r="K537" t="str">
            <v>Others</v>
          </cell>
        </row>
        <row r="538">
          <cell r="D538">
            <v>90112</v>
          </cell>
          <cell r="E538" t="str">
            <v>Coffee; decaffeinated, not roasted</v>
          </cell>
          <cell r="F538">
            <v>0</v>
          </cell>
          <cell r="G538">
            <v>0</v>
          </cell>
          <cell r="H538">
            <v>0</v>
          </cell>
          <cell r="I538" t="str">
            <v>Others</v>
          </cell>
          <cell r="J538">
            <v>3</v>
          </cell>
          <cell r="K538" t="str">
            <v>Others</v>
          </cell>
        </row>
        <row r="539">
          <cell r="D539">
            <v>90121</v>
          </cell>
          <cell r="E539" t="str">
            <v>Coffee; roasted, not decaffeinated</v>
          </cell>
          <cell r="F539">
            <v>0</v>
          </cell>
          <cell r="G539">
            <v>0</v>
          </cell>
          <cell r="H539">
            <v>0</v>
          </cell>
          <cell r="I539" t="str">
            <v>Others</v>
          </cell>
          <cell r="J539">
            <v>3</v>
          </cell>
          <cell r="K539" t="str">
            <v>Others</v>
          </cell>
        </row>
        <row r="540">
          <cell r="D540">
            <v>90122</v>
          </cell>
          <cell r="E540" t="str">
            <v>Coffee; roasted, decaffeinated</v>
          </cell>
          <cell r="F540">
            <v>0</v>
          </cell>
          <cell r="G540">
            <v>0</v>
          </cell>
          <cell r="H540">
            <v>0</v>
          </cell>
          <cell r="I540" t="str">
            <v>Others</v>
          </cell>
          <cell r="J540">
            <v>3</v>
          </cell>
          <cell r="K540" t="str">
            <v>Others</v>
          </cell>
        </row>
        <row r="541">
          <cell r="D541">
            <v>90190</v>
          </cell>
          <cell r="E541" t="str">
            <v>Coffee; husks and skins, coffee substitutes containing coffee in any proportion</v>
          </cell>
          <cell r="F541">
            <v>0</v>
          </cell>
          <cell r="G541">
            <v>0</v>
          </cell>
          <cell r="H541">
            <v>0</v>
          </cell>
          <cell r="I541" t="str">
            <v>Others</v>
          </cell>
          <cell r="J541">
            <v>3</v>
          </cell>
          <cell r="K541" t="str">
            <v>Others</v>
          </cell>
        </row>
        <row r="542">
          <cell r="D542">
            <v>90210</v>
          </cell>
          <cell r="E542" t="str">
            <v>Tea, green; (not fermented), in immediate packings of a content not exceeding 3kg</v>
          </cell>
          <cell r="F542">
            <v>0</v>
          </cell>
          <cell r="G542">
            <v>0</v>
          </cell>
          <cell r="H542">
            <v>0</v>
          </cell>
          <cell r="I542" t="str">
            <v>Others</v>
          </cell>
          <cell r="J542">
            <v>3</v>
          </cell>
          <cell r="K542" t="str">
            <v>Others</v>
          </cell>
        </row>
        <row r="543">
          <cell r="D543">
            <v>90220</v>
          </cell>
          <cell r="E543" t="str">
            <v>Tea, green; (not fermented), in immediate packings of a content exceeding 3kg</v>
          </cell>
          <cell r="F543">
            <v>0</v>
          </cell>
          <cell r="G543">
            <v>0</v>
          </cell>
          <cell r="H543">
            <v>0</v>
          </cell>
          <cell r="I543" t="str">
            <v>Others</v>
          </cell>
          <cell r="J543">
            <v>3</v>
          </cell>
          <cell r="K543" t="str">
            <v>Others</v>
          </cell>
        </row>
        <row r="544">
          <cell r="D544">
            <v>90230</v>
          </cell>
          <cell r="E544" t="str">
            <v>Tea, black; (fermented) and partly fermented tea, in immediate packings of a content not exceeding 3kg</v>
          </cell>
          <cell r="F544">
            <v>0</v>
          </cell>
          <cell r="G544">
            <v>0</v>
          </cell>
          <cell r="H544">
            <v>0</v>
          </cell>
          <cell r="I544" t="str">
            <v>Others</v>
          </cell>
          <cell r="J544">
            <v>3</v>
          </cell>
          <cell r="K544" t="str">
            <v>Others</v>
          </cell>
        </row>
        <row r="545">
          <cell r="D545">
            <v>90240</v>
          </cell>
          <cell r="E545" t="str">
            <v>Tea, black; (fermented) and partly fermented tea, in immediate packings of a content exceeding 3kg</v>
          </cell>
          <cell r="F545">
            <v>0</v>
          </cell>
          <cell r="G545">
            <v>0</v>
          </cell>
          <cell r="H545">
            <v>0</v>
          </cell>
          <cell r="I545" t="str">
            <v>Others</v>
          </cell>
          <cell r="J545">
            <v>3</v>
          </cell>
          <cell r="K545" t="str">
            <v>Others</v>
          </cell>
        </row>
        <row r="546">
          <cell r="D546">
            <v>90300</v>
          </cell>
          <cell r="E546" t="str">
            <v>Mate</v>
          </cell>
          <cell r="F546">
            <v>0</v>
          </cell>
          <cell r="G546">
            <v>0</v>
          </cell>
          <cell r="H546">
            <v>0</v>
          </cell>
          <cell r="I546" t="str">
            <v>Others</v>
          </cell>
          <cell r="J546">
            <v>3</v>
          </cell>
          <cell r="K546" t="str">
            <v>Others</v>
          </cell>
        </row>
        <row r="547">
          <cell r="D547">
            <v>90411</v>
          </cell>
          <cell r="E547" t="str">
            <v>Spices; pepper (of the genus piper), neither crushed nor ground</v>
          </cell>
          <cell r="F547">
            <v>0</v>
          </cell>
          <cell r="G547">
            <v>0</v>
          </cell>
          <cell r="H547">
            <v>0</v>
          </cell>
          <cell r="I547" t="str">
            <v>Others</v>
          </cell>
          <cell r="J547">
            <v>3</v>
          </cell>
          <cell r="K547" t="str">
            <v>Others</v>
          </cell>
        </row>
        <row r="548">
          <cell r="D548">
            <v>90412</v>
          </cell>
          <cell r="E548" t="str">
            <v>Spices; pepper (of the genus piper), crushed or ground</v>
          </cell>
          <cell r="F548">
            <v>0</v>
          </cell>
          <cell r="G548">
            <v>0</v>
          </cell>
          <cell r="H548">
            <v>0</v>
          </cell>
          <cell r="I548" t="str">
            <v>Others</v>
          </cell>
          <cell r="J548">
            <v>3</v>
          </cell>
          <cell r="K548" t="str">
            <v>Others</v>
          </cell>
        </row>
        <row r="549">
          <cell r="D549">
            <v>90421</v>
          </cell>
          <cell r="E549" t="str">
            <v>Spices; fruits of the genus Capsicum or Pimenta, dried, neither crushed nor ground</v>
          </cell>
          <cell r="F549">
            <v>0</v>
          </cell>
          <cell r="G549">
            <v>0</v>
          </cell>
          <cell r="H549">
            <v>0</v>
          </cell>
          <cell r="I549" t="str">
            <v>Others</v>
          </cell>
          <cell r="J549">
            <v>3</v>
          </cell>
          <cell r="K549" t="str">
            <v>Others</v>
          </cell>
        </row>
        <row r="550">
          <cell r="D550">
            <v>90422</v>
          </cell>
          <cell r="E550" t="str">
            <v>Spices; fruits of the genus Capsicum or Pimenta, crushed or ground</v>
          </cell>
          <cell r="F550">
            <v>0</v>
          </cell>
          <cell r="G550">
            <v>0</v>
          </cell>
          <cell r="H550">
            <v>0</v>
          </cell>
          <cell r="I550" t="str">
            <v>Others</v>
          </cell>
          <cell r="J550">
            <v>3</v>
          </cell>
          <cell r="K550" t="str">
            <v>Others</v>
          </cell>
        </row>
        <row r="551">
          <cell r="D551">
            <v>90510</v>
          </cell>
          <cell r="E551" t="str">
            <v>Spices; vanilla, neither crushed nor ground</v>
          </cell>
          <cell r="F551">
            <v>0</v>
          </cell>
          <cell r="G551">
            <v>0</v>
          </cell>
          <cell r="H551">
            <v>0</v>
          </cell>
          <cell r="I551" t="str">
            <v>Others</v>
          </cell>
          <cell r="J551">
            <v>3</v>
          </cell>
          <cell r="K551" t="str">
            <v>Others</v>
          </cell>
        </row>
        <row r="552">
          <cell r="D552">
            <v>90520</v>
          </cell>
          <cell r="E552" t="str">
            <v>Spices; vanilla, crushed or ground</v>
          </cell>
          <cell r="F552">
            <v>0</v>
          </cell>
          <cell r="G552">
            <v>0</v>
          </cell>
          <cell r="H552">
            <v>0</v>
          </cell>
          <cell r="I552" t="str">
            <v>Others</v>
          </cell>
          <cell r="J552">
            <v>3</v>
          </cell>
          <cell r="K552" t="str">
            <v>Others</v>
          </cell>
        </row>
        <row r="553">
          <cell r="D553">
            <v>90611</v>
          </cell>
          <cell r="E553" t="str">
            <v>Spices; cinnamon (Cinnamomum zeylanicum Blume), neither crushed nor ground</v>
          </cell>
          <cell r="F553">
            <v>0</v>
          </cell>
          <cell r="G553">
            <v>0</v>
          </cell>
          <cell r="H553">
            <v>0</v>
          </cell>
          <cell r="I553" t="str">
            <v>Others</v>
          </cell>
          <cell r="J553">
            <v>3</v>
          </cell>
          <cell r="K553" t="str">
            <v>Others</v>
          </cell>
        </row>
        <row r="554">
          <cell r="D554">
            <v>90619</v>
          </cell>
          <cell r="E554" t="str">
            <v>Spices; cinnamon and cinnamon-tree flowers, other than cinnamon (Cinnamomum zeylanicum Blume), neither crushed nor ground</v>
          </cell>
          <cell r="F554">
            <v>0</v>
          </cell>
          <cell r="G554">
            <v>0</v>
          </cell>
          <cell r="H554">
            <v>0</v>
          </cell>
          <cell r="I554" t="str">
            <v>Others</v>
          </cell>
          <cell r="J554">
            <v>3</v>
          </cell>
          <cell r="K554" t="str">
            <v>Others</v>
          </cell>
        </row>
        <row r="555">
          <cell r="D555">
            <v>90620</v>
          </cell>
          <cell r="E555" t="str">
            <v>Spices; cinnamon and cinnamon-tree flowers, crushed or ground</v>
          </cell>
          <cell r="F555">
            <v>0</v>
          </cell>
          <cell r="G555">
            <v>0</v>
          </cell>
          <cell r="H555">
            <v>0</v>
          </cell>
          <cell r="I555" t="str">
            <v>Others</v>
          </cell>
          <cell r="J555">
            <v>3</v>
          </cell>
          <cell r="K555" t="str">
            <v>Others</v>
          </cell>
        </row>
        <row r="556">
          <cell r="D556">
            <v>90710</v>
          </cell>
          <cell r="E556" t="str">
            <v>Spices; cloves (whole fruit, cloves and stems), neither crushed nor ground</v>
          </cell>
          <cell r="F556">
            <v>0</v>
          </cell>
          <cell r="G556">
            <v>0</v>
          </cell>
          <cell r="H556">
            <v>0</v>
          </cell>
          <cell r="I556" t="str">
            <v>Others</v>
          </cell>
          <cell r="J556">
            <v>3</v>
          </cell>
          <cell r="K556" t="str">
            <v>Others</v>
          </cell>
        </row>
        <row r="557">
          <cell r="D557">
            <v>90720</v>
          </cell>
          <cell r="E557" t="str">
            <v>Spices; cloves (whole fruit, cloves and stems), crushed or ground</v>
          </cell>
          <cell r="F557">
            <v>0</v>
          </cell>
          <cell r="G557">
            <v>0</v>
          </cell>
          <cell r="H557">
            <v>0</v>
          </cell>
          <cell r="I557" t="str">
            <v>Others</v>
          </cell>
          <cell r="J557">
            <v>3</v>
          </cell>
          <cell r="K557" t="str">
            <v>Others</v>
          </cell>
        </row>
        <row r="558">
          <cell r="D558">
            <v>90811</v>
          </cell>
          <cell r="E558" t="str">
            <v>Spices; nutmeg, neither crushed nor ground</v>
          </cell>
          <cell r="F558">
            <v>0</v>
          </cell>
          <cell r="G558">
            <v>0</v>
          </cell>
          <cell r="H558">
            <v>0</v>
          </cell>
          <cell r="I558" t="str">
            <v>Others</v>
          </cell>
          <cell r="J558">
            <v>3</v>
          </cell>
          <cell r="K558" t="str">
            <v>Others</v>
          </cell>
        </row>
        <row r="559">
          <cell r="D559">
            <v>90812</v>
          </cell>
          <cell r="E559" t="str">
            <v>Spices; nutmeg, crushed or ground</v>
          </cell>
          <cell r="F559">
            <v>0</v>
          </cell>
          <cell r="G559">
            <v>0</v>
          </cell>
          <cell r="H559">
            <v>0</v>
          </cell>
          <cell r="I559" t="str">
            <v>Others</v>
          </cell>
          <cell r="J559">
            <v>3</v>
          </cell>
          <cell r="K559" t="str">
            <v>Others</v>
          </cell>
        </row>
        <row r="560">
          <cell r="D560">
            <v>90821</v>
          </cell>
          <cell r="E560" t="str">
            <v>Spices; mace, neither crushed nor ground</v>
          </cell>
          <cell r="F560">
            <v>0</v>
          </cell>
          <cell r="G560">
            <v>0</v>
          </cell>
          <cell r="H560">
            <v>0</v>
          </cell>
          <cell r="I560" t="str">
            <v>Others</v>
          </cell>
          <cell r="J560">
            <v>3</v>
          </cell>
          <cell r="K560" t="str">
            <v>Others</v>
          </cell>
        </row>
        <row r="561">
          <cell r="D561">
            <v>90822</v>
          </cell>
          <cell r="E561" t="str">
            <v>Spices; mace, crushed or ground</v>
          </cell>
          <cell r="F561">
            <v>0</v>
          </cell>
          <cell r="G561">
            <v>0</v>
          </cell>
          <cell r="H561">
            <v>0</v>
          </cell>
          <cell r="I561" t="str">
            <v>Others</v>
          </cell>
          <cell r="J561">
            <v>3</v>
          </cell>
          <cell r="K561" t="str">
            <v>Others</v>
          </cell>
        </row>
        <row r="562">
          <cell r="D562">
            <v>90831</v>
          </cell>
          <cell r="E562" t="str">
            <v>Spices; cardamoms, neither crushed nor ground</v>
          </cell>
          <cell r="F562">
            <v>0</v>
          </cell>
          <cell r="G562">
            <v>0</v>
          </cell>
          <cell r="H562">
            <v>0</v>
          </cell>
          <cell r="I562" t="str">
            <v>Others</v>
          </cell>
          <cell r="J562">
            <v>3</v>
          </cell>
          <cell r="K562" t="str">
            <v>Others</v>
          </cell>
        </row>
        <row r="563">
          <cell r="D563">
            <v>90832</v>
          </cell>
          <cell r="E563" t="str">
            <v>Spices; cardamoms, crushed or ground</v>
          </cell>
          <cell r="F563">
            <v>0</v>
          </cell>
          <cell r="G563">
            <v>0</v>
          </cell>
          <cell r="H563">
            <v>0</v>
          </cell>
          <cell r="I563" t="str">
            <v>Others</v>
          </cell>
          <cell r="J563">
            <v>3</v>
          </cell>
          <cell r="K563" t="str">
            <v>Others</v>
          </cell>
        </row>
        <row r="564">
          <cell r="D564">
            <v>90921</v>
          </cell>
          <cell r="E564" t="str">
            <v>Spices; coriander seeds, neither crushed nor ground</v>
          </cell>
          <cell r="F564">
            <v>0</v>
          </cell>
          <cell r="G564">
            <v>0</v>
          </cell>
          <cell r="H564">
            <v>0</v>
          </cell>
          <cell r="I564" t="str">
            <v>Others</v>
          </cell>
          <cell r="J564">
            <v>3</v>
          </cell>
          <cell r="K564" t="str">
            <v>Others</v>
          </cell>
        </row>
        <row r="565">
          <cell r="D565">
            <v>90922</v>
          </cell>
          <cell r="E565" t="str">
            <v>Spices; coriander seeds, crushed or ground</v>
          </cell>
          <cell r="F565">
            <v>0</v>
          </cell>
          <cell r="G565">
            <v>0</v>
          </cell>
          <cell r="H565">
            <v>0</v>
          </cell>
          <cell r="I565" t="str">
            <v>Others</v>
          </cell>
          <cell r="J565">
            <v>3</v>
          </cell>
          <cell r="K565" t="str">
            <v>Others</v>
          </cell>
        </row>
        <row r="566">
          <cell r="D566">
            <v>90931</v>
          </cell>
          <cell r="E566" t="str">
            <v>Spices; cumin seeds, neither crushed nor ground</v>
          </cell>
          <cell r="F566">
            <v>0</v>
          </cell>
          <cell r="G566">
            <v>0</v>
          </cell>
          <cell r="H566">
            <v>0</v>
          </cell>
          <cell r="I566" t="str">
            <v>Others</v>
          </cell>
          <cell r="J566">
            <v>3</v>
          </cell>
          <cell r="K566" t="str">
            <v>Others</v>
          </cell>
        </row>
        <row r="567">
          <cell r="D567">
            <v>90932</v>
          </cell>
          <cell r="E567" t="str">
            <v>Spices; cumin seeds, crushed or ground</v>
          </cell>
          <cell r="F567">
            <v>0</v>
          </cell>
          <cell r="G567">
            <v>0</v>
          </cell>
          <cell r="H567">
            <v>0</v>
          </cell>
          <cell r="I567" t="str">
            <v>Others</v>
          </cell>
          <cell r="J567">
            <v>3</v>
          </cell>
          <cell r="K567" t="str">
            <v>Others</v>
          </cell>
        </row>
        <row r="568">
          <cell r="D568">
            <v>90961</v>
          </cell>
          <cell r="E568" t="str">
            <v>Spices; seeds of anise, badian, caraway or fennel; juniper berries, neither crushed nor ground</v>
          </cell>
          <cell r="F568">
            <v>0</v>
          </cell>
          <cell r="G568">
            <v>0</v>
          </cell>
          <cell r="H568">
            <v>0</v>
          </cell>
          <cell r="I568" t="str">
            <v>Others</v>
          </cell>
          <cell r="J568">
            <v>3</v>
          </cell>
          <cell r="K568" t="str">
            <v>Others</v>
          </cell>
        </row>
        <row r="569">
          <cell r="D569">
            <v>90962</v>
          </cell>
          <cell r="E569" t="str">
            <v>Spices; seeds of anise, badian, caraway or fennel; juniper berries, crushed or ground</v>
          </cell>
          <cell r="F569">
            <v>0</v>
          </cell>
          <cell r="G569">
            <v>0</v>
          </cell>
          <cell r="H569">
            <v>0</v>
          </cell>
          <cell r="I569" t="str">
            <v>Others</v>
          </cell>
          <cell r="J569">
            <v>3</v>
          </cell>
          <cell r="K569" t="str">
            <v>Others</v>
          </cell>
        </row>
        <row r="570">
          <cell r="D570">
            <v>91011</v>
          </cell>
          <cell r="E570" t="str">
            <v>Spices; ginger, neither crushed nor ground</v>
          </cell>
          <cell r="F570">
            <v>0</v>
          </cell>
          <cell r="G570">
            <v>0</v>
          </cell>
          <cell r="H570">
            <v>0</v>
          </cell>
          <cell r="I570" t="str">
            <v>Others</v>
          </cell>
          <cell r="J570">
            <v>3</v>
          </cell>
          <cell r="K570" t="str">
            <v>Others</v>
          </cell>
        </row>
        <row r="571">
          <cell r="D571">
            <v>91012</v>
          </cell>
          <cell r="E571" t="str">
            <v>Spices; ginger, crushed or ground</v>
          </cell>
          <cell r="F571">
            <v>0</v>
          </cell>
          <cell r="G571">
            <v>0</v>
          </cell>
          <cell r="H571">
            <v>0</v>
          </cell>
          <cell r="I571" t="str">
            <v>Others</v>
          </cell>
          <cell r="J571">
            <v>3</v>
          </cell>
          <cell r="K571" t="str">
            <v>Others</v>
          </cell>
        </row>
        <row r="572">
          <cell r="D572">
            <v>91020</v>
          </cell>
          <cell r="E572" t="str">
            <v>Spices; saffron</v>
          </cell>
          <cell r="F572">
            <v>0</v>
          </cell>
          <cell r="G572">
            <v>0</v>
          </cell>
          <cell r="H572">
            <v>0</v>
          </cell>
          <cell r="I572" t="str">
            <v>Others</v>
          </cell>
          <cell r="J572">
            <v>3</v>
          </cell>
          <cell r="K572" t="str">
            <v>Others</v>
          </cell>
        </row>
        <row r="573">
          <cell r="D573">
            <v>91030</v>
          </cell>
          <cell r="E573" t="str">
            <v>Spices; turmeric (curcuma)</v>
          </cell>
          <cell r="F573">
            <v>0</v>
          </cell>
          <cell r="G573">
            <v>0</v>
          </cell>
          <cell r="H573">
            <v>0</v>
          </cell>
          <cell r="I573" t="str">
            <v>Others</v>
          </cell>
          <cell r="J573">
            <v>3</v>
          </cell>
          <cell r="K573" t="str">
            <v>Others</v>
          </cell>
        </row>
        <row r="574">
          <cell r="D574">
            <v>91091</v>
          </cell>
          <cell r="E574" t="str">
            <v>Spices; mixtures of 2 or more products of different headings</v>
          </cell>
          <cell r="F574">
            <v>0</v>
          </cell>
          <cell r="G574">
            <v>0</v>
          </cell>
          <cell r="H574">
            <v>0</v>
          </cell>
          <cell r="I574" t="str">
            <v>Others</v>
          </cell>
          <cell r="J574">
            <v>3</v>
          </cell>
          <cell r="K574" t="str">
            <v>Others</v>
          </cell>
        </row>
        <row r="575">
          <cell r="D575">
            <v>91099</v>
          </cell>
          <cell r="E575" t="str">
            <v>Spices; n.e.c. in heading no. 0910</v>
          </cell>
          <cell r="F575">
            <v>0</v>
          </cell>
          <cell r="G575">
            <v>0</v>
          </cell>
          <cell r="H575">
            <v>0</v>
          </cell>
          <cell r="I575" t="str">
            <v>Others</v>
          </cell>
          <cell r="J575">
            <v>3</v>
          </cell>
          <cell r="K575" t="str">
            <v>Others</v>
          </cell>
        </row>
        <row r="576">
          <cell r="D576">
            <v>100111</v>
          </cell>
          <cell r="E576" t="str">
            <v>Cereals; wheat and meslin, durum wheat, seed</v>
          </cell>
          <cell r="F576">
            <v>0</v>
          </cell>
          <cell r="G576">
            <v>0</v>
          </cell>
          <cell r="H576">
            <v>0</v>
          </cell>
          <cell r="I576" t="str">
            <v>Others</v>
          </cell>
          <cell r="J576">
            <v>3</v>
          </cell>
          <cell r="K576" t="str">
            <v>Others</v>
          </cell>
        </row>
        <row r="577">
          <cell r="D577">
            <v>100119</v>
          </cell>
          <cell r="E577" t="str">
            <v>Cereals; wheat and meslin, durum wheat, other than seed</v>
          </cell>
          <cell r="F577">
            <v>0</v>
          </cell>
          <cell r="G577">
            <v>0</v>
          </cell>
          <cell r="H577">
            <v>0</v>
          </cell>
          <cell r="I577" t="str">
            <v>Others</v>
          </cell>
          <cell r="J577">
            <v>3</v>
          </cell>
          <cell r="K577" t="str">
            <v>Others</v>
          </cell>
        </row>
        <row r="578">
          <cell r="D578">
            <v>100191</v>
          </cell>
          <cell r="E578" t="str">
            <v>Cereals; wheat and meslin, other than durum wheat, seed</v>
          </cell>
          <cell r="F578">
            <v>0</v>
          </cell>
          <cell r="G578">
            <v>0</v>
          </cell>
          <cell r="H578">
            <v>0</v>
          </cell>
          <cell r="I578" t="str">
            <v>Others</v>
          </cell>
          <cell r="J578">
            <v>3</v>
          </cell>
          <cell r="K578" t="str">
            <v>Others</v>
          </cell>
        </row>
        <row r="579">
          <cell r="D579">
            <v>100199</v>
          </cell>
          <cell r="E579" t="str">
            <v>Cereals; wheat and meslin, other than durum wheat, other than seed</v>
          </cell>
          <cell r="F579">
            <v>0</v>
          </cell>
          <cell r="G579">
            <v>0</v>
          </cell>
          <cell r="H579">
            <v>0</v>
          </cell>
          <cell r="I579" t="str">
            <v>Others</v>
          </cell>
          <cell r="J579">
            <v>3</v>
          </cell>
          <cell r="K579" t="str">
            <v>Others</v>
          </cell>
        </row>
        <row r="580">
          <cell r="D580">
            <v>100210</v>
          </cell>
          <cell r="E580" t="str">
            <v>Cereals; rye, seed</v>
          </cell>
          <cell r="F580">
            <v>0</v>
          </cell>
          <cell r="G580">
            <v>0</v>
          </cell>
          <cell r="H580">
            <v>0</v>
          </cell>
          <cell r="I580" t="str">
            <v>Others</v>
          </cell>
          <cell r="J580">
            <v>3</v>
          </cell>
          <cell r="K580" t="str">
            <v>Others</v>
          </cell>
        </row>
        <row r="581">
          <cell r="D581">
            <v>100290</v>
          </cell>
          <cell r="E581" t="str">
            <v>Cereals; rye, other than seed</v>
          </cell>
          <cell r="F581">
            <v>0</v>
          </cell>
          <cell r="G581">
            <v>0</v>
          </cell>
          <cell r="H581">
            <v>0</v>
          </cell>
          <cell r="I581" t="str">
            <v>Others</v>
          </cell>
          <cell r="J581">
            <v>3</v>
          </cell>
          <cell r="K581" t="str">
            <v>Others</v>
          </cell>
        </row>
        <row r="582">
          <cell r="D582">
            <v>100310</v>
          </cell>
          <cell r="E582" t="str">
            <v>Cereals; barley, seed</v>
          </cell>
          <cell r="F582">
            <v>0</v>
          </cell>
          <cell r="G582">
            <v>0</v>
          </cell>
          <cell r="H582">
            <v>0</v>
          </cell>
          <cell r="I582" t="str">
            <v>Others</v>
          </cell>
          <cell r="J582">
            <v>3</v>
          </cell>
          <cell r="K582" t="str">
            <v>Others</v>
          </cell>
        </row>
        <row r="583">
          <cell r="D583">
            <v>100390</v>
          </cell>
          <cell r="E583" t="str">
            <v>Cereals; barley, other than seed</v>
          </cell>
          <cell r="F583">
            <v>0</v>
          </cell>
          <cell r="G583">
            <v>0</v>
          </cell>
          <cell r="H583">
            <v>0</v>
          </cell>
          <cell r="I583" t="str">
            <v>Others</v>
          </cell>
          <cell r="J583">
            <v>3</v>
          </cell>
          <cell r="K583" t="str">
            <v>Others</v>
          </cell>
        </row>
        <row r="584">
          <cell r="D584">
            <v>100410</v>
          </cell>
          <cell r="E584" t="str">
            <v>Cereals; oats, seeds</v>
          </cell>
          <cell r="F584">
            <v>0</v>
          </cell>
          <cell r="G584">
            <v>0</v>
          </cell>
          <cell r="H584">
            <v>0</v>
          </cell>
          <cell r="I584" t="str">
            <v>Others</v>
          </cell>
          <cell r="J584">
            <v>3</v>
          </cell>
          <cell r="K584" t="str">
            <v>Others</v>
          </cell>
        </row>
        <row r="585">
          <cell r="D585">
            <v>100490</v>
          </cell>
          <cell r="E585" t="str">
            <v>Cereals; oats, other than seed</v>
          </cell>
          <cell r="F585">
            <v>0</v>
          </cell>
          <cell r="G585">
            <v>0</v>
          </cell>
          <cell r="H585">
            <v>0</v>
          </cell>
          <cell r="I585" t="str">
            <v>Others</v>
          </cell>
          <cell r="J585">
            <v>3</v>
          </cell>
          <cell r="K585" t="str">
            <v>Others</v>
          </cell>
        </row>
        <row r="586">
          <cell r="D586">
            <v>100510</v>
          </cell>
          <cell r="E586" t="str">
            <v>Cereals; maize (corn), seed</v>
          </cell>
          <cell r="F586">
            <v>0</v>
          </cell>
          <cell r="G586">
            <v>0</v>
          </cell>
          <cell r="H586">
            <v>0</v>
          </cell>
          <cell r="I586" t="str">
            <v>Others</v>
          </cell>
          <cell r="J586">
            <v>3</v>
          </cell>
          <cell r="K586" t="str">
            <v>Others</v>
          </cell>
        </row>
        <row r="587">
          <cell r="D587">
            <v>100590</v>
          </cell>
          <cell r="E587" t="str">
            <v>Cereals; maize (corn), other than seed</v>
          </cell>
          <cell r="F587">
            <v>0</v>
          </cell>
          <cell r="G587">
            <v>0</v>
          </cell>
          <cell r="H587">
            <v>0</v>
          </cell>
          <cell r="I587" t="str">
            <v>Others</v>
          </cell>
          <cell r="J587">
            <v>3</v>
          </cell>
          <cell r="K587" t="str">
            <v>Others</v>
          </cell>
        </row>
        <row r="588">
          <cell r="D588">
            <v>100610</v>
          </cell>
          <cell r="E588" t="str">
            <v>Cereals; rice in the husk (paddy or rough)</v>
          </cell>
          <cell r="F588">
            <v>0</v>
          </cell>
          <cell r="G588">
            <v>0</v>
          </cell>
          <cell r="H588">
            <v>0</v>
          </cell>
          <cell r="I588" t="str">
            <v>Others</v>
          </cell>
          <cell r="J588">
            <v>3</v>
          </cell>
          <cell r="K588" t="str">
            <v>Others</v>
          </cell>
        </row>
        <row r="589">
          <cell r="D589">
            <v>100620</v>
          </cell>
          <cell r="E589" t="str">
            <v>Cereals; husked (brown) rice</v>
          </cell>
          <cell r="F589">
            <v>0</v>
          </cell>
          <cell r="G589">
            <v>0</v>
          </cell>
          <cell r="H589">
            <v>0</v>
          </cell>
          <cell r="I589" t="str">
            <v>Others</v>
          </cell>
          <cell r="J589">
            <v>3</v>
          </cell>
          <cell r="K589" t="str">
            <v>Others</v>
          </cell>
        </row>
        <row r="590">
          <cell r="D590">
            <v>100630</v>
          </cell>
          <cell r="E590" t="str">
            <v>Cereals; rice, semi-milled or wholly milled, whether or not polished or glazed</v>
          </cell>
          <cell r="F590">
            <v>0</v>
          </cell>
          <cell r="G590">
            <v>0</v>
          </cell>
          <cell r="H590">
            <v>0</v>
          </cell>
          <cell r="I590" t="str">
            <v>Others</v>
          </cell>
          <cell r="J590">
            <v>3</v>
          </cell>
          <cell r="K590" t="str">
            <v>Others</v>
          </cell>
        </row>
        <row r="591">
          <cell r="D591">
            <v>100640</v>
          </cell>
          <cell r="E591" t="str">
            <v>Cereals; rice, broken</v>
          </cell>
          <cell r="F591">
            <v>0</v>
          </cell>
          <cell r="G591">
            <v>0</v>
          </cell>
          <cell r="H591">
            <v>0</v>
          </cell>
          <cell r="I591" t="str">
            <v>Others</v>
          </cell>
          <cell r="J591">
            <v>3</v>
          </cell>
          <cell r="K591" t="str">
            <v>Others</v>
          </cell>
        </row>
        <row r="592">
          <cell r="D592">
            <v>100710</v>
          </cell>
          <cell r="E592" t="str">
            <v>Cereals; grain sorghum, seed</v>
          </cell>
          <cell r="F592">
            <v>0</v>
          </cell>
          <cell r="G592">
            <v>0</v>
          </cell>
          <cell r="H592">
            <v>0</v>
          </cell>
          <cell r="I592" t="str">
            <v>Others</v>
          </cell>
          <cell r="J592">
            <v>3</v>
          </cell>
          <cell r="K592" t="str">
            <v>Others</v>
          </cell>
        </row>
        <row r="593">
          <cell r="D593">
            <v>100790</v>
          </cell>
          <cell r="E593" t="str">
            <v>Cereals; grain sorghum, other than seed</v>
          </cell>
          <cell r="F593">
            <v>0</v>
          </cell>
          <cell r="G593">
            <v>0</v>
          </cell>
          <cell r="H593">
            <v>0</v>
          </cell>
          <cell r="I593" t="str">
            <v>Others</v>
          </cell>
          <cell r="J593">
            <v>3</v>
          </cell>
          <cell r="K593" t="str">
            <v>Others</v>
          </cell>
        </row>
        <row r="594">
          <cell r="D594">
            <v>100810</v>
          </cell>
          <cell r="E594" t="str">
            <v>Cereals; buckwheat</v>
          </cell>
          <cell r="F594">
            <v>0</v>
          </cell>
          <cell r="G594">
            <v>0</v>
          </cell>
          <cell r="H594">
            <v>0</v>
          </cell>
          <cell r="I594" t="str">
            <v>Others</v>
          </cell>
          <cell r="J594">
            <v>3</v>
          </cell>
          <cell r="K594" t="str">
            <v>Others</v>
          </cell>
        </row>
        <row r="595">
          <cell r="D595">
            <v>100821</v>
          </cell>
          <cell r="E595" t="str">
            <v>Cereals; millet, seed</v>
          </cell>
          <cell r="F595">
            <v>0</v>
          </cell>
          <cell r="G595">
            <v>0</v>
          </cell>
          <cell r="H595">
            <v>0</v>
          </cell>
          <cell r="I595" t="str">
            <v>Others</v>
          </cell>
          <cell r="J595">
            <v>3</v>
          </cell>
          <cell r="K595" t="str">
            <v>Others</v>
          </cell>
        </row>
        <row r="596">
          <cell r="D596">
            <v>100829</v>
          </cell>
          <cell r="E596" t="str">
            <v>Cereals; millet, other than seed</v>
          </cell>
          <cell r="F596">
            <v>0</v>
          </cell>
          <cell r="G596">
            <v>0</v>
          </cell>
          <cell r="H596">
            <v>0</v>
          </cell>
          <cell r="I596" t="str">
            <v>Others</v>
          </cell>
          <cell r="J596">
            <v>3</v>
          </cell>
          <cell r="K596" t="str">
            <v>Others</v>
          </cell>
        </row>
        <row r="597">
          <cell r="D597">
            <v>100830</v>
          </cell>
          <cell r="E597" t="str">
            <v>Cereals; canary seeds</v>
          </cell>
          <cell r="F597">
            <v>0</v>
          </cell>
          <cell r="G597">
            <v>0</v>
          </cell>
          <cell r="H597">
            <v>0</v>
          </cell>
          <cell r="I597" t="str">
            <v>Others</v>
          </cell>
          <cell r="J597">
            <v>3</v>
          </cell>
          <cell r="K597" t="str">
            <v>Others</v>
          </cell>
        </row>
        <row r="598">
          <cell r="D598">
            <v>100840</v>
          </cell>
          <cell r="E598" t="str">
            <v>Cereals; fonio (Digitaria spp.)</v>
          </cell>
          <cell r="F598">
            <v>0</v>
          </cell>
          <cell r="G598">
            <v>0</v>
          </cell>
          <cell r="H598">
            <v>0</v>
          </cell>
          <cell r="I598" t="str">
            <v>Others</v>
          </cell>
          <cell r="J598">
            <v>3</v>
          </cell>
          <cell r="K598" t="str">
            <v>Others</v>
          </cell>
        </row>
        <row r="599">
          <cell r="D599">
            <v>100850</v>
          </cell>
          <cell r="E599" t="str">
            <v>Cereals; quinoa (Chenopodium quinoa)</v>
          </cell>
          <cell r="F599">
            <v>0</v>
          </cell>
          <cell r="G599">
            <v>0</v>
          </cell>
          <cell r="H599">
            <v>0</v>
          </cell>
          <cell r="I599" t="str">
            <v>Others</v>
          </cell>
          <cell r="J599">
            <v>3</v>
          </cell>
          <cell r="K599" t="str">
            <v>Others</v>
          </cell>
        </row>
        <row r="600">
          <cell r="D600">
            <v>100860</v>
          </cell>
          <cell r="E600" t="str">
            <v>Cereals; triticale</v>
          </cell>
          <cell r="F600">
            <v>0</v>
          </cell>
          <cell r="G600">
            <v>0</v>
          </cell>
          <cell r="H600">
            <v>0</v>
          </cell>
          <cell r="I600" t="str">
            <v>Others</v>
          </cell>
          <cell r="J600">
            <v>3</v>
          </cell>
          <cell r="K600" t="str">
            <v>Others</v>
          </cell>
        </row>
        <row r="601">
          <cell r="D601">
            <v>100890</v>
          </cell>
          <cell r="E601" t="str">
            <v>Cereals; n.e.c. in chapter 10</v>
          </cell>
          <cell r="F601">
            <v>0</v>
          </cell>
          <cell r="G601">
            <v>0</v>
          </cell>
          <cell r="H601">
            <v>0</v>
          </cell>
          <cell r="I601" t="str">
            <v>Others</v>
          </cell>
          <cell r="J601">
            <v>3</v>
          </cell>
          <cell r="K601" t="str">
            <v>Others</v>
          </cell>
        </row>
        <row r="602">
          <cell r="D602">
            <v>110100</v>
          </cell>
          <cell r="E602" t="str">
            <v>Wheat or meslin flour</v>
          </cell>
          <cell r="F602">
            <v>0</v>
          </cell>
          <cell r="G602">
            <v>0</v>
          </cell>
          <cell r="H602">
            <v>0</v>
          </cell>
          <cell r="I602" t="str">
            <v>Others</v>
          </cell>
          <cell r="J602">
            <v>3</v>
          </cell>
          <cell r="K602" t="str">
            <v>Others</v>
          </cell>
        </row>
        <row r="603">
          <cell r="D603">
            <v>110220</v>
          </cell>
          <cell r="E603" t="str">
            <v>Cereal flour; of maize (corn)</v>
          </cell>
          <cell r="F603">
            <v>0</v>
          </cell>
          <cell r="G603">
            <v>0</v>
          </cell>
          <cell r="H603">
            <v>0</v>
          </cell>
          <cell r="I603" t="str">
            <v>Others</v>
          </cell>
          <cell r="J603">
            <v>3</v>
          </cell>
          <cell r="K603" t="str">
            <v>Others</v>
          </cell>
        </row>
        <row r="604">
          <cell r="D604">
            <v>110290</v>
          </cell>
          <cell r="E604" t="str">
            <v>Cereal flours; other than wheat, meslin, and maize (corn)</v>
          </cell>
          <cell r="F604">
            <v>0</v>
          </cell>
          <cell r="G604">
            <v>0</v>
          </cell>
          <cell r="H604">
            <v>0</v>
          </cell>
          <cell r="I604" t="str">
            <v>Others</v>
          </cell>
          <cell r="J604">
            <v>3</v>
          </cell>
          <cell r="K604" t="str">
            <v>Others</v>
          </cell>
        </row>
        <row r="605">
          <cell r="D605">
            <v>110311</v>
          </cell>
          <cell r="E605" t="str">
            <v>Cereal groats and meal; of wheat</v>
          </cell>
          <cell r="F605">
            <v>0</v>
          </cell>
          <cell r="G605">
            <v>0</v>
          </cell>
          <cell r="H605">
            <v>0</v>
          </cell>
          <cell r="I605" t="str">
            <v>Others</v>
          </cell>
          <cell r="J605">
            <v>3</v>
          </cell>
          <cell r="K605" t="str">
            <v>Others</v>
          </cell>
        </row>
        <row r="606">
          <cell r="D606">
            <v>110313</v>
          </cell>
          <cell r="E606" t="str">
            <v>Cereal groats and meal; of maize (corn)</v>
          </cell>
          <cell r="F606">
            <v>0</v>
          </cell>
          <cell r="G606">
            <v>0</v>
          </cell>
          <cell r="H606">
            <v>0</v>
          </cell>
          <cell r="I606" t="str">
            <v>Others</v>
          </cell>
          <cell r="J606">
            <v>3</v>
          </cell>
          <cell r="K606" t="str">
            <v>Others</v>
          </cell>
        </row>
        <row r="607">
          <cell r="D607">
            <v>110319</v>
          </cell>
          <cell r="E607" t="str">
            <v>Cereal groats and meal; n.e.c. in heading no. 1103</v>
          </cell>
          <cell r="F607">
            <v>0</v>
          </cell>
          <cell r="G607">
            <v>0</v>
          </cell>
          <cell r="H607">
            <v>0</v>
          </cell>
          <cell r="I607" t="str">
            <v>Others</v>
          </cell>
          <cell r="J607">
            <v>3</v>
          </cell>
          <cell r="K607" t="str">
            <v>Others</v>
          </cell>
        </row>
        <row r="608">
          <cell r="D608">
            <v>110320</v>
          </cell>
          <cell r="E608" t="str">
            <v>Cereal pellets</v>
          </cell>
          <cell r="F608">
            <v>0</v>
          </cell>
          <cell r="G608">
            <v>0</v>
          </cell>
          <cell r="H608">
            <v>0</v>
          </cell>
          <cell r="I608" t="str">
            <v>Others</v>
          </cell>
          <cell r="J608">
            <v>3</v>
          </cell>
          <cell r="K608" t="str">
            <v>Others</v>
          </cell>
        </row>
        <row r="609">
          <cell r="D609">
            <v>110412</v>
          </cell>
          <cell r="E609" t="str">
            <v>Cereal grains; rolled or flaked, of oats</v>
          </cell>
          <cell r="F609">
            <v>0</v>
          </cell>
          <cell r="G609">
            <v>0</v>
          </cell>
          <cell r="H609">
            <v>0</v>
          </cell>
          <cell r="I609" t="str">
            <v>Others</v>
          </cell>
          <cell r="J609">
            <v>3</v>
          </cell>
          <cell r="K609" t="str">
            <v>Others</v>
          </cell>
        </row>
        <row r="610">
          <cell r="D610">
            <v>110419</v>
          </cell>
          <cell r="E610" t="str">
            <v>Cereal grains; rolled or flaked, other than oats</v>
          </cell>
          <cell r="F610">
            <v>0</v>
          </cell>
          <cell r="G610">
            <v>0</v>
          </cell>
          <cell r="H610">
            <v>0</v>
          </cell>
          <cell r="I610" t="str">
            <v>Others</v>
          </cell>
          <cell r="J610">
            <v>3</v>
          </cell>
          <cell r="K610" t="str">
            <v>Others</v>
          </cell>
        </row>
        <row r="611">
          <cell r="D611">
            <v>110422</v>
          </cell>
          <cell r="E611" t="str">
            <v>Cereal grains; worked (e.g. hulled, pearled, sliced or kibbled) of oats</v>
          </cell>
          <cell r="F611">
            <v>0</v>
          </cell>
          <cell r="G611">
            <v>0</v>
          </cell>
          <cell r="H611">
            <v>0</v>
          </cell>
          <cell r="I611" t="str">
            <v>Others</v>
          </cell>
          <cell r="J611">
            <v>3</v>
          </cell>
          <cell r="K611" t="str">
            <v>Others</v>
          </cell>
        </row>
        <row r="612">
          <cell r="D612">
            <v>110423</v>
          </cell>
          <cell r="E612" t="str">
            <v>Cereal grains; worked (e.g. hulled, pearled, sliced or kibbled) of maize (corn)</v>
          </cell>
          <cell r="F612">
            <v>0</v>
          </cell>
          <cell r="G612">
            <v>0</v>
          </cell>
          <cell r="H612">
            <v>0</v>
          </cell>
          <cell r="I612" t="str">
            <v>Others</v>
          </cell>
          <cell r="J612">
            <v>3</v>
          </cell>
          <cell r="K612" t="str">
            <v>Others</v>
          </cell>
        </row>
        <row r="613">
          <cell r="D613">
            <v>110429</v>
          </cell>
          <cell r="E613" t="str">
            <v>Cereal grains; worked, other than rolled or flaked (e.g. Hulled, pearled, sliced or kibbled) of cereals, excluding oats and maize, and rice of heading no.1006</v>
          </cell>
          <cell r="F613">
            <v>0</v>
          </cell>
          <cell r="G613">
            <v>0</v>
          </cell>
          <cell r="H613">
            <v>0</v>
          </cell>
          <cell r="I613" t="str">
            <v>Others</v>
          </cell>
          <cell r="J613">
            <v>3</v>
          </cell>
          <cell r="K613" t="str">
            <v>Others</v>
          </cell>
        </row>
        <row r="614">
          <cell r="D614">
            <v>110430</v>
          </cell>
          <cell r="E614" t="str">
            <v>Cereal; germ of cereals, whole, rolled, flaked or ground</v>
          </cell>
          <cell r="F614">
            <v>0</v>
          </cell>
          <cell r="G614">
            <v>0</v>
          </cell>
          <cell r="H614">
            <v>0</v>
          </cell>
          <cell r="I614" t="str">
            <v>Others</v>
          </cell>
          <cell r="J614">
            <v>3</v>
          </cell>
          <cell r="K614" t="str">
            <v>Others</v>
          </cell>
        </row>
        <row r="615">
          <cell r="D615">
            <v>110510</v>
          </cell>
          <cell r="E615" t="str">
            <v>Flour, meal and powder; of potatoes</v>
          </cell>
          <cell r="F615">
            <v>0</v>
          </cell>
          <cell r="G615">
            <v>0</v>
          </cell>
          <cell r="H615">
            <v>0</v>
          </cell>
          <cell r="I615" t="str">
            <v>Others</v>
          </cell>
          <cell r="J615">
            <v>3</v>
          </cell>
          <cell r="K615" t="str">
            <v>Others</v>
          </cell>
        </row>
        <row r="616">
          <cell r="D616">
            <v>110520</v>
          </cell>
          <cell r="E616" t="str">
            <v>Flakes, granules and pellets; of potatoes</v>
          </cell>
          <cell r="F616">
            <v>0</v>
          </cell>
          <cell r="G616">
            <v>0</v>
          </cell>
          <cell r="H616">
            <v>0</v>
          </cell>
          <cell r="I616" t="str">
            <v>Others</v>
          </cell>
          <cell r="J616">
            <v>3</v>
          </cell>
          <cell r="K616" t="str">
            <v>Others</v>
          </cell>
        </row>
        <row r="617">
          <cell r="D617">
            <v>110610</v>
          </cell>
          <cell r="E617" t="str">
            <v>Flour, meal and powder; of the dried leguminous vegetables of heading no. 0713</v>
          </cell>
          <cell r="F617">
            <v>0</v>
          </cell>
          <cell r="G617">
            <v>0</v>
          </cell>
          <cell r="H617">
            <v>0</v>
          </cell>
          <cell r="I617" t="str">
            <v>Others</v>
          </cell>
          <cell r="J617">
            <v>3</v>
          </cell>
          <cell r="K617" t="str">
            <v>Others</v>
          </cell>
        </row>
        <row r="618">
          <cell r="D618">
            <v>110620</v>
          </cell>
          <cell r="E618" t="str">
            <v>Flour, meal and powder; of sago or of roots or tubers of heading no. 0714</v>
          </cell>
          <cell r="F618">
            <v>0</v>
          </cell>
          <cell r="G618">
            <v>0</v>
          </cell>
          <cell r="H618">
            <v>0</v>
          </cell>
          <cell r="I618" t="str">
            <v>Others</v>
          </cell>
          <cell r="J618">
            <v>3</v>
          </cell>
          <cell r="K618" t="str">
            <v>Others</v>
          </cell>
        </row>
        <row r="619">
          <cell r="D619">
            <v>110630</v>
          </cell>
          <cell r="E619" t="str">
            <v>Flour, meal and powder; of the products of chapter 8</v>
          </cell>
          <cell r="F619">
            <v>0</v>
          </cell>
          <cell r="G619">
            <v>0</v>
          </cell>
          <cell r="H619">
            <v>0</v>
          </cell>
          <cell r="I619" t="str">
            <v>Others</v>
          </cell>
          <cell r="J619">
            <v>3</v>
          </cell>
          <cell r="K619" t="str">
            <v>Others</v>
          </cell>
        </row>
        <row r="620">
          <cell r="D620">
            <v>110710</v>
          </cell>
          <cell r="E620" t="str">
            <v>Malt; not roasted</v>
          </cell>
          <cell r="F620">
            <v>0</v>
          </cell>
          <cell r="G620">
            <v>0</v>
          </cell>
          <cell r="H620">
            <v>0</v>
          </cell>
          <cell r="I620" t="str">
            <v>Others</v>
          </cell>
          <cell r="J620">
            <v>3</v>
          </cell>
          <cell r="K620" t="str">
            <v>Others</v>
          </cell>
        </row>
        <row r="621">
          <cell r="D621">
            <v>110720</v>
          </cell>
          <cell r="E621" t="str">
            <v>Malt; roasted</v>
          </cell>
          <cell r="F621">
            <v>0</v>
          </cell>
          <cell r="G621">
            <v>0</v>
          </cell>
          <cell r="H621">
            <v>0</v>
          </cell>
          <cell r="I621" t="str">
            <v>Others</v>
          </cell>
          <cell r="J621">
            <v>3</v>
          </cell>
          <cell r="K621" t="str">
            <v>Others</v>
          </cell>
        </row>
        <row r="622">
          <cell r="D622">
            <v>110811</v>
          </cell>
          <cell r="E622" t="str">
            <v>Starch; wheat</v>
          </cell>
          <cell r="F622">
            <v>0</v>
          </cell>
          <cell r="G622">
            <v>0</v>
          </cell>
          <cell r="H622">
            <v>0</v>
          </cell>
          <cell r="I622" t="str">
            <v>Others</v>
          </cell>
          <cell r="J622">
            <v>3</v>
          </cell>
          <cell r="K622" t="str">
            <v>Others</v>
          </cell>
        </row>
        <row r="623">
          <cell r="D623">
            <v>110812</v>
          </cell>
          <cell r="E623" t="str">
            <v>Starch; maize (corn) starch</v>
          </cell>
          <cell r="F623">
            <v>0</v>
          </cell>
          <cell r="G623">
            <v>0</v>
          </cell>
          <cell r="H623">
            <v>0</v>
          </cell>
          <cell r="I623" t="str">
            <v>Others</v>
          </cell>
          <cell r="J623">
            <v>3</v>
          </cell>
          <cell r="K623" t="str">
            <v>Others</v>
          </cell>
        </row>
        <row r="624">
          <cell r="D624">
            <v>110813</v>
          </cell>
          <cell r="E624" t="str">
            <v>Starch; potato</v>
          </cell>
          <cell r="F624">
            <v>0</v>
          </cell>
          <cell r="G624">
            <v>0</v>
          </cell>
          <cell r="H624">
            <v>0</v>
          </cell>
          <cell r="I624" t="str">
            <v>Others</v>
          </cell>
          <cell r="J624">
            <v>3</v>
          </cell>
          <cell r="K624" t="str">
            <v>Others</v>
          </cell>
        </row>
        <row r="625">
          <cell r="D625">
            <v>110814</v>
          </cell>
          <cell r="E625" t="str">
            <v>Starch; manioc (cassava)</v>
          </cell>
          <cell r="F625">
            <v>0</v>
          </cell>
          <cell r="G625">
            <v>0</v>
          </cell>
          <cell r="H625">
            <v>0</v>
          </cell>
          <cell r="I625" t="str">
            <v>Others</v>
          </cell>
          <cell r="J625">
            <v>3</v>
          </cell>
          <cell r="K625" t="str">
            <v>Others</v>
          </cell>
        </row>
        <row r="626">
          <cell r="D626">
            <v>110819</v>
          </cell>
          <cell r="E626" t="str">
            <v>Starch; n.e.c. in item no. 1108.11 to 1108.14</v>
          </cell>
          <cell r="F626">
            <v>0</v>
          </cell>
          <cell r="G626">
            <v>0</v>
          </cell>
          <cell r="H626">
            <v>0</v>
          </cell>
          <cell r="I626" t="str">
            <v>Others</v>
          </cell>
          <cell r="J626">
            <v>3</v>
          </cell>
          <cell r="K626" t="str">
            <v>Others</v>
          </cell>
        </row>
        <row r="627">
          <cell r="D627">
            <v>110820</v>
          </cell>
          <cell r="E627" t="str">
            <v>Inulin</v>
          </cell>
          <cell r="F627">
            <v>0</v>
          </cell>
          <cell r="G627">
            <v>0</v>
          </cell>
          <cell r="H627">
            <v>0</v>
          </cell>
          <cell r="I627" t="str">
            <v>Others</v>
          </cell>
          <cell r="J627">
            <v>3</v>
          </cell>
          <cell r="K627" t="str">
            <v>Others</v>
          </cell>
        </row>
        <row r="628">
          <cell r="D628">
            <v>110900</v>
          </cell>
          <cell r="E628" t="str">
            <v>Wheat gluten; whether or not dried</v>
          </cell>
          <cell r="F628">
            <v>0</v>
          </cell>
          <cell r="G628">
            <v>0</v>
          </cell>
          <cell r="H628">
            <v>0</v>
          </cell>
          <cell r="I628" t="str">
            <v>Others</v>
          </cell>
          <cell r="J628">
            <v>3</v>
          </cell>
          <cell r="K628" t="str">
            <v>Others</v>
          </cell>
        </row>
        <row r="629">
          <cell r="D629">
            <v>120110</v>
          </cell>
          <cell r="E629" t="str">
            <v>Soya beans; seed, whether or not broken</v>
          </cell>
          <cell r="F629">
            <v>0</v>
          </cell>
          <cell r="G629">
            <v>0</v>
          </cell>
          <cell r="H629">
            <v>0</v>
          </cell>
          <cell r="I629" t="str">
            <v>Others</v>
          </cell>
          <cell r="J629">
            <v>3</v>
          </cell>
          <cell r="K629" t="str">
            <v>Others</v>
          </cell>
        </row>
        <row r="630">
          <cell r="D630">
            <v>120190</v>
          </cell>
          <cell r="E630" t="str">
            <v>Soya beans; other than seed, whether or not broken</v>
          </cell>
          <cell r="F630">
            <v>0</v>
          </cell>
          <cell r="G630">
            <v>0</v>
          </cell>
          <cell r="H630">
            <v>0</v>
          </cell>
          <cell r="I630" t="str">
            <v>Others</v>
          </cell>
          <cell r="J630">
            <v>3</v>
          </cell>
          <cell r="K630" t="str">
            <v>Others</v>
          </cell>
        </row>
        <row r="631">
          <cell r="D631">
            <v>120230</v>
          </cell>
          <cell r="E631" t="str">
            <v>Ground-nuts; seed, not roasted or otherwise cooked, whether or not shelled or broken</v>
          </cell>
          <cell r="F631">
            <v>0</v>
          </cell>
          <cell r="G631">
            <v>0</v>
          </cell>
          <cell r="H631">
            <v>0</v>
          </cell>
          <cell r="I631" t="str">
            <v>Others</v>
          </cell>
          <cell r="J631">
            <v>3</v>
          </cell>
          <cell r="K631" t="str">
            <v>Others</v>
          </cell>
        </row>
        <row r="632">
          <cell r="D632">
            <v>120241</v>
          </cell>
          <cell r="E632" t="str">
            <v>Ground-nuts; other than seed, not roasted or otherwise cooked, in shell</v>
          </cell>
          <cell r="F632">
            <v>0</v>
          </cell>
          <cell r="G632">
            <v>0</v>
          </cell>
          <cell r="H632">
            <v>0</v>
          </cell>
          <cell r="I632" t="str">
            <v>Others</v>
          </cell>
          <cell r="J632">
            <v>3</v>
          </cell>
          <cell r="K632" t="str">
            <v>Others</v>
          </cell>
        </row>
        <row r="633">
          <cell r="D633">
            <v>120242</v>
          </cell>
          <cell r="E633" t="str">
            <v>Ground-nuts; other than seed, not roasted or otherwise cooked, shelled, whether or not broken,</v>
          </cell>
          <cell r="F633">
            <v>0</v>
          </cell>
          <cell r="G633">
            <v>0</v>
          </cell>
          <cell r="H633">
            <v>0</v>
          </cell>
          <cell r="I633" t="str">
            <v>Others</v>
          </cell>
          <cell r="J633">
            <v>3</v>
          </cell>
          <cell r="K633" t="str">
            <v>Others</v>
          </cell>
        </row>
        <row r="634">
          <cell r="D634">
            <v>120300</v>
          </cell>
          <cell r="E634" t="str">
            <v>Copra</v>
          </cell>
          <cell r="F634">
            <v>0</v>
          </cell>
          <cell r="G634">
            <v>0</v>
          </cell>
          <cell r="H634">
            <v>0</v>
          </cell>
          <cell r="I634" t="str">
            <v>Others</v>
          </cell>
          <cell r="J634">
            <v>3</v>
          </cell>
          <cell r="K634" t="str">
            <v>Others</v>
          </cell>
        </row>
        <row r="635">
          <cell r="D635">
            <v>120400</v>
          </cell>
          <cell r="E635" t="str">
            <v>Oil seeds; linseed, whether or not broken</v>
          </cell>
          <cell r="F635">
            <v>0</v>
          </cell>
          <cell r="G635">
            <v>0</v>
          </cell>
          <cell r="H635">
            <v>0</v>
          </cell>
          <cell r="I635" t="str">
            <v>Others</v>
          </cell>
          <cell r="J635">
            <v>3</v>
          </cell>
          <cell r="K635" t="str">
            <v>Others</v>
          </cell>
        </row>
        <row r="636">
          <cell r="D636">
            <v>120510</v>
          </cell>
          <cell r="E636" t="str">
            <v>Oil seeds; low erucic acid rape or colza seeds, whether or not broken</v>
          </cell>
          <cell r="F636">
            <v>0</v>
          </cell>
          <cell r="G636">
            <v>0</v>
          </cell>
          <cell r="H636">
            <v>0</v>
          </cell>
          <cell r="I636" t="str">
            <v>Others</v>
          </cell>
          <cell r="J636">
            <v>3</v>
          </cell>
          <cell r="K636" t="str">
            <v>Others</v>
          </cell>
        </row>
        <row r="637">
          <cell r="D637">
            <v>120590</v>
          </cell>
          <cell r="E637" t="str">
            <v>Oil seeds; rape or colza seeds, other than low erucic, whether or not broken</v>
          </cell>
          <cell r="F637">
            <v>0</v>
          </cell>
          <cell r="G637">
            <v>0</v>
          </cell>
          <cell r="H637">
            <v>0</v>
          </cell>
          <cell r="I637" t="str">
            <v>Others</v>
          </cell>
          <cell r="J637">
            <v>3</v>
          </cell>
          <cell r="K637" t="str">
            <v>Others</v>
          </cell>
        </row>
        <row r="638">
          <cell r="D638">
            <v>120600</v>
          </cell>
          <cell r="E638" t="str">
            <v>Oil seeds; sunflower seeds, whether or not broken</v>
          </cell>
          <cell r="F638">
            <v>0</v>
          </cell>
          <cell r="G638">
            <v>0</v>
          </cell>
          <cell r="H638">
            <v>0</v>
          </cell>
          <cell r="I638" t="str">
            <v>Others</v>
          </cell>
          <cell r="J638">
            <v>3</v>
          </cell>
          <cell r="K638" t="str">
            <v>Others</v>
          </cell>
        </row>
        <row r="639">
          <cell r="D639">
            <v>120710</v>
          </cell>
          <cell r="E639" t="str">
            <v>Oil seeds; palm nuts and kernels, whether or not broken</v>
          </cell>
          <cell r="F639">
            <v>0</v>
          </cell>
          <cell r="G639">
            <v>0</v>
          </cell>
          <cell r="H639">
            <v>0</v>
          </cell>
          <cell r="I639" t="str">
            <v>Others</v>
          </cell>
          <cell r="J639">
            <v>3</v>
          </cell>
          <cell r="K639" t="str">
            <v>Others</v>
          </cell>
        </row>
        <row r="640">
          <cell r="D640">
            <v>120721</v>
          </cell>
          <cell r="E640" t="str">
            <v>Oil seeds; cotton seeds, seed, whether or not broken</v>
          </cell>
          <cell r="F640">
            <v>0</v>
          </cell>
          <cell r="G640">
            <v>0</v>
          </cell>
          <cell r="H640">
            <v>0</v>
          </cell>
          <cell r="I640" t="str">
            <v>Others</v>
          </cell>
          <cell r="J640">
            <v>3</v>
          </cell>
          <cell r="K640" t="str">
            <v>Others</v>
          </cell>
        </row>
        <row r="641">
          <cell r="D641">
            <v>120729</v>
          </cell>
          <cell r="E641" t="str">
            <v>Oil seeds; cotton seeds, other than seed, whether or not broken</v>
          </cell>
          <cell r="F641">
            <v>0</v>
          </cell>
          <cell r="G641">
            <v>0</v>
          </cell>
          <cell r="H641">
            <v>0</v>
          </cell>
          <cell r="I641" t="str">
            <v>Others</v>
          </cell>
          <cell r="J641">
            <v>3</v>
          </cell>
          <cell r="K641" t="str">
            <v>Others</v>
          </cell>
        </row>
        <row r="642">
          <cell r="D642">
            <v>120730</v>
          </cell>
          <cell r="E642" t="str">
            <v>Oil seeds; castor oil seeds, whether or not broken</v>
          </cell>
          <cell r="F642">
            <v>0</v>
          </cell>
          <cell r="G642">
            <v>0</v>
          </cell>
          <cell r="H642">
            <v>0</v>
          </cell>
          <cell r="I642" t="str">
            <v>Others</v>
          </cell>
          <cell r="J642">
            <v>3</v>
          </cell>
          <cell r="K642" t="str">
            <v>Others</v>
          </cell>
        </row>
        <row r="643">
          <cell r="D643">
            <v>120740</v>
          </cell>
          <cell r="E643" t="str">
            <v>Oil seeds; sesamum seeds, whether or not broken</v>
          </cell>
          <cell r="F643">
            <v>0</v>
          </cell>
          <cell r="G643">
            <v>0</v>
          </cell>
          <cell r="H643">
            <v>0</v>
          </cell>
          <cell r="I643" t="str">
            <v>Others</v>
          </cell>
          <cell r="J643">
            <v>3</v>
          </cell>
          <cell r="K643" t="str">
            <v>Others</v>
          </cell>
        </row>
        <row r="644">
          <cell r="D644">
            <v>120750</v>
          </cell>
          <cell r="E644" t="str">
            <v>Oil seeds; mustard seeds, whether or not broken</v>
          </cell>
          <cell r="F644">
            <v>0</v>
          </cell>
          <cell r="G644">
            <v>0</v>
          </cell>
          <cell r="H644">
            <v>0</v>
          </cell>
          <cell r="I644" t="str">
            <v>Others</v>
          </cell>
          <cell r="J644">
            <v>3</v>
          </cell>
          <cell r="K644" t="str">
            <v>Others</v>
          </cell>
        </row>
        <row r="645">
          <cell r="D645">
            <v>120760</v>
          </cell>
          <cell r="E645" t="str">
            <v>Oil seeds; safflower (Carthamus tinctorius) seeds, whether or not broken</v>
          </cell>
          <cell r="F645">
            <v>0</v>
          </cell>
          <cell r="G645">
            <v>0</v>
          </cell>
          <cell r="H645">
            <v>0</v>
          </cell>
          <cell r="I645" t="str">
            <v>Others</v>
          </cell>
          <cell r="J645">
            <v>3</v>
          </cell>
          <cell r="K645" t="str">
            <v>Others</v>
          </cell>
        </row>
        <row r="646">
          <cell r="D646">
            <v>120770</v>
          </cell>
          <cell r="E646" t="str">
            <v>Oil seeds; melon seeds, whether or not broken</v>
          </cell>
          <cell r="F646">
            <v>0</v>
          </cell>
          <cell r="G646">
            <v>0</v>
          </cell>
          <cell r="H646">
            <v>0</v>
          </cell>
          <cell r="I646" t="str">
            <v>Others</v>
          </cell>
          <cell r="J646">
            <v>3</v>
          </cell>
          <cell r="K646" t="str">
            <v>Others</v>
          </cell>
        </row>
        <row r="647">
          <cell r="D647">
            <v>120791</v>
          </cell>
          <cell r="E647" t="str">
            <v>Oil seeds; poppy seeds, whether or not broken</v>
          </cell>
          <cell r="F647">
            <v>0</v>
          </cell>
          <cell r="G647">
            <v>0</v>
          </cell>
          <cell r="H647">
            <v>0</v>
          </cell>
          <cell r="I647" t="str">
            <v>Others</v>
          </cell>
          <cell r="J647">
            <v>3</v>
          </cell>
          <cell r="K647" t="str">
            <v>Others</v>
          </cell>
        </row>
        <row r="648">
          <cell r="D648">
            <v>120799</v>
          </cell>
          <cell r="E648" t="str">
            <v>Oil seeds and oleaginous fruits; n.e.c. in heading no. 1207, whether or not broken</v>
          </cell>
          <cell r="F648">
            <v>0</v>
          </cell>
          <cell r="G648">
            <v>0</v>
          </cell>
          <cell r="H648">
            <v>0</v>
          </cell>
          <cell r="I648" t="str">
            <v>Others</v>
          </cell>
          <cell r="J648">
            <v>3</v>
          </cell>
          <cell r="K648" t="str">
            <v>Others</v>
          </cell>
        </row>
        <row r="649">
          <cell r="D649">
            <v>120810</v>
          </cell>
          <cell r="E649" t="str">
            <v>Flours and meals; of soya beans</v>
          </cell>
          <cell r="F649">
            <v>0</v>
          </cell>
          <cell r="G649">
            <v>0</v>
          </cell>
          <cell r="H649">
            <v>0</v>
          </cell>
          <cell r="I649" t="str">
            <v>Others</v>
          </cell>
          <cell r="J649">
            <v>3</v>
          </cell>
          <cell r="K649" t="str">
            <v>Others</v>
          </cell>
        </row>
        <row r="650">
          <cell r="D650">
            <v>120890</v>
          </cell>
          <cell r="E650" t="str">
            <v>Flours and meals of oil seeds or oleaginous fruits; excluding soya beans and mustard seeds</v>
          </cell>
          <cell r="F650">
            <v>0</v>
          </cell>
          <cell r="G650">
            <v>0</v>
          </cell>
          <cell r="H650">
            <v>0</v>
          </cell>
          <cell r="I650" t="str">
            <v>Others</v>
          </cell>
          <cell r="J650">
            <v>3</v>
          </cell>
          <cell r="K650" t="str">
            <v>Others</v>
          </cell>
        </row>
        <row r="651">
          <cell r="D651">
            <v>120910</v>
          </cell>
          <cell r="E651" t="str">
            <v>Seed; sugar beet seeds, of a kind used for sowing</v>
          </cell>
          <cell r="F651">
            <v>0</v>
          </cell>
          <cell r="G651">
            <v>0</v>
          </cell>
          <cell r="H651">
            <v>0</v>
          </cell>
          <cell r="I651" t="str">
            <v>Others</v>
          </cell>
          <cell r="J651">
            <v>3</v>
          </cell>
          <cell r="K651" t="str">
            <v>Others</v>
          </cell>
        </row>
        <row r="652">
          <cell r="D652">
            <v>120921</v>
          </cell>
          <cell r="E652" t="str">
            <v>Seeds of forage plants; lucerne (alfalfa) seeds, of a kind used for sowing</v>
          </cell>
          <cell r="F652">
            <v>0</v>
          </cell>
          <cell r="G652">
            <v>0</v>
          </cell>
          <cell r="H652">
            <v>0</v>
          </cell>
          <cell r="I652" t="str">
            <v>Others</v>
          </cell>
          <cell r="J652">
            <v>3</v>
          </cell>
          <cell r="K652" t="str">
            <v>Others</v>
          </cell>
        </row>
        <row r="653">
          <cell r="D653">
            <v>120922</v>
          </cell>
          <cell r="E653" t="str">
            <v>Seeds of forage plants; clover (Trifolium spp.) seeds, of a kind used for sowing</v>
          </cell>
          <cell r="F653">
            <v>0</v>
          </cell>
          <cell r="G653">
            <v>0</v>
          </cell>
          <cell r="H653">
            <v>0</v>
          </cell>
          <cell r="I653" t="str">
            <v>Others</v>
          </cell>
          <cell r="J653">
            <v>3</v>
          </cell>
          <cell r="K653" t="str">
            <v>Others</v>
          </cell>
        </row>
        <row r="654">
          <cell r="D654">
            <v>120923</v>
          </cell>
          <cell r="E654" t="str">
            <v>Seeds of forage plants; fescue seeds, of a kind used for sowing</v>
          </cell>
          <cell r="F654">
            <v>0</v>
          </cell>
          <cell r="G654">
            <v>0</v>
          </cell>
          <cell r="H654">
            <v>0</v>
          </cell>
          <cell r="I654" t="str">
            <v>Others</v>
          </cell>
          <cell r="J654">
            <v>3</v>
          </cell>
          <cell r="K654" t="str">
            <v>Others</v>
          </cell>
        </row>
        <row r="655">
          <cell r="D655">
            <v>120924</v>
          </cell>
          <cell r="E655" t="str">
            <v>Seeds of forage plants; Kentucky blue grass (Poa pratensis L.) seeds, of a kind used for sowing</v>
          </cell>
          <cell r="F655">
            <v>0</v>
          </cell>
          <cell r="G655">
            <v>0</v>
          </cell>
          <cell r="H655">
            <v>0</v>
          </cell>
          <cell r="I655" t="str">
            <v>Others</v>
          </cell>
          <cell r="J655">
            <v>3</v>
          </cell>
          <cell r="K655" t="str">
            <v>Others</v>
          </cell>
        </row>
        <row r="656">
          <cell r="D656">
            <v>120925</v>
          </cell>
          <cell r="E656" t="str">
            <v>Seeds of forage plants; rye grass (Lolium multiflorum Lam., Lolium perenne L.) seeds, of a kind used for sowing</v>
          </cell>
          <cell r="F656">
            <v>0</v>
          </cell>
          <cell r="G656">
            <v>0</v>
          </cell>
          <cell r="H656">
            <v>0</v>
          </cell>
          <cell r="I656" t="str">
            <v>Others</v>
          </cell>
          <cell r="J656">
            <v>3</v>
          </cell>
          <cell r="K656" t="str">
            <v>Others</v>
          </cell>
        </row>
        <row r="657">
          <cell r="D657">
            <v>120929</v>
          </cell>
          <cell r="E657" t="str">
            <v>Seeds of forage plants; other than lucerne, clover, fescue, Kentucky blue grass, and rye grass seeds, of a kind used for sowing</v>
          </cell>
          <cell r="F657">
            <v>0</v>
          </cell>
          <cell r="G657">
            <v>0</v>
          </cell>
          <cell r="H657">
            <v>0</v>
          </cell>
          <cell r="I657" t="str">
            <v>Others</v>
          </cell>
          <cell r="J657">
            <v>3</v>
          </cell>
          <cell r="K657" t="str">
            <v>Others</v>
          </cell>
        </row>
        <row r="658">
          <cell r="D658">
            <v>120930</v>
          </cell>
          <cell r="E658" t="str">
            <v>Seeds of herbaceous plants; cultivated principally for their flowers, of a kind used for sowing</v>
          </cell>
          <cell r="F658">
            <v>0</v>
          </cell>
          <cell r="G658">
            <v>0</v>
          </cell>
          <cell r="H658">
            <v>0</v>
          </cell>
          <cell r="I658" t="str">
            <v>Others</v>
          </cell>
          <cell r="J658">
            <v>3</v>
          </cell>
          <cell r="K658" t="str">
            <v>Others</v>
          </cell>
        </row>
        <row r="659">
          <cell r="D659">
            <v>120991</v>
          </cell>
          <cell r="E659" t="str">
            <v>Seeds; vegetable seeds, of a kind used for sowing</v>
          </cell>
          <cell r="F659">
            <v>0</v>
          </cell>
          <cell r="G659">
            <v>0</v>
          </cell>
          <cell r="H659">
            <v>0</v>
          </cell>
          <cell r="I659" t="str">
            <v>Others</v>
          </cell>
          <cell r="J659">
            <v>3</v>
          </cell>
          <cell r="K659" t="str">
            <v>Others</v>
          </cell>
        </row>
        <row r="660">
          <cell r="D660">
            <v>120999</v>
          </cell>
          <cell r="E660" t="str">
            <v>Seeds; n.e.c. in heading 1209, of a kind used for sowing</v>
          </cell>
          <cell r="F660">
            <v>0</v>
          </cell>
          <cell r="G660">
            <v>0</v>
          </cell>
          <cell r="H660">
            <v>0</v>
          </cell>
          <cell r="I660" t="str">
            <v>Others</v>
          </cell>
          <cell r="J660">
            <v>3</v>
          </cell>
          <cell r="K660" t="str">
            <v>Others</v>
          </cell>
        </row>
        <row r="661">
          <cell r="D661">
            <v>121010</v>
          </cell>
          <cell r="E661" t="str">
            <v>Hop cones; neither ground nor powdered nor in the form of pellets</v>
          </cell>
          <cell r="F661">
            <v>0</v>
          </cell>
          <cell r="G661">
            <v>0</v>
          </cell>
          <cell r="H661">
            <v>0</v>
          </cell>
          <cell r="I661" t="str">
            <v>Others</v>
          </cell>
          <cell r="J661">
            <v>3</v>
          </cell>
          <cell r="K661" t="str">
            <v>Others</v>
          </cell>
        </row>
        <row r="662">
          <cell r="D662">
            <v>121020</v>
          </cell>
          <cell r="E662" t="str">
            <v>Hop cones; ground, powdered or in the form of pellets; lupulin</v>
          </cell>
          <cell r="F662">
            <v>0</v>
          </cell>
          <cell r="G662">
            <v>0</v>
          </cell>
          <cell r="H662">
            <v>0</v>
          </cell>
          <cell r="I662" t="str">
            <v>Others</v>
          </cell>
          <cell r="J662">
            <v>3</v>
          </cell>
          <cell r="K662" t="str">
            <v>Others</v>
          </cell>
        </row>
        <row r="663">
          <cell r="D663">
            <v>121120</v>
          </cell>
          <cell r="E663" t="str">
            <v>Ginseng roots, of a kind used primarily in perfumery, in pharmacy or for insecticidal, fungicidal or similar purposes, fresh, chilled, frozen or dried, whether or not cut, crushed or powdered</v>
          </cell>
          <cell r="F663">
            <v>0</v>
          </cell>
          <cell r="G663">
            <v>0</v>
          </cell>
          <cell r="H663">
            <v>0</v>
          </cell>
          <cell r="I663" t="str">
            <v>Others</v>
          </cell>
          <cell r="J663">
            <v>3</v>
          </cell>
          <cell r="K663" t="str">
            <v>Others</v>
          </cell>
        </row>
        <row r="664">
          <cell r="D664">
            <v>121130</v>
          </cell>
          <cell r="E664" t="str">
            <v>Coca leaf; of a kind used primarily in perfumery, in pharmacy or for insecticidal, fungicidal or similar purposes, fresh, chilled, frozen or dried, whether or not cut, crushed or powdered</v>
          </cell>
          <cell r="F664">
            <v>0</v>
          </cell>
          <cell r="G664">
            <v>0</v>
          </cell>
          <cell r="H664">
            <v>0</v>
          </cell>
          <cell r="I664" t="str">
            <v>Others</v>
          </cell>
          <cell r="J664">
            <v>3</v>
          </cell>
          <cell r="K664" t="str">
            <v>Others</v>
          </cell>
        </row>
        <row r="665">
          <cell r="D665">
            <v>121140</v>
          </cell>
          <cell r="E665" t="str">
            <v>Poppy straw; of a kind used primarily in perfumery, in pharmacy or for insecticidal, fungicidal or similar purposes, fresh, chilled, frozen or dried, whether or not cut, crushed or powdered</v>
          </cell>
          <cell r="F665">
            <v>0</v>
          </cell>
          <cell r="G665">
            <v>0</v>
          </cell>
          <cell r="H665">
            <v>0</v>
          </cell>
          <cell r="I665" t="str">
            <v>Others</v>
          </cell>
          <cell r="J665">
            <v>3</v>
          </cell>
          <cell r="K665" t="str">
            <v>Others</v>
          </cell>
        </row>
        <row r="666">
          <cell r="D666">
            <v>121150</v>
          </cell>
          <cell r="E666" t="str">
            <v>Ephedra, of a kind used primarily in perfumery, in pharmacy or for insecticidal, fungicidal or similar purposes, fresh, chilled, frozen or dried, whether or not cut, crushed or powdered</v>
          </cell>
          <cell r="F666">
            <v>0</v>
          </cell>
          <cell r="G666">
            <v>0</v>
          </cell>
          <cell r="H666">
            <v>0</v>
          </cell>
          <cell r="I666" t="str">
            <v>Others</v>
          </cell>
          <cell r="J666">
            <v>3</v>
          </cell>
          <cell r="K666" t="str">
            <v>Others</v>
          </cell>
        </row>
        <row r="667">
          <cell r="D667">
            <v>121160</v>
          </cell>
          <cell r="E667" t="str">
            <v>Bark of African cherry (Prunus africana); of a kind used primarily in perfumery, in pharmacy or for insecticidal, fungicidal or similar purposes, fresh, chilled, frozen or dried, whether or not cut, crushed or powdered</v>
          </cell>
          <cell r="F667">
            <v>0</v>
          </cell>
          <cell r="G667">
            <v>0</v>
          </cell>
          <cell r="H667">
            <v>0</v>
          </cell>
          <cell r="I667" t="str">
            <v>Others</v>
          </cell>
          <cell r="J667">
            <v>3</v>
          </cell>
          <cell r="K667" t="str">
            <v>Others</v>
          </cell>
        </row>
        <row r="668">
          <cell r="D668">
            <v>121190</v>
          </cell>
          <cell r="E668" t="str">
            <v>Plants and parts (including seeds and fruits) n.e.c. in heading no. 1211, of a kind used primarily in perfumery, in pharmacy or for insecticidal, fungicidal or similar purposes, fresh, chilled, frozen or dried, whether or not cut, crushed or powdered</v>
          </cell>
          <cell r="F668">
            <v>0</v>
          </cell>
          <cell r="G668">
            <v>0</v>
          </cell>
          <cell r="H668">
            <v>0</v>
          </cell>
          <cell r="I668" t="str">
            <v>Others</v>
          </cell>
          <cell r="J668">
            <v>3</v>
          </cell>
          <cell r="K668" t="str">
            <v>Others</v>
          </cell>
        </row>
        <row r="669">
          <cell r="D669">
            <v>121221</v>
          </cell>
          <cell r="E669" t="str">
            <v>Seaweeds and other algae; fit for human consumption, fresh, chilled, frozen or dried, whether or not ground</v>
          </cell>
          <cell r="F669">
            <v>0</v>
          </cell>
          <cell r="G669">
            <v>0</v>
          </cell>
          <cell r="H669">
            <v>0</v>
          </cell>
          <cell r="I669" t="str">
            <v>Others</v>
          </cell>
          <cell r="J669">
            <v>3</v>
          </cell>
          <cell r="K669" t="str">
            <v>Others</v>
          </cell>
        </row>
        <row r="670">
          <cell r="D670">
            <v>121229</v>
          </cell>
          <cell r="E670" t="str">
            <v>Seaweeds and other algae; not fit for human consumption, fresh, chilled, frozen or dried, whether or not ground</v>
          </cell>
          <cell r="F670">
            <v>0</v>
          </cell>
          <cell r="G670">
            <v>0</v>
          </cell>
          <cell r="H670">
            <v>0</v>
          </cell>
          <cell r="I670" t="str">
            <v>Others</v>
          </cell>
          <cell r="J670">
            <v>3</v>
          </cell>
          <cell r="K670" t="str">
            <v>Others</v>
          </cell>
        </row>
        <row r="671">
          <cell r="D671">
            <v>121291</v>
          </cell>
          <cell r="E671" t="str">
            <v>Sugar beet; fit for human consumption, fresh, chilled, frozen or dried, whether or not ground</v>
          </cell>
          <cell r="F671">
            <v>0</v>
          </cell>
          <cell r="G671">
            <v>0</v>
          </cell>
          <cell r="H671">
            <v>0</v>
          </cell>
          <cell r="I671" t="str">
            <v>Others</v>
          </cell>
          <cell r="J671">
            <v>3</v>
          </cell>
          <cell r="K671" t="str">
            <v>Others</v>
          </cell>
        </row>
        <row r="672">
          <cell r="D672">
            <v>121292</v>
          </cell>
          <cell r="E672" t="str">
            <v>Locust beans (carob); fit for human consumption, fresh, chilled, frozen or dried, whether or not ground</v>
          </cell>
          <cell r="F672">
            <v>0</v>
          </cell>
          <cell r="G672">
            <v>0</v>
          </cell>
          <cell r="H672">
            <v>0</v>
          </cell>
          <cell r="I672" t="str">
            <v>Others</v>
          </cell>
          <cell r="J672">
            <v>3</v>
          </cell>
          <cell r="K672" t="str">
            <v>Others</v>
          </cell>
        </row>
        <row r="673">
          <cell r="D673">
            <v>121293</v>
          </cell>
          <cell r="E673" t="str">
            <v>Sugar cane; fit for human consumption, fresh, chilled, frozen or dried, whether or not ground</v>
          </cell>
          <cell r="F673">
            <v>0</v>
          </cell>
          <cell r="G673">
            <v>0</v>
          </cell>
          <cell r="H673">
            <v>0</v>
          </cell>
          <cell r="I673" t="str">
            <v>Others</v>
          </cell>
          <cell r="J673">
            <v>3</v>
          </cell>
          <cell r="K673" t="str">
            <v>Others</v>
          </cell>
        </row>
        <row r="674">
          <cell r="D674">
            <v>121294</v>
          </cell>
          <cell r="E674" t="str">
            <v>Chicory roots (Chicorium intybus sativum); fit for human consumption, fresh, chilled, frozen or dried, whether or not ground</v>
          </cell>
          <cell r="F674">
            <v>0</v>
          </cell>
          <cell r="G674">
            <v>0</v>
          </cell>
          <cell r="H674">
            <v>0</v>
          </cell>
          <cell r="I674" t="str">
            <v>Others</v>
          </cell>
          <cell r="J674">
            <v>3</v>
          </cell>
          <cell r="K674" t="str">
            <v>Others</v>
          </cell>
        </row>
        <row r="675">
          <cell r="D675">
            <v>121299</v>
          </cell>
          <cell r="E675" t="str">
            <v>Vegetable products; fit for human consumption, n.e.c. in heading no. 1212, fresh, chilled, frozen or dried, whether or not ground</v>
          </cell>
          <cell r="F675">
            <v>0</v>
          </cell>
          <cell r="G675">
            <v>0</v>
          </cell>
          <cell r="H675">
            <v>0</v>
          </cell>
          <cell r="I675" t="str">
            <v>Others</v>
          </cell>
          <cell r="J675">
            <v>3</v>
          </cell>
          <cell r="K675" t="str">
            <v>Others</v>
          </cell>
        </row>
        <row r="676">
          <cell r="D676">
            <v>121300</v>
          </cell>
          <cell r="E676" t="str">
            <v>Cereal straw and husks; unprepared, whether or not chopped, ground, pressed or in the form of pellets</v>
          </cell>
          <cell r="F676">
            <v>0</v>
          </cell>
          <cell r="G676">
            <v>0</v>
          </cell>
          <cell r="H676">
            <v>0</v>
          </cell>
          <cell r="I676" t="str">
            <v>Others</v>
          </cell>
          <cell r="J676">
            <v>3</v>
          </cell>
          <cell r="K676" t="str">
            <v>Others</v>
          </cell>
        </row>
        <row r="677">
          <cell r="D677">
            <v>121410</v>
          </cell>
          <cell r="E677" t="str">
            <v>Lucerne (alfalfa) meal and pellets</v>
          </cell>
          <cell r="F677">
            <v>0</v>
          </cell>
          <cell r="G677">
            <v>0</v>
          </cell>
          <cell r="H677">
            <v>0</v>
          </cell>
          <cell r="I677" t="str">
            <v>Others</v>
          </cell>
          <cell r="J677">
            <v>3</v>
          </cell>
          <cell r="K677" t="str">
            <v>Others</v>
          </cell>
        </row>
        <row r="678">
          <cell r="D678">
            <v>121490</v>
          </cell>
          <cell r="E678" t="str">
            <v>Forage products including swedes, mangolds, fodder roots, hay, sainfoin, clover, forage kale, lupines, vetches etc., pelletised or otherwise</v>
          </cell>
          <cell r="F678">
            <v>0</v>
          </cell>
          <cell r="G678">
            <v>0</v>
          </cell>
          <cell r="H678">
            <v>0</v>
          </cell>
          <cell r="I678" t="str">
            <v>Others</v>
          </cell>
          <cell r="J678">
            <v>3</v>
          </cell>
          <cell r="K678" t="str">
            <v>Others</v>
          </cell>
        </row>
        <row r="679">
          <cell r="D679">
            <v>130120</v>
          </cell>
          <cell r="E679" t="str">
            <v>Gum Arabic</v>
          </cell>
          <cell r="F679">
            <v>0</v>
          </cell>
          <cell r="G679">
            <v>0</v>
          </cell>
          <cell r="H679">
            <v>0</v>
          </cell>
          <cell r="I679" t="str">
            <v>Others</v>
          </cell>
          <cell r="J679">
            <v>3</v>
          </cell>
          <cell r="K679" t="str">
            <v>Others</v>
          </cell>
        </row>
        <row r="680">
          <cell r="D680">
            <v>130190</v>
          </cell>
          <cell r="E680" t="str">
            <v>Natural gums, resins, gum-resins and oleoresins, n.e.c. in heading no. 1301</v>
          </cell>
          <cell r="F680">
            <v>0</v>
          </cell>
          <cell r="G680">
            <v>0</v>
          </cell>
          <cell r="H680">
            <v>0</v>
          </cell>
          <cell r="I680" t="str">
            <v>Others</v>
          </cell>
          <cell r="J680">
            <v>3</v>
          </cell>
          <cell r="K680" t="str">
            <v>Others</v>
          </cell>
        </row>
        <row r="681">
          <cell r="D681">
            <v>130211</v>
          </cell>
          <cell r="E681" t="str">
            <v>Vegetable saps and extracts; opium</v>
          </cell>
          <cell r="F681">
            <v>0</v>
          </cell>
          <cell r="G681">
            <v>0</v>
          </cell>
          <cell r="H681">
            <v>0</v>
          </cell>
          <cell r="I681" t="str">
            <v>Others</v>
          </cell>
          <cell r="J681">
            <v>3</v>
          </cell>
          <cell r="K681" t="str">
            <v>Others</v>
          </cell>
        </row>
        <row r="682">
          <cell r="D682">
            <v>130212</v>
          </cell>
          <cell r="E682" t="str">
            <v>Vegetable saps and extracts; of liquorice</v>
          </cell>
          <cell r="F682">
            <v>0</v>
          </cell>
          <cell r="G682">
            <v>0</v>
          </cell>
          <cell r="H682">
            <v>0</v>
          </cell>
          <cell r="I682" t="str">
            <v>Others</v>
          </cell>
          <cell r="J682">
            <v>3</v>
          </cell>
          <cell r="K682" t="str">
            <v>Others</v>
          </cell>
        </row>
        <row r="683">
          <cell r="D683">
            <v>130213</v>
          </cell>
          <cell r="E683" t="str">
            <v>Vegetable saps and extracts; of hops</v>
          </cell>
          <cell r="F683">
            <v>0</v>
          </cell>
          <cell r="G683">
            <v>0</v>
          </cell>
          <cell r="H683">
            <v>0</v>
          </cell>
          <cell r="I683" t="str">
            <v>Others</v>
          </cell>
          <cell r="J683">
            <v>3</v>
          </cell>
          <cell r="K683" t="str">
            <v>Others</v>
          </cell>
        </row>
        <row r="684">
          <cell r="D684">
            <v>130214</v>
          </cell>
          <cell r="E684" t="str">
            <v>Vegetable saps and extracts; of ephedra</v>
          </cell>
          <cell r="F684">
            <v>0</v>
          </cell>
          <cell r="G684">
            <v>0</v>
          </cell>
          <cell r="H684">
            <v>0</v>
          </cell>
          <cell r="I684" t="str">
            <v>Others</v>
          </cell>
          <cell r="J684">
            <v>3</v>
          </cell>
          <cell r="K684" t="str">
            <v>Others</v>
          </cell>
        </row>
        <row r="685">
          <cell r="D685">
            <v>130219</v>
          </cell>
          <cell r="E685" t="str">
            <v>Vegetable saps and extracts; n.e.c. in item no. 1302.1</v>
          </cell>
          <cell r="F685">
            <v>0</v>
          </cell>
          <cell r="G685">
            <v>0</v>
          </cell>
          <cell r="H685">
            <v>0</v>
          </cell>
          <cell r="I685" t="str">
            <v>Others</v>
          </cell>
          <cell r="J685">
            <v>3</v>
          </cell>
          <cell r="K685" t="str">
            <v>Others</v>
          </cell>
        </row>
        <row r="686">
          <cell r="D686">
            <v>130220</v>
          </cell>
          <cell r="E686" t="str">
            <v>Pectic substances; pectinates and pectates</v>
          </cell>
          <cell r="F686">
            <v>0</v>
          </cell>
          <cell r="G686">
            <v>0</v>
          </cell>
          <cell r="H686">
            <v>0</v>
          </cell>
          <cell r="I686" t="str">
            <v>Others</v>
          </cell>
          <cell r="J686">
            <v>3</v>
          </cell>
          <cell r="K686" t="str">
            <v>Others</v>
          </cell>
        </row>
        <row r="687">
          <cell r="D687">
            <v>130231</v>
          </cell>
          <cell r="E687" t="str">
            <v>Mucilages and thickeners; agar-agar, whether or not modified, derived from vegetable products</v>
          </cell>
          <cell r="F687">
            <v>0</v>
          </cell>
          <cell r="G687">
            <v>0</v>
          </cell>
          <cell r="H687">
            <v>0</v>
          </cell>
          <cell r="I687" t="str">
            <v>Others</v>
          </cell>
          <cell r="J687">
            <v>3</v>
          </cell>
          <cell r="K687" t="str">
            <v>Others</v>
          </cell>
        </row>
        <row r="688">
          <cell r="D688">
            <v>130232</v>
          </cell>
          <cell r="E688" t="str">
            <v>Mucilages and thickeners; whether or not modified, derived from locust beans, locust bean seeds or guar seeds</v>
          </cell>
          <cell r="F688">
            <v>0</v>
          </cell>
          <cell r="G688">
            <v>0</v>
          </cell>
          <cell r="H688">
            <v>0</v>
          </cell>
          <cell r="I688" t="str">
            <v>Others</v>
          </cell>
          <cell r="J688">
            <v>3</v>
          </cell>
          <cell r="K688" t="str">
            <v>Others</v>
          </cell>
        </row>
        <row r="689">
          <cell r="D689">
            <v>130239</v>
          </cell>
          <cell r="E689" t="str">
            <v>Mucilages and thickeners; whether or not modified, derived from vegetable products, n.e.c. in item no. 1302.3</v>
          </cell>
          <cell r="F689">
            <v>0</v>
          </cell>
          <cell r="G689">
            <v>0</v>
          </cell>
          <cell r="H689">
            <v>0</v>
          </cell>
          <cell r="I689" t="str">
            <v>Others</v>
          </cell>
          <cell r="J689">
            <v>3</v>
          </cell>
          <cell r="K689" t="str">
            <v>Others</v>
          </cell>
        </row>
        <row r="690">
          <cell r="D690">
            <v>140110</v>
          </cell>
          <cell r="E690" t="str">
            <v>Bamboo used primarily for plaiting</v>
          </cell>
          <cell r="F690">
            <v>0</v>
          </cell>
          <cell r="G690">
            <v>0</v>
          </cell>
          <cell r="H690">
            <v>0</v>
          </cell>
          <cell r="I690" t="str">
            <v>Others</v>
          </cell>
          <cell r="J690">
            <v>3</v>
          </cell>
          <cell r="K690" t="str">
            <v>Others</v>
          </cell>
        </row>
        <row r="691">
          <cell r="D691">
            <v>140120</v>
          </cell>
          <cell r="E691" t="str">
            <v>Rattans used primarily for plaiting</v>
          </cell>
          <cell r="F691">
            <v>0</v>
          </cell>
          <cell r="G691">
            <v>0</v>
          </cell>
          <cell r="H691">
            <v>0</v>
          </cell>
          <cell r="I691" t="str">
            <v>Others</v>
          </cell>
          <cell r="J691">
            <v>3</v>
          </cell>
          <cell r="K691" t="str">
            <v>Others</v>
          </cell>
        </row>
        <row r="692">
          <cell r="D692">
            <v>140190</v>
          </cell>
          <cell r="E692" t="str">
            <v>Vegetable materials of a kind used primarily for plaiting; n.e.c. in heading no. 1401</v>
          </cell>
          <cell r="F692">
            <v>0</v>
          </cell>
          <cell r="G692">
            <v>0</v>
          </cell>
          <cell r="H692">
            <v>0</v>
          </cell>
          <cell r="I692" t="str">
            <v>Others</v>
          </cell>
          <cell r="J692">
            <v>3</v>
          </cell>
          <cell r="K692" t="str">
            <v>Others</v>
          </cell>
        </row>
        <row r="693">
          <cell r="D693">
            <v>140420</v>
          </cell>
          <cell r="E693" t="str">
            <v>Vegetable products; cotton linters</v>
          </cell>
          <cell r="F693">
            <v>0</v>
          </cell>
          <cell r="G693">
            <v>0</v>
          </cell>
          <cell r="H693">
            <v>0</v>
          </cell>
          <cell r="I693" t="str">
            <v>Others</v>
          </cell>
          <cell r="J693">
            <v>3</v>
          </cell>
          <cell r="K693" t="str">
            <v>Others</v>
          </cell>
        </row>
        <row r="694">
          <cell r="D694">
            <v>140490</v>
          </cell>
          <cell r="E694" t="str">
            <v>Vegetable products; n.e.c. in chapter 14</v>
          </cell>
          <cell r="F694">
            <v>0</v>
          </cell>
          <cell r="G694">
            <v>0</v>
          </cell>
          <cell r="H694">
            <v>0</v>
          </cell>
          <cell r="I694" t="str">
            <v>Others</v>
          </cell>
          <cell r="J694">
            <v>3</v>
          </cell>
          <cell r="K694" t="str">
            <v>Others</v>
          </cell>
        </row>
        <row r="695">
          <cell r="D695">
            <v>150110</v>
          </cell>
          <cell r="E695" t="str">
            <v>Pig fat; lard, other than that of heading 0209 and 1503</v>
          </cell>
          <cell r="F695">
            <v>0</v>
          </cell>
          <cell r="G695">
            <v>0</v>
          </cell>
          <cell r="H695">
            <v>0</v>
          </cell>
          <cell r="I695" t="str">
            <v>Others</v>
          </cell>
          <cell r="J695">
            <v>3</v>
          </cell>
          <cell r="K695" t="str">
            <v>Others</v>
          </cell>
        </row>
        <row r="696">
          <cell r="D696">
            <v>150120</v>
          </cell>
          <cell r="E696" t="str">
            <v>Pig fat; not lard, other than that of heading 0209 or 1503</v>
          </cell>
          <cell r="F696">
            <v>0</v>
          </cell>
          <cell r="G696">
            <v>0</v>
          </cell>
          <cell r="H696">
            <v>0</v>
          </cell>
          <cell r="I696" t="str">
            <v>Others</v>
          </cell>
          <cell r="J696">
            <v>3</v>
          </cell>
          <cell r="K696" t="str">
            <v>Others</v>
          </cell>
        </row>
        <row r="697">
          <cell r="D697">
            <v>150190</v>
          </cell>
          <cell r="E697" t="str">
            <v>Poultry fat; other than that of heading 0209 or 1503</v>
          </cell>
          <cell r="F697">
            <v>0</v>
          </cell>
          <cell r="G697">
            <v>0</v>
          </cell>
          <cell r="H697">
            <v>0</v>
          </cell>
          <cell r="I697" t="str">
            <v>Others</v>
          </cell>
          <cell r="J697">
            <v>3</v>
          </cell>
          <cell r="K697" t="str">
            <v>Others</v>
          </cell>
        </row>
        <row r="698">
          <cell r="D698">
            <v>150210</v>
          </cell>
          <cell r="E698" t="str">
            <v>Tallow; other than those of heading 1503</v>
          </cell>
          <cell r="F698">
            <v>0</v>
          </cell>
          <cell r="G698">
            <v>0</v>
          </cell>
          <cell r="H698">
            <v>0</v>
          </cell>
          <cell r="I698" t="str">
            <v>Others</v>
          </cell>
          <cell r="J698">
            <v>3</v>
          </cell>
          <cell r="K698" t="str">
            <v>Others</v>
          </cell>
        </row>
        <row r="699">
          <cell r="D699">
            <v>150290</v>
          </cell>
          <cell r="E699" t="str">
            <v>Fats of bovine animals, sheep or goats; excluding tallow, and other than those of heading 1503</v>
          </cell>
          <cell r="F699">
            <v>0</v>
          </cell>
          <cell r="G699">
            <v>0</v>
          </cell>
          <cell r="H699">
            <v>0</v>
          </cell>
          <cell r="I699" t="str">
            <v>Others</v>
          </cell>
          <cell r="J699">
            <v>3</v>
          </cell>
          <cell r="K699" t="str">
            <v>Others</v>
          </cell>
        </row>
        <row r="700">
          <cell r="D700">
            <v>150300</v>
          </cell>
          <cell r="E700" t="str">
            <v>Lard stearin, lard oil, oleostearin, oleo-oil and tallow oil; not emulsified or mixed or otherwise prepared</v>
          </cell>
          <cell r="F700">
            <v>0</v>
          </cell>
          <cell r="G700">
            <v>0</v>
          </cell>
          <cell r="H700">
            <v>0</v>
          </cell>
          <cell r="I700" t="str">
            <v>Others</v>
          </cell>
          <cell r="J700">
            <v>3</v>
          </cell>
          <cell r="K700" t="str">
            <v>Others</v>
          </cell>
        </row>
        <row r="701">
          <cell r="D701">
            <v>150410</v>
          </cell>
          <cell r="E701" t="str">
            <v>Oils of fish; fish-liver oils and their fractions, whether or not refined, but not chemically modified</v>
          </cell>
          <cell r="F701">
            <v>0</v>
          </cell>
          <cell r="G701">
            <v>0</v>
          </cell>
          <cell r="H701">
            <v>0</v>
          </cell>
          <cell r="I701" t="str">
            <v>Others</v>
          </cell>
          <cell r="J701">
            <v>3</v>
          </cell>
          <cell r="K701" t="str">
            <v>Others</v>
          </cell>
        </row>
        <row r="702">
          <cell r="D702">
            <v>150420</v>
          </cell>
          <cell r="E702" t="str">
            <v>Fats and oils and their fractions; of fish, (excluding liver-oils)</v>
          </cell>
          <cell r="F702">
            <v>0</v>
          </cell>
          <cell r="G702">
            <v>0</v>
          </cell>
          <cell r="H702">
            <v>0</v>
          </cell>
          <cell r="I702" t="str">
            <v>Others</v>
          </cell>
          <cell r="J702">
            <v>3</v>
          </cell>
          <cell r="K702" t="str">
            <v>Others</v>
          </cell>
        </row>
        <row r="703">
          <cell r="D703">
            <v>150430</v>
          </cell>
          <cell r="E703" t="str">
            <v>Fats and oils and their fractions; of marine mammals</v>
          </cell>
          <cell r="F703">
            <v>0</v>
          </cell>
          <cell r="G703">
            <v>0</v>
          </cell>
          <cell r="H703">
            <v>0</v>
          </cell>
          <cell r="I703" t="str">
            <v>Others</v>
          </cell>
          <cell r="J703">
            <v>3</v>
          </cell>
          <cell r="K703" t="str">
            <v>Others</v>
          </cell>
        </row>
        <row r="704">
          <cell r="D704">
            <v>150500</v>
          </cell>
          <cell r="E704" t="str">
            <v>Wool grease and fatty substances derived therefrom (including lanolin)</v>
          </cell>
          <cell r="F704">
            <v>0</v>
          </cell>
          <cell r="G704">
            <v>0</v>
          </cell>
          <cell r="H704">
            <v>0</v>
          </cell>
          <cell r="I704" t="str">
            <v>Others</v>
          </cell>
          <cell r="J704">
            <v>3</v>
          </cell>
          <cell r="K704" t="str">
            <v>Others</v>
          </cell>
        </row>
        <row r="705">
          <cell r="D705">
            <v>150600</v>
          </cell>
          <cell r="E705" t="str">
            <v>Animal fats and oils and their fractions; whether or not refined, but not chemically modified, n.e.c. in chapter 15</v>
          </cell>
          <cell r="F705">
            <v>0</v>
          </cell>
          <cell r="G705">
            <v>0</v>
          </cell>
          <cell r="H705">
            <v>0</v>
          </cell>
          <cell r="I705" t="str">
            <v>Others</v>
          </cell>
          <cell r="J705">
            <v>3</v>
          </cell>
          <cell r="K705" t="str">
            <v>Others</v>
          </cell>
        </row>
        <row r="706">
          <cell r="D706">
            <v>150710</v>
          </cell>
          <cell r="E706" t="str">
            <v>Vegetable oils; soya-bean oil and its fractions, crude, whether or not degummed, not chemically modified</v>
          </cell>
          <cell r="F706">
            <v>0</v>
          </cell>
          <cell r="G706">
            <v>0</v>
          </cell>
          <cell r="H706">
            <v>0</v>
          </cell>
          <cell r="I706" t="str">
            <v>Others</v>
          </cell>
          <cell r="J706">
            <v>3</v>
          </cell>
          <cell r="K706" t="str">
            <v>Others</v>
          </cell>
        </row>
        <row r="707">
          <cell r="D707">
            <v>150790</v>
          </cell>
          <cell r="E707" t="str">
            <v>Vegetable oils; soya-bean oil and its fractions, other than crude, whether or not refined, but not chemically modified</v>
          </cell>
          <cell r="F707">
            <v>0</v>
          </cell>
          <cell r="G707">
            <v>0</v>
          </cell>
          <cell r="H707">
            <v>0</v>
          </cell>
          <cell r="I707" t="str">
            <v>Others</v>
          </cell>
          <cell r="J707">
            <v>3</v>
          </cell>
          <cell r="K707" t="str">
            <v>Others</v>
          </cell>
        </row>
        <row r="708">
          <cell r="D708">
            <v>150810</v>
          </cell>
          <cell r="E708" t="str">
            <v>Vegetable oils; ground-nut oil and its fractions, crude, not chemically modified</v>
          </cell>
          <cell r="F708">
            <v>0</v>
          </cell>
          <cell r="G708">
            <v>0</v>
          </cell>
          <cell r="H708">
            <v>0</v>
          </cell>
          <cell r="I708" t="str">
            <v>Others</v>
          </cell>
          <cell r="J708">
            <v>3</v>
          </cell>
          <cell r="K708" t="str">
            <v>Others</v>
          </cell>
        </row>
        <row r="709">
          <cell r="D709">
            <v>150890</v>
          </cell>
          <cell r="E709" t="str">
            <v>Vegetable oils; ground-nut oil and its fractions, other than crude, whether or not refined, but not chemically modified</v>
          </cell>
          <cell r="F709">
            <v>0</v>
          </cell>
          <cell r="G709">
            <v>0</v>
          </cell>
          <cell r="H709">
            <v>0</v>
          </cell>
          <cell r="I709" t="str">
            <v>Others</v>
          </cell>
          <cell r="J709">
            <v>3</v>
          </cell>
          <cell r="K709" t="str">
            <v>Others</v>
          </cell>
        </row>
        <row r="710">
          <cell r="D710">
            <v>150920</v>
          </cell>
          <cell r="E710" t="str">
            <v>Vegetable oils; olive oil and its fractions, extra virgin olive oil, whether or not refined, but not chemically modified</v>
          </cell>
          <cell r="F710">
            <v>0</v>
          </cell>
          <cell r="G710">
            <v>0</v>
          </cell>
          <cell r="H710">
            <v>0</v>
          </cell>
          <cell r="I710" t="str">
            <v>Others</v>
          </cell>
          <cell r="J710">
            <v>3</v>
          </cell>
          <cell r="K710" t="str">
            <v>Others</v>
          </cell>
        </row>
        <row r="711">
          <cell r="D711">
            <v>150930</v>
          </cell>
          <cell r="E711" t="str">
            <v>Vegetable oils; olive oil and its fractions, virgin olive oil, whether or not refined, but not chemically modified</v>
          </cell>
          <cell r="F711">
            <v>0</v>
          </cell>
          <cell r="G711">
            <v>0</v>
          </cell>
          <cell r="H711">
            <v>0</v>
          </cell>
          <cell r="I711" t="str">
            <v>Others</v>
          </cell>
          <cell r="J711">
            <v>3</v>
          </cell>
          <cell r="K711" t="str">
            <v>Others</v>
          </cell>
        </row>
        <row r="712">
          <cell r="D712">
            <v>150940</v>
          </cell>
          <cell r="E712" t="str">
            <v>Vegetable oils; olive oil and its fractions, virgin olive oils n.e.c. in heading 1509, whether or not refined, but not chemically modified</v>
          </cell>
          <cell r="F712">
            <v>0</v>
          </cell>
          <cell r="G712">
            <v>0</v>
          </cell>
          <cell r="H712">
            <v>0</v>
          </cell>
          <cell r="I712" t="str">
            <v>Others</v>
          </cell>
          <cell r="J712">
            <v>3</v>
          </cell>
          <cell r="K712" t="str">
            <v>Others</v>
          </cell>
        </row>
        <row r="713">
          <cell r="D713">
            <v>150990</v>
          </cell>
          <cell r="E713" t="str">
            <v>Vegetable oils; olive oil and its fractions, other than virgin, whether or not refined, but not chemically modified</v>
          </cell>
          <cell r="F713">
            <v>0</v>
          </cell>
          <cell r="G713">
            <v>0</v>
          </cell>
          <cell r="H713">
            <v>0</v>
          </cell>
          <cell r="I713" t="str">
            <v>Others</v>
          </cell>
          <cell r="J713">
            <v>3</v>
          </cell>
          <cell r="K713" t="str">
            <v>Others</v>
          </cell>
        </row>
        <row r="714">
          <cell r="D714">
            <v>151010</v>
          </cell>
          <cell r="E714" t="str">
            <v>Vegetable oils; crude olive pomace oil and their fractions, obtained solely from olives, whether or not refined, but not chemically modified</v>
          </cell>
          <cell r="F714">
            <v>0</v>
          </cell>
          <cell r="G714">
            <v>0</v>
          </cell>
          <cell r="H714">
            <v>0</v>
          </cell>
          <cell r="I714" t="str">
            <v>Others</v>
          </cell>
          <cell r="J714">
            <v>3</v>
          </cell>
          <cell r="K714" t="str">
            <v>Others</v>
          </cell>
        </row>
        <row r="715">
          <cell r="D715">
            <v>151090</v>
          </cell>
          <cell r="E715" t="str">
            <v>Vegetable oils; oils and their fractions n.e.c. in heading 1510, obtained solely from olives, whether or not refined, but not chemically modified, including blends of these oils or fractions with oils or fractions of heading no. 1509</v>
          </cell>
          <cell r="F715">
            <v>0</v>
          </cell>
          <cell r="G715">
            <v>0</v>
          </cell>
          <cell r="H715">
            <v>0</v>
          </cell>
          <cell r="I715" t="str">
            <v>Others</v>
          </cell>
          <cell r="J715">
            <v>3</v>
          </cell>
          <cell r="K715" t="str">
            <v>Others</v>
          </cell>
        </row>
        <row r="716">
          <cell r="D716">
            <v>151110</v>
          </cell>
          <cell r="E716" t="str">
            <v>Vegetable oils; palm oil and its fractions, crude, not chemically modified</v>
          </cell>
          <cell r="F716">
            <v>0</v>
          </cell>
          <cell r="G716">
            <v>0</v>
          </cell>
          <cell r="H716">
            <v>0</v>
          </cell>
          <cell r="I716" t="str">
            <v>Others</v>
          </cell>
          <cell r="J716">
            <v>3</v>
          </cell>
          <cell r="K716" t="str">
            <v>Others</v>
          </cell>
        </row>
        <row r="717">
          <cell r="D717">
            <v>151190</v>
          </cell>
          <cell r="E717" t="str">
            <v>Vegetable oils; palm oil and its fractions, other than crude, whether or not refined, but not chemically modified</v>
          </cell>
          <cell r="F717">
            <v>0</v>
          </cell>
          <cell r="G717">
            <v>0</v>
          </cell>
          <cell r="H717">
            <v>0</v>
          </cell>
          <cell r="I717" t="str">
            <v>Others</v>
          </cell>
          <cell r="J717">
            <v>3</v>
          </cell>
          <cell r="K717" t="str">
            <v>Others</v>
          </cell>
        </row>
        <row r="718">
          <cell r="D718">
            <v>151211</v>
          </cell>
          <cell r="E718" t="str">
            <v>Vegetable oils; sunflower seed or safflower oil and their fractions, crude, not chemically modified</v>
          </cell>
          <cell r="F718">
            <v>0</v>
          </cell>
          <cell r="G718">
            <v>0</v>
          </cell>
          <cell r="H718">
            <v>0</v>
          </cell>
          <cell r="I718" t="str">
            <v>Others</v>
          </cell>
          <cell r="J718">
            <v>3</v>
          </cell>
          <cell r="K718" t="str">
            <v>Others</v>
          </cell>
        </row>
        <row r="719">
          <cell r="D719">
            <v>151219</v>
          </cell>
          <cell r="E719" t="str">
            <v>Vegetable oils; sunflower seed or safflower oil and their fractions, other than crude, whether or not refined, but not chemically modified</v>
          </cell>
          <cell r="F719">
            <v>0</v>
          </cell>
          <cell r="G719">
            <v>0</v>
          </cell>
          <cell r="H719">
            <v>0</v>
          </cell>
          <cell r="I719" t="str">
            <v>Others</v>
          </cell>
          <cell r="J719">
            <v>3</v>
          </cell>
          <cell r="K719" t="str">
            <v>Others</v>
          </cell>
        </row>
        <row r="720">
          <cell r="D720">
            <v>151221</v>
          </cell>
          <cell r="E720" t="str">
            <v>Vegetable oils; cotton-seed oil and its fractions; crude, whether or not gossypol has been removed, not chemically modified</v>
          </cell>
          <cell r="F720">
            <v>0</v>
          </cell>
          <cell r="G720">
            <v>0</v>
          </cell>
          <cell r="H720">
            <v>0</v>
          </cell>
          <cell r="I720" t="str">
            <v>Others</v>
          </cell>
          <cell r="J720">
            <v>3</v>
          </cell>
          <cell r="K720" t="str">
            <v>Others</v>
          </cell>
        </row>
        <row r="721">
          <cell r="D721">
            <v>151229</v>
          </cell>
          <cell r="E721" t="str">
            <v>Vegetable oils; cotton-seed oil and its fractions, other than crude, whether or not refined, but not chemically modified</v>
          </cell>
          <cell r="F721">
            <v>0</v>
          </cell>
          <cell r="G721">
            <v>0</v>
          </cell>
          <cell r="H721">
            <v>0</v>
          </cell>
          <cell r="I721" t="str">
            <v>Others</v>
          </cell>
          <cell r="J721">
            <v>3</v>
          </cell>
          <cell r="K721" t="str">
            <v>Others</v>
          </cell>
        </row>
        <row r="722">
          <cell r="D722">
            <v>151311</v>
          </cell>
          <cell r="E722" t="str">
            <v>Vegetable oils; coconut (copra) oil and its fractions, crude, not chemically modified</v>
          </cell>
          <cell r="F722">
            <v>0</v>
          </cell>
          <cell r="G722">
            <v>0</v>
          </cell>
          <cell r="H722">
            <v>0</v>
          </cell>
          <cell r="I722" t="str">
            <v>Others</v>
          </cell>
          <cell r="J722">
            <v>3</v>
          </cell>
          <cell r="K722" t="str">
            <v>Others</v>
          </cell>
        </row>
        <row r="723">
          <cell r="D723">
            <v>151319</v>
          </cell>
          <cell r="E723" t="str">
            <v>Vegetable oils; coconut (copra) oil and its fractions, other than crude, whether or not refined, but not chemically modified</v>
          </cell>
          <cell r="F723">
            <v>0</v>
          </cell>
          <cell r="G723">
            <v>0</v>
          </cell>
          <cell r="H723">
            <v>0</v>
          </cell>
          <cell r="I723" t="str">
            <v>Others</v>
          </cell>
          <cell r="J723">
            <v>3</v>
          </cell>
          <cell r="K723" t="str">
            <v>Others</v>
          </cell>
        </row>
        <row r="724">
          <cell r="D724">
            <v>151321</v>
          </cell>
          <cell r="E724" t="str">
            <v>Vegetable oils; palm kernel or babassu oil and their fractions, crude, not chemically modified</v>
          </cell>
          <cell r="F724">
            <v>0</v>
          </cell>
          <cell r="G724">
            <v>0</v>
          </cell>
          <cell r="H724">
            <v>0</v>
          </cell>
          <cell r="I724" t="str">
            <v>Others</v>
          </cell>
          <cell r="J724">
            <v>3</v>
          </cell>
          <cell r="K724" t="str">
            <v>Others</v>
          </cell>
        </row>
        <row r="725">
          <cell r="D725">
            <v>151329</v>
          </cell>
          <cell r="E725" t="str">
            <v>Vegetable oils; palm kernel or babassu oil and their fractions, other than crude, whether or not refined, but not chemically modified</v>
          </cell>
          <cell r="F725">
            <v>0</v>
          </cell>
          <cell r="G725">
            <v>0</v>
          </cell>
          <cell r="H725">
            <v>0</v>
          </cell>
          <cell r="I725" t="str">
            <v>Others</v>
          </cell>
          <cell r="J725">
            <v>3</v>
          </cell>
          <cell r="K725" t="str">
            <v>Others</v>
          </cell>
        </row>
        <row r="726">
          <cell r="D726">
            <v>151411</v>
          </cell>
          <cell r="E726" t="str">
            <v>Vegetable oils; low erucic acid rape or colza oil and its fractions, crude</v>
          </cell>
          <cell r="F726">
            <v>0</v>
          </cell>
          <cell r="G726">
            <v>0</v>
          </cell>
          <cell r="H726">
            <v>0</v>
          </cell>
          <cell r="I726" t="str">
            <v>Others</v>
          </cell>
          <cell r="J726">
            <v>3</v>
          </cell>
          <cell r="K726" t="str">
            <v>Others</v>
          </cell>
        </row>
        <row r="727">
          <cell r="D727">
            <v>151419</v>
          </cell>
          <cell r="E727" t="str">
            <v>Vegetable oils; low erucic acid rape or colza oil and its fractions, other than crude, but not chemically modified</v>
          </cell>
          <cell r="F727">
            <v>0</v>
          </cell>
          <cell r="G727">
            <v>0</v>
          </cell>
          <cell r="H727">
            <v>0</v>
          </cell>
          <cell r="I727" t="str">
            <v>Others</v>
          </cell>
          <cell r="J727">
            <v>3</v>
          </cell>
          <cell r="K727" t="str">
            <v>Others</v>
          </cell>
        </row>
        <row r="728">
          <cell r="D728">
            <v>151491</v>
          </cell>
          <cell r="E728" t="str">
            <v>Vegetable oils; excluding low erucic acid rape or colza oil and its fractions, crude</v>
          </cell>
          <cell r="F728">
            <v>0</v>
          </cell>
          <cell r="G728">
            <v>0</v>
          </cell>
          <cell r="H728">
            <v>0</v>
          </cell>
          <cell r="I728" t="str">
            <v>Others</v>
          </cell>
          <cell r="J728">
            <v>3</v>
          </cell>
          <cell r="K728" t="str">
            <v>Others</v>
          </cell>
        </row>
        <row r="729">
          <cell r="D729">
            <v>151499</v>
          </cell>
          <cell r="E729" t="str">
            <v>Vegetable oils; excluding low erucic acid rape or colza oil and its fractions, other than crude, but not chemically modified</v>
          </cell>
          <cell r="F729">
            <v>0</v>
          </cell>
          <cell r="G729">
            <v>0</v>
          </cell>
          <cell r="H729">
            <v>0</v>
          </cell>
          <cell r="I729" t="str">
            <v>Others</v>
          </cell>
          <cell r="J729">
            <v>3</v>
          </cell>
          <cell r="K729" t="str">
            <v>Others</v>
          </cell>
        </row>
        <row r="730">
          <cell r="D730">
            <v>151511</v>
          </cell>
          <cell r="E730" t="str">
            <v>Vegetable oils; linseed oil and its fractions, crude, not chemically modified</v>
          </cell>
          <cell r="F730">
            <v>0</v>
          </cell>
          <cell r="G730">
            <v>0</v>
          </cell>
          <cell r="H730">
            <v>0</v>
          </cell>
          <cell r="I730" t="str">
            <v>Others</v>
          </cell>
          <cell r="J730">
            <v>3</v>
          </cell>
          <cell r="K730" t="str">
            <v>Others</v>
          </cell>
        </row>
        <row r="731">
          <cell r="D731">
            <v>151519</v>
          </cell>
          <cell r="E731" t="str">
            <v>Vegetable oils; linseed oil and its fractions, other than crude, whether or not refined, but not chemically modified</v>
          </cell>
          <cell r="F731">
            <v>0</v>
          </cell>
          <cell r="G731">
            <v>0</v>
          </cell>
          <cell r="H731">
            <v>0</v>
          </cell>
          <cell r="I731" t="str">
            <v>Others</v>
          </cell>
          <cell r="J731">
            <v>3</v>
          </cell>
          <cell r="K731" t="str">
            <v>Others</v>
          </cell>
        </row>
        <row r="732">
          <cell r="D732">
            <v>151521</v>
          </cell>
          <cell r="E732" t="str">
            <v>Vegetable oils; maize (corn) oil and its fractions, crude, not chemically modified</v>
          </cell>
          <cell r="F732">
            <v>0</v>
          </cell>
          <cell r="G732">
            <v>0</v>
          </cell>
          <cell r="H732">
            <v>0</v>
          </cell>
          <cell r="I732" t="str">
            <v>Others</v>
          </cell>
          <cell r="J732">
            <v>3</v>
          </cell>
          <cell r="K732" t="str">
            <v>Others</v>
          </cell>
        </row>
        <row r="733">
          <cell r="D733">
            <v>151529</v>
          </cell>
          <cell r="E733" t="str">
            <v>Vegetable oils; maize (corn) oil and its fractions, other than crude, whether or not refined, but not chemically modified</v>
          </cell>
          <cell r="F733">
            <v>0</v>
          </cell>
          <cell r="G733">
            <v>0</v>
          </cell>
          <cell r="H733">
            <v>0</v>
          </cell>
          <cell r="I733" t="str">
            <v>Others</v>
          </cell>
          <cell r="J733">
            <v>3</v>
          </cell>
          <cell r="K733" t="str">
            <v>Others</v>
          </cell>
        </row>
        <row r="734">
          <cell r="D734">
            <v>151530</v>
          </cell>
          <cell r="E734" t="str">
            <v>Vegetable oils; castor oil and its fractions, whether or not refined, but not chemically modified</v>
          </cell>
          <cell r="F734">
            <v>0</v>
          </cell>
          <cell r="G734">
            <v>0</v>
          </cell>
          <cell r="H734">
            <v>0</v>
          </cell>
          <cell r="I734" t="str">
            <v>Others</v>
          </cell>
          <cell r="J734">
            <v>3</v>
          </cell>
          <cell r="K734" t="str">
            <v>Others</v>
          </cell>
        </row>
        <row r="735">
          <cell r="D735">
            <v>151550</v>
          </cell>
          <cell r="E735" t="str">
            <v>Vegetable oils; sesame oil and its fractions, whether or not refined, but not chemically modified</v>
          </cell>
          <cell r="F735">
            <v>0</v>
          </cell>
          <cell r="G735">
            <v>0</v>
          </cell>
          <cell r="H735">
            <v>0</v>
          </cell>
          <cell r="I735" t="str">
            <v>Others</v>
          </cell>
          <cell r="J735">
            <v>3</v>
          </cell>
          <cell r="K735" t="str">
            <v>Others</v>
          </cell>
        </row>
        <row r="736">
          <cell r="D736">
            <v>151560</v>
          </cell>
          <cell r="E736" t="str">
            <v>Vegetable oils; microbial fats and oils and their fractions, whether or not refined, but not chemically modified</v>
          </cell>
          <cell r="F736">
            <v>0</v>
          </cell>
          <cell r="G736">
            <v>0</v>
          </cell>
          <cell r="H736">
            <v>0</v>
          </cell>
          <cell r="I736" t="str">
            <v>Others</v>
          </cell>
          <cell r="J736">
            <v>3</v>
          </cell>
          <cell r="K736" t="str">
            <v>Others</v>
          </cell>
        </row>
        <row r="737">
          <cell r="D737">
            <v>151590</v>
          </cell>
          <cell r="E737" t="str">
            <v>Fixed vegetable fats and oils and their fractions n.e.c. in heading 1515; other than linseed, maize (corn), castor, sesame, microbial oils, whether or not refined, but not chemically modified</v>
          </cell>
          <cell r="F737">
            <v>0</v>
          </cell>
          <cell r="G737">
            <v>0</v>
          </cell>
          <cell r="H737">
            <v>0</v>
          </cell>
          <cell r="I737" t="str">
            <v>Others</v>
          </cell>
          <cell r="J737">
            <v>3</v>
          </cell>
          <cell r="K737" t="str">
            <v>Others</v>
          </cell>
        </row>
        <row r="738">
          <cell r="D738">
            <v>151610</v>
          </cell>
          <cell r="E738" t="str">
            <v>Animal fats and oils and their fractions; partly or wholly hydrogenated, inter-esterified, re-esterified or elaidinised, whether or not refined, but not further prepared</v>
          </cell>
          <cell r="F738">
            <v>0</v>
          </cell>
          <cell r="G738">
            <v>0</v>
          </cell>
          <cell r="H738">
            <v>0</v>
          </cell>
          <cell r="I738" t="str">
            <v>Others</v>
          </cell>
          <cell r="J738">
            <v>3</v>
          </cell>
          <cell r="K738" t="str">
            <v>Others</v>
          </cell>
        </row>
        <row r="739">
          <cell r="D739">
            <v>151620</v>
          </cell>
          <cell r="E739" t="str">
            <v>Vegetable fats and oils and their fractions; partly or wholly hydrogenated, inter-esterified, re-esterified or elaidinised, whether or not refined, but not further prepared</v>
          </cell>
          <cell r="F739">
            <v>0</v>
          </cell>
          <cell r="G739">
            <v>0</v>
          </cell>
          <cell r="H739">
            <v>0</v>
          </cell>
          <cell r="I739" t="str">
            <v>Others</v>
          </cell>
          <cell r="J739">
            <v>3</v>
          </cell>
          <cell r="K739" t="str">
            <v>Others</v>
          </cell>
        </row>
        <row r="740">
          <cell r="D740">
            <v>151630</v>
          </cell>
          <cell r="E740" t="str">
            <v>Microbial fats and oils and their fractions; partly or wholly hydrogenated, inter-esterified, re-esterified or elaidinised, whether or not refined, but not further prepared</v>
          </cell>
          <cell r="F740">
            <v>0</v>
          </cell>
          <cell r="G740">
            <v>0</v>
          </cell>
          <cell r="H740">
            <v>0</v>
          </cell>
          <cell r="I740" t="str">
            <v>Others</v>
          </cell>
          <cell r="J740">
            <v>3</v>
          </cell>
          <cell r="K740" t="str">
            <v>Others</v>
          </cell>
        </row>
        <row r="741">
          <cell r="D741">
            <v>151710</v>
          </cell>
          <cell r="E741" t="str">
            <v>Margarine; excluding liquid margarine</v>
          </cell>
          <cell r="F741">
            <v>0</v>
          </cell>
          <cell r="G741">
            <v>0</v>
          </cell>
          <cell r="H741">
            <v>0</v>
          </cell>
          <cell r="I741" t="str">
            <v>Others</v>
          </cell>
          <cell r="J741">
            <v>3</v>
          </cell>
          <cell r="K741" t="str">
            <v>Others</v>
          </cell>
        </row>
        <row r="742">
          <cell r="D742">
            <v>151790</v>
          </cell>
          <cell r="E742" t="str">
            <v>Edible mixtures or preparations of animal, vegetable or microbial fats or oils or of fractions of different fats or oils of this Chapter, n.e.c. in heading 1517, other than edible fats and oils or their fractions of heading 15.16</v>
          </cell>
          <cell r="F742">
            <v>0</v>
          </cell>
          <cell r="G742">
            <v>0</v>
          </cell>
          <cell r="H742">
            <v>0</v>
          </cell>
          <cell r="I742" t="str">
            <v>Others</v>
          </cell>
          <cell r="J742">
            <v>3</v>
          </cell>
          <cell r="K742" t="str">
            <v>Others</v>
          </cell>
        </row>
        <row r="743">
          <cell r="D743">
            <v>151800</v>
          </cell>
          <cell r="E743" t="str">
            <v>Animal, vegetable or microbial fats, oils and their fractions; boiled, oxidised, dehydrated or otherwise chemically modified, excluding those of heading no. 1516, inedible mixtures or preparations of fats, oils or their fractions, n.e.c. in chapter 15</v>
          </cell>
          <cell r="F743">
            <v>0</v>
          </cell>
          <cell r="G743">
            <v>0</v>
          </cell>
          <cell r="H743">
            <v>0</v>
          </cell>
          <cell r="I743" t="str">
            <v>Others</v>
          </cell>
          <cell r="J743">
            <v>3</v>
          </cell>
          <cell r="K743" t="str">
            <v>Others</v>
          </cell>
        </row>
        <row r="744">
          <cell r="D744">
            <v>152000</v>
          </cell>
          <cell r="E744" t="str">
            <v>Glycerol, crude; glycerol waters and glycerol lyes</v>
          </cell>
          <cell r="F744">
            <v>0</v>
          </cell>
          <cell r="G744">
            <v>0</v>
          </cell>
          <cell r="H744">
            <v>0</v>
          </cell>
          <cell r="I744" t="str">
            <v>Others</v>
          </cell>
          <cell r="J744">
            <v>3</v>
          </cell>
          <cell r="K744" t="str">
            <v>Others</v>
          </cell>
        </row>
        <row r="745">
          <cell r="D745">
            <v>152110</v>
          </cell>
          <cell r="E745" t="str">
            <v>Vegetable waxes (other than triglycerides); whether or not refined or coloured</v>
          </cell>
          <cell r="F745">
            <v>0</v>
          </cell>
          <cell r="G745">
            <v>0</v>
          </cell>
          <cell r="H745">
            <v>0</v>
          </cell>
          <cell r="I745" t="str">
            <v>Others</v>
          </cell>
          <cell r="J745">
            <v>3</v>
          </cell>
          <cell r="K745" t="str">
            <v>Others</v>
          </cell>
        </row>
        <row r="746">
          <cell r="D746">
            <v>152190</v>
          </cell>
          <cell r="E746" t="str">
            <v>Waxes, other than vegetable, n.e.c. in heading no. 1521; whether or not refined or coloured</v>
          </cell>
          <cell r="F746">
            <v>0</v>
          </cell>
          <cell r="G746">
            <v>0</v>
          </cell>
          <cell r="H746">
            <v>0</v>
          </cell>
          <cell r="I746" t="str">
            <v>Others</v>
          </cell>
          <cell r="J746">
            <v>3</v>
          </cell>
          <cell r="K746" t="str">
            <v>Others</v>
          </cell>
        </row>
        <row r="747">
          <cell r="D747">
            <v>152200</v>
          </cell>
          <cell r="E747" t="str">
            <v>Degras; residues resulting from the treatment of fatty substances or animal or vegetable waxes</v>
          </cell>
          <cell r="F747">
            <v>0</v>
          </cell>
          <cell r="G747">
            <v>0</v>
          </cell>
          <cell r="H747">
            <v>0</v>
          </cell>
          <cell r="I747" t="str">
            <v>Others</v>
          </cell>
          <cell r="J747">
            <v>3</v>
          </cell>
          <cell r="K747" t="str">
            <v>Others</v>
          </cell>
        </row>
        <row r="748">
          <cell r="D748">
            <v>160100</v>
          </cell>
          <cell r="E748" t="str">
            <v>Meat preparations; sausages and similar products, of meat, meat offal, blood or insects, and food preparations based on these products</v>
          </cell>
          <cell r="F748">
            <v>0</v>
          </cell>
          <cell r="G748">
            <v>0</v>
          </cell>
          <cell r="H748">
            <v>0</v>
          </cell>
          <cell r="I748" t="str">
            <v>Others</v>
          </cell>
          <cell r="J748">
            <v>3</v>
          </cell>
          <cell r="K748" t="str">
            <v>Others</v>
          </cell>
        </row>
        <row r="749">
          <cell r="D749">
            <v>160210</v>
          </cell>
          <cell r="E749" t="str">
            <v>Meat preparations; homogenised preparations of meat, meat offal blood or insects</v>
          </cell>
          <cell r="F749">
            <v>0</v>
          </cell>
          <cell r="G749">
            <v>0</v>
          </cell>
          <cell r="H749">
            <v>0</v>
          </cell>
          <cell r="I749" t="str">
            <v>Others</v>
          </cell>
          <cell r="J749">
            <v>3</v>
          </cell>
          <cell r="K749" t="str">
            <v>Others</v>
          </cell>
        </row>
        <row r="750">
          <cell r="D750">
            <v>160220</v>
          </cell>
          <cell r="E750" t="str">
            <v>Meat preparations; of the prepared or preserved liver of any animal (excluding homogenised preparations)</v>
          </cell>
          <cell r="F750">
            <v>0</v>
          </cell>
          <cell r="G750">
            <v>0</v>
          </cell>
          <cell r="H750">
            <v>0</v>
          </cell>
          <cell r="I750" t="str">
            <v>Others</v>
          </cell>
          <cell r="J750">
            <v>3</v>
          </cell>
          <cell r="K750" t="str">
            <v>Others</v>
          </cell>
        </row>
        <row r="751">
          <cell r="D751">
            <v>160231</v>
          </cell>
          <cell r="E751" t="str">
            <v>Meat preparations; of turkeys, prepared or preserved meat or meat offal (excluding livers and homogenised preparations)</v>
          </cell>
          <cell r="F751">
            <v>0</v>
          </cell>
          <cell r="G751">
            <v>0</v>
          </cell>
          <cell r="H751">
            <v>0</v>
          </cell>
          <cell r="I751" t="str">
            <v>Others</v>
          </cell>
          <cell r="J751">
            <v>3</v>
          </cell>
          <cell r="K751" t="str">
            <v>Others</v>
          </cell>
        </row>
        <row r="752">
          <cell r="D752">
            <v>160232</v>
          </cell>
          <cell r="E752" t="str">
            <v>Meat preparations; of the poultry of heading no. 0105, (i.e. of fowls of the species Gallus domesticus)</v>
          </cell>
          <cell r="F752">
            <v>0</v>
          </cell>
          <cell r="G752">
            <v>0</v>
          </cell>
          <cell r="H752">
            <v>0</v>
          </cell>
          <cell r="I752" t="str">
            <v>Others</v>
          </cell>
          <cell r="J752">
            <v>3</v>
          </cell>
          <cell r="K752" t="str">
            <v>Others</v>
          </cell>
        </row>
        <row r="753">
          <cell r="D753">
            <v>160239</v>
          </cell>
          <cell r="E753" t="str">
            <v>Meat preparations; of poultry (excluding turkeys), prepared or preserved meat or meat offal (excluding livers and homogenised preparations)</v>
          </cell>
          <cell r="F753">
            <v>0</v>
          </cell>
          <cell r="G753">
            <v>0</v>
          </cell>
          <cell r="H753">
            <v>0</v>
          </cell>
          <cell r="I753" t="str">
            <v>Others</v>
          </cell>
          <cell r="J753">
            <v>3</v>
          </cell>
          <cell r="K753" t="str">
            <v>Others</v>
          </cell>
        </row>
        <row r="754">
          <cell r="D754">
            <v>160241</v>
          </cell>
          <cell r="E754" t="str">
            <v>Meat preparations; of swine, hams and cuts thereof, prepared or preserved (excluding homogenised preparations)</v>
          </cell>
          <cell r="F754">
            <v>0</v>
          </cell>
          <cell r="G754">
            <v>0</v>
          </cell>
          <cell r="H754">
            <v>0</v>
          </cell>
          <cell r="I754" t="str">
            <v>Others</v>
          </cell>
          <cell r="J754">
            <v>3</v>
          </cell>
          <cell r="K754" t="str">
            <v>Others</v>
          </cell>
        </row>
        <row r="755">
          <cell r="D755">
            <v>160242</v>
          </cell>
          <cell r="E755" t="str">
            <v>Meat preparations; of swine, shoulders and cuts thereof, prepared or preserved (excluding homogenised preparations)</v>
          </cell>
          <cell r="F755">
            <v>0</v>
          </cell>
          <cell r="G755">
            <v>0</v>
          </cell>
          <cell r="H755">
            <v>0</v>
          </cell>
          <cell r="I755" t="str">
            <v>Others</v>
          </cell>
          <cell r="J755">
            <v>3</v>
          </cell>
          <cell r="K755" t="str">
            <v>Others</v>
          </cell>
        </row>
        <row r="756">
          <cell r="D756">
            <v>160249</v>
          </cell>
          <cell r="E756" t="str">
            <v>Meat preparations; of swine, meat or meat offal (including mixtures), prepared or preserved, n.e.c. in heading no. 1602</v>
          </cell>
          <cell r="F756">
            <v>0</v>
          </cell>
          <cell r="G756">
            <v>0</v>
          </cell>
          <cell r="H756">
            <v>0</v>
          </cell>
          <cell r="I756" t="str">
            <v>Others</v>
          </cell>
          <cell r="J756">
            <v>3</v>
          </cell>
          <cell r="K756" t="str">
            <v>Others</v>
          </cell>
        </row>
        <row r="757">
          <cell r="D757">
            <v>160250</v>
          </cell>
          <cell r="E757" t="str">
            <v>Meat preparations; of bovine animals, meat or meat offal, prepared or preserved (excluding livers and homogenised preparations)</v>
          </cell>
          <cell r="F757">
            <v>0</v>
          </cell>
          <cell r="G757">
            <v>0</v>
          </cell>
          <cell r="H757">
            <v>0</v>
          </cell>
          <cell r="I757" t="str">
            <v>Others</v>
          </cell>
          <cell r="J757">
            <v>3</v>
          </cell>
          <cell r="K757" t="str">
            <v>Others</v>
          </cell>
        </row>
        <row r="758">
          <cell r="D758">
            <v>160290</v>
          </cell>
          <cell r="E758" t="str">
            <v>Meat preparations; of meat, meat offal or the blood of any animal, n.e.c. in heading no. 1602</v>
          </cell>
          <cell r="F758">
            <v>0</v>
          </cell>
          <cell r="G758">
            <v>0</v>
          </cell>
          <cell r="H758">
            <v>0</v>
          </cell>
          <cell r="I758" t="str">
            <v>Others</v>
          </cell>
          <cell r="J758">
            <v>3</v>
          </cell>
          <cell r="K758" t="str">
            <v>Others</v>
          </cell>
        </row>
        <row r="759">
          <cell r="D759">
            <v>160300</v>
          </cell>
          <cell r="E759" t="str">
            <v>Extracts and juices; of meat, fish or crustaceans, molluscs or other aquatic invertebrates</v>
          </cell>
          <cell r="F759">
            <v>0</v>
          </cell>
          <cell r="G759">
            <v>0</v>
          </cell>
          <cell r="H759">
            <v>0</v>
          </cell>
          <cell r="I759" t="str">
            <v>Others</v>
          </cell>
          <cell r="J759">
            <v>3</v>
          </cell>
          <cell r="K759" t="str">
            <v>Others</v>
          </cell>
        </row>
        <row r="760">
          <cell r="D760">
            <v>160411</v>
          </cell>
          <cell r="E760" t="str">
            <v>Fish preparations; salmon, prepared or preserved, whole or in pieces (but not minced)</v>
          </cell>
          <cell r="F760">
            <v>0</v>
          </cell>
          <cell r="G760">
            <v>0</v>
          </cell>
          <cell r="H760">
            <v>0</v>
          </cell>
          <cell r="I760" t="str">
            <v>Others</v>
          </cell>
          <cell r="J760">
            <v>3</v>
          </cell>
          <cell r="K760" t="str">
            <v>Others</v>
          </cell>
        </row>
        <row r="761">
          <cell r="D761">
            <v>160412</v>
          </cell>
          <cell r="E761" t="str">
            <v>Fish preparations; herrings, prepared or preserved, whole or in pieces (but not minced)</v>
          </cell>
          <cell r="F761">
            <v>0</v>
          </cell>
          <cell r="G761">
            <v>0</v>
          </cell>
          <cell r="H761">
            <v>0</v>
          </cell>
          <cell r="I761" t="str">
            <v>Others</v>
          </cell>
          <cell r="J761">
            <v>3</v>
          </cell>
          <cell r="K761" t="str">
            <v>Others</v>
          </cell>
        </row>
        <row r="762">
          <cell r="D762">
            <v>160413</v>
          </cell>
          <cell r="E762" t="str">
            <v>Fish preparations; sardines, sardinella and brisling or sprats, prepared or preserved, whole or in pieces (but not minced)</v>
          </cell>
          <cell r="F762">
            <v>0</v>
          </cell>
          <cell r="G762">
            <v>0</v>
          </cell>
          <cell r="H762">
            <v>0</v>
          </cell>
          <cell r="I762" t="str">
            <v>Others</v>
          </cell>
          <cell r="J762">
            <v>3</v>
          </cell>
          <cell r="K762" t="str">
            <v>Others</v>
          </cell>
        </row>
        <row r="763">
          <cell r="D763">
            <v>160414</v>
          </cell>
          <cell r="E763" t="str">
            <v>Fish preparations; tunas, skipjack tuna and bonito (Sarda spp.), prepared or preserved, whole or in pieces (but not minced)</v>
          </cell>
          <cell r="F763">
            <v>0</v>
          </cell>
          <cell r="G763">
            <v>0</v>
          </cell>
          <cell r="H763">
            <v>0</v>
          </cell>
          <cell r="I763" t="str">
            <v>Others</v>
          </cell>
          <cell r="J763">
            <v>3</v>
          </cell>
          <cell r="K763" t="str">
            <v>Others</v>
          </cell>
        </row>
        <row r="764">
          <cell r="D764">
            <v>160415</v>
          </cell>
          <cell r="E764" t="str">
            <v>Fish preparations; mackerel, prepared or preserved, whole or in pieces (but not minced)</v>
          </cell>
          <cell r="F764">
            <v>0</v>
          </cell>
          <cell r="G764">
            <v>0</v>
          </cell>
          <cell r="H764">
            <v>0</v>
          </cell>
          <cell r="I764" t="str">
            <v>Others</v>
          </cell>
          <cell r="J764">
            <v>3</v>
          </cell>
          <cell r="K764" t="str">
            <v>Others</v>
          </cell>
        </row>
        <row r="765">
          <cell r="D765">
            <v>160416</v>
          </cell>
          <cell r="E765" t="str">
            <v>Fish preparations; anchovies, prepared or preserved, whole or in pieces (but not minced)</v>
          </cell>
          <cell r="F765">
            <v>0</v>
          </cell>
          <cell r="G765">
            <v>0</v>
          </cell>
          <cell r="H765">
            <v>0</v>
          </cell>
          <cell r="I765" t="str">
            <v>Others</v>
          </cell>
          <cell r="J765">
            <v>3</v>
          </cell>
          <cell r="K765" t="str">
            <v>Others</v>
          </cell>
        </row>
        <row r="766">
          <cell r="D766">
            <v>160417</v>
          </cell>
          <cell r="E766" t="str">
            <v>Fish preparations; eels, prepared or preserved, whole or in pieces (but not minced)</v>
          </cell>
          <cell r="F766">
            <v>0</v>
          </cell>
          <cell r="G766">
            <v>0</v>
          </cell>
          <cell r="H766">
            <v>0</v>
          </cell>
          <cell r="I766" t="str">
            <v>Others</v>
          </cell>
          <cell r="J766">
            <v>3</v>
          </cell>
          <cell r="K766" t="str">
            <v>Others</v>
          </cell>
        </row>
        <row r="767">
          <cell r="D767">
            <v>160418</v>
          </cell>
          <cell r="E767" t="str">
            <v>Fish preparations; shark fins, prepared or preserved, whole or in pieces (but not minced)</v>
          </cell>
          <cell r="F767">
            <v>0</v>
          </cell>
          <cell r="G767">
            <v>0</v>
          </cell>
          <cell r="H767">
            <v>0</v>
          </cell>
          <cell r="I767" t="str">
            <v>Others</v>
          </cell>
          <cell r="J767">
            <v>3</v>
          </cell>
          <cell r="K767" t="str">
            <v>Others</v>
          </cell>
        </row>
        <row r="768">
          <cell r="D768">
            <v>160419</v>
          </cell>
          <cell r="E768" t="str">
            <v>Fish preparations; fish prepared or preserved, whole or in pieces (but not minced), n.e.c. in heading no. 1604</v>
          </cell>
          <cell r="F768">
            <v>0</v>
          </cell>
          <cell r="G768">
            <v>0</v>
          </cell>
          <cell r="H768">
            <v>0</v>
          </cell>
          <cell r="I768" t="str">
            <v>Others</v>
          </cell>
          <cell r="J768">
            <v>3</v>
          </cell>
          <cell r="K768" t="str">
            <v>Others</v>
          </cell>
        </row>
        <row r="769">
          <cell r="D769">
            <v>160420</v>
          </cell>
          <cell r="E769" t="str">
            <v>Fish preparations; fish minced or in forms n.e.c. in heading no. 1604, prepared or preserved</v>
          </cell>
          <cell r="F769">
            <v>0</v>
          </cell>
          <cell r="G769">
            <v>0</v>
          </cell>
          <cell r="H769">
            <v>0</v>
          </cell>
          <cell r="I769" t="str">
            <v>Others</v>
          </cell>
          <cell r="J769">
            <v>3</v>
          </cell>
          <cell r="K769" t="str">
            <v>Others</v>
          </cell>
        </row>
        <row r="770">
          <cell r="D770">
            <v>160431</v>
          </cell>
          <cell r="E770" t="str">
            <v>Fish preparations; caviar</v>
          </cell>
          <cell r="F770">
            <v>0</v>
          </cell>
          <cell r="G770">
            <v>0</v>
          </cell>
          <cell r="H770">
            <v>0</v>
          </cell>
          <cell r="I770" t="str">
            <v>Others</v>
          </cell>
          <cell r="J770">
            <v>3</v>
          </cell>
          <cell r="K770" t="str">
            <v>Others</v>
          </cell>
        </row>
        <row r="771">
          <cell r="D771">
            <v>160432</v>
          </cell>
          <cell r="E771" t="str">
            <v>Fish preparations; caviar substitutes, prepared from fish eggs</v>
          </cell>
          <cell r="F771">
            <v>0</v>
          </cell>
          <cell r="G771">
            <v>0</v>
          </cell>
          <cell r="H771">
            <v>0</v>
          </cell>
          <cell r="I771" t="str">
            <v>Others</v>
          </cell>
          <cell r="J771">
            <v>3</v>
          </cell>
          <cell r="K771" t="str">
            <v>Others</v>
          </cell>
        </row>
        <row r="772">
          <cell r="D772">
            <v>160510</v>
          </cell>
          <cell r="E772" t="str">
            <v>Crustacean preparations; crab, prepared or preserved</v>
          </cell>
          <cell r="F772">
            <v>0</v>
          </cell>
          <cell r="G772">
            <v>0</v>
          </cell>
          <cell r="H772">
            <v>0</v>
          </cell>
          <cell r="I772" t="str">
            <v>Others</v>
          </cell>
          <cell r="J772">
            <v>3</v>
          </cell>
          <cell r="K772" t="str">
            <v>Others</v>
          </cell>
        </row>
        <row r="773">
          <cell r="D773">
            <v>160521</v>
          </cell>
          <cell r="E773" t="str">
            <v>Crustacean preparations; shrimps and prawns, prepared or preserved, not in airtight containers</v>
          </cell>
          <cell r="F773">
            <v>0</v>
          </cell>
          <cell r="G773">
            <v>0</v>
          </cell>
          <cell r="H773">
            <v>0</v>
          </cell>
          <cell r="I773" t="str">
            <v>Others</v>
          </cell>
          <cell r="J773">
            <v>3</v>
          </cell>
          <cell r="K773" t="str">
            <v>Others</v>
          </cell>
        </row>
        <row r="774">
          <cell r="D774">
            <v>160529</v>
          </cell>
          <cell r="E774" t="str">
            <v>Crustacean preparations; shrimps and prawns, prepared or preserved, in airtight containers</v>
          </cell>
          <cell r="F774">
            <v>0</v>
          </cell>
          <cell r="G774">
            <v>0</v>
          </cell>
          <cell r="H774">
            <v>0</v>
          </cell>
          <cell r="I774" t="str">
            <v>Others</v>
          </cell>
          <cell r="J774">
            <v>3</v>
          </cell>
          <cell r="K774" t="str">
            <v>Others</v>
          </cell>
        </row>
        <row r="775">
          <cell r="D775">
            <v>160530</v>
          </cell>
          <cell r="E775" t="str">
            <v>Crustacean preparations; lobster, prepared or preserved</v>
          </cell>
          <cell r="F775">
            <v>0</v>
          </cell>
          <cell r="G775">
            <v>0</v>
          </cell>
          <cell r="H775">
            <v>0</v>
          </cell>
          <cell r="I775" t="str">
            <v>Others</v>
          </cell>
          <cell r="J775">
            <v>3</v>
          </cell>
          <cell r="K775" t="str">
            <v>Others</v>
          </cell>
        </row>
        <row r="776">
          <cell r="D776">
            <v>160540</v>
          </cell>
          <cell r="E776" t="str">
            <v>Crustacean preparations; other than crab, shrimps, prawns, and lobsters, prepared or preserved</v>
          </cell>
          <cell r="F776">
            <v>0</v>
          </cell>
          <cell r="G776">
            <v>0</v>
          </cell>
          <cell r="H776">
            <v>0</v>
          </cell>
          <cell r="I776" t="str">
            <v>Others</v>
          </cell>
          <cell r="J776">
            <v>3</v>
          </cell>
          <cell r="K776" t="str">
            <v>Others</v>
          </cell>
        </row>
        <row r="777">
          <cell r="D777">
            <v>160551</v>
          </cell>
          <cell r="E777" t="str">
            <v>Mollusc preparations; oysters, prepared or preserved</v>
          </cell>
          <cell r="F777">
            <v>0</v>
          </cell>
          <cell r="G777">
            <v>0</v>
          </cell>
          <cell r="H777">
            <v>0</v>
          </cell>
          <cell r="I777" t="str">
            <v>Others</v>
          </cell>
          <cell r="J777">
            <v>3</v>
          </cell>
          <cell r="K777" t="str">
            <v>Others</v>
          </cell>
        </row>
        <row r="778">
          <cell r="D778">
            <v>160552</v>
          </cell>
          <cell r="E778" t="str">
            <v>Mollusc preparations; scallops, including queen scallops, prepared or preserved</v>
          </cell>
          <cell r="F778">
            <v>0</v>
          </cell>
          <cell r="G778">
            <v>0</v>
          </cell>
          <cell r="H778">
            <v>0</v>
          </cell>
          <cell r="I778" t="str">
            <v>Others</v>
          </cell>
          <cell r="J778">
            <v>3</v>
          </cell>
          <cell r="K778" t="str">
            <v>Others</v>
          </cell>
        </row>
        <row r="779">
          <cell r="D779">
            <v>160553</v>
          </cell>
          <cell r="E779" t="str">
            <v>Mollusc preparations; mussels, prepared or preserved</v>
          </cell>
          <cell r="F779">
            <v>0</v>
          </cell>
          <cell r="G779">
            <v>0</v>
          </cell>
          <cell r="H779">
            <v>0</v>
          </cell>
          <cell r="I779" t="str">
            <v>Others</v>
          </cell>
          <cell r="J779">
            <v>3</v>
          </cell>
          <cell r="K779" t="str">
            <v>Others</v>
          </cell>
        </row>
        <row r="780">
          <cell r="D780">
            <v>160554</v>
          </cell>
          <cell r="E780" t="str">
            <v>Mollusc preparations; cuttle fish and squid, prepared or preserved</v>
          </cell>
          <cell r="F780">
            <v>0</v>
          </cell>
          <cell r="G780">
            <v>0</v>
          </cell>
          <cell r="H780">
            <v>0</v>
          </cell>
          <cell r="I780" t="str">
            <v>Others</v>
          </cell>
          <cell r="J780">
            <v>3</v>
          </cell>
          <cell r="K780" t="str">
            <v>Others</v>
          </cell>
        </row>
        <row r="781">
          <cell r="D781">
            <v>160555</v>
          </cell>
          <cell r="E781" t="str">
            <v>Mollusc preparations; octopus, prepared or preserved</v>
          </cell>
          <cell r="F781">
            <v>0</v>
          </cell>
          <cell r="G781">
            <v>0</v>
          </cell>
          <cell r="H781">
            <v>0</v>
          </cell>
          <cell r="I781" t="str">
            <v>Others</v>
          </cell>
          <cell r="J781">
            <v>3</v>
          </cell>
          <cell r="K781" t="str">
            <v>Others</v>
          </cell>
        </row>
        <row r="782">
          <cell r="D782">
            <v>160556</v>
          </cell>
          <cell r="E782" t="str">
            <v>Mollusc preparations; clams, cockles and arkshells, prepared or preserved</v>
          </cell>
          <cell r="F782">
            <v>0</v>
          </cell>
          <cell r="G782">
            <v>0</v>
          </cell>
          <cell r="H782">
            <v>0</v>
          </cell>
          <cell r="I782" t="str">
            <v>Others</v>
          </cell>
          <cell r="J782">
            <v>3</v>
          </cell>
          <cell r="K782" t="str">
            <v>Others</v>
          </cell>
        </row>
        <row r="783">
          <cell r="D783">
            <v>160557</v>
          </cell>
          <cell r="E783" t="str">
            <v>Mollusc preparations; abalone, prepared or preserved</v>
          </cell>
          <cell r="F783">
            <v>0</v>
          </cell>
          <cell r="G783">
            <v>0</v>
          </cell>
          <cell r="H783">
            <v>0</v>
          </cell>
          <cell r="I783" t="str">
            <v>Others</v>
          </cell>
          <cell r="J783">
            <v>3</v>
          </cell>
          <cell r="K783" t="str">
            <v>Others</v>
          </cell>
        </row>
        <row r="784">
          <cell r="D784">
            <v>160558</v>
          </cell>
          <cell r="E784" t="str">
            <v>Mollusc preparations; snails, other than sea snails, prepared or preserved</v>
          </cell>
          <cell r="F784">
            <v>0</v>
          </cell>
          <cell r="G784">
            <v>0</v>
          </cell>
          <cell r="H784">
            <v>0</v>
          </cell>
          <cell r="I784" t="str">
            <v>Others</v>
          </cell>
          <cell r="J784">
            <v>3</v>
          </cell>
          <cell r="K784" t="str">
            <v>Others</v>
          </cell>
        </row>
        <row r="785">
          <cell r="D785">
            <v>160559</v>
          </cell>
          <cell r="E785" t="str">
            <v>Mollusc preparations; n.e.c. in item no. 1605.5, preparations such as pastes, sausages, prepared meals and the like</v>
          </cell>
          <cell r="F785">
            <v>0</v>
          </cell>
          <cell r="G785">
            <v>0</v>
          </cell>
          <cell r="H785">
            <v>0</v>
          </cell>
          <cell r="I785" t="str">
            <v>Others</v>
          </cell>
          <cell r="J785">
            <v>3</v>
          </cell>
          <cell r="K785" t="str">
            <v>Others</v>
          </cell>
        </row>
        <row r="786">
          <cell r="D786">
            <v>160561</v>
          </cell>
          <cell r="E786" t="str">
            <v>Aquatic invertebrates; sea cucumbers, prepared or preserved</v>
          </cell>
          <cell r="F786">
            <v>0</v>
          </cell>
          <cell r="G786">
            <v>0</v>
          </cell>
          <cell r="H786">
            <v>0</v>
          </cell>
          <cell r="I786" t="str">
            <v>Others</v>
          </cell>
          <cell r="J786">
            <v>3</v>
          </cell>
          <cell r="K786" t="str">
            <v>Others</v>
          </cell>
        </row>
        <row r="787">
          <cell r="D787">
            <v>160562</v>
          </cell>
          <cell r="E787" t="str">
            <v>Aquatic invertebrates; sea urchins, prepared or preserved</v>
          </cell>
          <cell r="F787">
            <v>0</v>
          </cell>
          <cell r="G787">
            <v>0</v>
          </cell>
          <cell r="H787">
            <v>0</v>
          </cell>
          <cell r="I787" t="str">
            <v>Others</v>
          </cell>
          <cell r="J787">
            <v>3</v>
          </cell>
          <cell r="K787" t="str">
            <v>Others</v>
          </cell>
        </row>
        <row r="788">
          <cell r="D788">
            <v>160563</v>
          </cell>
          <cell r="E788" t="str">
            <v>Aquatic invertebrates; jellyfish, prepared or preserved</v>
          </cell>
          <cell r="F788">
            <v>0</v>
          </cell>
          <cell r="G788">
            <v>0</v>
          </cell>
          <cell r="H788">
            <v>0</v>
          </cell>
          <cell r="I788" t="str">
            <v>Others</v>
          </cell>
          <cell r="J788">
            <v>3</v>
          </cell>
          <cell r="K788" t="str">
            <v>Others</v>
          </cell>
        </row>
        <row r="789">
          <cell r="D789">
            <v>160569</v>
          </cell>
          <cell r="E789" t="str">
            <v>Aquatic invertebrates; other than crustaceans, molluscs, sea cucumbers, sea urchins, and jellyfish, prepared or preserved</v>
          </cell>
          <cell r="F789">
            <v>0</v>
          </cell>
          <cell r="G789">
            <v>0</v>
          </cell>
          <cell r="H789">
            <v>0</v>
          </cell>
          <cell r="I789" t="str">
            <v>Others</v>
          </cell>
          <cell r="J789">
            <v>3</v>
          </cell>
          <cell r="K789" t="str">
            <v>Others</v>
          </cell>
        </row>
        <row r="790">
          <cell r="D790">
            <v>170112</v>
          </cell>
          <cell r="E790" t="str">
            <v>Sugars; beet sugar, raw, in solid form, not containing added flavouring or colouring matter</v>
          </cell>
          <cell r="F790">
            <v>0</v>
          </cell>
          <cell r="G790">
            <v>0</v>
          </cell>
          <cell r="H790">
            <v>0</v>
          </cell>
          <cell r="I790" t="str">
            <v>Others</v>
          </cell>
          <cell r="J790">
            <v>3</v>
          </cell>
          <cell r="K790" t="str">
            <v>Others</v>
          </cell>
        </row>
        <row r="791">
          <cell r="D791">
            <v>170113</v>
          </cell>
          <cell r="E791" t="str">
            <v>Sugars; cane sugar, raw, in solid form, as specified in Subheading Note 2 to this chapter, not containing added flavouring or colouring matter</v>
          </cell>
          <cell r="F791">
            <v>0</v>
          </cell>
          <cell r="G791">
            <v>0</v>
          </cell>
          <cell r="H791">
            <v>0</v>
          </cell>
          <cell r="I791" t="str">
            <v>Others</v>
          </cell>
          <cell r="J791">
            <v>3</v>
          </cell>
          <cell r="K791" t="str">
            <v>Others</v>
          </cell>
        </row>
        <row r="792">
          <cell r="D792">
            <v>170114</v>
          </cell>
          <cell r="E792" t="str">
            <v>Sugars; cane sugar, raw, in solid form, other than as specified in Subheading Note 2 to this chapter, not containing added flavouring or colouring matter</v>
          </cell>
          <cell r="F792">
            <v>0</v>
          </cell>
          <cell r="G792">
            <v>0</v>
          </cell>
          <cell r="H792">
            <v>0</v>
          </cell>
          <cell r="I792" t="str">
            <v>Others</v>
          </cell>
          <cell r="J792">
            <v>3</v>
          </cell>
          <cell r="K792" t="str">
            <v>Others</v>
          </cell>
        </row>
        <row r="793">
          <cell r="D793">
            <v>170191</v>
          </cell>
          <cell r="E793" t="str">
            <v>Sugars; sucrose, chemically pure, in solid form, containing added flavouring or colouring matter</v>
          </cell>
          <cell r="F793">
            <v>0</v>
          </cell>
          <cell r="G793">
            <v>0</v>
          </cell>
          <cell r="H793">
            <v>0</v>
          </cell>
          <cell r="I793" t="str">
            <v>Others</v>
          </cell>
          <cell r="J793">
            <v>3</v>
          </cell>
          <cell r="K793" t="str">
            <v>Others</v>
          </cell>
        </row>
        <row r="794">
          <cell r="D794">
            <v>170199</v>
          </cell>
          <cell r="E794" t="str">
            <v>Sugars; sucrose, chemically pure, in solid form, not containing added flavouring or colouring matter</v>
          </cell>
          <cell r="F794">
            <v>0</v>
          </cell>
          <cell r="G794">
            <v>0</v>
          </cell>
          <cell r="H794">
            <v>0</v>
          </cell>
          <cell r="I794" t="str">
            <v>Others</v>
          </cell>
          <cell r="J794">
            <v>3</v>
          </cell>
          <cell r="K794" t="str">
            <v>Others</v>
          </cell>
        </row>
        <row r="795">
          <cell r="D795">
            <v>170211</v>
          </cell>
          <cell r="E795" t="str">
            <v>Sugars; lactose and lactose syrup, containing by weight 99% or more lactose, expressed as anhydrous lactose, calculated on the dry matter</v>
          </cell>
          <cell r="F795">
            <v>0</v>
          </cell>
          <cell r="G795">
            <v>0</v>
          </cell>
          <cell r="H795">
            <v>0</v>
          </cell>
          <cell r="I795" t="str">
            <v>Others</v>
          </cell>
          <cell r="J795">
            <v>3</v>
          </cell>
          <cell r="K795" t="str">
            <v>Others</v>
          </cell>
        </row>
        <row r="796">
          <cell r="D796">
            <v>170219</v>
          </cell>
          <cell r="E796" t="str">
            <v>Sugars; lactose and lactose syrup, containing by weight less than 99% lactose, expressed as anhydrous lactose, calculated on the dry matter</v>
          </cell>
          <cell r="F796">
            <v>0</v>
          </cell>
          <cell r="G796">
            <v>0</v>
          </cell>
          <cell r="H796">
            <v>0</v>
          </cell>
          <cell r="I796" t="str">
            <v>Others</v>
          </cell>
          <cell r="J796">
            <v>3</v>
          </cell>
          <cell r="K796" t="str">
            <v>Others</v>
          </cell>
        </row>
        <row r="797">
          <cell r="D797">
            <v>170220</v>
          </cell>
          <cell r="E797" t="str">
            <v>Sugars; maple sugar, chemically pure, in solid form; maple syrup, not containing added flavouring or colouring matter</v>
          </cell>
          <cell r="F797">
            <v>0</v>
          </cell>
          <cell r="G797">
            <v>0</v>
          </cell>
          <cell r="H797">
            <v>0</v>
          </cell>
          <cell r="I797" t="str">
            <v>Others</v>
          </cell>
          <cell r="J797">
            <v>3</v>
          </cell>
          <cell r="K797" t="str">
            <v>Others</v>
          </cell>
        </row>
        <row r="798">
          <cell r="D798">
            <v>170230</v>
          </cell>
          <cell r="E798" t="str">
            <v>Sugars; glucose and glucose syrup, not containing fructose or containing in the dry state less than 20% by weight of fructose, the syrup not containing added flavouring or colouring matter</v>
          </cell>
          <cell r="F798">
            <v>0</v>
          </cell>
          <cell r="G798">
            <v>0</v>
          </cell>
          <cell r="H798">
            <v>0</v>
          </cell>
          <cell r="I798" t="str">
            <v>Others</v>
          </cell>
          <cell r="J798">
            <v>3</v>
          </cell>
          <cell r="K798" t="str">
            <v>Others</v>
          </cell>
        </row>
        <row r="799">
          <cell r="D799">
            <v>170240</v>
          </cell>
          <cell r="E799" t="str">
            <v>Sugars; glucose and glucose syrup, containing in the dry state at least 20% but less than 50% by weight of fructose, excluding invert sugar, the syrup not containing added flavouring or colouring matter</v>
          </cell>
          <cell r="F799">
            <v>0</v>
          </cell>
          <cell r="G799">
            <v>0</v>
          </cell>
          <cell r="H799">
            <v>0</v>
          </cell>
          <cell r="I799" t="str">
            <v>Others</v>
          </cell>
          <cell r="J799">
            <v>3</v>
          </cell>
          <cell r="K799" t="str">
            <v>Others</v>
          </cell>
        </row>
        <row r="800">
          <cell r="D800">
            <v>170250</v>
          </cell>
          <cell r="E800" t="str">
            <v>Sugars; fructose, chemically pure, in solid form</v>
          </cell>
          <cell r="F800">
            <v>0</v>
          </cell>
          <cell r="G800">
            <v>0</v>
          </cell>
          <cell r="H800">
            <v>0</v>
          </cell>
          <cell r="I800" t="str">
            <v>Others</v>
          </cell>
          <cell r="J800">
            <v>3</v>
          </cell>
          <cell r="K800" t="str">
            <v>Others</v>
          </cell>
        </row>
        <row r="801">
          <cell r="D801">
            <v>170260</v>
          </cell>
          <cell r="E801" t="str">
            <v>Sugars; fructose, other than chemically pure fructose, and fructose syrup (containing in the dry state more than 50% by weight of fructose), excluding invert sugar</v>
          </cell>
          <cell r="F801">
            <v>0</v>
          </cell>
          <cell r="G801">
            <v>0</v>
          </cell>
          <cell r="H801">
            <v>0</v>
          </cell>
          <cell r="I801" t="str">
            <v>Others</v>
          </cell>
          <cell r="J801">
            <v>3</v>
          </cell>
          <cell r="K801" t="str">
            <v>Others</v>
          </cell>
        </row>
        <row r="802">
          <cell r="D802">
            <v>170290</v>
          </cell>
          <cell r="E802" t="str">
            <v>Sugars; n.e.c. in heading no. 1702, including invert sugar and other sugar and sugar syrup blends containing, in the dry state, 50% by weight of fructose</v>
          </cell>
          <cell r="F802">
            <v>0</v>
          </cell>
          <cell r="G802">
            <v>0</v>
          </cell>
          <cell r="H802">
            <v>0</v>
          </cell>
          <cell r="I802" t="str">
            <v>Others</v>
          </cell>
          <cell r="J802">
            <v>3</v>
          </cell>
          <cell r="K802" t="str">
            <v>Others</v>
          </cell>
        </row>
        <row r="803">
          <cell r="D803">
            <v>170310</v>
          </cell>
          <cell r="E803" t="str">
            <v>Sugars; molasses, from sugar cane, resulting from the extraction or refining of sugar</v>
          </cell>
          <cell r="F803">
            <v>0</v>
          </cell>
          <cell r="G803">
            <v>0</v>
          </cell>
          <cell r="H803">
            <v>0</v>
          </cell>
          <cell r="I803" t="str">
            <v>Others</v>
          </cell>
          <cell r="J803">
            <v>3</v>
          </cell>
          <cell r="K803" t="str">
            <v>Others</v>
          </cell>
        </row>
        <row r="804">
          <cell r="D804">
            <v>170390</v>
          </cell>
          <cell r="E804" t="str">
            <v>Sugars; molasses, from sugar beet, resulting from the extraction or refining of sugar</v>
          </cell>
          <cell r="F804">
            <v>0</v>
          </cell>
          <cell r="G804">
            <v>0</v>
          </cell>
          <cell r="H804">
            <v>0</v>
          </cell>
          <cell r="I804" t="str">
            <v>Others</v>
          </cell>
          <cell r="J804">
            <v>3</v>
          </cell>
          <cell r="K804" t="str">
            <v>Others</v>
          </cell>
        </row>
        <row r="805">
          <cell r="D805">
            <v>170410</v>
          </cell>
          <cell r="E805" t="str">
            <v>Sugar confectionery; chewing gum, whether or not sugar-coated, not containing cocoa</v>
          </cell>
          <cell r="F805">
            <v>0</v>
          </cell>
          <cell r="G805">
            <v>0</v>
          </cell>
          <cell r="H805">
            <v>0</v>
          </cell>
          <cell r="I805" t="str">
            <v>Others</v>
          </cell>
          <cell r="J805">
            <v>3</v>
          </cell>
          <cell r="K805" t="str">
            <v>Others</v>
          </cell>
        </row>
        <row r="806">
          <cell r="D806">
            <v>170490</v>
          </cell>
          <cell r="E806" t="str">
            <v>Sugar confectionery; (excluding chewing gum, including white chocolate), not containing cocoa</v>
          </cell>
          <cell r="F806">
            <v>0</v>
          </cell>
          <cell r="G806">
            <v>0</v>
          </cell>
          <cell r="H806">
            <v>0</v>
          </cell>
          <cell r="I806" t="str">
            <v>Others</v>
          </cell>
          <cell r="J806">
            <v>3</v>
          </cell>
          <cell r="K806" t="str">
            <v>Others</v>
          </cell>
        </row>
        <row r="807">
          <cell r="D807">
            <v>180100</v>
          </cell>
          <cell r="E807" t="str">
            <v>Cocoa beans; whole or broken, raw or roasted</v>
          </cell>
          <cell r="F807">
            <v>0</v>
          </cell>
          <cell r="G807">
            <v>0</v>
          </cell>
          <cell r="H807">
            <v>0</v>
          </cell>
          <cell r="I807" t="str">
            <v>Others</v>
          </cell>
          <cell r="J807">
            <v>3</v>
          </cell>
          <cell r="K807" t="str">
            <v>Others</v>
          </cell>
        </row>
        <row r="808">
          <cell r="D808">
            <v>180200</v>
          </cell>
          <cell r="E808" t="str">
            <v>Cocoa; shells, husks, skins and other cocoa waste</v>
          </cell>
          <cell r="F808">
            <v>0</v>
          </cell>
          <cell r="G808">
            <v>0</v>
          </cell>
          <cell r="H808">
            <v>0</v>
          </cell>
          <cell r="I808" t="str">
            <v>Others</v>
          </cell>
          <cell r="J808">
            <v>3</v>
          </cell>
          <cell r="K808" t="str">
            <v>Others</v>
          </cell>
        </row>
        <row r="809">
          <cell r="D809">
            <v>180310</v>
          </cell>
          <cell r="E809" t="str">
            <v>Cocoa; paste, not defatted</v>
          </cell>
          <cell r="F809">
            <v>0</v>
          </cell>
          <cell r="G809">
            <v>0</v>
          </cell>
          <cell r="H809">
            <v>0</v>
          </cell>
          <cell r="I809" t="str">
            <v>Others</v>
          </cell>
          <cell r="J809">
            <v>3</v>
          </cell>
          <cell r="K809" t="str">
            <v>Others</v>
          </cell>
        </row>
        <row r="810">
          <cell r="D810">
            <v>180320</v>
          </cell>
          <cell r="E810" t="str">
            <v>Cocoa; paste, wholly or partly defatted</v>
          </cell>
          <cell r="F810">
            <v>0</v>
          </cell>
          <cell r="G810">
            <v>0</v>
          </cell>
          <cell r="H810">
            <v>0</v>
          </cell>
          <cell r="I810" t="str">
            <v>Others</v>
          </cell>
          <cell r="J810">
            <v>3</v>
          </cell>
          <cell r="K810" t="str">
            <v>Others</v>
          </cell>
        </row>
        <row r="811">
          <cell r="D811">
            <v>180400</v>
          </cell>
          <cell r="E811" t="str">
            <v>Cocoa; butter, fat and oil</v>
          </cell>
          <cell r="F811">
            <v>0</v>
          </cell>
          <cell r="G811">
            <v>0</v>
          </cell>
          <cell r="H811">
            <v>0</v>
          </cell>
          <cell r="I811" t="str">
            <v>Others</v>
          </cell>
          <cell r="J811">
            <v>3</v>
          </cell>
          <cell r="K811" t="str">
            <v>Others</v>
          </cell>
        </row>
        <row r="812">
          <cell r="D812">
            <v>180500</v>
          </cell>
          <cell r="E812" t="str">
            <v>Cocoa; powder, not containing added sugar or other sweetening matter</v>
          </cell>
          <cell r="F812">
            <v>0</v>
          </cell>
          <cell r="G812">
            <v>0</v>
          </cell>
          <cell r="H812">
            <v>0</v>
          </cell>
          <cell r="I812" t="str">
            <v>Others</v>
          </cell>
          <cell r="J812">
            <v>3</v>
          </cell>
          <cell r="K812" t="str">
            <v>Others</v>
          </cell>
        </row>
        <row r="813">
          <cell r="D813">
            <v>180610</v>
          </cell>
          <cell r="E813" t="str">
            <v>Cocoa; powder, containing added sugar or other sweetening matter</v>
          </cell>
          <cell r="F813">
            <v>0</v>
          </cell>
          <cell r="G813">
            <v>0</v>
          </cell>
          <cell r="H813">
            <v>0</v>
          </cell>
          <cell r="I813" t="str">
            <v>Others</v>
          </cell>
          <cell r="J813">
            <v>3</v>
          </cell>
          <cell r="K813" t="str">
            <v>Others</v>
          </cell>
        </row>
        <row r="814">
          <cell r="D814">
            <v>180620</v>
          </cell>
          <cell r="E814" t="str">
            <v>Chocolate &amp; other food preparations containing cocoa; in blocks, slabs or bars weighing more than 2kg or in liquid, paste, powder, granular or other bulk form in containers or immediate packings, content exceeding 2kg</v>
          </cell>
          <cell r="F814">
            <v>0</v>
          </cell>
          <cell r="G814">
            <v>0</v>
          </cell>
          <cell r="H814">
            <v>0</v>
          </cell>
          <cell r="I814" t="str">
            <v>Others</v>
          </cell>
          <cell r="J814">
            <v>3</v>
          </cell>
          <cell r="K814" t="str">
            <v>Others</v>
          </cell>
        </row>
        <row r="815">
          <cell r="D815">
            <v>180631</v>
          </cell>
          <cell r="E815" t="str">
            <v>Chocolate and other food preparations containing cocoa; in blocks, slabs or bars, filled, weighing 2kg or less</v>
          </cell>
          <cell r="F815">
            <v>0</v>
          </cell>
          <cell r="G815">
            <v>0</v>
          </cell>
          <cell r="H815">
            <v>0</v>
          </cell>
          <cell r="I815" t="str">
            <v>Others</v>
          </cell>
          <cell r="J815">
            <v>3</v>
          </cell>
          <cell r="K815" t="str">
            <v>Others</v>
          </cell>
        </row>
        <row r="816">
          <cell r="D816">
            <v>180632</v>
          </cell>
          <cell r="E816" t="str">
            <v>Chocolate and other food preparations containing cocoa; in blocks, slabs or bars, (not filled), weighing 2kg or less</v>
          </cell>
          <cell r="F816">
            <v>0</v>
          </cell>
          <cell r="G816">
            <v>0</v>
          </cell>
          <cell r="H816">
            <v>0</v>
          </cell>
          <cell r="I816" t="str">
            <v>Others</v>
          </cell>
          <cell r="J816">
            <v>3</v>
          </cell>
          <cell r="K816" t="str">
            <v>Others</v>
          </cell>
        </row>
        <row r="817">
          <cell r="D817">
            <v>180690</v>
          </cell>
          <cell r="E817" t="str">
            <v>Chocolate and other food preparations containing cocoa; n.e.c. in chapter 18</v>
          </cell>
          <cell r="F817">
            <v>0</v>
          </cell>
          <cell r="G817">
            <v>0</v>
          </cell>
          <cell r="H817">
            <v>0</v>
          </cell>
          <cell r="I817" t="str">
            <v>Others</v>
          </cell>
          <cell r="J817">
            <v>3</v>
          </cell>
          <cell r="K817" t="str">
            <v>Others</v>
          </cell>
        </row>
        <row r="818">
          <cell r="D818">
            <v>190110</v>
          </cell>
          <cell r="E818" t="str">
            <v>Food preparations; of flour, meal, starch, malt extract or milk products, suitable for infants or young children, put up for retail sale</v>
          </cell>
          <cell r="F818">
            <v>0</v>
          </cell>
          <cell r="G818">
            <v>0</v>
          </cell>
          <cell r="H818">
            <v>0</v>
          </cell>
          <cell r="I818" t="str">
            <v>Others</v>
          </cell>
          <cell r="J818">
            <v>3</v>
          </cell>
          <cell r="K818" t="str">
            <v>Others</v>
          </cell>
        </row>
        <row r="819">
          <cell r="D819">
            <v>190120</v>
          </cell>
          <cell r="E819" t="str">
            <v>Food preparations; mixes and doughs for the preparation of bread, pastry, cakes, biscuits and other bakers' wares</v>
          </cell>
          <cell r="F819">
            <v>0</v>
          </cell>
          <cell r="G819">
            <v>0</v>
          </cell>
          <cell r="H819">
            <v>0</v>
          </cell>
          <cell r="I819" t="str">
            <v>Others</v>
          </cell>
          <cell r="J819">
            <v>3</v>
          </cell>
          <cell r="K819" t="str">
            <v>Others</v>
          </cell>
        </row>
        <row r="820">
          <cell r="D820">
            <v>190190</v>
          </cell>
          <cell r="E820" t="str">
            <v>Food preparations; of flour, meal, starch, malt extract or milk products, for uses n.e.c. in heading no. 1901</v>
          </cell>
          <cell r="F820">
            <v>0</v>
          </cell>
          <cell r="G820">
            <v>0</v>
          </cell>
          <cell r="H820">
            <v>0</v>
          </cell>
          <cell r="I820" t="str">
            <v>Others</v>
          </cell>
          <cell r="J820">
            <v>3</v>
          </cell>
          <cell r="K820" t="str">
            <v>Others</v>
          </cell>
        </row>
        <row r="821">
          <cell r="D821">
            <v>190211</v>
          </cell>
          <cell r="E821" t="str">
            <v>Food preparations; pasta, containing eggs, uncooked, not stuffed or otherwise prepared</v>
          </cell>
          <cell r="F821">
            <v>0</v>
          </cell>
          <cell r="G821">
            <v>0</v>
          </cell>
          <cell r="H821">
            <v>0</v>
          </cell>
          <cell r="I821" t="str">
            <v>Others</v>
          </cell>
          <cell r="J821">
            <v>3</v>
          </cell>
          <cell r="K821" t="str">
            <v>Others</v>
          </cell>
        </row>
        <row r="822">
          <cell r="D822">
            <v>190219</v>
          </cell>
          <cell r="E822" t="str">
            <v>Food preparations; pasta, uncooked (excluding that containing eggs), not stuffed or otherwise prepared</v>
          </cell>
          <cell r="F822">
            <v>0</v>
          </cell>
          <cell r="G822">
            <v>0</v>
          </cell>
          <cell r="H822">
            <v>0</v>
          </cell>
          <cell r="I822" t="str">
            <v>Others</v>
          </cell>
          <cell r="J822">
            <v>3</v>
          </cell>
          <cell r="K822" t="str">
            <v>Others</v>
          </cell>
        </row>
        <row r="823">
          <cell r="D823">
            <v>190220</v>
          </cell>
          <cell r="E823" t="str">
            <v>Food preparations; pasta, stuffed (with meat or other substances), whether or not cooked or otherwise prepared</v>
          </cell>
          <cell r="F823">
            <v>0</v>
          </cell>
          <cell r="G823">
            <v>0</v>
          </cell>
          <cell r="H823">
            <v>0</v>
          </cell>
          <cell r="I823" t="str">
            <v>Others</v>
          </cell>
          <cell r="J823">
            <v>3</v>
          </cell>
          <cell r="K823" t="str">
            <v>Others</v>
          </cell>
        </row>
        <row r="824">
          <cell r="D824">
            <v>190230</v>
          </cell>
          <cell r="E824" t="str">
            <v>Food preparations; pasta (excluding stuffed), cooked or otherwise prepared</v>
          </cell>
          <cell r="F824">
            <v>0</v>
          </cell>
          <cell r="G824">
            <v>0</v>
          </cell>
          <cell r="H824">
            <v>0</v>
          </cell>
          <cell r="I824" t="str">
            <v>Others</v>
          </cell>
          <cell r="J824">
            <v>3</v>
          </cell>
          <cell r="K824" t="str">
            <v>Others</v>
          </cell>
        </row>
        <row r="825">
          <cell r="D825">
            <v>190240</v>
          </cell>
          <cell r="E825" t="str">
            <v>Food preparations; couscous</v>
          </cell>
          <cell r="F825">
            <v>0</v>
          </cell>
          <cell r="G825">
            <v>0</v>
          </cell>
          <cell r="H825">
            <v>0</v>
          </cell>
          <cell r="I825" t="str">
            <v>Others</v>
          </cell>
          <cell r="J825">
            <v>3</v>
          </cell>
          <cell r="K825" t="str">
            <v>Others</v>
          </cell>
        </row>
        <row r="826">
          <cell r="D826">
            <v>190300</v>
          </cell>
          <cell r="E826" t="str">
            <v>Food preparations; tapioca and substitutes thereof, prepared from starch in the form of flakes, grains, pearls, siftings or similar</v>
          </cell>
          <cell r="F826">
            <v>0</v>
          </cell>
          <cell r="G826">
            <v>0</v>
          </cell>
          <cell r="H826">
            <v>0</v>
          </cell>
          <cell r="I826" t="str">
            <v>Others</v>
          </cell>
          <cell r="J826">
            <v>3</v>
          </cell>
          <cell r="K826" t="str">
            <v>Others</v>
          </cell>
        </row>
        <row r="827">
          <cell r="D827">
            <v>190410</v>
          </cell>
          <cell r="E827" t="str">
            <v>Food preparations; obtained by the swelling or roasting of cereals or cereal products</v>
          </cell>
          <cell r="F827">
            <v>0</v>
          </cell>
          <cell r="G827">
            <v>0</v>
          </cell>
          <cell r="H827">
            <v>0</v>
          </cell>
          <cell r="I827" t="str">
            <v>Others</v>
          </cell>
          <cell r="J827">
            <v>3</v>
          </cell>
          <cell r="K827" t="str">
            <v>Others</v>
          </cell>
        </row>
        <row r="828">
          <cell r="D828">
            <v>190420</v>
          </cell>
          <cell r="E828" t="str">
            <v>Food preparations; obtained from unroasted cereal flakes or from mixtures of unroasted cereal flakes and roasted cereal flakes or swelled cereals</v>
          </cell>
          <cell r="F828">
            <v>0</v>
          </cell>
          <cell r="G828">
            <v>0</v>
          </cell>
          <cell r="H828">
            <v>0</v>
          </cell>
          <cell r="I828" t="str">
            <v>Others</v>
          </cell>
          <cell r="J828">
            <v>3</v>
          </cell>
          <cell r="K828" t="str">
            <v>Others</v>
          </cell>
        </row>
        <row r="829">
          <cell r="D829">
            <v>190430</v>
          </cell>
          <cell r="E829" t="str">
            <v>Prepared foods obtained by the swelling or roasting of cereals or cereal products (e.g. corn flakes); cereals, not maize (corn), in grain form or in the form of flakes or other worked grains, from bulgur wheat</v>
          </cell>
          <cell r="F829">
            <v>0</v>
          </cell>
          <cell r="G829">
            <v>0</v>
          </cell>
          <cell r="H829">
            <v>0</v>
          </cell>
          <cell r="I829" t="str">
            <v>Others</v>
          </cell>
          <cell r="J829">
            <v>3</v>
          </cell>
          <cell r="K829" t="str">
            <v>Others</v>
          </cell>
        </row>
        <row r="830">
          <cell r="D830">
            <v>190490</v>
          </cell>
          <cell r="E830" t="str">
            <v>Food preparations; cereal or cereal products (excluding maize), in grain form, pre-cooked or otherwise prepared</v>
          </cell>
          <cell r="F830">
            <v>0</v>
          </cell>
          <cell r="G830">
            <v>0</v>
          </cell>
          <cell r="H830">
            <v>0</v>
          </cell>
          <cell r="I830" t="str">
            <v>Others</v>
          </cell>
          <cell r="J830">
            <v>3</v>
          </cell>
          <cell r="K830" t="str">
            <v>Others</v>
          </cell>
        </row>
        <row r="831">
          <cell r="D831">
            <v>190510</v>
          </cell>
          <cell r="E831" t="str">
            <v>Food preparations; crispbread, whether or not containing cocoa</v>
          </cell>
          <cell r="F831">
            <v>0</v>
          </cell>
          <cell r="G831">
            <v>0</v>
          </cell>
          <cell r="H831">
            <v>0</v>
          </cell>
          <cell r="I831" t="str">
            <v>Others</v>
          </cell>
          <cell r="J831">
            <v>3</v>
          </cell>
          <cell r="K831" t="str">
            <v>Others</v>
          </cell>
        </row>
        <row r="832">
          <cell r="D832">
            <v>190520</v>
          </cell>
          <cell r="E832" t="str">
            <v>Food preparations; gingerbread and the like, whether or not containing cocoa</v>
          </cell>
          <cell r="F832">
            <v>0</v>
          </cell>
          <cell r="G832">
            <v>0</v>
          </cell>
          <cell r="H832">
            <v>0</v>
          </cell>
          <cell r="I832" t="str">
            <v>Others</v>
          </cell>
          <cell r="J832">
            <v>3</v>
          </cell>
          <cell r="K832" t="str">
            <v>Others</v>
          </cell>
        </row>
        <row r="833">
          <cell r="D833">
            <v>190531</v>
          </cell>
          <cell r="E833" t="str">
            <v>Food preparations; sweet biscuits, whether or not containing cocoa</v>
          </cell>
          <cell r="F833">
            <v>0</v>
          </cell>
          <cell r="G833">
            <v>0</v>
          </cell>
          <cell r="H833">
            <v>0</v>
          </cell>
          <cell r="I833" t="str">
            <v>Others</v>
          </cell>
          <cell r="J833">
            <v>3</v>
          </cell>
          <cell r="K833" t="str">
            <v>Others</v>
          </cell>
        </row>
        <row r="834">
          <cell r="D834">
            <v>190532</v>
          </cell>
          <cell r="E834" t="str">
            <v>Food preparations; waffles and wafers, whether or not containing cocoa</v>
          </cell>
          <cell r="F834">
            <v>0</v>
          </cell>
          <cell r="G834">
            <v>0</v>
          </cell>
          <cell r="H834">
            <v>0</v>
          </cell>
          <cell r="I834" t="str">
            <v>Others</v>
          </cell>
          <cell r="J834">
            <v>3</v>
          </cell>
          <cell r="K834" t="str">
            <v>Others</v>
          </cell>
        </row>
        <row r="835">
          <cell r="D835">
            <v>190540</v>
          </cell>
          <cell r="E835" t="str">
            <v>Food preparations; rusks, toasted bread and similar toasted products, whether or not containing cocoa</v>
          </cell>
          <cell r="F835">
            <v>0</v>
          </cell>
          <cell r="G835">
            <v>0</v>
          </cell>
          <cell r="H835">
            <v>0</v>
          </cell>
          <cell r="I835" t="str">
            <v>Others</v>
          </cell>
          <cell r="J835">
            <v>3</v>
          </cell>
          <cell r="K835" t="str">
            <v>Others</v>
          </cell>
        </row>
        <row r="836">
          <cell r="D836">
            <v>190590</v>
          </cell>
          <cell r="E836" t="str">
            <v>Food preparations; bakers' wares n.e.c. in heading no. 1605, whether or not containing cocoa; communion wafers, empty cachets suitable for pharmaceutical use, sealing wafers, rice papers and similar products</v>
          </cell>
          <cell r="F836">
            <v>0</v>
          </cell>
          <cell r="G836">
            <v>0</v>
          </cell>
          <cell r="H836">
            <v>0</v>
          </cell>
          <cell r="I836" t="str">
            <v>Others</v>
          </cell>
          <cell r="J836">
            <v>3</v>
          </cell>
          <cell r="K836" t="str">
            <v>Others</v>
          </cell>
        </row>
        <row r="837">
          <cell r="D837">
            <v>200110</v>
          </cell>
          <cell r="E837" t="str">
            <v>Vegetable preparations; cucumbers and gherkins, prepared or preserved by vinegar or acetic acid</v>
          </cell>
          <cell r="F837">
            <v>0</v>
          </cell>
          <cell r="G837">
            <v>0</v>
          </cell>
          <cell r="H837">
            <v>0</v>
          </cell>
          <cell r="I837" t="str">
            <v>Others</v>
          </cell>
          <cell r="J837">
            <v>3</v>
          </cell>
          <cell r="K837" t="str">
            <v>Others</v>
          </cell>
        </row>
        <row r="838">
          <cell r="D838">
            <v>200190</v>
          </cell>
          <cell r="E838" t="str">
            <v>Vegetable preparations; vegetables, fruit, nuts and other edible parts of plants, prepared or preserved by vinegar or acetic acid (excluding cucumbers and gherkins)</v>
          </cell>
          <cell r="F838">
            <v>0</v>
          </cell>
          <cell r="G838">
            <v>0</v>
          </cell>
          <cell r="H838">
            <v>0</v>
          </cell>
          <cell r="I838" t="str">
            <v>Others</v>
          </cell>
          <cell r="J838">
            <v>3</v>
          </cell>
          <cell r="K838" t="str">
            <v>Others</v>
          </cell>
        </row>
        <row r="839">
          <cell r="D839">
            <v>200210</v>
          </cell>
          <cell r="E839" t="str">
            <v>Vegetable preparations; tomatoes, whole or in pieces, prepared or preserved otherwise than by vinegar or acetic acid</v>
          </cell>
          <cell r="F839">
            <v>0</v>
          </cell>
          <cell r="G839">
            <v>0</v>
          </cell>
          <cell r="H839">
            <v>0</v>
          </cell>
          <cell r="I839" t="str">
            <v>Others</v>
          </cell>
          <cell r="J839">
            <v>3</v>
          </cell>
          <cell r="K839" t="str">
            <v>Others</v>
          </cell>
        </row>
        <row r="840">
          <cell r="D840">
            <v>200290</v>
          </cell>
          <cell r="E840" t="str">
            <v>Vegetable preparations; tomatoes, (other than whole or in pieces), prepared or preserved otherwise than by vinegar or acetic acid</v>
          </cell>
          <cell r="F840">
            <v>0</v>
          </cell>
          <cell r="G840">
            <v>0</v>
          </cell>
          <cell r="H840">
            <v>0</v>
          </cell>
          <cell r="I840" t="str">
            <v>Others</v>
          </cell>
          <cell r="J840">
            <v>3</v>
          </cell>
          <cell r="K840" t="str">
            <v>Others</v>
          </cell>
        </row>
        <row r="841">
          <cell r="D841">
            <v>200310</v>
          </cell>
          <cell r="E841" t="str">
            <v>Vegetable preparations; mushrooms of the genus Agaricus, prepared or preserved otherwise than by vinegar or acetic acid</v>
          </cell>
          <cell r="F841">
            <v>0</v>
          </cell>
          <cell r="G841">
            <v>0</v>
          </cell>
          <cell r="H841">
            <v>0</v>
          </cell>
          <cell r="I841" t="str">
            <v>Others</v>
          </cell>
          <cell r="J841">
            <v>3</v>
          </cell>
          <cell r="K841" t="str">
            <v>Others</v>
          </cell>
        </row>
        <row r="842">
          <cell r="D842">
            <v>200390</v>
          </cell>
          <cell r="E842" t="str">
            <v>Vegetable preparations; mushrooms and truffles, other than mushrooms of the genus Agaricus, prepared or preserved otherwise than by vinegar or acetic acid</v>
          </cell>
          <cell r="F842">
            <v>0</v>
          </cell>
          <cell r="G842">
            <v>0</v>
          </cell>
          <cell r="H842">
            <v>0</v>
          </cell>
          <cell r="I842" t="str">
            <v>Others</v>
          </cell>
          <cell r="J842">
            <v>3</v>
          </cell>
          <cell r="K842" t="str">
            <v>Others</v>
          </cell>
        </row>
        <row r="843">
          <cell r="D843">
            <v>200410</v>
          </cell>
          <cell r="E843" t="str">
            <v>Vegetable preparations; potatoes, prepared or preserved otherwise than by vinegar or acetic acid, frozen</v>
          </cell>
          <cell r="F843">
            <v>0</v>
          </cell>
          <cell r="G843">
            <v>0</v>
          </cell>
          <cell r="H843">
            <v>0</v>
          </cell>
          <cell r="I843" t="str">
            <v>Others</v>
          </cell>
          <cell r="J843">
            <v>3</v>
          </cell>
          <cell r="K843" t="str">
            <v>Others</v>
          </cell>
        </row>
        <row r="844">
          <cell r="D844">
            <v>200490</v>
          </cell>
          <cell r="E844" t="str">
            <v>Vegetable preparations; vegetables and mixtures of vegetables (excluding potatoes), prepared or preserved otherwise than by vinegar or acetic acid, frozen</v>
          </cell>
          <cell r="F844">
            <v>0</v>
          </cell>
          <cell r="G844">
            <v>0</v>
          </cell>
          <cell r="H844">
            <v>0</v>
          </cell>
          <cell r="I844" t="str">
            <v>Others</v>
          </cell>
          <cell r="J844">
            <v>3</v>
          </cell>
          <cell r="K844" t="str">
            <v>Others</v>
          </cell>
        </row>
        <row r="845">
          <cell r="D845">
            <v>200510</v>
          </cell>
          <cell r="E845" t="str">
            <v>Vegetable preparations; homogenised vegetables, prepared or preserved otherwise than by vinegar or acetic acid, not frozen</v>
          </cell>
          <cell r="F845">
            <v>0</v>
          </cell>
          <cell r="G845">
            <v>0</v>
          </cell>
          <cell r="H845">
            <v>0</v>
          </cell>
          <cell r="I845" t="str">
            <v>Others</v>
          </cell>
          <cell r="J845">
            <v>3</v>
          </cell>
          <cell r="K845" t="str">
            <v>Others</v>
          </cell>
        </row>
        <row r="846">
          <cell r="D846">
            <v>200520</v>
          </cell>
          <cell r="E846" t="str">
            <v>Vegetable preparations; potatoes, prepared or preserved otherwise than by vinegar or acetic acid, not frozen</v>
          </cell>
          <cell r="F846">
            <v>0</v>
          </cell>
          <cell r="G846">
            <v>0</v>
          </cell>
          <cell r="H846">
            <v>0</v>
          </cell>
          <cell r="I846" t="str">
            <v>Others</v>
          </cell>
          <cell r="J846">
            <v>3</v>
          </cell>
          <cell r="K846" t="str">
            <v>Others</v>
          </cell>
        </row>
        <row r="847">
          <cell r="D847">
            <v>200540</v>
          </cell>
          <cell r="E847" t="str">
            <v>Vegetable preparations; peas (pisum sativum), prepared or preserved otherwise than by vinegar or acetic acid, not frozen</v>
          </cell>
          <cell r="F847">
            <v>0</v>
          </cell>
          <cell r="G847">
            <v>0</v>
          </cell>
          <cell r="H847">
            <v>0</v>
          </cell>
          <cell r="I847" t="str">
            <v>Others</v>
          </cell>
          <cell r="J847">
            <v>3</v>
          </cell>
          <cell r="K847" t="str">
            <v>Others</v>
          </cell>
        </row>
        <row r="848">
          <cell r="D848">
            <v>200551</v>
          </cell>
          <cell r="E848" t="str">
            <v>Vegetable preparations; beans, shelled, prepared or preserved otherwise than by vinegar or acetic acid, not frozen</v>
          </cell>
          <cell r="F848">
            <v>0</v>
          </cell>
          <cell r="G848">
            <v>0</v>
          </cell>
          <cell r="H848">
            <v>0</v>
          </cell>
          <cell r="I848" t="str">
            <v>Others</v>
          </cell>
          <cell r="J848">
            <v>3</v>
          </cell>
          <cell r="K848" t="str">
            <v>Others</v>
          </cell>
        </row>
        <row r="849">
          <cell r="D849">
            <v>200559</v>
          </cell>
          <cell r="E849" t="str">
            <v>Vegetable preparations; beans, (not shelled), prepared or preserved otherwise than by vinegar or acetic acid, not frozen</v>
          </cell>
          <cell r="F849">
            <v>0</v>
          </cell>
          <cell r="G849">
            <v>0</v>
          </cell>
          <cell r="H849">
            <v>0</v>
          </cell>
          <cell r="I849" t="str">
            <v>Others</v>
          </cell>
          <cell r="J849">
            <v>3</v>
          </cell>
          <cell r="K849" t="str">
            <v>Others</v>
          </cell>
        </row>
        <row r="850">
          <cell r="D850">
            <v>200560</v>
          </cell>
          <cell r="E850" t="str">
            <v>Vegetable preparations; asparagus, prepared or preserved otherwise than by vinegar or acetic acid, not frozen</v>
          </cell>
          <cell r="F850">
            <v>0</v>
          </cell>
          <cell r="G850">
            <v>0</v>
          </cell>
          <cell r="H850">
            <v>0</v>
          </cell>
          <cell r="I850" t="str">
            <v>Others</v>
          </cell>
          <cell r="J850">
            <v>3</v>
          </cell>
          <cell r="K850" t="str">
            <v>Others</v>
          </cell>
        </row>
        <row r="851">
          <cell r="D851">
            <v>200570</v>
          </cell>
          <cell r="E851" t="str">
            <v>Vegetable preparations; olives, prepared or preserved otherwise than by vinegar or acetic acid, not frozen</v>
          </cell>
          <cell r="F851">
            <v>0</v>
          </cell>
          <cell r="G851">
            <v>0</v>
          </cell>
          <cell r="H851">
            <v>0</v>
          </cell>
          <cell r="I851" t="str">
            <v>Others</v>
          </cell>
          <cell r="J851">
            <v>3</v>
          </cell>
          <cell r="K851" t="str">
            <v>Others</v>
          </cell>
        </row>
        <row r="852">
          <cell r="D852">
            <v>200580</v>
          </cell>
          <cell r="E852" t="str">
            <v>Vegetable preparations; sweetcorn (zea mays var. saccharata), prepared or preserved otherwise than by vinegar or acetic acid, not frozen</v>
          </cell>
          <cell r="F852">
            <v>0</v>
          </cell>
          <cell r="G852">
            <v>0</v>
          </cell>
          <cell r="H852">
            <v>0</v>
          </cell>
          <cell r="I852" t="str">
            <v>Others</v>
          </cell>
          <cell r="J852">
            <v>3</v>
          </cell>
          <cell r="K852" t="str">
            <v>Others</v>
          </cell>
        </row>
        <row r="853">
          <cell r="D853">
            <v>200591</v>
          </cell>
          <cell r="E853" t="str">
            <v>Vegetable preparations; bamboo shoots, prepared or preserved otherwise than by vinegar or acetic acid, not frozen</v>
          </cell>
          <cell r="F853">
            <v>0</v>
          </cell>
          <cell r="G853">
            <v>0</v>
          </cell>
          <cell r="H853">
            <v>0</v>
          </cell>
          <cell r="I853" t="str">
            <v>Others</v>
          </cell>
          <cell r="J853">
            <v>3</v>
          </cell>
          <cell r="K853" t="str">
            <v>Others</v>
          </cell>
        </row>
        <row r="854">
          <cell r="D854">
            <v>200599</v>
          </cell>
          <cell r="E854" t="str">
            <v>Vegetable preparations; vegetables and mixtures of vegetables n.e.c. in heading no. 2005, prepared or preserved otherwise than by vinegar or acetic acid, not frozen</v>
          </cell>
          <cell r="F854">
            <v>0</v>
          </cell>
          <cell r="G854">
            <v>0</v>
          </cell>
          <cell r="H854">
            <v>0</v>
          </cell>
          <cell r="I854" t="str">
            <v>Others</v>
          </cell>
          <cell r="J854">
            <v>3</v>
          </cell>
          <cell r="K854" t="str">
            <v>Others</v>
          </cell>
        </row>
        <row r="855">
          <cell r="D855">
            <v>200600</v>
          </cell>
          <cell r="E855" t="str">
            <v>Vegetables, fruit, nuts, fruit-peel and other parts of plants, preserved by sugar (drained, glace or crystallised)</v>
          </cell>
          <cell r="F855">
            <v>0</v>
          </cell>
          <cell r="G855">
            <v>0</v>
          </cell>
          <cell r="H855">
            <v>0</v>
          </cell>
          <cell r="I855" t="str">
            <v>Others</v>
          </cell>
          <cell r="J855">
            <v>3</v>
          </cell>
          <cell r="K855" t="str">
            <v>Others</v>
          </cell>
        </row>
        <row r="856">
          <cell r="D856">
            <v>200710</v>
          </cell>
          <cell r="E856" t="str">
            <v>Jams, fruit jellies, marmalades, fruit or nut puree and fruit or nut pastes; homogenised, cooked preparations, whether or not containing added sugar or other sweetening matter</v>
          </cell>
          <cell r="F856">
            <v>0</v>
          </cell>
          <cell r="G856">
            <v>0</v>
          </cell>
          <cell r="H856">
            <v>0</v>
          </cell>
          <cell r="I856" t="str">
            <v>Others</v>
          </cell>
          <cell r="J856">
            <v>3</v>
          </cell>
          <cell r="K856" t="str">
            <v>Others</v>
          </cell>
        </row>
        <row r="857">
          <cell r="D857">
            <v>200791</v>
          </cell>
          <cell r="E857" t="str">
            <v>Jams, jellies, marmalades, purees and pastes; of citrus fruit, being cooked preparations (excluding homogenised), whether or not containing added sugar or other sweetening matter</v>
          </cell>
          <cell r="F857">
            <v>0</v>
          </cell>
          <cell r="G857">
            <v>0</v>
          </cell>
          <cell r="H857">
            <v>0</v>
          </cell>
          <cell r="I857" t="str">
            <v>Others</v>
          </cell>
          <cell r="J857">
            <v>3</v>
          </cell>
          <cell r="K857" t="str">
            <v>Others</v>
          </cell>
        </row>
        <row r="858">
          <cell r="D858">
            <v>200799</v>
          </cell>
          <cell r="E858" t="str">
            <v>Jams, fruit jellies, marmalades, purees and pastes; of fruit or nuts n.e.c. in heading no. 2007, cooked preparations (excluding homogenised), whether or not containing added sugar or other sweetening matter</v>
          </cell>
          <cell r="F858">
            <v>0</v>
          </cell>
          <cell r="G858">
            <v>0</v>
          </cell>
          <cell r="H858">
            <v>0</v>
          </cell>
          <cell r="I858" t="str">
            <v>Others</v>
          </cell>
          <cell r="J858">
            <v>3</v>
          </cell>
          <cell r="K858" t="str">
            <v>Others</v>
          </cell>
        </row>
        <row r="859">
          <cell r="D859">
            <v>200811</v>
          </cell>
          <cell r="E859" t="str">
            <v>Nuts; ground-nuts, whether or not containing added sugar, other sweetening matter or spirit</v>
          </cell>
          <cell r="F859">
            <v>0</v>
          </cell>
          <cell r="G859">
            <v>0</v>
          </cell>
          <cell r="H859">
            <v>0</v>
          </cell>
          <cell r="I859" t="str">
            <v>Others</v>
          </cell>
          <cell r="J859">
            <v>3</v>
          </cell>
          <cell r="K859" t="str">
            <v>Others</v>
          </cell>
        </row>
        <row r="860">
          <cell r="D860">
            <v>200819</v>
          </cell>
          <cell r="E860" t="str">
            <v>Nuts and other seeds; whether or not containing added sugar, other sweetening matter or spirit (excluding ground-nuts except in mixtures)</v>
          </cell>
          <cell r="F860">
            <v>0</v>
          </cell>
          <cell r="G860">
            <v>0</v>
          </cell>
          <cell r="H860">
            <v>0</v>
          </cell>
          <cell r="I860" t="str">
            <v>Others</v>
          </cell>
          <cell r="J860">
            <v>3</v>
          </cell>
          <cell r="K860" t="str">
            <v>Others</v>
          </cell>
        </row>
        <row r="861">
          <cell r="D861">
            <v>200820</v>
          </cell>
          <cell r="E861" t="str">
            <v>Fruit; pineapples, prepared or preserved in ways n.e.c. in heading no. 2007, whether or not containing added sugar, other sweetening matter or spirit</v>
          </cell>
          <cell r="F861">
            <v>0</v>
          </cell>
          <cell r="G861">
            <v>0</v>
          </cell>
          <cell r="H861">
            <v>0</v>
          </cell>
          <cell r="I861" t="str">
            <v>Others</v>
          </cell>
          <cell r="J861">
            <v>3</v>
          </cell>
          <cell r="K861" t="str">
            <v>Others</v>
          </cell>
        </row>
        <row r="862">
          <cell r="D862">
            <v>200830</v>
          </cell>
          <cell r="E862" t="str">
            <v>Fruit; citrus, prepared or preserved in ways n.e.c. in heading no. 2007, whether or not containing added sugar, other sweetening matter or spirit</v>
          </cell>
          <cell r="F862">
            <v>0</v>
          </cell>
          <cell r="G862">
            <v>0</v>
          </cell>
          <cell r="H862">
            <v>0</v>
          </cell>
          <cell r="I862" t="str">
            <v>Others</v>
          </cell>
          <cell r="J862">
            <v>3</v>
          </cell>
          <cell r="K862" t="str">
            <v>Others</v>
          </cell>
        </row>
        <row r="863">
          <cell r="D863">
            <v>200840</v>
          </cell>
          <cell r="E863" t="str">
            <v>Fruit; pears, prepared or preserved in ways n.e.c. in heading no. 2007, whether or not containing added sugar, other sweetening matter or spirit</v>
          </cell>
          <cell r="F863">
            <v>0</v>
          </cell>
          <cell r="G863">
            <v>0</v>
          </cell>
          <cell r="H863">
            <v>0</v>
          </cell>
          <cell r="I863" t="str">
            <v>Others</v>
          </cell>
          <cell r="J863">
            <v>3</v>
          </cell>
          <cell r="K863" t="str">
            <v>Others</v>
          </cell>
        </row>
        <row r="864">
          <cell r="D864">
            <v>200850</v>
          </cell>
          <cell r="E864" t="str">
            <v>Fruit; apricots, prepared or preserved in ways n.e.c. in heading no. 2007, whether or not containing added sugar, other sweetening matter or spirit</v>
          </cell>
          <cell r="F864">
            <v>0</v>
          </cell>
          <cell r="G864">
            <v>0</v>
          </cell>
          <cell r="H864">
            <v>0</v>
          </cell>
          <cell r="I864" t="str">
            <v>Others</v>
          </cell>
          <cell r="J864">
            <v>3</v>
          </cell>
          <cell r="K864" t="str">
            <v>Others</v>
          </cell>
        </row>
        <row r="865">
          <cell r="D865">
            <v>200860</v>
          </cell>
          <cell r="E865" t="str">
            <v>Fruit; cherries, prepared or preserved in ways n.e.c. in heading no. 2007, whether or not containing added sugar, other sweetening matter or spirit</v>
          </cell>
          <cell r="F865">
            <v>0</v>
          </cell>
          <cell r="G865">
            <v>0</v>
          </cell>
          <cell r="H865">
            <v>0</v>
          </cell>
          <cell r="I865" t="str">
            <v>Others</v>
          </cell>
          <cell r="J865">
            <v>3</v>
          </cell>
          <cell r="K865" t="str">
            <v>Others</v>
          </cell>
        </row>
        <row r="866">
          <cell r="D866">
            <v>200870</v>
          </cell>
          <cell r="E866" t="str">
            <v>Fruit; peaches, including nectarines, prepared or preserved in ways n.e.c. in heading no. 2007 and 2008, whether or not containing added sugar, other sweetening matter or spirit</v>
          </cell>
          <cell r="F866">
            <v>0</v>
          </cell>
          <cell r="G866">
            <v>0</v>
          </cell>
          <cell r="H866">
            <v>0</v>
          </cell>
          <cell r="I866" t="str">
            <v>Others</v>
          </cell>
          <cell r="J866">
            <v>3</v>
          </cell>
          <cell r="K866" t="str">
            <v>Others</v>
          </cell>
        </row>
        <row r="867">
          <cell r="D867">
            <v>200880</v>
          </cell>
          <cell r="E867" t="str">
            <v>Fruit; strawberries, prepared or preserved in ways n.e.c. in heading no. 2007, whether or not containing added sugar, other sweetening matter or spirit</v>
          </cell>
          <cell r="F867">
            <v>0</v>
          </cell>
          <cell r="G867">
            <v>0</v>
          </cell>
          <cell r="H867">
            <v>0</v>
          </cell>
          <cell r="I867" t="str">
            <v>Others</v>
          </cell>
          <cell r="J867">
            <v>3</v>
          </cell>
          <cell r="K867" t="str">
            <v>Others</v>
          </cell>
        </row>
        <row r="868">
          <cell r="D868">
            <v>200891</v>
          </cell>
          <cell r="E868" t="str">
            <v>Fruit, palm hearts; prepared or preserved, whether or not containing added sugar, other sweetening matter or spirit</v>
          </cell>
          <cell r="F868">
            <v>0</v>
          </cell>
          <cell r="G868">
            <v>0</v>
          </cell>
          <cell r="H868">
            <v>0</v>
          </cell>
          <cell r="I868" t="str">
            <v>Others</v>
          </cell>
          <cell r="J868">
            <v>3</v>
          </cell>
          <cell r="K868" t="str">
            <v>Others</v>
          </cell>
        </row>
        <row r="869">
          <cell r="D869">
            <v>200893</v>
          </cell>
          <cell r="E869" t="str">
            <v>Fruit; cranberries (Vaccinium macrocarpon, Vaccinium oxycoccos); Iingonberries (Vaccinium vitis-idaea), prepared or preserved, whether or not containing added sugar, other sweetening matter or spirit</v>
          </cell>
          <cell r="F869">
            <v>0</v>
          </cell>
          <cell r="G869">
            <v>0</v>
          </cell>
          <cell r="H869">
            <v>0</v>
          </cell>
          <cell r="I869" t="str">
            <v>Others</v>
          </cell>
          <cell r="J869">
            <v>3</v>
          </cell>
          <cell r="K869" t="str">
            <v>Others</v>
          </cell>
        </row>
        <row r="870">
          <cell r="D870">
            <v>200897</v>
          </cell>
          <cell r="E870" t="str">
            <v>Fruit, nuts and other edible parts of plants; mixtures (other than those of subheading no 2008.19); prepared or preserved in ways n.e.c. in headings 2007 and 2008, whether or not containing added sugar, or other sweetening matter or spirit, n.e.c.</v>
          </cell>
          <cell r="F870">
            <v>0</v>
          </cell>
          <cell r="G870">
            <v>0</v>
          </cell>
          <cell r="H870">
            <v>0</v>
          </cell>
          <cell r="I870" t="str">
            <v>Others</v>
          </cell>
          <cell r="J870">
            <v>3</v>
          </cell>
          <cell r="K870" t="str">
            <v>Others</v>
          </cell>
        </row>
        <row r="871">
          <cell r="D871">
            <v>200899</v>
          </cell>
          <cell r="E871" t="str">
            <v>Fruit, nuts and other edible parts of plants; prepared or preserved, whether or not containing added sugar, other sweetening matter or spirit, n.e.c. in heading no. 2008</v>
          </cell>
          <cell r="F871">
            <v>0</v>
          </cell>
          <cell r="G871">
            <v>0</v>
          </cell>
          <cell r="H871">
            <v>0</v>
          </cell>
          <cell r="I871" t="str">
            <v>Others</v>
          </cell>
          <cell r="J871">
            <v>3</v>
          </cell>
          <cell r="K871" t="str">
            <v>Others</v>
          </cell>
        </row>
        <row r="872">
          <cell r="D872">
            <v>200911</v>
          </cell>
          <cell r="E872" t="str">
            <v>Juice; orange, frozen, unfermented, (not containing added spirit), whether or not containing added sugar or other sweetening matter</v>
          </cell>
          <cell r="F872">
            <v>0</v>
          </cell>
          <cell r="G872">
            <v>0</v>
          </cell>
          <cell r="H872">
            <v>0</v>
          </cell>
          <cell r="I872" t="str">
            <v>Others</v>
          </cell>
          <cell r="J872">
            <v>3</v>
          </cell>
          <cell r="K872" t="str">
            <v>Others</v>
          </cell>
        </row>
        <row r="873">
          <cell r="D873">
            <v>200912</v>
          </cell>
          <cell r="E873" t="str">
            <v>Juice; orange, not frozen, of a Brix value not exceeding 20, unfermented, not containing added spirit, whether or not containing added sugar or other sweetening matter</v>
          </cell>
          <cell r="F873">
            <v>0</v>
          </cell>
          <cell r="G873">
            <v>0</v>
          </cell>
          <cell r="H873">
            <v>0</v>
          </cell>
          <cell r="I873" t="str">
            <v>Others</v>
          </cell>
          <cell r="J873">
            <v>3</v>
          </cell>
          <cell r="K873" t="str">
            <v>Others</v>
          </cell>
        </row>
        <row r="874">
          <cell r="D874">
            <v>200919</v>
          </cell>
          <cell r="E874" t="str">
            <v>Juice; orange, not frozen, of a Brix value exceeding 20, unfermented, not containing added spirit, whether or not containing added sugar or other sweetening matter</v>
          </cell>
          <cell r="F874">
            <v>0</v>
          </cell>
          <cell r="G874">
            <v>0</v>
          </cell>
          <cell r="H874">
            <v>0</v>
          </cell>
          <cell r="I874" t="str">
            <v>Others</v>
          </cell>
          <cell r="J874">
            <v>3</v>
          </cell>
          <cell r="K874" t="str">
            <v>Others</v>
          </cell>
        </row>
        <row r="875">
          <cell r="D875">
            <v>200921</v>
          </cell>
          <cell r="E875" t="str">
            <v>Juice; grapefruit or pomelo, of a Brix value not exceeding 20, unfermented, (not containing added spirit), whether or not containing added sugar or other sweetening matter</v>
          </cell>
          <cell r="F875">
            <v>0</v>
          </cell>
          <cell r="G875">
            <v>0</v>
          </cell>
          <cell r="H875">
            <v>0</v>
          </cell>
          <cell r="I875" t="str">
            <v>Others</v>
          </cell>
          <cell r="J875">
            <v>3</v>
          </cell>
          <cell r="K875" t="str">
            <v>Others</v>
          </cell>
        </row>
        <row r="876">
          <cell r="D876">
            <v>200929</v>
          </cell>
          <cell r="E876" t="str">
            <v>Juice; grapefruit or pomelo, of a Brix value exceeding 20, unfermented, not containing added spirit, whether or not containing added sugar or other sweetening matter</v>
          </cell>
          <cell r="F876">
            <v>0</v>
          </cell>
          <cell r="G876">
            <v>0</v>
          </cell>
          <cell r="H876">
            <v>0</v>
          </cell>
          <cell r="I876" t="str">
            <v>Others</v>
          </cell>
          <cell r="J876">
            <v>3</v>
          </cell>
          <cell r="K876" t="str">
            <v>Others</v>
          </cell>
        </row>
        <row r="877">
          <cell r="D877">
            <v>200931</v>
          </cell>
          <cell r="E877" t="str">
            <v>Juice; of single citrus fruit (excluding orange, grapefruit or pomelo), of a Brix value not exceeding 20, unfermented, not containing added spirit, whether or not containing added sugar or other sweetening matter</v>
          </cell>
          <cell r="F877">
            <v>0</v>
          </cell>
          <cell r="G877">
            <v>0</v>
          </cell>
          <cell r="H877">
            <v>0</v>
          </cell>
          <cell r="I877" t="str">
            <v>Others</v>
          </cell>
          <cell r="J877">
            <v>3</v>
          </cell>
          <cell r="K877" t="str">
            <v>Others</v>
          </cell>
        </row>
        <row r="878">
          <cell r="D878">
            <v>200939</v>
          </cell>
          <cell r="E878" t="str">
            <v>Juice; of single citrus fruit (excluding orange, grapefruit or pomelo), of a Brix value exceeding 20, unfermented, not containing added spirit, whether or not containing added sugar or other sweetening matter</v>
          </cell>
          <cell r="F878">
            <v>0</v>
          </cell>
          <cell r="G878">
            <v>0</v>
          </cell>
          <cell r="H878">
            <v>0</v>
          </cell>
          <cell r="I878" t="str">
            <v>Others</v>
          </cell>
          <cell r="J878">
            <v>3</v>
          </cell>
          <cell r="K878" t="str">
            <v>Others</v>
          </cell>
        </row>
        <row r="879">
          <cell r="D879">
            <v>200941</v>
          </cell>
          <cell r="E879" t="str">
            <v>Juice; pineapple, of a Brix value not exceeding 20, unfermented, (not containing added spirit), whether or not containing added sugar or other sweetening matter</v>
          </cell>
          <cell r="F879">
            <v>0</v>
          </cell>
          <cell r="G879">
            <v>0</v>
          </cell>
          <cell r="H879">
            <v>0</v>
          </cell>
          <cell r="I879" t="str">
            <v>Others</v>
          </cell>
          <cell r="J879">
            <v>3</v>
          </cell>
          <cell r="K879" t="str">
            <v>Others</v>
          </cell>
        </row>
        <row r="880">
          <cell r="D880">
            <v>200949</v>
          </cell>
          <cell r="E880" t="str">
            <v>Juice; pineapple, of a Brix value exceeding 20, unfermented, not containing added spirit, whether or not containing added sugar or other sweetening matter</v>
          </cell>
          <cell r="F880">
            <v>0</v>
          </cell>
          <cell r="G880">
            <v>0</v>
          </cell>
          <cell r="H880">
            <v>0</v>
          </cell>
          <cell r="I880" t="str">
            <v>Others</v>
          </cell>
          <cell r="J880">
            <v>3</v>
          </cell>
          <cell r="K880" t="str">
            <v>Others</v>
          </cell>
        </row>
        <row r="881">
          <cell r="D881">
            <v>200950</v>
          </cell>
          <cell r="E881" t="str">
            <v>Juice; tomato, unfermented, not containing added spirit, whether or not containing added sugar or other sweetening matter</v>
          </cell>
          <cell r="F881">
            <v>0</v>
          </cell>
          <cell r="G881">
            <v>0</v>
          </cell>
          <cell r="H881">
            <v>0</v>
          </cell>
          <cell r="I881" t="str">
            <v>Others</v>
          </cell>
          <cell r="J881">
            <v>3</v>
          </cell>
          <cell r="K881" t="str">
            <v>Others</v>
          </cell>
        </row>
        <row r="882">
          <cell r="D882">
            <v>200961</v>
          </cell>
          <cell r="E882" t="str">
            <v>Juice; grape, of a Brix value not exceeding 30, unfermented, (not containing added spirit), whether or not containing added sugar or other sweetening matter</v>
          </cell>
          <cell r="F882">
            <v>0</v>
          </cell>
          <cell r="G882">
            <v>0</v>
          </cell>
          <cell r="H882">
            <v>0</v>
          </cell>
          <cell r="I882" t="str">
            <v>Others</v>
          </cell>
          <cell r="J882">
            <v>3</v>
          </cell>
          <cell r="K882" t="str">
            <v>Others</v>
          </cell>
        </row>
        <row r="883">
          <cell r="D883">
            <v>200969</v>
          </cell>
          <cell r="E883" t="str">
            <v>Juice; grape, of a Brix value exceeding 30, unfermented, not containing added spirit, whether or not containing added sugar or other sweetening matter</v>
          </cell>
          <cell r="F883">
            <v>0</v>
          </cell>
          <cell r="G883">
            <v>0</v>
          </cell>
          <cell r="H883">
            <v>0</v>
          </cell>
          <cell r="I883" t="str">
            <v>Others</v>
          </cell>
          <cell r="J883">
            <v>3</v>
          </cell>
          <cell r="K883" t="str">
            <v>Others</v>
          </cell>
        </row>
        <row r="884">
          <cell r="D884">
            <v>200971</v>
          </cell>
          <cell r="E884" t="str">
            <v>Juice; apple, of a Brix value not exceeding 20, unfermented, (not containing added spirit), whether or not containing added sugar or other sweetening matter</v>
          </cell>
          <cell r="F884">
            <v>0</v>
          </cell>
          <cell r="G884">
            <v>0</v>
          </cell>
          <cell r="H884">
            <v>0</v>
          </cell>
          <cell r="I884" t="str">
            <v>Others</v>
          </cell>
          <cell r="J884">
            <v>3</v>
          </cell>
          <cell r="K884" t="str">
            <v>Others</v>
          </cell>
        </row>
        <row r="885">
          <cell r="D885">
            <v>200979</v>
          </cell>
          <cell r="E885" t="str">
            <v>Juice; apple, of a Brix value exceeding 20, unfermented, not containing added spirit, whether or not containing added sugar or other sweetening matter</v>
          </cell>
          <cell r="F885">
            <v>0</v>
          </cell>
          <cell r="G885">
            <v>0</v>
          </cell>
          <cell r="H885">
            <v>0</v>
          </cell>
          <cell r="I885" t="str">
            <v>Others</v>
          </cell>
          <cell r="J885">
            <v>3</v>
          </cell>
          <cell r="K885" t="str">
            <v>Others</v>
          </cell>
        </row>
        <row r="886">
          <cell r="D886">
            <v>200981</v>
          </cell>
          <cell r="E886" t="str">
            <v>Juice; cranberry (Vaccinium macrocarpon, Vaccinium oxycoccos); Iingonberry (Vaccinium vitis-idaea), unfermented, not containing added spirit, whether or not containing added sugar or other sweetening matter</v>
          </cell>
          <cell r="F886">
            <v>0</v>
          </cell>
          <cell r="G886">
            <v>0</v>
          </cell>
          <cell r="H886">
            <v>0</v>
          </cell>
          <cell r="I886" t="str">
            <v>Others</v>
          </cell>
          <cell r="J886">
            <v>3</v>
          </cell>
          <cell r="K886" t="str">
            <v>Others</v>
          </cell>
        </row>
        <row r="887">
          <cell r="D887">
            <v>200989</v>
          </cell>
          <cell r="E887" t="str">
            <v>Juice; of any single fruit, nut or vegetable n.e.c. in heading no. 2009, unfermented, not containing added spirit, whether or not containing added sugar or other sweetening matter</v>
          </cell>
          <cell r="F887">
            <v>0</v>
          </cell>
          <cell r="G887">
            <v>0</v>
          </cell>
          <cell r="H887">
            <v>0</v>
          </cell>
          <cell r="I887" t="str">
            <v>Others</v>
          </cell>
          <cell r="J887">
            <v>3</v>
          </cell>
          <cell r="K887" t="str">
            <v>Others</v>
          </cell>
        </row>
        <row r="888">
          <cell r="D888">
            <v>200990</v>
          </cell>
          <cell r="E888" t="str">
            <v>Juices; mixtures of fruits or vegetables (but not nut juice), unfermented, not containing added spirit, whether or not containing added sugar or other sweetening matter</v>
          </cell>
          <cell r="F888">
            <v>0</v>
          </cell>
          <cell r="G888">
            <v>0</v>
          </cell>
          <cell r="H888">
            <v>0</v>
          </cell>
          <cell r="I888" t="str">
            <v>Others</v>
          </cell>
          <cell r="J888">
            <v>3</v>
          </cell>
          <cell r="K888" t="str">
            <v>Others</v>
          </cell>
        </row>
        <row r="889">
          <cell r="D889">
            <v>210111</v>
          </cell>
          <cell r="E889" t="str">
            <v>Extracts, essences and concentrates; of coffee, and preparations with a basis of these extracts, essences or concentrates or with a basis of coffee</v>
          </cell>
          <cell r="F889">
            <v>0</v>
          </cell>
          <cell r="G889">
            <v>0</v>
          </cell>
          <cell r="H889">
            <v>0</v>
          </cell>
          <cell r="I889" t="str">
            <v>Others</v>
          </cell>
          <cell r="J889">
            <v>3</v>
          </cell>
          <cell r="K889" t="str">
            <v>Others</v>
          </cell>
        </row>
        <row r="890">
          <cell r="D890">
            <v>210112</v>
          </cell>
          <cell r="E890" t="str">
            <v>Preparations with a basis of extracts, essences or concentrates or with a basis of coffee</v>
          </cell>
          <cell r="F890">
            <v>0</v>
          </cell>
          <cell r="G890">
            <v>0</v>
          </cell>
          <cell r="H890">
            <v>0</v>
          </cell>
          <cell r="I890" t="str">
            <v>Others</v>
          </cell>
          <cell r="J890">
            <v>3</v>
          </cell>
          <cell r="K890" t="str">
            <v>Others</v>
          </cell>
        </row>
        <row r="891">
          <cell r="D891">
            <v>210120</v>
          </cell>
          <cell r="E891" t="str">
            <v>Extracts, essences and concentrates; of tea or mate, and preparations with a basis of these extracts, essences or concentrates or with a basis of tea or mate</v>
          </cell>
          <cell r="F891">
            <v>0</v>
          </cell>
          <cell r="G891">
            <v>0</v>
          </cell>
          <cell r="H891">
            <v>0</v>
          </cell>
          <cell r="I891" t="str">
            <v>Others</v>
          </cell>
          <cell r="J891">
            <v>3</v>
          </cell>
          <cell r="K891" t="str">
            <v>Others</v>
          </cell>
        </row>
        <row r="892">
          <cell r="D892">
            <v>210130</v>
          </cell>
          <cell r="E892" t="str">
            <v>Chicory, roasted and other roasted coffee substitutes; extracts, essences and concentrates thereof</v>
          </cell>
          <cell r="F892">
            <v>0</v>
          </cell>
          <cell r="G892">
            <v>0</v>
          </cell>
          <cell r="H892">
            <v>0</v>
          </cell>
          <cell r="I892" t="str">
            <v>Others</v>
          </cell>
          <cell r="J892">
            <v>3</v>
          </cell>
          <cell r="K892" t="str">
            <v>Others</v>
          </cell>
        </row>
        <row r="893">
          <cell r="D893">
            <v>210210</v>
          </cell>
          <cell r="E893" t="str">
            <v>Yeasts; active</v>
          </cell>
          <cell r="F893">
            <v>0</v>
          </cell>
          <cell r="G893">
            <v>0</v>
          </cell>
          <cell r="H893">
            <v>0</v>
          </cell>
          <cell r="I893" t="str">
            <v>Others</v>
          </cell>
          <cell r="J893">
            <v>3</v>
          </cell>
          <cell r="K893" t="str">
            <v>Others</v>
          </cell>
        </row>
        <row r="894">
          <cell r="D894">
            <v>210220</v>
          </cell>
          <cell r="E894" t="str">
            <v>Yeasts; inactive, other single-cell micro-organisms, dead</v>
          </cell>
          <cell r="F894">
            <v>0</v>
          </cell>
          <cell r="G894">
            <v>0</v>
          </cell>
          <cell r="H894">
            <v>0</v>
          </cell>
          <cell r="I894" t="str">
            <v>Others</v>
          </cell>
          <cell r="J894">
            <v>3</v>
          </cell>
          <cell r="K894" t="str">
            <v>Others</v>
          </cell>
        </row>
        <row r="895">
          <cell r="D895">
            <v>210230</v>
          </cell>
          <cell r="E895" t="str">
            <v>Baking powders; prepared</v>
          </cell>
          <cell r="F895">
            <v>0</v>
          </cell>
          <cell r="G895">
            <v>0</v>
          </cell>
          <cell r="H895">
            <v>0</v>
          </cell>
          <cell r="I895" t="str">
            <v>Others</v>
          </cell>
          <cell r="J895">
            <v>3</v>
          </cell>
          <cell r="K895" t="str">
            <v>Others</v>
          </cell>
        </row>
        <row r="896">
          <cell r="D896">
            <v>210310</v>
          </cell>
          <cell r="E896" t="str">
            <v>Sauces; soya</v>
          </cell>
          <cell r="F896">
            <v>0</v>
          </cell>
          <cell r="G896">
            <v>0</v>
          </cell>
          <cell r="H896">
            <v>0</v>
          </cell>
          <cell r="I896" t="str">
            <v>Others</v>
          </cell>
          <cell r="J896">
            <v>3</v>
          </cell>
          <cell r="K896" t="str">
            <v>Others</v>
          </cell>
        </row>
        <row r="897">
          <cell r="D897">
            <v>210320</v>
          </cell>
          <cell r="E897" t="str">
            <v>Sauces; tomato ketchup and other tomato sauces</v>
          </cell>
          <cell r="F897">
            <v>0</v>
          </cell>
          <cell r="G897">
            <v>0</v>
          </cell>
          <cell r="H897">
            <v>0</v>
          </cell>
          <cell r="I897" t="str">
            <v>Others</v>
          </cell>
          <cell r="J897">
            <v>3</v>
          </cell>
          <cell r="K897" t="str">
            <v>Others</v>
          </cell>
        </row>
        <row r="898">
          <cell r="D898">
            <v>210330</v>
          </cell>
          <cell r="E898" t="str">
            <v>Mustard flour and meal and prepared mustard</v>
          </cell>
          <cell r="F898">
            <v>0</v>
          </cell>
          <cell r="G898">
            <v>0</v>
          </cell>
          <cell r="H898">
            <v>0</v>
          </cell>
          <cell r="I898" t="str">
            <v>Others</v>
          </cell>
          <cell r="J898">
            <v>3</v>
          </cell>
          <cell r="K898" t="str">
            <v>Others</v>
          </cell>
        </row>
        <row r="899">
          <cell r="D899">
            <v>210390</v>
          </cell>
          <cell r="E899" t="str">
            <v>Sauces and preparations therefor; mixed condiments and mixed seasonings</v>
          </cell>
          <cell r="F899">
            <v>0</v>
          </cell>
          <cell r="G899">
            <v>0</v>
          </cell>
          <cell r="H899">
            <v>0</v>
          </cell>
          <cell r="I899" t="str">
            <v>Others</v>
          </cell>
          <cell r="J899">
            <v>3</v>
          </cell>
          <cell r="K899" t="str">
            <v>Others</v>
          </cell>
        </row>
        <row r="900">
          <cell r="D900">
            <v>210410</v>
          </cell>
          <cell r="E900" t="str">
            <v>Soups and broths and preparations therefor</v>
          </cell>
          <cell r="F900">
            <v>0</v>
          </cell>
          <cell r="G900">
            <v>0</v>
          </cell>
          <cell r="H900">
            <v>0</v>
          </cell>
          <cell r="I900" t="str">
            <v>Others</v>
          </cell>
          <cell r="J900">
            <v>3</v>
          </cell>
          <cell r="K900" t="str">
            <v>Others</v>
          </cell>
        </row>
        <row r="901">
          <cell r="D901">
            <v>210420</v>
          </cell>
          <cell r="E901" t="str">
            <v>Homogenised composite food preparations</v>
          </cell>
          <cell r="F901">
            <v>0</v>
          </cell>
          <cell r="G901">
            <v>0</v>
          </cell>
          <cell r="H901">
            <v>0</v>
          </cell>
          <cell r="I901" t="str">
            <v>Others</v>
          </cell>
          <cell r="J901">
            <v>3</v>
          </cell>
          <cell r="K901" t="str">
            <v>Others</v>
          </cell>
        </row>
        <row r="902">
          <cell r="D902">
            <v>210500</v>
          </cell>
          <cell r="E902" t="str">
            <v>Ice cream and other edible ice; whether or not containing cocoa</v>
          </cell>
          <cell r="F902">
            <v>0</v>
          </cell>
          <cell r="G902">
            <v>0</v>
          </cell>
          <cell r="H902">
            <v>0</v>
          </cell>
          <cell r="I902" t="str">
            <v>Others</v>
          </cell>
          <cell r="J902">
            <v>3</v>
          </cell>
          <cell r="K902" t="str">
            <v>Others</v>
          </cell>
        </row>
        <row r="903">
          <cell r="D903">
            <v>210610</v>
          </cell>
          <cell r="E903" t="str">
            <v>Protein; concentrates and textured protein substances</v>
          </cell>
          <cell r="F903">
            <v>0</v>
          </cell>
          <cell r="G903">
            <v>0</v>
          </cell>
          <cell r="H903">
            <v>0</v>
          </cell>
          <cell r="I903" t="str">
            <v>Others</v>
          </cell>
          <cell r="J903">
            <v>3</v>
          </cell>
          <cell r="K903" t="str">
            <v>Others</v>
          </cell>
        </row>
        <row r="904">
          <cell r="D904">
            <v>210690</v>
          </cell>
          <cell r="E904" t="str">
            <v>Food preparations; n.e.c. in item no. 2106.10</v>
          </cell>
          <cell r="F904">
            <v>0</v>
          </cell>
          <cell r="G904">
            <v>0</v>
          </cell>
          <cell r="H904">
            <v>0</v>
          </cell>
          <cell r="I904" t="str">
            <v>Others</v>
          </cell>
          <cell r="J904">
            <v>3</v>
          </cell>
          <cell r="K904" t="str">
            <v>Others</v>
          </cell>
        </row>
        <row r="905">
          <cell r="D905">
            <v>220110</v>
          </cell>
          <cell r="E905" t="str">
            <v>Waters; mineral and aerated, including natural or artificial, (not containing added sugar or other sweetening matter nor flavoured)</v>
          </cell>
          <cell r="F905">
            <v>0</v>
          </cell>
          <cell r="G905">
            <v>0</v>
          </cell>
          <cell r="H905">
            <v>0</v>
          </cell>
          <cell r="I905" t="str">
            <v>Others</v>
          </cell>
          <cell r="J905">
            <v>3</v>
          </cell>
          <cell r="K905" t="str">
            <v>Others</v>
          </cell>
        </row>
        <row r="906">
          <cell r="D906">
            <v>220190</v>
          </cell>
          <cell r="E906" t="str">
            <v>Waters; other than mineral and aerated, (not containing added sugar or other sweetening matter nor flavoured), ice and snow</v>
          </cell>
          <cell r="F906">
            <v>0</v>
          </cell>
          <cell r="G906">
            <v>0</v>
          </cell>
          <cell r="H906">
            <v>0</v>
          </cell>
          <cell r="I906" t="str">
            <v>Others</v>
          </cell>
          <cell r="J906">
            <v>3</v>
          </cell>
          <cell r="K906" t="str">
            <v>Others</v>
          </cell>
        </row>
        <row r="907">
          <cell r="D907">
            <v>220210</v>
          </cell>
          <cell r="E907" t="str">
            <v>Waters; including mineral and aerated, containing added sugar or other sweetening matter or flavoured</v>
          </cell>
          <cell r="F907">
            <v>0</v>
          </cell>
          <cell r="G907">
            <v>0</v>
          </cell>
          <cell r="H907">
            <v>0</v>
          </cell>
          <cell r="I907" t="str">
            <v>Others</v>
          </cell>
          <cell r="J907">
            <v>3</v>
          </cell>
          <cell r="K907" t="str">
            <v>Others</v>
          </cell>
        </row>
        <row r="908">
          <cell r="D908">
            <v>220291</v>
          </cell>
          <cell r="E908" t="str">
            <v>Non-alcoholic beverages; non-alcoholic beer</v>
          </cell>
          <cell r="F908">
            <v>0</v>
          </cell>
          <cell r="G908">
            <v>0</v>
          </cell>
          <cell r="H908">
            <v>0</v>
          </cell>
          <cell r="I908" t="str">
            <v>Others</v>
          </cell>
          <cell r="J908">
            <v>3</v>
          </cell>
          <cell r="K908" t="str">
            <v>Others</v>
          </cell>
        </row>
        <row r="909">
          <cell r="D909">
            <v>220299</v>
          </cell>
          <cell r="E909" t="str">
            <v>Non-alcoholic beverages; other than non-alcoholic beer, n.e.c. in item no. 2202.10, not including fruit, nut or vegetable juices of heading no. 2009</v>
          </cell>
          <cell r="F909">
            <v>0</v>
          </cell>
          <cell r="G909">
            <v>0</v>
          </cell>
          <cell r="H909">
            <v>0</v>
          </cell>
          <cell r="I909" t="str">
            <v>Others</v>
          </cell>
          <cell r="J909">
            <v>3</v>
          </cell>
          <cell r="K909" t="str">
            <v>Others</v>
          </cell>
        </row>
        <row r="910">
          <cell r="D910">
            <v>220300</v>
          </cell>
          <cell r="E910" t="str">
            <v>Beer; made from malt</v>
          </cell>
          <cell r="F910">
            <v>0</v>
          </cell>
          <cell r="G910">
            <v>0</v>
          </cell>
          <cell r="H910">
            <v>0</v>
          </cell>
          <cell r="I910" t="str">
            <v>Others</v>
          </cell>
          <cell r="J910">
            <v>3</v>
          </cell>
          <cell r="K910" t="str">
            <v>Others</v>
          </cell>
        </row>
        <row r="911">
          <cell r="D911">
            <v>220410</v>
          </cell>
          <cell r="E911" t="str">
            <v>Wine; sparkling</v>
          </cell>
          <cell r="F911">
            <v>0</v>
          </cell>
          <cell r="G911">
            <v>0</v>
          </cell>
          <cell r="H911">
            <v>0</v>
          </cell>
          <cell r="I911" t="str">
            <v>Others</v>
          </cell>
          <cell r="J911">
            <v>3</v>
          </cell>
          <cell r="K911" t="str">
            <v>Others</v>
          </cell>
        </row>
        <row r="912">
          <cell r="D912">
            <v>220421</v>
          </cell>
          <cell r="E912" t="str">
            <v>Wine; still, in containers holding 2 litres or less</v>
          </cell>
          <cell r="F912">
            <v>0</v>
          </cell>
          <cell r="G912">
            <v>0</v>
          </cell>
          <cell r="H912">
            <v>0</v>
          </cell>
          <cell r="I912" t="str">
            <v>Others</v>
          </cell>
          <cell r="J912">
            <v>3</v>
          </cell>
          <cell r="K912" t="str">
            <v>Others</v>
          </cell>
        </row>
        <row r="913">
          <cell r="D913">
            <v>220422</v>
          </cell>
          <cell r="E913" t="str">
            <v>Wine; still, in containers holding more than 2 litres but not more than 10 litres</v>
          </cell>
          <cell r="F913">
            <v>0</v>
          </cell>
          <cell r="G913">
            <v>0</v>
          </cell>
          <cell r="H913">
            <v>0</v>
          </cell>
          <cell r="I913" t="str">
            <v>Others</v>
          </cell>
          <cell r="J913">
            <v>3</v>
          </cell>
          <cell r="K913" t="str">
            <v>Others</v>
          </cell>
        </row>
        <row r="914">
          <cell r="D914">
            <v>220429</v>
          </cell>
          <cell r="E914" t="str">
            <v>Wine; still, in containers holding more than 10 litres</v>
          </cell>
          <cell r="F914">
            <v>0</v>
          </cell>
          <cell r="G914">
            <v>0</v>
          </cell>
          <cell r="H914">
            <v>0</v>
          </cell>
          <cell r="I914" t="str">
            <v>Others</v>
          </cell>
          <cell r="J914">
            <v>3</v>
          </cell>
          <cell r="K914" t="str">
            <v>Others</v>
          </cell>
        </row>
        <row r="915">
          <cell r="D915">
            <v>220430</v>
          </cell>
          <cell r="E915" t="str">
            <v>Grape must; n.e.c. in heading no. 2009, n.e.c. in item no. 2204.2</v>
          </cell>
          <cell r="F915">
            <v>0</v>
          </cell>
          <cell r="G915">
            <v>0</v>
          </cell>
          <cell r="H915">
            <v>0</v>
          </cell>
          <cell r="I915" t="str">
            <v>Others</v>
          </cell>
          <cell r="J915">
            <v>3</v>
          </cell>
          <cell r="K915" t="str">
            <v>Others</v>
          </cell>
        </row>
        <row r="916">
          <cell r="D916">
            <v>220510</v>
          </cell>
          <cell r="E916" t="str">
            <v>Vermouth and other wine of fresh grapes, flavoured with plants or aromatic substances, in containers holding 2 litres or less</v>
          </cell>
          <cell r="F916">
            <v>0</v>
          </cell>
          <cell r="G916">
            <v>0</v>
          </cell>
          <cell r="H916">
            <v>0</v>
          </cell>
          <cell r="I916" t="str">
            <v>Others</v>
          </cell>
          <cell r="J916">
            <v>3</v>
          </cell>
          <cell r="K916" t="str">
            <v>Others</v>
          </cell>
        </row>
        <row r="917">
          <cell r="D917">
            <v>220590</v>
          </cell>
          <cell r="E917" t="str">
            <v>Vermouth and other wine of fresh grapes, flavoured with plants or aromatic substances, in containers holding more than 2 litres</v>
          </cell>
          <cell r="F917">
            <v>0</v>
          </cell>
          <cell r="G917">
            <v>0</v>
          </cell>
          <cell r="H917">
            <v>0</v>
          </cell>
          <cell r="I917" t="str">
            <v>Others</v>
          </cell>
          <cell r="J917">
            <v>3</v>
          </cell>
          <cell r="K917" t="str">
            <v>Others</v>
          </cell>
        </row>
        <row r="918">
          <cell r="D918">
            <v>220600</v>
          </cell>
          <cell r="E918" t="str">
            <v>Beverages, fermented; (e.g. cider, perry, mead, sake)</v>
          </cell>
          <cell r="F918">
            <v>0</v>
          </cell>
          <cell r="G918">
            <v>0</v>
          </cell>
          <cell r="H918">
            <v>0</v>
          </cell>
          <cell r="I918" t="str">
            <v>Others</v>
          </cell>
          <cell r="J918">
            <v>3</v>
          </cell>
          <cell r="K918" t="str">
            <v>Others</v>
          </cell>
        </row>
        <row r="919">
          <cell r="D919">
            <v>220710</v>
          </cell>
          <cell r="E919" t="str">
            <v>Undenatured ethyl alcohol; of an alcoholic strength by volume of 80% vol. or higher</v>
          </cell>
          <cell r="F919">
            <v>0</v>
          </cell>
          <cell r="G919">
            <v>0</v>
          </cell>
          <cell r="H919">
            <v>0</v>
          </cell>
          <cell r="I919" t="str">
            <v>Others</v>
          </cell>
          <cell r="J919">
            <v>3</v>
          </cell>
          <cell r="K919" t="str">
            <v>Others</v>
          </cell>
        </row>
        <row r="920">
          <cell r="D920">
            <v>220720</v>
          </cell>
          <cell r="E920" t="str">
            <v>Ethyl alcohol and other spirits; denatured, of any strength</v>
          </cell>
          <cell r="F920">
            <v>0</v>
          </cell>
          <cell r="G920">
            <v>0</v>
          </cell>
          <cell r="H920">
            <v>0</v>
          </cell>
          <cell r="I920" t="str">
            <v>Others</v>
          </cell>
          <cell r="J920">
            <v>3</v>
          </cell>
          <cell r="K920" t="str">
            <v>Others</v>
          </cell>
        </row>
        <row r="921">
          <cell r="D921">
            <v>220820</v>
          </cell>
          <cell r="E921" t="str">
            <v>Spirits obtained by distilling grape wine or grape marc</v>
          </cell>
          <cell r="F921">
            <v>0</v>
          </cell>
          <cell r="G921">
            <v>0</v>
          </cell>
          <cell r="H921">
            <v>0</v>
          </cell>
          <cell r="I921" t="str">
            <v>Others</v>
          </cell>
          <cell r="J921">
            <v>3</v>
          </cell>
          <cell r="K921" t="str">
            <v>Others</v>
          </cell>
        </row>
        <row r="922">
          <cell r="D922">
            <v>220830</v>
          </cell>
          <cell r="E922" t="str">
            <v>Whiskies</v>
          </cell>
          <cell r="F922">
            <v>0</v>
          </cell>
          <cell r="G922">
            <v>0</v>
          </cell>
          <cell r="H922">
            <v>0</v>
          </cell>
          <cell r="I922" t="str">
            <v>Others</v>
          </cell>
          <cell r="J922">
            <v>3</v>
          </cell>
          <cell r="K922" t="str">
            <v>Others</v>
          </cell>
        </row>
        <row r="923">
          <cell r="D923">
            <v>220840</v>
          </cell>
          <cell r="E923" t="str">
            <v>Rum and other spirits obtained by distilling fermented sugar-cane products</v>
          </cell>
          <cell r="F923">
            <v>0</v>
          </cell>
          <cell r="G923">
            <v>0</v>
          </cell>
          <cell r="H923">
            <v>0</v>
          </cell>
          <cell r="I923" t="str">
            <v>Others</v>
          </cell>
          <cell r="J923">
            <v>3</v>
          </cell>
          <cell r="K923" t="str">
            <v>Others</v>
          </cell>
        </row>
        <row r="924">
          <cell r="D924">
            <v>220850</v>
          </cell>
          <cell r="E924" t="str">
            <v>Gin and geneva</v>
          </cell>
          <cell r="F924">
            <v>0</v>
          </cell>
          <cell r="G924">
            <v>0</v>
          </cell>
          <cell r="H924">
            <v>0</v>
          </cell>
          <cell r="I924" t="str">
            <v>Others</v>
          </cell>
          <cell r="J924">
            <v>3</v>
          </cell>
          <cell r="K924" t="str">
            <v>Others</v>
          </cell>
        </row>
        <row r="925">
          <cell r="D925">
            <v>220860</v>
          </cell>
          <cell r="E925" t="str">
            <v>Vodka</v>
          </cell>
          <cell r="F925">
            <v>0</v>
          </cell>
          <cell r="G925">
            <v>0</v>
          </cell>
          <cell r="H925">
            <v>0</v>
          </cell>
          <cell r="I925" t="str">
            <v>Others</v>
          </cell>
          <cell r="J925">
            <v>3</v>
          </cell>
          <cell r="K925" t="str">
            <v>Others</v>
          </cell>
        </row>
        <row r="926">
          <cell r="D926">
            <v>220870</v>
          </cell>
          <cell r="E926" t="str">
            <v>Liqueurs and cordials</v>
          </cell>
          <cell r="F926">
            <v>0</v>
          </cell>
          <cell r="G926">
            <v>0</v>
          </cell>
          <cell r="H926">
            <v>0</v>
          </cell>
          <cell r="I926" t="str">
            <v>Others</v>
          </cell>
          <cell r="J926">
            <v>3</v>
          </cell>
          <cell r="K926" t="str">
            <v>Others</v>
          </cell>
        </row>
        <row r="927">
          <cell r="D927">
            <v>220890</v>
          </cell>
          <cell r="E927" t="str">
            <v>Spirits, liqueurs and other spirituous beverages; n.e.c. in heading no. 2208</v>
          </cell>
          <cell r="F927">
            <v>0</v>
          </cell>
          <cell r="G927">
            <v>0</v>
          </cell>
          <cell r="H927">
            <v>0</v>
          </cell>
          <cell r="I927" t="str">
            <v>Others</v>
          </cell>
          <cell r="J927">
            <v>3</v>
          </cell>
          <cell r="K927" t="str">
            <v>Others</v>
          </cell>
        </row>
        <row r="928">
          <cell r="D928">
            <v>220900</v>
          </cell>
          <cell r="E928" t="str">
            <v>Vinegar and substitutes for vinegar; obtained from acetic acid</v>
          </cell>
          <cell r="F928">
            <v>0</v>
          </cell>
          <cell r="G928">
            <v>0</v>
          </cell>
          <cell r="H928">
            <v>0</v>
          </cell>
          <cell r="I928" t="str">
            <v>Others</v>
          </cell>
          <cell r="J928">
            <v>3</v>
          </cell>
          <cell r="K928" t="str">
            <v>Others</v>
          </cell>
        </row>
        <row r="929">
          <cell r="D929">
            <v>230110</v>
          </cell>
          <cell r="E929" t="str">
            <v>Flours, meals and pellets; of meat or meat offal, greaves</v>
          </cell>
          <cell r="F929">
            <v>0</v>
          </cell>
          <cell r="G929">
            <v>0</v>
          </cell>
          <cell r="H929">
            <v>0</v>
          </cell>
          <cell r="I929" t="str">
            <v>Others</v>
          </cell>
          <cell r="J929">
            <v>3</v>
          </cell>
          <cell r="K929" t="str">
            <v>Others</v>
          </cell>
        </row>
        <row r="930">
          <cell r="D930">
            <v>230120</v>
          </cell>
          <cell r="E930" t="str">
            <v>Flours, meals and pellets; of fish or of crustaceans, molluscs or other aquatic invertebrates</v>
          </cell>
          <cell r="F930">
            <v>0</v>
          </cell>
          <cell r="G930">
            <v>0</v>
          </cell>
          <cell r="H930">
            <v>0</v>
          </cell>
          <cell r="I930" t="str">
            <v>Others</v>
          </cell>
          <cell r="J930">
            <v>3</v>
          </cell>
          <cell r="K930" t="str">
            <v>Others</v>
          </cell>
        </row>
        <row r="931">
          <cell r="D931">
            <v>230210</v>
          </cell>
          <cell r="E931" t="str">
            <v>Bran, sharps and other residues; of maize (corn), whether or not in the form of pellets, derived from the sifting, milling or other workings thereof</v>
          </cell>
          <cell r="F931">
            <v>0</v>
          </cell>
          <cell r="G931">
            <v>0</v>
          </cell>
          <cell r="H931">
            <v>0</v>
          </cell>
          <cell r="I931" t="str">
            <v>Others</v>
          </cell>
          <cell r="J931">
            <v>3</v>
          </cell>
          <cell r="K931" t="str">
            <v>Others</v>
          </cell>
        </row>
        <row r="932">
          <cell r="D932">
            <v>230230</v>
          </cell>
          <cell r="E932" t="str">
            <v>Bran, sharps and other residues; of wheat, whether or not in the form of pellets, derived from the sifting, milling or other workings thereof</v>
          </cell>
          <cell r="F932">
            <v>0</v>
          </cell>
          <cell r="G932">
            <v>0</v>
          </cell>
          <cell r="H932">
            <v>0</v>
          </cell>
          <cell r="I932" t="str">
            <v>Others</v>
          </cell>
          <cell r="J932">
            <v>3</v>
          </cell>
          <cell r="K932" t="str">
            <v>Others</v>
          </cell>
        </row>
        <row r="933">
          <cell r="D933">
            <v>230240</v>
          </cell>
          <cell r="E933" t="str">
            <v>Bran, sharps and other residues; of other cereals, whether or not in the form of pellets, derived from the sifting, milling or other workings thereof</v>
          </cell>
          <cell r="F933">
            <v>0</v>
          </cell>
          <cell r="G933">
            <v>0</v>
          </cell>
          <cell r="H933">
            <v>0</v>
          </cell>
          <cell r="I933" t="str">
            <v>Others</v>
          </cell>
          <cell r="J933">
            <v>3</v>
          </cell>
          <cell r="K933" t="str">
            <v>Others</v>
          </cell>
        </row>
        <row r="934">
          <cell r="D934">
            <v>230250</v>
          </cell>
          <cell r="E934" t="str">
            <v>Bran, sharps and other residues; of leguminous plants, whether or not in the form of pellets, derived from the sifting, milling or other workings thereof</v>
          </cell>
          <cell r="F934">
            <v>0</v>
          </cell>
          <cell r="G934">
            <v>0</v>
          </cell>
          <cell r="H934">
            <v>0</v>
          </cell>
          <cell r="I934" t="str">
            <v>Others</v>
          </cell>
          <cell r="J934">
            <v>3</v>
          </cell>
          <cell r="K934" t="str">
            <v>Others</v>
          </cell>
        </row>
        <row r="935">
          <cell r="D935">
            <v>230310</v>
          </cell>
          <cell r="E935" t="str">
            <v>Residues of starch manufacture and similar residues; whether or not in the form of pellets</v>
          </cell>
          <cell r="F935">
            <v>0</v>
          </cell>
          <cell r="G935">
            <v>0</v>
          </cell>
          <cell r="H935">
            <v>0</v>
          </cell>
          <cell r="I935" t="str">
            <v>Others</v>
          </cell>
          <cell r="J935">
            <v>3</v>
          </cell>
          <cell r="K935" t="str">
            <v>Others</v>
          </cell>
        </row>
        <row r="936">
          <cell r="D936">
            <v>230320</v>
          </cell>
          <cell r="E936" t="str">
            <v>Beet-pulp, bagasse and other waste of sugar manufacture; whether or not in the form of pellets</v>
          </cell>
          <cell r="F936">
            <v>0</v>
          </cell>
          <cell r="G936">
            <v>0</v>
          </cell>
          <cell r="H936">
            <v>0</v>
          </cell>
          <cell r="I936" t="str">
            <v>Others</v>
          </cell>
          <cell r="J936">
            <v>3</v>
          </cell>
          <cell r="K936" t="str">
            <v>Others</v>
          </cell>
        </row>
        <row r="937">
          <cell r="D937">
            <v>230330</v>
          </cell>
          <cell r="E937" t="str">
            <v>Brewing or distilling dregs and waste; whether or not in the form of pellets</v>
          </cell>
          <cell r="F937">
            <v>0</v>
          </cell>
          <cell r="G937">
            <v>0</v>
          </cell>
          <cell r="H937">
            <v>0</v>
          </cell>
          <cell r="I937" t="str">
            <v>Others</v>
          </cell>
          <cell r="J937">
            <v>3</v>
          </cell>
          <cell r="K937" t="str">
            <v>Others</v>
          </cell>
        </row>
        <row r="938">
          <cell r="D938">
            <v>230400</v>
          </cell>
          <cell r="E938" t="str">
            <v>Oil-cake and other solid residues; whether or not ground or in the form of pellets, resulting from the extraction of soya-bean oil</v>
          </cell>
          <cell r="F938">
            <v>0</v>
          </cell>
          <cell r="G938">
            <v>0</v>
          </cell>
          <cell r="H938">
            <v>0</v>
          </cell>
          <cell r="I938" t="str">
            <v>Others</v>
          </cell>
          <cell r="J938">
            <v>3</v>
          </cell>
          <cell r="K938" t="str">
            <v>Others</v>
          </cell>
        </row>
        <row r="939">
          <cell r="D939">
            <v>230500</v>
          </cell>
          <cell r="E939" t="str">
            <v>Oil-cake and other solid residues; whether or not ground or in the form of pellets, resulting from the extraction of ground-nut oil</v>
          </cell>
          <cell r="F939">
            <v>0</v>
          </cell>
          <cell r="G939">
            <v>0</v>
          </cell>
          <cell r="H939">
            <v>0</v>
          </cell>
          <cell r="I939" t="str">
            <v>Others</v>
          </cell>
          <cell r="J939">
            <v>3</v>
          </cell>
          <cell r="K939" t="str">
            <v>Others</v>
          </cell>
        </row>
        <row r="940">
          <cell r="D940">
            <v>230610</v>
          </cell>
          <cell r="E940" t="str">
            <v>Oil-cake and other solid residues; whether or not ground or in the form of pellets, resulting from the extraction of cotton seed oils</v>
          </cell>
          <cell r="F940">
            <v>0</v>
          </cell>
          <cell r="G940">
            <v>0</v>
          </cell>
          <cell r="H940">
            <v>0</v>
          </cell>
          <cell r="I940" t="str">
            <v>Others</v>
          </cell>
          <cell r="J940">
            <v>3</v>
          </cell>
          <cell r="K940" t="str">
            <v>Others</v>
          </cell>
        </row>
        <row r="941">
          <cell r="D941">
            <v>230620</v>
          </cell>
          <cell r="E941" t="str">
            <v>Oil-cake and other solid residues; whether or not ground or in the form of pellets, resulting from the extraction of linseed oils</v>
          </cell>
          <cell r="F941">
            <v>0</v>
          </cell>
          <cell r="G941">
            <v>0</v>
          </cell>
          <cell r="H941">
            <v>0</v>
          </cell>
          <cell r="I941" t="str">
            <v>Others</v>
          </cell>
          <cell r="J941">
            <v>3</v>
          </cell>
          <cell r="K941" t="str">
            <v>Others</v>
          </cell>
        </row>
        <row r="942">
          <cell r="D942">
            <v>230630</v>
          </cell>
          <cell r="E942" t="str">
            <v>Oil-cake and other solid residues; whether or not ground or in the form of pellets, resulting from the extraction of sunflower seed oils</v>
          </cell>
          <cell r="F942">
            <v>0</v>
          </cell>
          <cell r="G942">
            <v>0</v>
          </cell>
          <cell r="H942">
            <v>0</v>
          </cell>
          <cell r="I942" t="str">
            <v>Others</v>
          </cell>
          <cell r="J942">
            <v>3</v>
          </cell>
          <cell r="K942" t="str">
            <v>Others</v>
          </cell>
        </row>
        <row r="943">
          <cell r="D943">
            <v>230641</v>
          </cell>
          <cell r="E943" t="str">
            <v>Oil-cake and other solid residues; whether or not ground or in the form of pellets, resulting from the extraction of low erucic acid rape or colza seed oils</v>
          </cell>
          <cell r="F943">
            <v>0</v>
          </cell>
          <cell r="G943">
            <v>0</v>
          </cell>
          <cell r="H943">
            <v>0</v>
          </cell>
          <cell r="I943" t="str">
            <v>Others</v>
          </cell>
          <cell r="J943">
            <v>3</v>
          </cell>
          <cell r="K943" t="str">
            <v>Others</v>
          </cell>
        </row>
        <row r="944">
          <cell r="D944">
            <v>230649</v>
          </cell>
          <cell r="E944" t="str">
            <v>Oil-cake and other solid residues; whether or not ground or in the form of pellets, resulting from the extraction of rape seed oils (other than low erucic acid rape or colza)</v>
          </cell>
          <cell r="F944">
            <v>0</v>
          </cell>
          <cell r="G944">
            <v>0</v>
          </cell>
          <cell r="H944">
            <v>0</v>
          </cell>
          <cell r="I944" t="str">
            <v>Others</v>
          </cell>
          <cell r="J944">
            <v>3</v>
          </cell>
          <cell r="K944" t="str">
            <v>Others</v>
          </cell>
        </row>
        <row r="945">
          <cell r="D945">
            <v>230650</v>
          </cell>
          <cell r="E945" t="str">
            <v>Oil-cake and other solid residues; whether or not ground or in the form of pellets, resulting from the extraction of coconut or copra seed oils</v>
          </cell>
          <cell r="F945">
            <v>0</v>
          </cell>
          <cell r="G945">
            <v>0</v>
          </cell>
          <cell r="H945">
            <v>0</v>
          </cell>
          <cell r="I945" t="str">
            <v>Others</v>
          </cell>
          <cell r="J945">
            <v>3</v>
          </cell>
          <cell r="K945" t="str">
            <v>Others</v>
          </cell>
        </row>
        <row r="946">
          <cell r="D946">
            <v>230660</v>
          </cell>
          <cell r="E946" t="str">
            <v>Oil-cake and other solid residues; whether or not ground or in the form of pellets, resulting from the extraction of palm nuts or kernels oils</v>
          </cell>
          <cell r="F946">
            <v>0</v>
          </cell>
          <cell r="G946">
            <v>0</v>
          </cell>
          <cell r="H946">
            <v>0</v>
          </cell>
          <cell r="I946" t="str">
            <v>Others</v>
          </cell>
          <cell r="J946">
            <v>3</v>
          </cell>
          <cell r="K946" t="str">
            <v>Others</v>
          </cell>
        </row>
        <row r="947">
          <cell r="D947">
            <v>230690</v>
          </cell>
          <cell r="E947" t="str">
            <v>Oil-cake and other solid residues; whether or not ground or in the form of pellets, resulting from the extraction of oils, n.e.c. in heading no. 2306</v>
          </cell>
          <cell r="F947">
            <v>0</v>
          </cell>
          <cell r="G947">
            <v>0</v>
          </cell>
          <cell r="H947">
            <v>0</v>
          </cell>
          <cell r="I947" t="str">
            <v>Others</v>
          </cell>
          <cell r="J947">
            <v>3</v>
          </cell>
          <cell r="K947" t="str">
            <v>Others</v>
          </cell>
        </row>
        <row r="948">
          <cell r="D948">
            <v>230700</v>
          </cell>
          <cell r="E948" t="str">
            <v>Wine lees; argol</v>
          </cell>
          <cell r="F948">
            <v>0</v>
          </cell>
          <cell r="G948">
            <v>0</v>
          </cell>
          <cell r="H948">
            <v>0</v>
          </cell>
          <cell r="I948" t="str">
            <v>Others</v>
          </cell>
          <cell r="J948">
            <v>3</v>
          </cell>
          <cell r="K948" t="str">
            <v>Others</v>
          </cell>
        </row>
        <row r="949">
          <cell r="D949">
            <v>230800</v>
          </cell>
          <cell r="E949" t="str">
            <v>Vegetable materials and vegetable waste, vegetable residues and by-products; whether or not in the form of pellets, of a kind used in animal feeding, not elsewhere specified or included</v>
          </cell>
          <cell r="F949">
            <v>0</v>
          </cell>
          <cell r="G949">
            <v>0</v>
          </cell>
          <cell r="H949">
            <v>0</v>
          </cell>
          <cell r="I949" t="str">
            <v>Others</v>
          </cell>
          <cell r="J949">
            <v>3</v>
          </cell>
          <cell r="K949" t="str">
            <v>Others</v>
          </cell>
        </row>
        <row r="950">
          <cell r="D950">
            <v>230910</v>
          </cell>
          <cell r="E950" t="str">
            <v>Dog or cat food; put up for retail sale, used in animal feeding</v>
          </cell>
          <cell r="F950">
            <v>0</v>
          </cell>
          <cell r="G950">
            <v>0</v>
          </cell>
          <cell r="H950">
            <v>0</v>
          </cell>
          <cell r="I950" t="str">
            <v>Others</v>
          </cell>
          <cell r="J950">
            <v>3</v>
          </cell>
          <cell r="K950" t="str">
            <v>Others</v>
          </cell>
        </row>
        <row r="951">
          <cell r="D951">
            <v>230990</v>
          </cell>
          <cell r="E951" t="str">
            <v>Dog or cat food; (not put up for retail sale), used in animal feeding</v>
          </cell>
          <cell r="F951">
            <v>0</v>
          </cell>
          <cell r="G951">
            <v>0</v>
          </cell>
          <cell r="H951">
            <v>0</v>
          </cell>
          <cell r="I951" t="str">
            <v>Others</v>
          </cell>
          <cell r="J951">
            <v>3</v>
          </cell>
          <cell r="K951" t="str">
            <v>Others</v>
          </cell>
        </row>
        <row r="952">
          <cell r="D952">
            <v>240110</v>
          </cell>
          <cell r="E952" t="str">
            <v>Tobacco, (not stemmed or stripped)</v>
          </cell>
          <cell r="F952">
            <v>0</v>
          </cell>
          <cell r="G952">
            <v>0</v>
          </cell>
          <cell r="H952">
            <v>0</v>
          </cell>
          <cell r="I952" t="str">
            <v>Others</v>
          </cell>
          <cell r="J952">
            <v>3</v>
          </cell>
          <cell r="K952" t="str">
            <v>Others</v>
          </cell>
        </row>
        <row r="953">
          <cell r="D953">
            <v>240120</v>
          </cell>
          <cell r="E953" t="str">
            <v>Tobacco; partly or wholly stemmed or stripped</v>
          </cell>
          <cell r="F953">
            <v>0</v>
          </cell>
          <cell r="G953">
            <v>0</v>
          </cell>
          <cell r="H953">
            <v>0</v>
          </cell>
          <cell r="I953" t="str">
            <v>Others</v>
          </cell>
          <cell r="J953">
            <v>3</v>
          </cell>
          <cell r="K953" t="str">
            <v>Others</v>
          </cell>
        </row>
        <row r="954">
          <cell r="D954">
            <v>240130</v>
          </cell>
          <cell r="E954" t="str">
            <v>Tobacco refuse</v>
          </cell>
          <cell r="F954">
            <v>0</v>
          </cell>
          <cell r="G954">
            <v>0</v>
          </cell>
          <cell r="H954">
            <v>0</v>
          </cell>
          <cell r="I954" t="str">
            <v>Others</v>
          </cell>
          <cell r="J954">
            <v>3</v>
          </cell>
          <cell r="K954" t="str">
            <v>Others</v>
          </cell>
        </row>
        <row r="955">
          <cell r="D955">
            <v>240210</v>
          </cell>
          <cell r="E955" t="str">
            <v>Cigars, cheroots and cigarillos; containing tobacco including the weight of every band, wrapper or attachment thereto</v>
          </cell>
          <cell r="F955">
            <v>0</v>
          </cell>
          <cell r="G955">
            <v>0</v>
          </cell>
          <cell r="H955">
            <v>0</v>
          </cell>
          <cell r="I955" t="str">
            <v>Others</v>
          </cell>
          <cell r="J955">
            <v>3</v>
          </cell>
          <cell r="K955" t="str">
            <v>Others</v>
          </cell>
        </row>
        <row r="956">
          <cell r="D956">
            <v>240220</v>
          </cell>
          <cell r="E956" t="str">
            <v>Cigarettes; containing tobacco</v>
          </cell>
          <cell r="F956">
            <v>0</v>
          </cell>
          <cell r="G956">
            <v>0</v>
          </cell>
          <cell r="H956">
            <v>0</v>
          </cell>
          <cell r="I956" t="str">
            <v>Others</v>
          </cell>
          <cell r="J956">
            <v>3</v>
          </cell>
          <cell r="K956" t="str">
            <v>Others</v>
          </cell>
        </row>
        <row r="957">
          <cell r="D957">
            <v>240290</v>
          </cell>
          <cell r="E957" t="str">
            <v>Cigars, cigarillos and cheroots; containing tobacco substitutes including the weight of every band, wrapper or attachment thereto</v>
          </cell>
          <cell r="F957">
            <v>0</v>
          </cell>
          <cell r="G957">
            <v>0</v>
          </cell>
          <cell r="H957">
            <v>0</v>
          </cell>
          <cell r="I957" t="str">
            <v>Others</v>
          </cell>
          <cell r="J957">
            <v>3</v>
          </cell>
          <cell r="K957" t="str">
            <v>Others</v>
          </cell>
        </row>
        <row r="958">
          <cell r="D958">
            <v>240311</v>
          </cell>
          <cell r="E958" t="str">
            <v>Tobacco; smoking, water pipe tobacco as specified in Subheading Note 1 to this Chapter, whether or not containing tobacco substitutes in any proportion</v>
          </cell>
          <cell r="F958">
            <v>0</v>
          </cell>
          <cell r="G958">
            <v>0</v>
          </cell>
          <cell r="H958">
            <v>0</v>
          </cell>
          <cell r="I958" t="str">
            <v>Others</v>
          </cell>
          <cell r="J958">
            <v>3</v>
          </cell>
          <cell r="K958" t="str">
            <v>Others</v>
          </cell>
        </row>
        <row r="959">
          <cell r="D959">
            <v>240319</v>
          </cell>
          <cell r="E959" t="str">
            <v>Tobacco; smoking, other than water pipe tobacco, whether or not containing tobacco substitutes in any proportion</v>
          </cell>
          <cell r="F959">
            <v>0</v>
          </cell>
          <cell r="G959">
            <v>0</v>
          </cell>
          <cell r="H959">
            <v>0</v>
          </cell>
          <cell r="I959" t="str">
            <v>Others</v>
          </cell>
          <cell r="J959">
            <v>3</v>
          </cell>
          <cell r="K959" t="str">
            <v>Others</v>
          </cell>
        </row>
        <row r="960">
          <cell r="D960">
            <v>240391</v>
          </cell>
          <cell r="E960" t="str">
            <v>Tobacco; homogenised or reconstituted</v>
          </cell>
          <cell r="F960">
            <v>0</v>
          </cell>
          <cell r="G960">
            <v>0</v>
          </cell>
          <cell r="H960">
            <v>0</v>
          </cell>
          <cell r="I960" t="str">
            <v>Others</v>
          </cell>
          <cell r="J960">
            <v>3</v>
          </cell>
          <cell r="K960" t="str">
            <v>Others</v>
          </cell>
        </row>
        <row r="961">
          <cell r="D961">
            <v>240399</v>
          </cell>
          <cell r="E961" t="str">
            <v>Tobacco; other than homogenised or reconstituted or smoking</v>
          </cell>
          <cell r="F961">
            <v>0</v>
          </cell>
          <cell r="G961">
            <v>0</v>
          </cell>
          <cell r="H961">
            <v>0</v>
          </cell>
          <cell r="I961" t="str">
            <v>Others</v>
          </cell>
          <cell r="J961">
            <v>3</v>
          </cell>
          <cell r="K961" t="str">
            <v>Others</v>
          </cell>
        </row>
        <row r="962">
          <cell r="D962">
            <v>240411</v>
          </cell>
          <cell r="E962" t="str">
            <v>Products containing tobacco or reconstituted tobacco, intended for inhalation without combustion</v>
          </cell>
          <cell r="F962">
            <v>0</v>
          </cell>
          <cell r="G962">
            <v>0</v>
          </cell>
          <cell r="H962">
            <v>0</v>
          </cell>
          <cell r="I962" t="str">
            <v>Others</v>
          </cell>
          <cell r="J962">
            <v>3</v>
          </cell>
          <cell r="K962" t="str">
            <v>Others</v>
          </cell>
        </row>
        <row r="963">
          <cell r="D963">
            <v>240412</v>
          </cell>
          <cell r="E963" t="str">
            <v>Products containing nicotine, other than tobacco or reconstituted tobacco, intended for inhalation without combustion</v>
          </cell>
          <cell r="F963">
            <v>0</v>
          </cell>
          <cell r="G963">
            <v>0</v>
          </cell>
          <cell r="H963">
            <v>0</v>
          </cell>
          <cell r="I963" t="str">
            <v>Others</v>
          </cell>
          <cell r="J963">
            <v>3</v>
          </cell>
          <cell r="K963" t="str">
            <v>Others</v>
          </cell>
        </row>
        <row r="964">
          <cell r="D964">
            <v>240419</v>
          </cell>
          <cell r="E964" t="str">
            <v>Products containing tobacco or nicotine substitutes, intended for inhalation without combustion</v>
          </cell>
          <cell r="F964">
            <v>0</v>
          </cell>
          <cell r="G964">
            <v>0</v>
          </cell>
          <cell r="H964">
            <v>0</v>
          </cell>
          <cell r="I964" t="str">
            <v>Others</v>
          </cell>
          <cell r="J964">
            <v>3</v>
          </cell>
          <cell r="K964" t="str">
            <v>Others</v>
          </cell>
        </row>
        <row r="965">
          <cell r="D965">
            <v>240491</v>
          </cell>
          <cell r="E965" t="str">
            <v>Products n.e.c. in heading 2404, intended for the intake of nicotine into the human body, for oral application</v>
          </cell>
          <cell r="F965">
            <v>0</v>
          </cell>
          <cell r="G965">
            <v>0</v>
          </cell>
          <cell r="H965">
            <v>0</v>
          </cell>
          <cell r="I965" t="str">
            <v>Others</v>
          </cell>
          <cell r="J965">
            <v>3</v>
          </cell>
          <cell r="K965" t="str">
            <v>Others</v>
          </cell>
        </row>
        <row r="966">
          <cell r="D966">
            <v>240492</v>
          </cell>
          <cell r="E966" t="str">
            <v>Products n.e.c. in heading 2404, intended for the intake of nicotine into the human body, for transdermal application</v>
          </cell>
          <cell r="F966">
            <v>0</v>
          </cell>
          <cell r="G966">
            <v>0</v>
          </cell>
          <cell r="H966">
            <v>0</v>
          </cell>
          <cell r="I966" t="str">
            <v>Others</v>
          </cell>
          <cell r="J966">
            <v>3</v>
          </cell>
          <cell r="K966" t="str">
            <v>Others</v>
          </cell>
        </row>
        <row r="967">
          <cell r="D967">
            <v>240499</v>
          </cell>
          <cell r="E967" t="str">
            <v>Products n.e.c. in heading 2404, intended for the intake of nicotine into the human body, by ways other than inhalation, and other than oral or transdermal application</v>
          </cell>
          <cell r="F967">
            <v>0</v>
          </cell>
          <cell r="G967">
            <v>0</v>
          </cell>
          <cell r="H967">
            <v>0</v>
          </cell>
          <cell r="I967" t="str">
            <v>Others</v>
          </cell>
          <cell r="J967">
            <v>3</v>
          </cell>
          <cell r="K967" t="str">
            <v>Others</v>
          </cell>
        </row>
        <row r="968">
          <cell r="D968">
            <v>250100</v>
          </cell>
          <cell r="E968" t="str">
            <v>Salt (including table salt and denatured salt); pure sodium chloride whether or not in aqueous solution; sea water</v>
          </cell>
          <cell r="F968" t="str">
            <v>Consumables</v>
          </cell>
          <cell r="G968">
            <v>0</v>
          </cell>
          <cell r="H968">
            <v>0</v>
          </cell>
          <cell r="I968" t="str">
            <v>Others</v>
          </cell>
          <cell r="J968">
            <v>2</v>
          </cell>
          <cell r="K968" t="str">
            <v>Consumables</v>
          </cell>
        </row>
        <row r="969">
          <cell r="D969">
            <v>250200</v>
          </cell>
          <cell r="E969" t="str">
            <v>Iron pyrites; unroasted</v>
          </cell>
          <cell r="F969">
            <v>0</v>
          </cell>
          <cell r="G969">
            <v>0</v>
          </cell>
          <cell r="H969">
            <v>0</v>
          </cell>
          <cell r="I969" t="str">
            <v>Others</v>
          </cell>
          <cell r="J969">
            <v>3</v>
          </cell>
          <cell r="K969" t="str">
            <v>Others</v>
          </cell>
        </row>
        <row r="970">
          <cell r="D970">
            <v>250300</v>
          </cell>
          <cell r="E970" t="str">
            <v>Sulphur of all kinds; other than sublimed, precipitated and colloidal sulphur</v>
          </cell>
          <cell r="F970">
            <v>0</v>
          </cell>
          <cell r="G970">
            <v>0</v>
          </cell>
          <cell r="H970">
            <v>0</v>
          </cell>
          <cell r="I970" t="str">
            <v>Others</v>
          </cell>
          <cell r="J970">
            <v>3</v>
          </cell>
          <cell r="K970" t="str">
            <v>Others</v>
          </cell>
        </row>
        <row r="971">
          <cell r="D971">
            <v>250410</v>
          </cell>
          <cell r="E971" t="str">
            <v>Graphite; natural, in powder or in flakes</v>
          </cell>
          <cell r="F971">
            <v>0</v>
          </cell>
          <cell r="G971">
            <v>0</v>
          </cell>
          <cell r="H971">
            <v>0</v>
          </cell>
          <cell r="I971" t="str">
            <v>Others</v>
          </cell>
          <cell r="J971">
            <v>3</v>
          </cell>
          <cell r="K971" t="str">
            <v>Others</v>
          </cell>
        </row>
        <row r="972">
          <cell r="D972">
            <v>250490</v>
          </cell>
          <cell r="E972" t="str">
            <v>Graphite; natural, in other forms, excluding powder or flakes</v>
          </cell>
          <cell r="F972">
            <v>0</v>
          </cell>
          <cell r="G972">
            <v>0</v>
          </cell>
          <cell r="H972">
            <v>0</v>
          </cell>
          <cell r="I972" t="str">
            <v>Others</v>
          </cell>
          <cell r="J972">
            <v>3</v>
          </cell>
          <cell r="K972" t="str">
            <v>Others</v>
          </cell>
        </row>
        <row r="973">
          <cell r="D973">
            <v>250510</v>
          </cell>
          <cell r="E973" t="str">
            <v>Sands; natural, silica and quartz sands, whether or not coloured</v>
          </cell>
          <cell r="F973">
            <v>0</v>
          </cell>
          <cell r="G973">
            <v>0</v>
          </cell>
          <cell r="H973">
            <v>0</v>
          </cell>
          <cell r="I973" t="str">
            <v>Others</v>
          </cell>
          <cell r="J973">
            <v>3</v>
          </cell>
          <cell r="K973" t="str">
            <v>Others</v>
          </cell>
        </row>
        <row r="974">
          <cell r="D974">
            <v>250590</v>
          </cell>
          <cell r="E974" t="str">
            <v>Sands; natural, (other than silica and quartz sands), whether or not coloured, (other than metal-bearing sands of chapter 26)</v>
          </cell>
          <cell r="F974">
            <v>0</v>
          </cell>
          <cell r="G974">
            <v>0</v>
          </cell>
          <cell r="H974">
            <v>0</v>
          </cell>
          <cell r="I974" t="str">
            <v>Others</v>
          </cell>
          <cell r="J974">
            <v>3</v>
          </cell>
          <cell r="K974" t="str">
            <v>Others</v>
          </cell>
        </row>
        <row r="975">
          <cell r="D975">
            <v>250610</v>
          </cell>
          <cell r="E975" t="str">
            <v>Quartz; other than natural sands</v>
          </cell>
          <cell r="F975">
            <v>0</v>
          </cell>
          <cell r="G975">
            <v>0</v>
          </cell>
          <cell r="H975">
            <v>0</v>
          </cell>
          <cell r="I975" t="str">
            <v>Others</v>
          </cell>
          <cell r="J975">
            <v>3</v>
          </cell>
          <cell r="K975" t="str">
            <v>Others</v>
          </cell>
        </row>
        <row r="976">
          <cell r="D976">
            <v>250620</v>
          </cell>
          <cell r="E976" t="str">
            <v>Quartzite; whether or not roughly trimmed or merely cut, by sawing or otherwise, into blocks or slabs of a rectangular (including square) shape</v>
          </cell>
          <cell r="F976">
            <v>0</v>
          </cell>
          <cell r="G976">
            <v>0</v>
          </cell>
          <cell r="H976">
            <v>0</v>
          </cell>
          <cell r="I976" t="str">
            <v>Others</v>
          </cell>
          <cell r="J976">
            <v>3</v>
          </cell>
          <cell r="K976" t="str">
            <v>Others</v>
          </cell>
        </row>
        <row r="977">
          <cell r="D977">
            <v>250700</v>
          </cell>
          <cell r="E977" t="str">
            <v>Kaolin and other kaolinic clays; whether or not calcined</v>
          </cell>
          <cell r="F977">
            <v>0</v>
          </cell>
          <cell r="G977">
            <v>0</v>
          </cell>
          <cell r="H977">
            <v>0</v>
          </cell>
          <cell r="I977" t="str">
            <v>Others</v>
          </cell>
          <cell r="J977">
            <v>3</v>
          </cell>
          <cell r="K977" t="str">
            <v>Others</v>
          </cell>
        </row>
        <row r="978">
          <cell r="D978">
            <v>250810</v>
          </cell>
          <cell r="E978" t="str">
            <v>Clays (excluding expanded clays of heading no. 6806); bentonite, whether or not calcined</v>
          </cell>
          <cell r="F978">
            <v>0</v>
          </cell>
          <cell r="G978">
            <v>0</v>
          </cell>
          <cell r="H978">
            <v>0</v>
          </cell>
          <cell r="I978" t="str">
            <v>Others</v>
          </cell>
          <cell r="J978">
            <v>3</v>
          </cell>
          <cell r="K978" t="str">
            <v>Others</v>
          </cell>
        </row>
        <row r="979">
          <cell r="D979">
            <v>250830</v>
          </cell>
          <cell r="E979" t="str">
            <v>Clays (excluding expanded clays of heading no. 6806); fireclay, whether or not calcined</v>
          </cell>
          <cell r="F979">
            <v>0</v>
          </cell>
          <cell r="G979">
            <v>0</v>
          </cell>
          <cell r="H979">
            <v>0</v>
          </cell>
          <cell r="I979" t="str">
            <v>Others</v>
          </cell>
          <cell r="J979">
            <v>3</v>
          </cell>
          <cell r="K979" t="str">
            <v>Others</v>
          </cell>
        </row>
        <row r="980">
          <cell r="D980">
            <v>250840</v>
          </cell>
          <cell r="E980" t="str">
            <v>Clays (excluding expanded clays of heading no. 6806); n.e.c. in heading no. 2508, whether or not calcined</v>
          </cell>
          <cell r="F980">
            <v>0</v>
          </cell>
          <cell r="G980">
            <v>0</v>
          </cell>
          <cell r="H980">
            <v>0</v>
          </cell>
          <cell r="I980" t="str">
            <v>Others</v>
          </cell>
          <cell r="J980">
            <v>3</v>
          </cell>
          <cell r="K980" t="str">
            <v>Others</v>
          </cell>
        </row>
        <row r="981">
          <cell r="D981">
            <v>250850</v>
          </cell>
          <cell r="E981" t="str">
            <v>Clays (excluding expanded clays of heading no. 6806); andalusite, kyanite and sillimanite, whether or not calcined</v>
          </cell>
          <cell r="F981">
            <v>0</v>
          </cell>
          <cell r="G981">
            <v>0</v>
          </cell>
          <cell r="H981">
            <v>0</v>
          </cell>
          <cell r="I981" t="str">
            <v>Others</v>
          </cell>
          <cell r="J981">
            <v>3</v>
          </cell>
          <cell r="K981" t="str">
            <v>Others</v>
          </cell>
        </row>
        <row r="982">
          <cell r="D982">
            <v>250860</v>
          </cell>
          <cell r="E982" t="str">
            <v>Clays (excluding expanded clays of heading no. 6806); mullite</v>
          </cell>
          <cell r="F982">
            <v>0</v>
          </cell>
          <cell r="G982">
            <v>0</v>
          </cell>
          <cell r="H982">
            <v>0</v>
          </cell>
          <cell r="I982" t="str">
            <v>Others</v>
          </cell>
          <cell r="J982">
            <v>3</v>
          </cell>
          <cell r="K982" t="str">
            <v>Others</v>
          </cell>
        </row>
        <row r="983">
          <cell r="D983">
            <v>250870</v>
          </cell>
          <cell r="E983" t="str">
            <v>Clays (excluding expanded clays of heading no. 6806); chamotte or dinas earths</v>
          </cell>
          <cell r="F983">
            <v>0</v>
          </cell>
          <cell r="G983">
            <v>0</v>
          </cell>
          <cell r="H983">
            <v>0</v>
          </cell>
          <cell r="I983" t="str">
            <v>Others</v>
          </cell>
          <cell r="J983">
            <v>3</v>
          </cell>
          <cell r="K983" t="str">
            <v>Others</v>
          </cell>
        </row>
        <row r="984">
          <cell r="D984">
            <v>250900</v>
          </cell>
          <cell r="E984" t="str">
            <v>Chalk</v>
          </cell>
          <cell r="F984">
            <v>0</v>
          </cell>
          <cell r="G984">
            <v>0</v>
          </cell>
          <cell r="H984">
            <v>0</v>
          </cell>
          <cell r="I984" t="str">
            <v>Others</v>
          </cell>
          <cell r="J984">
            <v>3</v>
          </cell>
          <cell r="K984" t="str">
            <v>Others</v>
          </cell>
        </row>
        <row r="985">
          <cell r="D985">
            <v>251010</v>
          </cell>
          <cell r="E985" t="str">
            <v>Natural calcium phosphates, natural aluminium calcium phosphates and phosphatic chalk; unground</v>
          </cell>
          <cell r="F985">
            <v>0</v>
          </cell>
          <cell r="G985">
            <v>0</v>
          </cell>
          <cell r="H985">
            <v>0</v>
          </cell>
          <cell r="I985" t="str">
            <v>Others</v>
          </cell>
          <cell r="J985">
            <v>3</v>
          </cell>
          <cell r="K985" t="str">
            <v>Others</v>
          </cell>
        </row>
        <row r="986">
          <cell r="D986">
            <v>251020</v>
          </cell>
          <cell r="E986" t="str">
            <v>Natural calcium phosphates, natural aluminium calcium phosphates and phosphatic chalk; ground</v>
          </cell>
          <cell r="F986">
            <v>0</v>
          </cell>
          <cell r="G986">
            <v>0</v>
          </cell>
          <cell r="H986">
            <v>0</v>
          </cell>
          <cell r="I986" t="str">
            <v>Others</v>
          </cell>
          <cell r="J986">
            <v>3</v>
          </cell>
          <cell r="K986" t="str">
            <v>Others</v>
          </cell>
        </row>
        <row r="987">
          <cell r="D987">
            <v>251110</v>
          </cell>
          <cell r="E987" t="str">
            <v>Barium sulphate (barytes); natural</v>
          </cell>
          <cell r="F987">
            <v>0</v>
          </cell>
          <cell r="G987">
            <v>0</v>
          </cell>
          <cell r="H987">
            <v>0</v>
          </cell>
          <cell r="I987" t="str">
            <v>Others</v>
          </cell>
          <cell r="J987">
            <v>3</v>
          </cell>
          <cell r="K987" t="str">
            <v>Others</v>
          </cell>
        </row>
        <row r="988">
          <cell r="D988">
            <v>251120</v>
          </cell>
          <cell r="E988" t="str">
            <v>Barium carbonate (witherite); natural, whether or not calcined, other than barium oxide of heading no. 2816</v>
          </cell>
          <cell r="F988">
            <v>0</v>
          </cell>
          <cell r="G988">
            <v>0</v>
          </cell>
          <cell r="H988">
            <v>0</v>
          </cell>
          <cell r="I988" t="str">
            <v>Others</v>
          </cell>
          <cell r="J988">
            <v>3</v>
          </cell>
          <cell r="K988" t="str">
            <v>Others</v>
          </cell>
        </row>
        <row r="989">
          <cell r="D989">
            <v>251200</v>
          </cell>
          <cell r="E989" t="str">
            <v>Siliceous fossil meals (e.g. kieselguhr, tripolite and diatomite) and similar siliceous earths; whether or not calcined, of an apparent specific gravity of 1 or less</v>
          </cell>
          <cell r="F989" t="str">
            <v>Capital Goods</v>
          </cell>
          <cell r="G989">
            <v>0</v>
          </cell>
          <cell r="H989">
            <v>0</v>
          </cell>
          <cell r="I989" t="str">
            <v>Others</v>
          </cell>
          <cell r="J989">
            <v>2</v>
          </cell>
          <cell r="K989" t="str">
            <v>Others</v>
          </cell>
        </row>
        <row r="990">
          <cell r="D990">
            <v>251310</v>
          </cell>
          <cell r="E990" t="str">
            <v>Pumice stone, whether or not heat treated</v>
          </cell>
          <cell r="F990">
            <v>0</v>
          </cell>
          <cell r="G990">
            <v>0</v>
          </cell>
          <cell r="H990">
            <v>0</v>
          </cell>
          <cell r="I990" t="str">
            <v>Others</v>
          </cell>
          <cell r="J990">
            <v>3</v>
          </cell>
          <cell r="K990" t="str">
            <v>Others</v>
          </cell>
        </row>
        <row r="991">
          <cell r="D991">
            <v>251320</v>
          </cell>
          <cell r="E991" t="str">
            <v>Emery, natural corundum, natural garnet and other natural abrasives, whether or not heat-treated</v>
          </cell>
          <cell r="F991">
            <v>0</v>
          </cell>
          <cell r="G991">
            <v>0</v>
          </cell>
          <cell r="H991">
            <v>0</v>
          </cell>
          <cell r="I991" t="str">
            <v>Others</v>
          </cell>
          <cell r="J991">
            <v>3</v>
          </cell>
          <cell r="K991" t="str">
            <v>Others</v>
          </cell>
        </row>
        <row r="992">
          <cell r="D992">
            <v>251400</v>
          </cell>
          <cell r="E992" t="str">
            <v>Slate; whether or not roughly trimmed or merely cut, by sawing or otherwise, into blocks or slabs of a rectangular (including square) shape</v>
          </cell>
          <cell r="F992">
            <v>0</v>
          </cell>
          <cell r="G992">
            <v>0</v>
          </cell>
          <cell r="H992">
            <v>0</v>
          </cell>
          <cell r="I992" t="str">
            <v>Others</v>
          </cell>
          <cell r="J992">
            <v>3</v>
          </cell>
          <cell r="K992" t="str">
            <v>Others</v>
          </cell>
        </row>
        <row r="993">
          <cell r="D993">
            <v>251511</v>
          </cell>
          <cell r="E993" t="str">
            <v>Marble and travertine; having a specific gravity of 2.5 or more, crude or roughly trimmed by sawing or otherwise, into blocks or slabs of a rectangular (including square) shape</v>
          </cell>
          <cell r="F993">
            <v>0</v>
          </cell>
          <cell r="G993">
            <v>0</v>
          </cell>
          <cell r="H993">
            <v>0</v>
          </cell>
          <cell r="I993" t="str">
            <v>Others</v>
          </cell>
          <cell r="J993">
            <v>3</v>
          </cell>
          <cell r="K993" t="str">
            <v>Others</v>
          </cell>
        </row>
        <row r="994">
          <cell r="D994">
            <v>251512</v>
          </cell>
          <cell r="E994" t="str">
            <v>Marble and travertine; merely cut, by sawing or otherwise, into blocks or slabs of a rectangular (including square) shape, having a specific gravity of 2.5 or more</v>
          </cell>
          <cell r="F994">
            <v>0</v>
          </cell>
          <cell r="G994">
            <v>0</v>
          </cell>
          <cell r="H994">
            <v>0</v>
          </cell>
          <cell r="I994" t="str">
            <v>Others</v>
          </cell>
          <cell r="J994">
            <v>3</v>
          </cell>
          <cell r="K994" t="str">
            <v>Others</v>
          </cell>
        </row>
        <row r="995">
          <cell r="D995">
            <v>251520</v>
          </cell>
          <cell r="E995" t="str">
            <v>Ecaussine and other calcareous monumental or building stone; alabaster, having a specific gravity of 2.5 or more</v>
          </cell>
          <cell r="F995">
            <v>0</v>
          </cell>
          <cell r="G995">
            <v>0</v>
          </cell>
          <cell r="H995">
            <v>0</v>
          </cell>
          <cell r="I995" t="str">
            <v>Others</v>
          </cell>
          <cell r="J995">
            <v>3</v>
          </cell>
          <cell r="K995" t="str">
            <v>Others</v>
          </cell>
        </row>
        <row r="996">
          <cell r="D996">
            <v>251611</v>
          </cell>
          <cell r="E996" t="str">
            <v>Granite; crude or roughly trimmed</v>
          </cell>
          <cell r="F996">
            <v>0</v>
          </cell>
          <cell r="G996">
            <v>0</v>
          </cell>
          <cell r="H996">
            <v>0</v>
          </cell>
          <cell r="I996" t="str">
            <v>Others</v>
          </cell>
          <cell r="J996">
            <v>3</v>
          </cell>
          <cell r="K996" t="str">
            <v>Others</v>
          </cell>
        </row>
        <row r="997">
          <cell r="D997">
            <v>251612</v>
          </cell>
          <cell r="E997" t="str">
            <v>Granite; merely cut, by sawing or otherwise, into blocks or slabs of a rectangular (including square) shape</v>
          </cell>
          <cell r="F997">
            <v>0</v>
          </cell>
          <cell r="G997">
            <v>0</v>
          </cell>
          <cell r="H997">
            <v>0</v>
          </cell>
          <cell r="I997" t="str">
            <v>Others</v>
          </cell>
          <cell r="J997">
            <v>3</v>
          </cell>
          <cell r="K997" t="str">
            <v>Others</v>
          </cell>
        </row>
        <row r="998">
          <cell r="D998">
            <v>251620</v>
          </cell>
          <cell r="E998" t="str">
            <v>Sandstone;. whether or not roughly trimmed, cut, by sawing etc, into blocks or slabs of a rectangular (including square) shape</v>
          </cell>
          <cell r="F998">
            <v>0</v>
          </cell>
          <cell r="G998">
            <v>0</v>
          </cell>
          <cell r="H998">
            <v>0</v>
          </cell>
          <cell r="I998" t="str">
            <v>Others</v>
          </cell>
          <cell r="J998">
            <v>3</v>
          </cell>
          <cell r="K998" t="str">
            <v>Others</v>
          </cell>
        </row>
        <row r="999">
          <cell r="D999">
            <v>251690</v>
          </cell>
          <cell r="E999" t="str">
            <v>Monumental or building stone; n.e.c. in heading no. 2516, whether or not roughly trimmed or merely cut, by sawing or otherwise, into blocks or slabs of a rectangular (including square) shape</v>
          </cell>
          <cell r="F999">
            <v>0</v>
          </cell>
          <cell r="G999">
            <v>0</v>
          </cell>
          <cell r="H999">
            <v>0</v>
          </cell>
          <cell r="I999" t="str">
            <v>Others</v>
          </cell>
          <cell r="J999">
            <v>3</v>
          </cell>
          <cell r="K999" t="str">
            <v>Others</v>
          </cell>
        </row>
        <row r="1000">
          <cell r="D1000">
            <v>251710</v>
          </cell>
          <cell r="E1000" t="str">
            <v>Pebbles, gravel, broken or crushed stone; of a kind commonly used for concrete aggregates, for road metalling or for railway or other ballast, shingle and flint, whether or not heat-treated</v>
          </cell>
          <cell r="F1000">
            <v>0</v>
          </cell>
          <cell r="G1000">
            <v>0</v>
          </cell>
          <cell r="H1000">
            <v>0</v>
          </cell>
          <cell r="I1000" t="str">
            <v>Others</v>
          </cell>
          <cell r="J1000">
            <v>3</v>
          </cell>
          <cell r="K1000" t="str">
            <v>Others</v>
          </cell>
        </row>
        <row r="1001">
          <cell r="D1001">
            <v>251720</v>
          </cell>
          <cell r="E1001" t="str">
            <v>Macadam of slag, dross or similar industrial waste; whether or not incorporating the materials in Tariff item 2517.10.00</v>
          </cell>
          <cell r="F1001">
            <v>0</v>
          </cell>
          <cell r="G1001">
            <v>0</v>
          </cell>
          <cell r="H1001">
            <v>0</v>
          </cell>
          <cell r="I1001" t="str">
            <v>Others</v>
          </cell>
          <cell r="J1001">
            <v>3</v>
          </cell>
          <cell r="K1001" t="str">
            <v>Others</v>
          </cell>
        </row>
        <row r="1002">
          <cell r="D1002">
            <v>251730</v>
          </cell>
          <cell r="E1002" t="str">
            <v>Tarred macadam</v>
          </cell>
          <cell r="F1002">
            <v>0</v>
          </cell>
          <cell r="G1002">
            <v>0</v>
          </cell>
          <cell r="H1002">
            <v>0</v>
          </cell>
          <cell r="I1002" t="str">
            <v>Others</v>
          </cell>
          <cell r="J1002">
            <v>3</v>
          </cell>
          <cell r="K1002" t="str">
            <v>Others</v>
          </cell>
        </row>
        <row r="1003">
          <cell r="D1003">
            <v>251741</v>
          </cell>
          <cell r="E1003" t="str">
            <v>Stones; of marble, in granules, chippings and powder, whether or not heat-treated</v>
          </cell>
          <cell r="F1003">
            <v>0</v>
          </cell>
          <cell r="G1003">
            <v>0</v>
          </cell>
          <cell r="H1003">
            <v>0</v>
          </cell>
          <cell r="I1003" t="str">
            <v>Others</v>
          </cell>
          <cell r="J1003">
            <v>3</v>
          </cell>
          <cell r="K1003" t="str">
            <v>Others</v>
          </cell>
        </row>
        <row r="1004">
          <cell r="D1004">
            <v>251749</v>
          </cell>
          <cell r="E1004" t="str">
            <v>Stones; of heading no. 2515 or 2516 (excluding marble), in granules, chippings and powder, whether or not heat-treated</v>
          </cell>
          <cell r="F1004">
            <v>0</v>
          </cell>
          <cell r="G1004">
            <v>0</v>
          </cell>
          <cell r="H1004">
            <v>0</v>
          </cell>
          <cell r="I1004" t="str">
            <v>Others</v>
          </cell>
          <cell r="J1004">
            <v>3</v>
          </cell>
          <cell r="K1004" t="str">
            <v>Others</v>
          </cell>
        </row>
        <row r="1005">
          <cell r="D1005">
            <v>251810</v>
          </cell>
          <cell r="E1005" t="str">
            <v>Dolomite, not calcined or sintered; including dolomite roughly trimmed, or merely cut by sawing or otherwise into blocks or slabs of rectangular (including square) shape</v>
          </cell>
          <cell r="F1005">
            <v>0</v>
          </cell>
          <cell r="G1005">
            <v>0</v>
          </cell>
          <cell r="H1005">
            <v>0</v>
          </cell>
          <cell r="I1005" t="str">
            <v>Others</v>
          </cell>
          <cell r="J1005">
            <v>3</v>
          </cell>
          <cell r="K1005" t="str">
            <v>Others</v>
          </cell>
        </row>
        <row r="1006">
          <cell r="D1006">
            <v>251820</v>
          </cell>
          <cell r="E1006" t="str">
            <v>Dolomite, calcined or sintered; including dolomite roughly trimmed, or merely cut by sawing or otherwise into blocks or slabs of rectangular (including square) shape</v>
          </cell>
          <cell r="F1006">
            <v>0</v>
          </cell>
          <cell r="G1006">
            <v>0</v>
          </cell>
          <cell r="H1006">
            <v>0</v>
          </cell>
          <cell r="I1006" t="str">
            <v>Others</v>
          </cell>
          <cell r="J1006">
            <v>3</v>
          </cell>
          <cell r="K1006" t="str">
            <v>Others</v>
          </cell>
        </row>
        <row r="1007">
          <cell r="D1007">
            <v>251910</v>
          </cell>
          <cell r="E1007" t="str">
            <v>Magnesium carbonate (magnesite); natural</v>
          </cell>
          <cell r="F1007">
            <v>0</v>
          </cell>
          <cell r="G1007">
            <v>0</v>
          </cell>
          <cell r="H1007">
            <v>0</v>
          </cell>
          <cell r="I1007" t="str">
            <v>Others</v>
          </cell>
          <cell r="J1007">
            <v>3</v>
          </cell>
          <cell r="K1007" t="str">
            <v>Others</v>
          </cell>
        </row>
        <row r="1008">
          <cell r="D1008">
            <v>251990</v>
          </cell>
          <cell r="E1008" t="str">
            <v>Magnesia, fused or dead-burned (sintered); whether or not containing small quantities of other oxides added before sintering, other magnesium oxide, whether or not pure, (not natural magnesium carbonate)</v>
          </cell>
          <cell r="F1008">
            <v>0</v>
          </cell>
          <cell r="G1008">
            <v>0</v>
          </cell>
          <cell r="H1008">
            <v>0</v>
          </cell>
          <cell r="I1008" t="str">
            <v>Others</v>
          </cell>
          <cell r="J1008">
            <v>3</v>
          </cell>
          <cell r="K1008" t="str">
            <v>Others</v>
          </cell>
        </row>
        <row r="1009">
          <cell r="D1009">
            <v>252010</v>
          </cell>
          <cell r="E1009" t="str">
            <v>Gypsum; anhydrite</v>
          </cell>
          <cell r="F1009">
            <v>0</v>
          </cell>
          <cell r="G1009">
            <v>0</v>
          </cell>
          <cell r="H1009">
            <v>0</v>
          </cell>
          <cell r="I1009" t="str">
            <v>Others</v>
          </cell>
          <cell r="J1009">
            <v>3</v>
          </cell>
          <cell r="K1009" t="str">
            <v>Others</v>
          </cell>
        </row>
        <row r="1010">
          <cell r="D1010">
            <v>252020</v>
          </cell>
          <cell r="E1010" t="str">
            <v>Plasters; (consisting of calcined gypsum or calcium sulphate), whether or not coloured, with or without small quantities of accelerators or retarders</v>
          </cell>
          <cell r="F1010">
            <v>0</v>
          </cell>
          <cell r="G1010">
            <v>0</v>
          </cell>
          <cell r="H1010">
            <v>0</v>
          </cell>
          <cell r="I1010" t="str">
            <v>Others</v>
          </cell>
          <cell r="J1010">
            <v>3</v>
          </cell>
          <cell r="K1010" t="str">
            <v>Others</v>
          </cell>
        </row>
        <row r="1011">
          <cell r="D1011">
            <v>252100</v>
          </cell>
          <cell r="E1011" t="str">
            <v>Limestone flux; limestone and other calcareous stone, of a kind used for the manufacture of lime or cement</v>
          </cell>
          <cell r="F1011">
            <v>0</v>
          </cell>
          <cell r="G1011">
            <v>0</v>
          </cell>
          <cell r="H1011">
            <v>0</v>
          </cell>
          <cell r="I1011" t="str">
            <v>Others</v>
          </cell>
          <cell r="J1011">
            <v>3</v>
          </cell>
          <cell r="K1011" t="str">
            <v>Others</v>
          </cell>
        </row>
        <row r="1012">
          <cell r="D1012">
            <v>252210</v>
          </cell>
          <cell r="E1012" t="str">
            <v>Quicklime; excluding calcium oxide and hydroxide of heading no. 2825</v>
          </cell>
          <cell r="F1012">
            <v>0</v>
          </cell>
          <cell r="G1012">
            <v>0</v>
          </cell>
          <cell r="H1012">
            <v>0</v>
          </cell>
          <cell r="I1012" t="str">
            <v>Others</v>
          </cell>
          <cell r="J1012">
            <v>3</v>
          </cell>
          <cell r="K1012" t="str">
            <v>Others</v>
          </cell>
        </row>
        <row r="1013">
          <cell r="D1013">
            <v>252220</v>
          </cell>
          <cell r="E1013" t="str">
            <v>Slaked lime; excluding calcium oxide and hydroxide of heading no. 2825</v>
          </cell>
          <cell r="F1013">
            <v>0</v>
          </cell>
          <cell r="G1013">
            <v>0</v>
          </cell>
          <cell r="H1013">
            <v>0</v>
          </cell>
          <cell r="I1013" t="str">
            <v>Others</v>
          </cell>
          <cell r="J1013">
            <v>3</v>
          </cell>
          <cell r="K1013" t="str">
            <v>Others</v>
          </cell>
        </row>
        <row r="1014">
          <cell r="D1014">
            <v>252230</v>
          </cell>
          <cell r="E1014" t="str">
            <v>Hydraulic lime; excluding calcium oxide and hydroxide of heading no. 2825</v>
          </cell>
          <cell r="F1014">
            <v>0</v>
          </cell>
          <cell r="G1014">
            <v>0</v>
          </cell>
          <cell r="H1014">
            <v>0</v>
          </cell>
          <cell r="I1014" t="str">
            <v>Others</v>
          </cell>
          <cell r="J1014">
            <v>3</v>
          </cell>
          <cell r="K1014" t="str">
            <v>Others</v>
          </cell>
        </row>
        <row r="1015">
          <cell r="D1015">
            <v>252310</v>
          </cell>
          <cell r="E1015" t="str">
            <v>Cement clinkers (whether or not coloured)</v>
          </cell>
          <cell r="F1015">
            <v>0</v>
          </cell>
          <cell r="G1015">
            <v>0</v>
          </cell>
          <cell r="H1015">
            <v>0</v>
          </cell>
          <cell r="I1015" t="str">
            <v>Others</v>
          </cell>
          <cell r="J1015">
            <v>3</v>
          </cell>
          <cell r="K1015" t="str">
            <v>Others</v>
          </cell>
        </row>
        <row r="1016">
          <cell r="D1016">
            <v>252321</v>
          </cell>
          <cell r="E1016" t="str">
            <v>Cement; portland, white, whether or not artificially coloured</v>
          </cell>
          <cell r="F1016">
            <v>0</v>
          </cell>
          <cell r="G1016">
            <v>0</v>
          </cell>
          <cell r="H1016">
            <v>0</v>
          </cell>
          <cell r="I1016" t="str">
            <v>Others</v>
          </cell>
          <cell r="J1016">
            <v>3</v>
          </cell>
          <cell r="K1016" t="str">
            <v>Others</v>
          </cell>
        </row>
        <row r="1017">
          <cell r="D1017">
            <v>252329</v>
          </cell>
          <cell r="E1017" t="str">
            <v>Cement; portland, other than white, whether or not artificially coloured</v>
          </cell>
          <cell r="F1017">
            <v>0</v>
          </cell>
          <cell r="G1017">
            <v>0</v>
          </cell>
          <cell r="H1017">
            <v>0</v>
          </cell>
          <cell r="I1017" t="str">
            <v>Others</v>
          </cell>
          <cell r="J1017">
            <v>3</v>
          </cell>
          <cell r="K1017" t="str">
            <v>Others</v>
          </cell>
        </row>
        <row r="1018">
          <cell r="D1018">
            <v>252330</v>
          </cell>
          <cell r="E1018" t="str">
            <v>Cement; aluminous (ciment fondu), whether or not coloured or in the form of clinkers</v>
          </cell>
          <cell r="F1018">
            <v>0</v>
          </cell>
          <cell r="G1018">
            <v>0</v>
          </cell>
          <cell r="H1018">
            <v>0</v>
          </cell>
          <cell r="I1018" t="str">
            <v>Others</v>
          </cell>
          <cell r="J1018">
            <v>3</v>
          </cell>
          <cell r="K1018" t="str">
            <v>Others</v>
          </cell>
        </row>
        <row r="1019">
          <cell r="D1019">
            <v>252390</v>
          </cell>
          <cell r="E1019" t="str">
            <v>Cement; hydraulic kinds n.e.c. in heading no. 2523</v>
          </cell>
          <cell r="F1019">
            <v>0</v>
          </cell>
          <cell r="G1019">
            <v>0</v>
          </cell>
          <cell r="H1019">
            <v>0</v>
          </cell>
          <cell r="I1019" t="str">
            <v>Others</v>
          </cell>
          <cell r="J1019">
            <v>3</v>
          </cell>
          <cell r="K1019" t="str">
            <v>Others</v>
          </cell>
        </row>
        <row r="1020">
          <cell r="D1020">
            <v>252410</v>
          </cell>
          <cell r="E1020" t="str">
            <v>Asbestos; crocidolite (blue asbestos)</v>
          </cell>
          <cell r="F1020">
            <v>0</v>
          </cell>
          <cell r="G1020">
            <v>0</v>
          </cell>
          <cell r="H1020">
            <v>0</v>
          </cell>
          <cell r="I1020" t="str">
            <v>Others</v>
          </cell>
          <cell r="J1020">
            <v>3</v>
          </cell>
          <cell r="K1020" t="str">
            <v>Others</v>
          </cell>
        </row>
        <row r="1021">
          <cell r="D1021">
            <v>252490</v>
          </cell>
          <cell r="E1021" t="str">
            <v>Asbestos; other than crocidolite (blue asbestos)</v>
          </cell>
          <cell r="F1021">
            <v>0</v>
          </cell>
          <cell r="G1021">
            <v>0</v>
          </cell>
          <cell r="H1021">
            <v>0</v>
          </cell>
          <cell r="I1021" t="str">
            <v>Others</v>
          </cell>
          <cell r="J1021">
            <v>3</v>
          </cell>
          <cell r="K1021" t="str">
            <v>Others</v>
          </cell>
        </row>
        <row r="1022">
          <cell r="D1022">
            <v>252510</v>
          </cell>
          <cell r="E1022" t="str">
            <v>Mica; crude and rifted into sheets or splittings</v>
          </cell>
          <cell r="F1022">
            <v>0</v>
          </cell>
          <cell r="G1022">
            <v>0</v>
          </cell>
          <cell r="H1022">
            <v>0</v>
          </cell>
          <cell r="I1022" t="str">
            <v>Others</v>
          </cell>
          <cell r="J1022">
            <v>3</v>
          </cell>
          <cell r="K1022" t="str">
            <v>Others</v>
          </cell>
        </row>
        <row r="1023">
          <cell r="D1023">
            <v>252520</v>
          </cell>
          <cell r="E1023" t="str">
            <v>Mica; powder</v>
          </cell>
          <cell r="F1023">
            <v>0</v>
          </cell>
          <cell r="G1023">
            <v>0</v>
          </cell>
          <cell r="H1023">
            <v>0</v>
          </cell>
          <cell r="I1023" t="str">
            <v>Others</v>
          </cell>
          <cell r="J1023">
            <v>3</v>
          </cell>
          <cell r="K1023" t="str">
            <v>Others</v>
          </cell>
        </row>
        <row r="1024">
          <cell r="D1024">
            <v>252530</v>
          </cell>
          <cell r="E1024" t="str">
            <v>Mica; waste</v>
          </cell>
          <cell r="F1024">
            <v>0</v>
          </cell>
          <cell r="G1024">
            <v>0</v>
          </cell>
          <cell r="H1024">
            <v>0</v>
          </cell>
          <cell r="I1024" t="str">
            <v>Others</v>
          </cell>
          <cell r="J1024">
            <v>3</v>
          </cell>
          <cell r="K1024" t="str">
            <v>Others</v>
          </cell>
        </row>
        <row r="1025">
          <cell r="D1025">
            <v>252610</v>
          </cell>
          <cell r="E1025" t="str">
            <v>Steatite; natural, (not crushed or powdered), whether or not roughly trimmed or merely cut, by sawing or otherwise, into blocks or slabs of a rectangular (including square) shape; talc</v>
          </cell>
          <cell r="F1025">
            <v>0</v>
          </cell>
          <cell r="G1025">
            <v>0</v>
          </cell>
          <cell r="H1025">
            <v>0</v>
          </cell>
          <cell r="I1025" t="str">
            <v>Others</v>
          </cell>
          <cell r="J1025">
            <v>3</v>
          </cell>
          <cell r="K1025" t="str">
            <v>Others</v>
          </cell>
        </row>
        <row r="1026">
          <cell r="D1026">
            <v>252620</v>
          </cell>
          <cell r="E1026" t="str">
            <v>Steatite; natural, crushed, powdered, whether or not roughly trimmed or merely cut, by sawing or otherwise, into blocks or slabs of a rectangular (including square) shape; talc</v>
          </cell>
          <cell r="F1026">
            <v>0</v>
          </cell>
          <cell r="G1026">
            <v>0</v>
          </cell>
          <cell r="H1026">
            <v>0</v>
          </cell>
          <cell r="I1026" t="str">
            <v>Others</v>
          </cell>
          <cell r="J1026">
            <v>3</v>
          </cell>
          <cell r="K1026" t="str">
            <v>Others</v>
          </cell>
        </row>
        <row r="1027">
          <cell r="D1027">
            <v>252800</v>
          </cell>
          <cell r="E1027" t="str">
            <v>Natural borates and concentrates thereof (whether or not calcined), but not including borates separated from natural brine; natural boric acid containing not more than 85 % of H3BO3 calculated on the dry weight</v>
          </cell>
          <cell r="F1027">
            <v>0</v>
          </cell>
          <cell r="G1027">
            <v>0</v>
          </cell>
          <cell r="H1027">
            <v>0</v>
          </cell>
          <cell r="I1027" t="str">
            <v>Others</v>
          </cell>
          <cell r="J1027">
            <v>3</v>
          </cell>
          <cell r="K1027" t="str">
            <v>Others</v>
          </cell>
        </row>
        <row r="1028">
          <cell r="D1028">
            <v>252910</v>
          </cell>
          <cell r="E1028" t="str">
            <v>Feldspar</v>
          </cell>
          <cell r="F1028">
            <v>0</v>
          </cell>
          <cell r="G1028">
            <v>0</v>
          </cell>
          <cell r="H1028">
            <v>0</v>
          </cell>
          <cell r="I1028" t="str">
            <v>Others</v>
          </cell>
          <cell r="J1028">
            <v>3</v>
          </cell>
          <cell r="K1028" t="str">
            <v>Others</v>
          </cell>
        </row>
        <row r="1029">
          <cell r="D1029">
            <v>252921</v>
          </cell>
          <cell r="E1029" t="str">
            <v>Fluorspar; containing by weight 97% or less of calcium fluoride</v>
          </cell>
          <cell r="F1029">
            <v>0</v>
          </cell>
          <cell r="G1029">
            <v>0</v>
          </cell>
          <cell r="H1029">
            <v>0</v>
          </cell>
          <cell r="I1029" t="str">
            <v>Others</v>
          </cell>
          <cell r="J1029">
            <v>3</v>
          </cell>
          <cell r="K1029" t="str">
            <v>Others</v>
          </cell>
        </row>
        <row r="1030">
          <cell r="D1030">
            <v>252922</v>
          </cell>
          <cell r="E1030" t="str">
            <v>Fluorspar; containing by weight more than 97% of calcium fluoride</v>
          </cell>
          <cell r="F1030">
            <v>0</v>
          </cell>
          <cell r="G1030">
            <v>0</v>
          </cell>
          <cell r="H1030">
            <v>0</v>
          </cell>
          <cell r="I1030" t="str">
            <v>Others</v>
          </cell>
          <cell r="J1030">
            <v>3</v>
          </cell>
          <cell r="K1030" t="str">
            <v>Others</v>
          </cell>
        </row>
        <row r="1031">
          <cell r="D1031">
            <v>252930</v>
          </cell>
          <cell r="E1031" t="str">
            <v>Leucite; nepheline and nepheline syenite</v>
          </cell>
          <cell r="F1031">
            <v>0</v>
          </cell>
          <cell r="G1031">
            <v>0</v>
          </cell>
          <cell r="H1031">
            <v>0</v>
          </cell>
          <cell r="I1031" t="str">
            <v>Others</v>
          </cell>
          <cell r="J1031">
            <v>3</v>
          </cell>
          <cell r="K1031" t="str">
            <v>Others</v>
          </cell>
        </row>
        <row r="1032">
          <cell r="D1032">
            <v>253010</v>
          </cell>
          <cell r="E1032" t="str">
            <v>Vermiculite, perlite and chlorites; unexpanded</v>
          </cell>
          <cell r="F1032">
            <v>0</v>
          </cell>
          <cell r="G1032">
            <v>0</v>
          </cell>
          <cell r="H1032">
            <v>0</v>
          </cell>
          <cell r="I1032" t="str">
            <v>Others</v>
          </cell>
          <cell r="J1032">
            <v>3</v>
          </cell>
          <cell r="K1032" t="str">
            <v>Others</v>
          </cell>
        </row>
        <row r="1033">
          <cell r="D1033">
            <v>253020</v>
          </cell>
          <cell r="E1033" t="str">
            <v>Kieserite, epsomite (natural magnesium sulphates)</v>
          </cell>
          <cell r="F1033">
            <v>0</v>
          </cell>
          <cell r="G1033">
            <v>0</v>
          </cell>
          <cell r="H1033">
            <v>0</v>
          </cell>
          <cell r="I1033" t="str">
            <v>Others</v>
          </cell>
          <cell r="J1033">
            <v>3</v>
          </cell>
          <cell r="K1033" t="str">
            <v>Others</v>
          </cell>
        </row>
        <row r="1034">
          <cell r="D1034">
            <v>253090</v>
          </cell>
          <cell r="E1034" t="str">
            <v>Mineral substances; n.e.c. in chapter 25</v>
          </cell>
          <cell r="F1034">
            <v>0</v>
          </cell>
          <cell r="G1034">
            <v>0</v>
          </cell>
          <cell r="H1034">
            <v>0</v>
          </cell>
          <cell r="I1034" t="str">
            <v>Others</v>
          </cell>
          <cell r="J1034">
            <v>3</v>
          </cell>
          <cell r="K1034" t="str">
            <v>Others</v>
          </cell>
        </row>
        <row r="1035">
          <cell r="D1035">
            <v>260111</v>
          </cell>
          <cell r="E1035" t="str">
            <v>Iron ores and concentrates; non-agglomerated</v>
          </cell>
          <cell r="F1035">
            <v>0</v>
          </cell>
          <cell r="G1035">
            <v>0</v>
          </cell>
          <cell r="H1035">
            <v>0</v>
          </cell>
          <cell r="I1035" t="str">
            <v>Others</v>
          </cell>
          <cell r="J1035">
            <v>3</v>
          </cell>
          <cell r="K1035" t="str">
            <v>Others</v>
          </cell>
        </row>
        <row r="1036">
          <cell r="D1036">
            <v>260112</v>
          </cell>
          <cell r="E1036" t="str">
            <v>Iron ores and concentrates; agglomerated (excluding roasted iron pyrites)</v>
          </cell>
          <cell r="F1036">
            <v>0</v>
          </cell>
          <cell r="G1036">
            <v>0</v>
          </cell>
          <cell r="H1036">
            <v>0</v>
          </cell>
          <cell r="I1036" t="str">
            <v>Others</v>
          </cell>
          <cell r="J1036">
            <v>3</v>
          </cell>
          <cell r="K1036" t="str">
            <v>Others</v>
          </cell>
        </row>
        <row r="1037">
          <cell r="D1037">
            <v>260120</v>
          </cell>
          <cell r="E1037" t="str">
            <v>Iron pyrites; roasted</v>
          </cell>
          <cell r="F1037">
            <v>0</v>
          </cell>
          <cell r="G1037">
            <v>0</v>
          </cell>
          <cell r="H1037">
            <v>0</v>
          </cell>
          <cell r="I1037" t="str">
            <v>Others</v>
          </cell>
          <cell r="J1037">
            <v>3</v>
          </cell>
          <cell r="K1037" t="str">
            <v>Others</v>
          </cell>
        </row>
        <row r="1038">
          <cell r="D1038">
            <v>260200</v>
          </cell>
          <cell r="E1038" t="str">
            <v>Manganese ores and concentrates, including ferruginous manganese ores and concentrates with a manganese content of 20% or more, calculated on the dry weight</v>
          </cell>
          <cell r="F1038">
            <v>0</v>
          </cell>
          <cell r="G1038">
            <v>0</v>
          </cell>
          <cell r="H1038">
            <v>0</v>
          </cell>
          <cell r="I1038" t="str">
            <v>Others</v>
          </cell>
          <cell r="J1038">
            <v>3</v>
          </cell>
          <cell r="K1038" t="str">
            <v>Others</v>
          </cell>
        </row>
        <row r="1039">
          <cell r="D1039">
            <v>260300</v>
          </cell>
          <cell r="E1039" t="str">
            <v>Copper ores and concentrates</v>
          </cell>
          <cell r="F1039">
            <v>0</v>
          </cell>
          <cell r="G1039">
            <v>0</v>
          </cell>
          <cell r="H1039">
            <v>0</v>
          </cell>
          <cell r="I1039" t="str">
            <v>Others</v>
          </cell>
          <cell r="J1039">
            <v>3</v>
          </cell>
          <cell r="K1039" t="str">
            <v>Others</v>
          </cell>
        </row>
        <row r="1040">
          <cell r="D1040">
            <v>260400</v>
          </cell>
          <cell r="E1040" t="str">
            <v>Nickel ores and concentrates</v>
          </cell>
          <cell r="F1040">
            <v>0</v>
          </cell>
          <cell r="G1040">
            <v>0</v>
          </cell>
          <cell r="H1040">
            <v>0</v>
          </cell>
          <cell r="I1040" t="str">
            <v>Others</v>
          </cell>
          <cell r="J1040">
            <v>3</v>
          </cell>
          <cell r="K1040" t="str">
            <v>Others</v>
          </cell>
        </row>
        <row r="1041">
          <cell r="D1041">
            <v>260500</v>
          </cell>
          <cell r="E1041" t="str">
            <v>Cobalt ores and concentrates</v>
          </cell>
          <cell r="F1041">
            <v>0</v>
          </cell>
          <cell r="G1041">
            <v>0</v>
          </cell>
          <cell r="H1041">
            <v>0</v>
          </cell>
          <cell r="I1041" t="str">
            <v>Others</v>
          </cell>
          <cell r="J1041">
            <v>3</v>
          </cell>
          <cell r="K1041" t="str">
            <v>Others</v>
          </cell>
        </row>
        <row r="1042">
          <cell r="D1042">
            <v>260600</v>
          </cell>
          <cell r="E1042" t="str">
            <v>Aluminium ores and concentrates</v>
          </cell>
          <cell r="F1042">
            <v>0</v>
          </cell>
          <cell r="G1042">
            <v>0</v>
          </cell>
          <cell r="H1042">
            <v>0</v>
          </cell>
          <cell r="I1042" t="str">
            <v>Others</v>
          </cell>
          <cell r="J1042">
            <v>3</v>
          </cell>
          <cell r="K1042" t="str">
            <v>Others</v>
          </cell>
        </row>
        <row r="1043">
          <cell r="D1043">
            <v>260700</v>
          </cell>
          <cell r="E1043" t="str">
            <v>Lead ores and concentrates</v>
          </cell>
          <cell r="F1043">
            <v>0</v>
          </cell>
          <cell r="G1043">
            <v>0</v>
          </cell>
          <cell r="H1043">
            <v>0</v>
          </cell>
          <cell r="I1043" t="str">
            <v>Others</v>
          </cell>
          <cell r="J1043">
            <v>3</v>
          </cell>
          <cell r="K1043" t="str">
            <v>Others</v>
          </cell>
        </row>
        <row r="1044">
          <cell r="D1044">
            <v>260800</v>
          </cell>
          <cell r="E1044" t="str">
            <v>Zinc ores and concentrates</v>
          </cell>
          <cell r="F1044">
            <v>0</v>
          </cell>
          <cell r="G1044">
            <v>0</v>
          </cell>
          <cell r="H1044">
            <v>0</v>
          </cell>
          <cell r="I1044" t="str">
            <v>Others</v>
          </cell>
          <cell r="J1044">
            <v>3</v>
          </cell>
          <cell r="K1044" t="str">
            <v>Others</v>
          </cell>
        </row>
        <row r="1045">
          <cell r="D1045">
            <v>260900</v>
          </cell>
          <cell r="E1045" t="str">
            <v>Tin ores and concentrates</v>
          </cell>
          <cell r="F1045">
            <v>0</v>
          </cell>
          <cell r="G1045">
            <v>0</v>
          </cell>
          <cell r="H1045">
            <v>0</v>
          </cell>
          <cell r="I1045" t="str">
            <v>Others</v>
          </cell>
          <cell r="J1045">
            <v>3</v>
          </cell>
          <cell r="K1045" t="str">
            <v>Others</v>
          </cell>
        </row>
        <row r="1046">
          <cell r="D1046">
            <v>261000</v>
          </cell>
          <cell r="E1046" t="str">
            <v>Chromium ores and concentrates</v>
          </cell>
          <cell r="F1046">
            <v>0</v>
          </cell>
          <cell r="G1046">
            <v>0</v>
          </cell>
          <cell r="H1046">
            <v>0</v>
          </cell>
          <cell r="I1046" t="str">
            <v>Others</v>
          </cell>
          <cell r="J1046">
            <v>3</v>
          </cell>
          <cell r="K1046" t="str">
            <v>Others</v>
          </cell>
        </row>
        <row r="1047">
          <cell r="D1047">
            <v>261100</v>
          </cell>
          <cell r="E1047" t="str">
            <v>Tungsten ores and concentrates</v>
          </cell>
          <cell r="F1047">
            <v>0</v>
          </cell>
          <cell r="G1047">
            <v>0</v>
          </cell>
          <cell r="H1047">
            <v>0</v>
          </cell>
          <cell r="I1047" t="str">
            <v>Others</v>
          </cell>
          <cell r="J1047">
            <v>3</v>
          </cell>
          <cell r="K1047" t="str">
            <v>Others</v>
          </cell>
        </row>
        <row r="1048">
          <cell r="D1048">
            <v>261210</v>
          </cell>
          <cell r="E1048" t="str">
            <v>Uranium ores and concentrates</v>
          </cell>
          <cell r="F1048">
            <v>0</v>
          </cell>
          <cell r="G1048">
            <v>0</v>
          </cell>
          <cell r="H1048">
            <v>0</v>
          </cell>
          <cell r="I1048" t="str">
            <v>Others</v>
          </cell>
          <cell r="J1048">
            <v>3</v>
          </cell>
          <cell r="K1048" t="str">
            <v>Others</v>
          </cell>
        </row>
        <row r="1049">
          <cell r="D1049">
            <v>261220</v>
          </cell>
          <cell r="E1049" t="str">
            <v>Thorium ores and concentrates</v>
          </cell>
          <cell r="F1049">
            <v>0</v>
          </cell>
          <cell r="G1049">
            <v>0</v>
          </cell>
          <cell r="H1049">
            <v>0</v>
          </cell>
          <cell r="I1049" t="str">
            <v>Others</v>
          </cell>
          <cell r="J1049">
            <v>3</v>
          </cell>
          <cell r="K1049" t="str">
            <v>Others</v>
          </cell>
        </row>
        <row r="1050">
          <cell r="D1050">
            <v>261310</v>
          </cell>
          <cell r="E1050" t="str">
            <v>Molybdenum ores and concentrates; roasted</v>
          </cell>
          <cell r="F1050">
            <v>0</v>
          </cell>
          <cell r="G1050">
            <v>0</v>
          </cell>
          <cell r="H1050">
            <v>0</v>
          </cell>
          <cell r="I1050" t="str">
            <v>Others</v>
          </cell>
          <cell r="J1050">
            <v>3</v>
          </cell>
          <cell r="K1050" t="str">
            <v>Others</v>
          </cell>
        </row>
        <row r="1051">
          <cell r="D1051">
            <v>261390</v>
          </cell>
          <cell r="E1051" t="str">
            <v>Molybdenum ores and concentrates; other than roasted</v>
          </cell>
          <cell r="F1051">
            <v>0</v>
          </cell>
          <cell r="G1051">
            <v>0</v>
          </cell>
          <cell r="H1051">
            <v>0</v>
          </cell>
          <cell r="I1051" t="str">
            <v>Others</v>
          </cell>
          <cell r="J1051">
            <v>3</v>
          </cell>
          <cell r="K1051" t="str">
            <v>Others</v>
          </cell>
        </row>
        <row r="1052">
          <cell r="D1052">
            <v>261400</v>
          </cell>
          <cell r="E1052" t="str">
            <v>Titanium ores and concentrates</v>
          </cell>
          <cell r="F1052">
            <v>0</v>
          </cell>
          <cell r="G1052">
            <v>0</v>
          </cell>
          <cell r="H1052">
            <v>0</v>
          </cell>
          <cell r="I1052" t="str">
            <v>Others</v>
          </cell>
          <cell r="J1052">
            <v>3</v>
          </cell>
          <cell r="K1052" t="str">
            <v>Others</v>
          </cell>
        </row>
        <row r="1053">
          <cell r="D1053">
            <v>261510</v>
          </cell>
          <cell r="E1053" t="str">
            <v>Zirconium ores and concentrates</v>
          </cell>
          <cell r="F1053">
            <v>0</v>
          </cell>
          <cell r="G1053">
            <v>0</v>
          </cell>
          <cell r="H1053">
            <v>0</v>
          </cell>
          <cell r="I1053" t="str">
            <v>Others</v>
          </cell>
          <cell r="J1053">
            <v>3</v>
          </cell>
          <cell r="K1053" t="str">
            <v>Others</v>
          </cell>
        </row>
        <row r="1054">
          <cell r="D1054">
            <v>261590</v>
          </cell>
          <cell r="E1054" t="str">
            <v>Niobium, tantalum, vanadium ores and concentrates</v>
          </cell>
          <cell r="F1054">
            <v>0</v>
          </cell>
          <cell r="G1054">
            <v>0</v>
          </cell>
          <cell r="H1054">
            <v>0</v>
          </cell>
          <cell r="I1054" t="str">
            <v>Others</v>
          </cell>
          <cell r="J1054">
            <v>3</v>
          </cell>
          <cell r="K1054" t="str">
            <v>Others</v>
          </cell>
        </row>
        <row r="1055">
          <cell r="D1055">
            <v>261610</v>
          </cell>
          <cell r="E1055" t="str">
            <v>Silver ores and concentrates</v>
          </cell>
          <cell r="F1055">
            <v>0</v>
          </cell>
          <cell r="G1055">
            <v>0</v>
          </cell>
          <cell r="H1055">
            <v>0</v>
          </cell>
          <cell r="I1055" t="str">
            <v>Others</v>
          </cell>
          <cell r="J1055">
            <v>3</v>
          </cell>
          <cell r="K1055" t="str">
            <v>Others</v>
          </cell>
        </row>
        <row r="1056">
          <cell r="D1056">
            <v>261690</v>
          </cell>
          <cell r="E1056" t="str">
            <v>Precious metal ores and concentrates; (excluding silver)</v>
          </cell>
          <cell r="F1056">
            <v>0</v>
          </cell>
          <cell r="G1056">
            <v>0</v>
          </cell>
          <cell r="H1056">
            <v>0</v>
          </cell>
          <cell r="I1056" t="str">
            <v>Others</v>
          </cell>
          <cell r="J1056">
            <v>3</v>
          </cell>
          <cell r="K1056" t="str">
            <v>Others</v>
          </cell>
        </row>
        <row r="1057">
          <cell r="D1057">
            <v>261710</v>
          </cell>
          <cell r="E1057" t="str">
            <v>Antimony ores and concentrates</v>
          </cell>
          <cell r="F1057">
            <v>0</v>
          </cell>
          <cell r="G1057">
            <v>0</v>
          </cell>
          <cell r="H1057">
            <v>0</v>
          </cell>
          <cell r="I1057" t="str">
            <v>Others</v>
          </cell>
          <cell r="J1057">
            <v>3</v>
          </cell>
          <cell r="K1057" t="str">
            <v>Others</v>
          </cell>
        </row>
        <row r="1058">
          <cell r="D1058">
            <v>261790</v>
          </cell>
          <cell r="E1058" t="str">
            <v>Ores and concentrates n.e.c. in chapter 26; other than antimony</v>
          </cell>
          <cell r="F1058">
            <v>0</v>
          </cell>
          <cell r="G1058">
            <v>0</v>
          </cell>
          <cell r="H1058">
            <v>0</v>
          </cell>
          <cell r="I1058" t="str">
            <v>Others</v>
          </cell>
          <cell r="J1058">
            <v>3</v>
          </cell>
          <cell r="K1058" t="str">
            <v>Others</v>
          </cell>
        </row>
        <row r="1059">
          <cell r="D1059">
            <v>261800</v>
          </cell>
          <cell r="E1059" t="str">
            <v>Slag, granulated (slag sand); from the manufacture or iron or steel</v>
          </cell>
          <cell r="F1059">
            <v>0</v>
          </cell>
          <cell r="G1059">
            <v>0</v>
          </cell>
          <cell r="H1059">
            <v>0</v>
          </cell>
          <cell r="I1059" t="str">
            <v>Others</v>
          </cell>
          <cell r="J1059">
            <v>3</v>
          </cell>
          <cell r="K1059" t="str">
            <v>Others</v>
          </cell>
        </row>
        <row r="1060">
          <cell r="D1060">
            <v>261900</v>
          </cell>
          <cell r="E1060" t="str">
            <v>Slag, dross; (other than granulated slag), scalings and other waste from the manufacture of iron or steel</v>
          </cell>
          <cell r="F1060">
            <v>0</v>
          </cell>
          <cell r="G1060">
            <v>0</v>
          </cell>
          <cell r="H1060">
            <v>0</v>
          </cell>
          <cell r="I1060" t="str">
            <v>Others</v>
          </cell>
          <cell r="J1060">
            <v>3</v>
          </cell>
          <cell r="K1060" t="str">
            <v>Others</v>
          </cell>
        </row>
        <row r="1061">
          <cell r="D1061">
            <v>262011</v>
          </cell>
          <cell r="E1061" t="str">
            <v>Slag, ash and residues; (not from the manufacture of iron or steel), containing mainly zinc, hard zinc spelter</v>
          </cell>
          <cell r="F1061">
            <v>0</v>
          </cell>
          <cell r="G1061">
            <v>0</v>
          </cell>
          <cell r="H1061">
            <v>0</v>
          </cell>
          <cell r="I1061" t="str">
            <v>Others</v>
          </cell>
          <cell r="J1061">
            <v>3</v>
          </cell>
          <cell r="K1061" t="str">
            <v>Others</v>
          </cell>
        </row>
        <row r="1062">
          <cell r="D1062">
            <v>262019</v>
          </cell>
          <cell r="E1062" t="str">
            <v>Slag, ash and residues; (not from the manufacture of iron or steel), containing mainly zinc, other than hard zinc spelter</v>
          </cell>
          <cell r="F1062">
            <v>0</v>
          </cell>
          <cell r="G1062">
            <v>0</v>
          </cell>
          <cell r="H1062">
            <v>0</v>
          </cell>
          <cell r="I1062" t="str">
            <v>Others</v>
          </cell>
          <cell r="J1062">
            <v>3</v>
          </cell>
          <cell r="K1062" t="str">
            <v>Others</v>
          </cell>
        </row>
        <row r="1063">
          <cell r="D1063">
            <v>262021</v>
          </cell>
          <cell r="E1063" t="str">
            <v>Slag, ash and residues; (not from the manufacture of iron or steel), containing mainly lead; leaded gasoline sludges and leaded anti-knock compound sludges</v>
          </cell>
          <cell r="F1063">
            <v>0</v>
          </cell>
          <cell r="G1063">
            <v>0</v>
          </cell>
          <cell r="H1063">
            <v>0</v>
          </cell>
          <cell r="I1063" t="str">
            <v>Others</v>
          </cell>
          <cell r="J1063">
            <v>3</v>
          </cell>
          <cell r="K1063" t="str">
            <v>Others</v>
          </cell>
        </row>
        <row r="1064">
          <cell r="D1064">
            <v>262029</v>
          </cell>
          <cell r="E1064" t="str">
            <v>Slag, ash and residues; (not from the manufacture of iron or steel), containing mainly lead; excluding leaded gasoline sludges and leaded anti-knock compound sludges</v>
          </cell>
          <cell r="F1064">
            <v>0</v>
          </cell>
          <cell r="G1064">
            <v>0</v>
          </cell>
          <cell r="H1064">
            <v>0</v>
          </cell>
          <cell r="I1064" t="str">
            <v>Others</v>
          </cell>
          <cell r="J1064">
            <v>3</v>
          </cell>
          <cell r="K1064" t="str">
            <v>Others</v>
          </cell>
        </row>
        <row r="1065">
          <cell r="D1065">
            <v>262030</v>
          </cell>
          <cell r="E1065" t="str">
            <v>Slag, ash and residues; (not from the manufacture of iron or steel), containing mainly copper</v>
          </cell>
          <cell r="F1065">
            <v>0</v>
          </cell>
          <cell r="G1065">
            <v>0</v>
          </cell>
          <cell r="H1065">
            <v>0</v>
          </cell>
          <cell r="I1065" t="str">
            <v>Others</v>
          </cell>
          <cell r="J1065">
            <v>3</v>
          </cell>
          <cell r="K1065" t="str">
            <v>Others</v>
          </cell>
        </row>
        <row r="1066">
          <cell r="D1066">
            <v>262040</v>
          </cell>
          <cell r="E1066" t="str">
            <v>Slag, ash and residues; (not from the manufacture of iron or steel), containing mainly aluminium</v>
          </cell>
          <cell r="F1066">
            <v>0</v>
          </cell>
          <cell r="G1066">
            <v>0</v>
          </cell>
          <cell r="H1066">
            <v>0</v>
          </cell>
          <cell r="I1066" t="str">
            <v>Others</v>
          </cell>
          <cell r="J1066">
            <v>3</v>
          </cell>
          <cell r="K1066" t="str">
            <v>Others</v>
          </cell>
        </row>
        <row r="1067">
          <cell r="D1067">
            <v>262060</v>
          </cell>
          <cell r="E1067" t="str">
            <v>Slag, ash and residues; (not from the manufacture of iron or steel), containing arsenic, mercury, thallium or their mixtures, of a kind used for the extraction of arsenic or those metals or for the manufacture of their chemical compounds</v>
          </cell>
          <cell r="F1067">
            <v>0</v>
          </cell>
          <cell r="G1067">
            <v>0</v>
          </cell>
          <cell r="H1067">
            <v>0</v>
          </cell>
          <cell r="I1067" t="str">
            <v>Others</v>
          </cell>
          <cell r="J1067">
            <v>3</v>
          </cell>
          <cell r="K1067" t="str">
            <v>Others</v>
          </cell>
        </row>
        <row r="1068">
          <cell r="D1068">
            <v>262091</v>
          </cell>
          <cell r="E1068" t="str">
            <v>Slag, ash and residues; (not from the manufacture of iron or steel), containing antimony, beryllium, cadmium, chromium or their mixtures</v>
          </cell>
          <cell r="F1068">
            <v>0</v>
          </cell>
          <cell r="G1068">
            <v>0</v>
          </cell>
          <cell r="H1068">
            <v>0</v>
          </cell>
          <cell r="I1068" t="str">
            <v>Others</v>
          </cell>
          <cell r="J1068">
            <v>3</v>
          </cell>
          <cell r="K1068" t="str">
            <v>Others</v>
          </cell>
        </row>
        <row r="1069">
          <cell r="D1069">
            <v>262099</v>
          </cell>
          <cell r="E1069" t="str">
            <v>Slag, ash and residues; (not from the manufacture of iron or steel), containing mainly metals or their compounds, n.e.c. in heading no. 2620</v>
          </cell>
          <cell r="F1069">
            <v>0</v>
          </cell>
          <cell r="G1069">
            <v>0</v>
          </cell>
          <cell r="H1069">
            <v>0</v>
          </cell>
          <cell r="I1069" t="str">
            <v>Others</v>
          </cell>
          <cell r="J1069">
            <v>3</v>
          </cell>
          <cell r="K1069" t="str">
            <v>Others</v>
          </cell>
        </row>
        <row r="1070">
          <cell r="D1070">
            <v>262110</v>
          </cell>
          <cell r="E1070" t="str">
            <v>Slag and ash; ash and residues from the incineration of municipal waste</v>
          </cell>
          <cell r="F1070">
            <v>0</v>
          </cell>
          <cell r="G1070">
            <v>0</v>
          </cell>
          <cell r="H1070">
            <v>0</v>
          </cell>
          <cell r="I1070" t="str">
            <v>Others</v>
          </cell>
          <cell r="J1070">
            <v>3</v>
          </cell>
          <cell r="K1070" t="str">
            <v>Others</v>
          </cell>
        </row>
        <row r="1071">
          <cell r="D1071">
            <v>262190</v>
          </cell>
          <cell r="E1071" t="str">
            <v>Slag and ash n.e.c. in chapter 26; including seaweed ash (kelp) but excluding ash and residues from the incineration of municipal waste</v>
          </cell>
          <cell r="F1071">
            <v>0</v>
          </cell>
          <cell r="G1071">
            <v>0</v>
          </cell>
          <cell r="H1071">
            <v>0</v>
          </cell>
          <cell r="I1071" t="str">
            <v>Others</v>
          </cell>
          <cell r="J1071">
            <v>3</v>
          </cell>
          <cell r="K1071" t="str">
            <v>Others</v>
          </cell>
        </row>
        <row r="1072">
          <cell r="D1072">
            <v>270111</v>
          </cell>
          <cell r="E1072" t="str">
            <v>Coal; anthracite, whether or not pulverised, but not agglomerated</v>
          </cell>
          <cell r="F1072">
            <v>0</v>
          </cell>
          <cell r="G1072">
            <v>0</v>
          </cell>
          <cell r="H1072">
            <v>0</v>
          </cell>
          <cell r="I1072" t="str">
            <v>Others</v>
          </cell>
          <cell r="J1072">
            <v>3</v>
          </cell>
          <cell r="K1072" t="str">
            <v>Others</v>
          </cell>
        </row>
        <row r="1073">
          <cell r="D1073">
            <v>270112</v>
          </cell>
          <cell r="E1073" t="str">
            <v>Coal; bituminous, whether or not pulverised, but not agglomerated</v>
          </cell>
          <cell r="F1073">
            <v>0</v>
          </cell>
          <cell r="G1073">
            <v>0</v>
          </cell>
          <cell r="H1073">
            <v>0</v>
          </cell>
          <cell r="I1073" t="str">
            <v>Others</v>
          </cell>
          <cell r="J1073">
            <v>3</v>
          </cell>
          <cell r="K1073" t="str">
            <v>Others</v>
          </cell>
        </row>
        <row r="1074">
          <cell r="D1074">
            <v>270119</v>
          </cell>
          <cell r="E1074" t="str">
            <v>Coal; (other than anthracite and bituminous), whether or not pulverised but not agglomerated</v>
          </cell>
          <cell r="F1074">
            <v>0</v>
          </cell>
          <cell r="G1074">
            <v>0</v>
          </cell>
          <cell r="H1074">
            <v>0</v>
          </cell>
          <cell r="I1074" t="str">
            <v>Others</v>
          </cell>
          <cell r="J1074">
            <v>3</v>
          </cell>
          <cell r="K1074" t="str">
            <v>Others</v>
          </cell>
        </row>
        <row r="1075">
          <cell r="D1075">
            <v>270120</v>
          </cell>
          <cell r="E1075" t="str">
            <v>Briquettes, ovoids and similar solid fuels; manufactured from coal</v>
          </cell>
          <cell r="F1075">
            <v>0</v>
          </cell>
          <cell r="G1075">
            <v>0</v>
          </cell>
          <cell r="H1075">
            <v>0</v>
          </cell>
          <cell r="I1075" t="str">
            <v>Others</v>
          </cell>
          <cell r="J1075">
            <v>3</v>
          </cell>
          <cell r="K1075" t="str">
            <v>Others</v>
          </cell>
        </row>
        <row r="1076">
          <cell r="D1076">
            <v>270210</v>
          </cell>
          <cell r="E1076" t="str">
            <v>Lignite; whether or not pulverised, but not agglomerated, excluding jet</v>
          </cell>
          <cell r="F1076">
            <v>0</v>
          </cell>
          <cell r="G1076">
            <v>0</v>
          </cell>
          <cell r="H1076">
            <v>0</v>
          </cell>
          <cell r="I1076" t="str">
            <v>Others</v>
          </cell>
          <cell r="J1076">
            <v>3</v>
          </cell>
          <cell r="K1076" t="str">
            <v>Others</v>
          </cell>
        </row>
        <row r="1077">
          <cell r="D1077">
            <v>270220</v>
          </cell>
          <cell r="E1077" t="str">
            <v>Lignite; agglomerated, excluding jet</v>
          </cell>
          <cell r="F1077">
            <v>0</v>
          </cell>
          <cell r="G1077">
            <v>0</v>
          </cell>
          <cell r="H1077">
            <v>0</v>
          </cell>
          <cell r="I1077" t="str">
            <v>Others</v>
          </cell>
          <cell r="J1077">
            <v>3</v>
          </cell>
          <cell r="K1077" t="str">
            <v>Others</v>
          </cell>
        </row>
        <row r="1078">
          <cell r="D1078">
            <v>270300</v>
          </cell>
          <cell r="E1078" t="str">
            <v>Peat; (including peat litter), whether or not agglomerated</v>
          </cell>
          <cell r="F1078">
            <v>0</v>
          </cell>
          <cell r="G1078">
            <v>0</v>
          </cell>
          <cell r="H1078">
            <v>0</v>
          </cell>
          <cell r="I1078" t="str">
            <v>Others</v>
          </cell>
          <cell r="J1078">
            <v>3</v>
          </cell>
          <cell r="K1078" t="str">
            <v>Others</v>
          </cell>
        </row>
        <row r="1079">
          <cell r="D1079">
            <v>270400</v>
          </cell>
          <cell r="E1079" t="str">
            <v>Coke and semi-coke; of coal, lignite or peat, whether or not agglomerated; retort carbon</v>
          </cell>
          <cell r="F1079">
            <v>0</v>
          </cell>
          <cell r="G1079">
            <v>0</v>
          </cell>
          <cell r="H1079">
            <v>0</v>
          </cell>
          <cell r="I1079" t="str">
            <v>Others</v>
          </cell>
          <cell r="J1079">
            <v>3</v>
          </cell>
          <cell r="K1079" t="str">
            <v>Others</v>
          </cell>
        </row>
        <row r="1080">
          <cell r="D1080">
            <v>270500</v>
          </cell>
          <cell r="E1080" t="str">
            <v>Gases; coal, water, producer and similar gases (excluding petroleum and other gaseous hydrocarbons)</v>
          </cell>
          <cell r="F1080">
            <v>0</v>
          </cell>
          <cell r="G1080">
            <v>0</v>
          </cell>
          <cell r="H1080">
            <v>0</v>
          </cell>
          <cell r="I1080" t="str">
            <v>Others</v>
          </cell>
          <cell r="J1080">
            <v>3</v>
          </cell>
          <cell r="K1080" t="str">
            <v>Others</v>
          </cell>
        </row>
        <row r="1081">
          <cell r="D1081">
            <v>270600</v>
          </cell>
          <cell r="E1081" t="str">
            <v>Tar; distilled from coal, lignite or peat, and other mineral tars, whether or not dehydrated or partially distilled, including reconstituted tars</v>
          </cell>
          <cell r="F1081">
            <v>0</v>
          </cell>
          <cell r="G1081">
            <v>0</v>
          </cell>
          <cell r="H1081">
            <v>0</v>
          </cell>
          <cell r="I1081" t="str">
            <v>Others</v>
          </cell>
          <cell r="J1081">
            <v>3</v>
          </cell>
          <cell r="K1081" t="str">
            <v>Others</v>
          </cell>
        </row>
        <row r="1082">
          <cell r="D1082">
            <v>270710</v>
          </cell>
          <cell r="E1082" t="str">
            <v>Oils and products of the distillation of high temperature coal tar; benzol (benzene)</v>
          </cell>
          <cell r="F1082">
            <v>0</v>
          </cell>
          <cell r="G1082">
            <v>0</v>
          </cell>
          <cell r="H1082">
            <v>0</v>
          </cell>
          <cell r="I1082" t="str">
            <v>Others</v>
          </cell>
          <cell r="J1082">
            <v>3</v>
          </cell>
          <cell r="K1082" t="str">
            <v>Others</v>
          </cell>
        </row>
        <row r="1083">
          <cell r="D1083">
            <v>270720</v>
          </cell>
          <cell r="E1083" t="str">
            <v>Oils and products of the distillation of high temperature coal tar; toluol (toluene)</v>
          </cell>
          <cell r="F1083">
            <v>0</v>
          </cell>
          <cell r="G1083">
            <v>0</v>
          </cell>
          <cell r="H1083">
            <v>0</v>
          </cell>
          <cell r="I1083" t="str">
            <v>Others</v>
          </cell>
          <cell r="J1083">
            <v>3</v>
          </cell>
          <cell r="K1083" t="str">
            <v>Others</v>
          </cell>
        </row>
        <row r="1084">
          <cell r="D1084">
            <v>270730</v>
          </cell>
          <cell r="E1084" t="str">
            <v>Oils and products of the distillation of high temperature coal tar; xylol (xylenes)</v>
          </cell>
          <cell r="F1084">
            <v>0</v>
          </cell>
          <cell r="G1084">
            <v>0</v>
          </cell>
          <cell r="H1084">
            <v>0</v>
          </cell>
          <cell r="I1084" t="str">
            <v>Others</v>
          </cell>
          <cell r="J1084">
            <v>3</v>
          </cell>
          <cell r="K1084" t="str">
            <v>Others</v>
          </cell>
        </row>
        <row r="1085">
          <cell r="D1085">
            <v>270740</v>
          </cell>
          <cell r="E1085" t="str">
            <v>Oils and products of the distillation of high temperature coal tar; naphthalene</v>
          </cell>
          <cell r="F1085">
            <v>0</v>
          </cell>
          <cell r="G1085">
            <v>0</v>
          </cell>
          <cell r="H1085">
            <v>0</v>
          </cell>
          <cell r="I1085" t="str">
            <v>Others</v>
          </cell>
          <cell r="J1085">
            <v>3</v>
          </cell>
          <cell r="K1085" t="str">
            <v>Others</v>
          </cell>
        </row>
        <row r="1086">
          <cell r="D1086">
            <v>270750</v>
          </cell>
          <cell r="E1086" t="str">
            <v>Aromatic hydrocarbon mixtures; n.e.c. in heading no. 2707, of which 65% or more by volume (including losses) distils at 250 degrees Celsius by the ISO 3405 method (equivalent to the ASTM D 86 method)</v>
          </cell>
          <cell r="F1086">
            <v>0</v>
          </cell>
          <cell r="G1086">
            <v>0</v>
          </cell>
          <cell r="H1086">
            <v>0</v>
          </cell>
          <cell r="I1086" t="str">
            <v>Others</v>
          </cell>
          <cell r="J1086">
            <v>3</v>
          </cell>
          <cell r="K1086" t="str">
            <v>Others</v>
          </cell>
        </row>
        <row r="1087">
          <cell r="D1087">
            <v>270791</v>
          </cell>
          <cell r="E1087" t="str">
            <v>Oils and other products of the distillation of high temperature coal tar; creosote oils</v>
          </cell>
          <cell r="F1087">
            <v>0</v>
          </cell>
          <cell r="G1087">
            <v>0</v>
          </cell>
          <cell r="H1087">
            <v>0</v>
          </cell>
          <cell r="I1087" t="str">
            <v>Others</v>
          </cell>
          <cell r="J1087">
            <v>3</v>
          </cell>
          <cell r="K1087" t="str">
            <v>Others</v>
          </cell>
        </row>
        <row r="1088">
          <cell r="D1088">
            <v>270799</v>
          </cell>
          <cell r="E1088" t="str">
            <v>Oils and other products of the distillation of high temperature coal tar; n.e.c. in heading no. 2707</v>
          </cell>
          <cell r="F1088">
            <v>0</v>
          </cell>
          <cell r="G1088">
            <v>0</v>
          </cell>
          <cell r="H1088">
            <v>0</v>
          </cell>
          <cell r="I1088" t="str">
            <v>Others</v>
          </cell>
          <cell r="J1088">
            <v>3</v>
          </cell>
          <cell r="K1088" t="str">
            <v>Others</v>
          </cell>
        </row>
        <row r="1089">
          <cell r="D1089">
            <v>270810</v>
          </cell>
          <cell r="E1089" t="str">
            <v>Pitch; obtained from coal tar or from other mineral tars</v>
          </cell>
          <cell r="F1089">
            <v>0</v>
          </cell>
          <cell r="G1089">
            <v>0</v>
          </cell>
          <cell r="H1089">
            <v>0</v>
          </cell>
          <cell r="I1089" t="str">
            <v>Others</v>
          </cell>
          <cell r="J1089">
            <v>3</v>
          </cell>
          <cell r="K1089" t="str">
            <v>Others</v>
          </cell>
        </row>
        <row r="1090">
          <cell r="D1090">
            <v>270820</v>
          </cell>
          <cell r="E1090" t="str">
            <v>Pitch coke; obtained from coal tar or from other mineral tars</v>
          </cell>
          <cell r="F1090">
            <v>0</v>
          </cell>
          <cell r="G1090">
            <v>0</v>
          </cell>
          <cell r="H1090">
            <v>0</v>
          </cell>
          <cell r="I1090" t="str">
            <v>Others</v>
          </cell>
          <cell r="J1090">
            <v>3</v>
          </cell>
          <cell r="K1090" t="str">
            <v>Others</v>
          </cell>
        </row>
        <row r="1091">
          <cell r="D1091">
            <v>270900</v>
          </cell>
          <cell r="E1091" t="str">
            <v>Oils; petroleum oils and oils obtained from bituminous minerals, crude</v>
          </cell>
          <cell r="F1091">
            <v>0</v>
          </cell>
          <cell r="G1091">
            <v>0</v>
          </cell>
          <cell r="H1091">
            <v>0</v>
          </cell>
          <cell r="I1091" t="str">
            <v>Others</v>
          </cell>
          <cell r="J1091">
            <v>3</v>
          </cell>
          <cell r="K1091" t="str">
            <v>Others</v>
          </cell>
        </row>
        <row r="1092">
          <cell r="D1092">
            <v>271012</v>
          </cell>
          <cell r="E1092" t="str">
            <v>Petroleum oils and oils from bituminous minerals, not containing biodiesel, not crude, not waste oils; preparations n.e.c, containing by weight 70% or more of petroleum oils or oils from bituminous minerals; light oils and preparations</v>
          </cell>
          <cell r="F1092">
            <v>0</v>
          </cell>
          <cell r="G1092">
            <v>0</v>
          </cell>
          <cell r="H1092">
            <v>0</v>
          </cell>
          <cell r="I1092" t="str">
            <v>Others</v>
          </cell>
          <cell r="J1092">
            <v>3</v>
          </cell>
          <cell r="K1092" t="str">
            <v>Others</v>
          </cell>
        </row>
        <row r="1093">
          <cell r="D1093">
            <v>271019</v>
          </cell>
          <cell r="E1093" t="str">
            <v>Petroleum oils and oils from bituminous minerals, not containing biodiesel, not crude, not waste oils; preparations n.e.c, containing by weight 70% or more of petroleum oils or oils from bituminous minerals; not light oils and preparations</v>
          </cell>
          <cell r="F1093" t="str">
            <v>Consumables</v>
          </cell>
          <cell r="G1093">
            <v>0</v>
          </cell>
          <cell r="H1093">
            <v>0</v>
          </cell>
          <cell r="I1093" t="str">
            <v>Others</v>
          </cell>
          <cell r="J1093">
            <v>2</v>
          </cell>
          <cell r="K1093" t="str">
            <v>Others</v>
          </cell>
        </row>
        <row r="1094">
          <cell r="D1094">
            <v>271020</v>
          </cell>
          <cell r="E1094" t="str">
            <v>Petroleum oils and oils from bituminous minerals, containing biodiesel, not crude, not waste oils; preparations n.e.c, containing by weight 70% or more of petroleum oils or oils from bituminous minerals</v>
          </cell>
          <cell r="F1094">
            <v>0</v>
          </cell>
          <cell r="G1094">
            <v>0</v>
          </cell>
          <cell r="H1094">
            <v>0</v>
          </cell>
          <cell r="I1094" t="str">
            <v>Others</v>
          </cell>
          <cell r="J1094">
            <v>3</v>
          </cell>
          <cell r="K1094" t="str">
            <v>Others</v>
          </cell>
        </row>
        <row r="1095">
          <cell r="D1095">
            <v>271091</v>
          </cell>
          <cell r="E1095" t="str">
            <v>Waste Oils; of petroleum or obtained from bituminous minerals, not crude; and preparations n.e.c., weight 70% or preparations of the same, containing polychlorinated biphenyls (PCBs), polychorinated terphenyls (PCTs) or polybrominated biphenyls (PBBs)</v>
          </cell>
          <cell r="F1095">
            <v>0</v>
          </cell>
          <cell r="G1095">
            <v>0</v>
          </cell>
          <cell r="H1095">
            <v>0</v>
          </cell>
          <cell r="I1095" t="str">
            <v>Others</v>
          </cell>
          <cell r="J1095">
            <v>3</v>
          </cell>
          <cell r="K1095" t="str">
            <v>Others</v>
          </cell>
        </row>
        <row r="1096">
          <cell r="D1096">
            <v>271099</v>
          </cell>
          <cell r="E1096" t="str">
            <v>Waste Oils; of petroleum or obtained from bituminous minerals, not crude and preparations n.e.c., weight 70% or preparations of the same, not containing polychlorinated biphenyls (PCBs), polychorinated terphenyls (PCTs) or polybrominated biphenyls (PBBs)</v>
          </cell>
          <cell r="F1096" t="str">
            <v>Consumables</v>
          </cell>
          <cell r="G1096">
            <v>0</v>
          </cell>
          <cell r="H1096">
            <v>0</v>
          </cell>
          <cell r="I1096" t="str">
            <v>Others</v>
          </cell>
          <cell r="J1096">
            <v>2</v>
          </cell>
          <cell r="K1096" t="str">
            <v>Consumables - rc</v>
          </cell>
        </row>
        <row r="1097">
          <cell r="D1097">
            <v>271111</v>
          </cell>
          <cell r="E1097" t="str">
            <v>Petroleum gases and other gaseous hydrocarbons; liquefied, natural gas</v>
          </cell>
          <cell r="F1097">
            <v>0</v>
          </cell>
          <cell r="G1097">
            <v>0</v>
          </cell>
          <cell r="H1097">
            <v>0</v>
          </cell>
          <cell r="I1097" t="str">
            <v>Others</v>
          </cell>
          <cell r="J1097">
            <v>3</v>
          </cell>
          <cell r="K1097" t="str">
            <v>Others</v>
          </cell>
        </row>
        <row r="1098">
          <cell r="D1098">
            <v>271112</v>
          </cell>
          <cell r="E1098" t="str">
            <v>Petroleum gases and other gaseous hydrocarbons; liquefied, propane</v>
          </cell>
          <cell r="F1098">
            <v>0</v>
          </cell>
          <cell r="G1098">
            <v>0</v>
          </cell>
          <cell r="H1098">
            <v>0</v>
          </cell>
          <cell r="I1098" t="str">
            <v>Others</v>
          </cell>
          <cell r="J1098">
            <v>3</v>
          </cell>
          <cell r="K1098" t="str">
            <v>Others</v>
          </cell>
        </row>
        <row r="1099">
          <cell r="D1099">
            <v>271113</v>
          </cell>
          <cell r="E1099" t="str">
            <v>Petroleum gases and other gaseous hydrocarbons; liquefied, butanes</v>
          </cell>
          <cell r="F1099">
            <v>0</v>
          </cell>
          <cell r="G1099">
            <v>0</v>
          </cell>
          <cell r="H1099">
            <v>0</v>
          </cell>
          <cell r="I1099" t="str">
            <v>Others</v>
          </cell>
          <cell r="J1099">
            <v>3</v>
          </cell>
          <cell r="K1099" t="str">
            <v>Others</v>
          </cell>
        </row>
        <row r="1100">
          <cell r="D1100">
            <v>271114</v>
          </cell>
          <cell r="E1100" t="str">
            <v>Petroleum gases and other gaseous hydrocarbons; liquefied, ethylene, propylene, butylene and butadiene</v>
          </cell>
          <cell r="F1100">
            <v>0</v>
          </cell>
          <cell r="G1100">
            <v>0</v>
          </cell>
          <cell r="H1100">
            <v>0</v>
          </cell>
          <cell r="I1100" t="str">
            <v>Others</v>
          </cell>
          <cell r="J1100">
            <v>3</v>
          </cell>
          <cell r="K1100" t="str">
            <v>Others</v>
          </cell>
        </row>
        <row r="1101">
          <cell r="D1101">
            <v>271119</v>
          </cell>
          <cell r="E1101" t="str">
            <v>Petroleum gases and other gaseous hydrocarbons; liquefied, n.e.c. in heading no. 2711</v>
          </cell>
          <cell r="F1101">
            <v>0</v>
          </cell>
          <cell r="G1101">
            <v>0</v>
          </cell>
          <cell r="H1101">
            <v>0</v>
          </cell>
          <cell r="I1101" t="str">
            <v>Others</v>
          </cell>
          <cell r="J1101">
            <v>3</v>
          </cell>
          <cell r="K1101" t="str">
            <v>Others</v>
          </cell>
        </row>
        <row r="1102">
          <cell r="D1102">
            <v>271121</v>
          </cell>
          <cell r="E1102" t="str">
            <v>Petroleum gases and other gaseous hydrocarbons; in gaseous state, natural gas</v>
          </cell>
          <cell r="F1102">
            <v>0</v>
          </cell>
          <cell r="G1102">
            <v>0</v>
          </cell>
          <cell r="H1102">
            <v>0</v>
          </cell>
          <cell r="I1102" t="str">
            <v>Others</v>
          </cell>
          <cell r="J1102">
            <v>3</v>
          </cell>
          <cell r="K1102" t="str">
            <v>Others</v>
          </cell>
        </row>
        <row r="1103">
          <cell r="D1103">
            <v>271129</v>
          </cell>
          <cell r="E1103" t="str">
            <v>Petroleum gases and other gaseous hydrocarbons; in gaseous state, other than natural gas</v>
          </cell>
          <cell r="F1103">
            <v>0</v>
          </cell>
          <cell r="G1103">
            <v>0</v>
          </cell>
          <cell r="H1103">
            <v>0</v>
          </cell>
          <cell r="I1103" t="str">
            <v>Others</v>
          </cell>
          <cell r="J1103">
            <v>3</v>
          </cell>
          <cell r="K1103" t="str">
            <v>Others</v>
          </cell>
        </row>
        <row r="1104">
          <cell r="D1104">
            <v>271210</v>
          </cell>
          <cell r="E1104" t="str">
            <v>Petroleum jelly</v>
          </cell>
          <cell r="F1104">
            <v>0</v>
          </cell>
          <cell r="G1104">
            <v>0</v>
          </cell>
          <cell r="H1104">
            <v>0</v>
          </cell>
          <cell r="I1104" t="str">
            <v>Others</v>
          </cell>
          <cell r="J1104">
            <v>3</v>
          </cell>
          <cell r="K1104" t="str">
            <v>Others</v>
          </cell>
        </row>
        <row r="1105">
          <cell r="D1105">
            <v>271220</v>
          </cell>
          <cell r="E1105" t="str">
            <v>Paraffin wax; containing by weight less than 0.75% of oil, obtained by synthesis or by other processes, whether or not coloured</v>
          </cell>
          <cell r="F1105">
            <v>0</v>
          </cell>
          <cell r="G1105">
            <v>0</v>
          </cell>
          <cell r="H1105">
            <v>0</v>
          </cell>
          <cell r="I1105" t="str">
            <v>Others</v>
          </cell>
          <cell r="J1105">
            <v>3</v>
          </cell>
          <cell r="K1105" t="str">
            <v>Others</v>
          </cell>
        </row>
        <row r="1106">
          <cell r="D1106">
            <v>271290</v>
          </cell>
          <cell r="E1106" t="str">
            <v>Paraffin wax; containing by weight 0.75% or more of oil, obtained by synthesis or by other processes, whether or not coloured</v>
          </cell>
          <cell r="F1106">
            <v>0</v>
          </cell>
          <cell r="G1106">
            <v>0</v>
          </cell>
          <cell r="H1106">
            <v>0</v>
          </cell>
          <cell r="I1106" t="str">
            <v>Others</v>
          </cell>
          <cell r="J1106">
            <v>3</v>
          </cell>
          <cell r="K1106" t="str">
            <v>Others</v>
          </cell>
        </row>
        <row r="1107">
          <cell r="D1107">
            <v>271311</v>
          </cell>
          <cell r="E1107" t="str">
            <v>Petroleum coke; (not calcined), obtained from bituminous minerals</v>
          </cell>
          <cell r="F1107">
            <v>0</v>
          </cell>
          <cell r="G1107">
            <v>0</v>
          </cell>
          <cell r="H1107">
            <v>0</v>
          </cell>
          <cell r="I1107" t="str">
            <v>Others</v>
          </cell>
          <cell r="J1107">
            <v>3</v>
          </cell>
          <cell r="K1107" t="str">
            <v>Others</v>
          </cell>
        </row>
        <row r="1108">
          <cell r="D1108">
            <v>271312</v>
          </cell>
          <cell r="E1108" t="str">
            <v>Petroleum coke; calcined, obtained from bituminous minerals</v>
          </cell>
          <cell r="F1108">
            <v>0</v>
          </cell>
          <cell r="G1108">
            <v>0</v>
          </cell>
          <cell r="H1108">
            <v>0</v>
          </cell>
          <cell r="I1108" t="str">
            <v>Others</v>
          </cell>
          <cell r="J1108">
            <v>3</v>
          </cell>
          <cell r="K1108" t="str">
            <v>Others</v>
          </cell>
        </row>
        <row r="1109">
          <cell r="D1109">
            <v>271320</v>
          </cell>
          <cell r="E1109" t="str">
            <v>Petroleum bitumen; obtained from bituminous minerals</v>
          </cell>
          <cell r="F1109">
            <v>0</v>
          </cell>
          <cell r="G1109">
            <v>0</v>
          </cell>
          <cell r="H1109">
            <v>0</v>
          </cell>
          <cell r="I1109" t="str">
            <v>Others</v>
          </cell>
          <cell r="J1109">
            <v>3</v>
          </cell>
          <cell r="K1109" t="str">
            <v>Others</v>
          </cell>
        </row>
        <row r="1110">
          <cell r="D1110">
            <v>271390</v>
          </cell>
          <cell r="E1110" t="str">
            <v>Residues; of petroleum oils or of oils obtained from bituminous minerals</v>
          </cell>
          <cell r="F1110">
            <v>0</v>
          </cell>
          <cell r="G1110">
            <v>0</v>
          </cell>
          <cell r="H1110">
            <v>0</v>
          </cell>
          <cell r="I1110" t="str">
            <v>Others</v>
          </cell>
          <cell r="J1110">
            <v>3</v>
          </cell>
          <cell r="K1110" t="str">
            <v>Others</v>
          </cell>
        </row>
        <row r="1111">
          <cell r="D1111">
            <v>271410</v>
          </cell>
          <cell r="E1111" t="str">
            <v>Bituminous or oil shale and tar sands</v>
          </cell>
          <cell r="F1111">
            <v>0</v>
          </cell>
          <cell r="G1111">
            <v>0</v>
          </cell>
          <cell r="H1111">
            <v>0</v>
          </cell>
          <cell r="I1111" t="str">
            <v>Others</v>
          </cell>
          <cell r="J1111">
            <v>3</v>
          </cell>
          <cell r="K1111" t="str">
            <v>Others</v>
          </cell>
        </row>
        <row r="1112">
          <cell r="D1112">
            <v>271490</v>
          </cell>
          <cell r="E1112" t="str">
            <v>Bitumen and asphalt, natural; asphaltites and asphaltic rock</v>
          </cell>
          <cell r="F1112">
            <v>0</v>
          </cell>
          <cell r="G1112">
            <v>0</v>
          </cell>
          <cell r="H1112">
            <v>0</v>
          </cell>
          <cell r="I1112" t="str">
            <v>Others</v>
          </cell>
          <cell r="J1112">
            <v>3</v>
          </cell>
          <cell r="K1112" t="str">
            <v>Others</v>
          </cell>
        </row>
        <row r="1113">
          <cell r="D1113">
            <v>271500</v>
          </cell>
          <cell r="E1113" t="str">
            <v>Bituminous mixtures based on natural asphalt, on natural bitumen, on petroleum bitumen, on mineral tar or on mineral tar pitch (e.g. bituminous mastics, cut-backs)</v>
          </cell>
          <cell r="F1113">
            <v>0</v>
          </cell>
          <cell r="G1113">
            <v>0</v>
          </cell>
          <cell r="H1113">
            <v>0</v>
          </cell>
          <cell r="I1113" t="str">
            <v>Others</v>
          </cell>
          <cell r="J1113">
            <v>3</v>
          </cell>
          <cell r="K1113" t="str">
            <v>Others</v>
          </cell>
        </row>
        <row r="1114">
          <cell r="D1114">
            <v>271600</v>
          </cell>
          <cell r="E1114" t="str">
            <v>Electrical energy</v>
          </cell>
          <cell r="F1114">
            <v>0</v>
          </cell>
          <cell r="G1114">
            <v>0</v>
          </cell>
          <cell r="H1114">
            <v>0</v>
          </cell>
          <cell r="I1114" t="str">
            <v>Others</v>
          </cell>
          <cell r="J1114">
            <v>3</v>
          </cell>
          <cell r="K1114" t="str">
            <v>Others</v>
          </cell>
        </row>
        <row r="1115">
          <cell r="D1115">
            <v>280110</v>
          </cell>
          <cell r="E1115" t="str">
            <v>Chlorine</v>
          </cell>
          <cell r="F1115">
            <v>0</v>
          </cell>
          <cell r="G1115">
            <v>0</v>
          </cell>
          <cell r="H1115">
            <v>0</v>
          </cell>
          <cell r="I1115" t="str">
            <v>Others</v>
          </cell>
          <cell r="J1115">
            <v>3</v>
          </cell>
          <cell r="K1115" t="str">
            <v>Others</v>
          </cell>
        </row>
        <row r="1116">
          <cell r="D1116">
            <v>280120</v>
          </cell>
          <cell r="E1116" t="str">
            <v>Iodine</v>
          </cell>
          <cell r="F1116">
            <v>0</v>
          </cell>
          <cell r="G1116">
            <v>0</v>
          </cell>
          <cell r="H1116">
            <v>0</v>
          </cell>
          <cell r="I1116" t="str">
            <v>Others</v>
          </cell>
          <cell r="J1116">
            <v>3</v>
          </cell>
          <cell r="K1116" t="str">
            <v>Others</v>
          </cell>
        </row>
        <row r="1117">
          <cell r="D1117">
            <v>280130</v>
          </cell>
          <cell r="E1117" t="str">
            <v>Fluorine; bromine</v>
          </cell>
          <cell r="F1117">
            <v>0</v>
          </cell>
          <cell r="G1117">
            <v>0</v>
          </cell>
          <cell r="H1117">
            <v>0</v>
          </cell>
          <cell r="I1117" t="str">
            <v>Others</v>
          </cell>
          <cell r="J1117">
            <v>3</v>
          </cell>
          <cell r="K1117" t="str">
            <v>Others</v>
          </cell>
        </row>
        <row r="1118">
          <cell r="D1118">
            <v>280200</v>
          </cell>
          <cell r="E1118" t="str">
            <v>Sulphur; sublimed or precipitated, colloidal sulphur</v>
          </cell>
          <cell r="F1118">
            <v>0</v>
          </cell>
          <cell r="G1118">
            <v>0</v>
          </cell>
          <cell r="H1118">
            <v>0</v>
          </cell>
          <cell r="I1118" t="str">
            <v>Others</v>
          </cell>
          <cell r="J1118">
            <v>3</v>
          </cell>
          <cell r="K1118" t="str">
            <v>Others</v>
          </cell>
        </row>
        <row r="1119">
          <cell r="D1119">
            <v>280300</v>
          </cell>
          <cell r="E1119" t="str">
            <v>Carbon; carbon blacks and other forms of carbon n.e.c.</v>
          </cell>
          <cell r="F1119">
            <v>0</v>
          </cell>
          <cell r="G1119">
            <v>0</v>
          </cell>
          <cell r="H1119">
            <v>0</v>
          </cell>
          <cell r="I1119" t="str">
            <v>Others</v>
          </cell>
          <cell r="J1119">
            <v>3</v>
          </cell>
          <cell r="K1119" t="str">
            <v>Others</v>
          </cell>
        </row>
        <row r="1120">
          <cell r="D1120">
            <v>280410</v>
          </cell>
          <cell r="E1120" t="str">
            <v>Hydrogen</v>
          </cell>
          <cell r="F1120">
            <v>0</v>
          </cell>
          <cell r="G1120">
            <v>0</v>
          </cell>
          <cell r="H1120">
            <v>0</v>
          </cell>
          <cell r="I1120" t="str">
            <v>Others</v>
          </cell>
          <cell r="J1120">
            <v>3</v>
          </cell>
          <cell r="K1120" t="str">
            <v>Others</v>
          </cell>
        </row>
        <row r="1121">
          <cell r="D1121">
            <v>280421</v>
          </cell>
          <cell r="E1121" t="str">
            <v>Gases, rare; argon</v>
          </cell>
          <cell r="F1121">
            <v>0</v>
          </cell>
          <cell r="G1121">
            <v>0</v>
          </cell>
          <cell r="H1121">
            <v>0</v>
          </cell>
          <cell r="I1121" t="str">
            <v>Others</v>
          </cell>
          <cell r="J1121">
            <v>3</v>
          </cell>
          <cell r="K1121" t="str">
            <v>Others</v>
          </cell>
        </row>
        <row r="1122">
          <cell r="D1122">
            <v>280429</v>
          </cell>
          <cell r="E1122" t="str">
            <v>Gases, rare; other than argon</v>
          </cell>
          <cell r="F1122">
            <v>0</v>
          </cell>
          <cell r="G1122">
            <v>0</v>
          </cell>
          <cell r="H1122">
            <v>0</v>
          </cell>
          <cell r="I1122" t="str">
            <v>Others</v>
          </cell>
          <cell r="J1122">
            <v>3</v>
          </cell>
          <cell r="K1122" t="str">
            <v>Others</v>
          </cell>
        </row>
        <row r="1123">
          <cell r="D1123">
            <v>280430</v>
          </cell>
          <cell r="E1123" t="str">
            <v>Nitrogen</v>
          </cell>
          <cell r="F1123">
            <v>0</v>
          </cell>
          <cell r="G1123">
            <v>0</v>
          </cell>
          <cell r="H1123">
            <v>0</v>
          </cell>
          <cell r="I1123" t="str">
            <v>Others</v>
          </cell>
          <cell r="J1123">
            <v>3</v>
          </cell>
          <cell r="K1123" t="str">
            <v>Others</v>
          </cell>
        </row>
        <row r="1124">
          <cell r="D1124">
            <v>280440</v>
          </cell>
          <cell r="E1124" t="str">
            <v>Oxygen</v>
          </cell>
          <cell r="F1124">
            <v>0</v>
          </cell>
          <cell r="G1124">
            <v>0</v>
          </cell>
          <cell r="H1124">
            <v>0</v>
          </cell>
          <cell r="I1124" t="str">
            <v>Others</v>
          </cell>
          <cell r="J1124">
            <v>3</v>
          </cell>
          <cell r="K1124" t="str">
            <v>Others</v>
          </cell>
        </row>
        <row r="1125">
          <cell r="D1125">
            <v>280450</v>
          </cell>
          <cell r="E1125" t="str">
            <v>Boron; tellurium</v>
          </cell>
          <cell r="F1125">
            <v>0</v>
          </cell>
          <cell r="G1125">
            <v>0</v>
          </cell>
          <cell r="H1125">
            <v>0</v>
          </cell>
          <cell r="I1125" t="str">
            <v>Others</v>
          </cell>
          <cell r="J1125">
            <v>3</v>
          </cell>
          <cell r="K1125" t="str">
            <v>Others</v>
          </cell>
        </row>
        <row r="1126">
          <cell r="D1126">
            <v>280461</v>
          </cell>
          <cell r="E1126" t="str">
            <v>Silicon; containing by weight not less than 99.99% of silicon</v>
          </cell>
          <cell r="F1126">
            <v>0</v>
          </cell>
          <cell r="G1126">
            <v>0</v>
          </cell>
          <cell r="H1126">
            <v>0</v>
          </cell>
          <cell r="I1126" t="str">
            <v>Others</v>
          </cell>
          <cell r="J1126">
            <v>3</v>
          </cell>
          <cell r="K1126" t="str">
            <v>Others</v>
          </cell>
        </row>
        <row r="1127">
          <cell r="D1127">
            <v>280469</v>
          </cell>
          <cell r="E1127" t="str">
            <v>Silicon; containing by weight less than 99.99% of silicon</v>
          </cell>
          <cell r="F1127">
            <v>0</v>
          </cell>
          <cell r="G1127">
            <v>0</v>
          </cell>
          <cell r="H1127">
            <v>0</v>
          </cell>
          <cell r="I1127" t="str">
            <v>Others</v>
          </cell>
          <cell r="J1127">
            <v>3</v>
          </cell>
          <cell r="K1127" t="str">
            <v>Others</v>
          </cell>
        </row>
        <row r="1128">
          <cell r="D1128">
            <v>280470</v>
          </cell>
          <cell r="E1128" t="str">
            <v>Phosphorus</v>
          </cell>
          <cell r="F1128">
            <v>0</v>
          </cell>
          <cell r="G1128">
            <v>0</v>
          </cell>
          <cell r="H1128">
            <v>0</v>
          </cell>
          <cell r="I1128" t="str">
            <v>Others</v>
          </cell>
          <cell r="J1128">
            <v>3</v>
          </cell>
          <cell r="K1128" t="str">
            <v>Others</v>
          </cell>
        </row>
        <row r="1129">
          <cell r="D1129">
            <v>280480</v>
          </cell>
          <cell r="E1129" t="str">
            <v>Arsenic</v>
          </cell>
          <cell r="F1129">
            <v>0</v>
          </cell>
          <cell r="G1129">
            <v>0</v>
          </cell>
          <cell r="H1129">
            <v>0</v>
          </cell>
          <cell r="I1129" t="str">
            <v>Others</v>
          </cell>
          <cell r="J1129">
            <v>3</v>
          </cell>
          <cell r="K1129" t="str">
            <v>Others</v>
          </cell>
        </row>
        <row r="1130">
          <cell r="D1130">
            <v>280490</v>
          </cell>
          <cell r="E1130" t="str">
            <v>Selenium</v>
          </cell>
          <cell r="F1130">
            <v>0</v>
          </cell>
          <cell r="G1130">
            <v>0</v>
          </cell>
          <cell r="H1130">
            <v>0</v>
          </cell>
          <cell r="I1130" t="str">
            <v>Others</v>
          </cell>
          <cell r="J1130">
            <v>3</v>
          </cell>
          <cell r="K1130" t="str">
            <v>Others</v>
          </cell>
        </row>
        <row r="1131">
          <cell r="D1131">
            <v>280511</v>
          </cell>
          <cell r="E1131" t="str">
            <v>Alkali or alkali-earth metals; sodium</v>
          </cell>
          <cell r="F1131">
            <v>0</v>
          </cell>
          <cell r="G1131">
            <v>0</v>
          </cell>
          <cell r="H1131">
            <v>0</v>
          </cell>
          <cell r="I1131" t="str">
            <v>Others</v>
          </cell>
          <cell r="J1131">
            <v>3</v>
          </cell>
          <cell r="K1131" t="str">
            <v>Others</v>
          </cell>
        </row>
        <row r="1132">
          <cell r="D1132">
            <v>280512</v>
          </cell>
          <cell r="E1132" t="str">
            <v>Alkali or alkali-earth metals; calcium</v>
          </cell>
          <cell r="F1132">
            <v>0</v>
          </cell>
          <cell r="G1132">
            <v>0</v>
          </cell>
          <cell r="H1132">
            <v>0</v>
          </cell>
          <cell r="I1132" t="str">
            <v>Others</v>
          </cell>
          <cell r="J1132">
            <v>3</v>
          </cell>
          <cell r="K1132" t="str">
            <v>Others</v>
          </cell>
        </row>
        <row r="1133">
          <cell r="D1133">
            <v>280519</v>
          </cell>
          <cell r="E1133" t="str">
            <v>Alkali or alkali-earth metals; other than sodium and calcium</v>
          </cell>
          <cell r="F1133">
            <v>0</v>
          </cell>
          <cell r="G1133">
            <v>0</v>
          </cell>
          <cell r="H1133">
            <v>0</v>
          </cell>
          <cell r="I1133" t="str">
            <v>Others</v>
          </cell>
          <cell r="J1133">
            <v>3</v>
          </cell>
          <cell r="K1133" t="str">
            <v>Others</v>
          </cell>
        </row>
        <row r="1134">
          <cell r="D1134">
            <v>280530</v>
          </cell>
          <cell r="E1134" t="str">
            <v>Earth-metals, rare; scandium and yttrium, whether or not intermixed or interalloyed</v>
          </cell>
          <cell r="F1134">
            <v>0</v>
          </cell>
          <cell r="G1134">
            <v>0</v>
          </cell>
          <cell r="H1134">
            <v>0</v>
          </cell>
          <cell r="I1134" t="str">
            <v>Others</v>
          </cell>
          <cell r="J1134">
            <v>3</v>
          </cell>
          <cell r="K1134" t="str">
            <v>Others</v>
          </cell>
        </row>
        <row r="1135">
          <cell r="D1135">
            <v>280540</v>
          </cell>
          <cell r="E1135" t="str">
            <v>Mercury</v>
          </cell>
          <cell r="F1135">
            <v>0</v>
          </cell>
          <cell r="G1135">
            <v>0</v>
          </cell>
          <cell r="H1135">
            <v>0</v>
          </cell>
          <cell r="I1135" t="str">
            <v>Others</v>
          </cell>
          <cell r="J1135">
            <v>3</v>
          </cell>
          <cell r="K1135" t="str">
            <v>Others</v>
          </cell>
        </row>
        <row r="1136">
          <cell r="D1136">
            <v>280610</v>
          </cell>
          <cell r="E1136" t="str">
            <v>Hydrogen chloride (hydrochloric acid)</v>
          </cell>
          <cell r="F1136">
            <v>0</v>
          </cell>
          <cell r="G1136">
            <v>0</v>
          </cell>
          <cell r="H1136">
            <v>0</v>
          </cell>
          <cell r="I1136" t="str">
            <v>Others</v>
          </cell>
          <cell r="J1136">
            <v>3</v>
          </cell>
          <cell r="K1136" t="str">
            <v>Others</v>
          </cell>
        </row>
        <row r="1137">
          <cell r="D1137">
            <v>280620</v>
          </cell>
          <cell r="E1137" t="str">
            <v>Chlorosulphuric acid</v>
          </cell>
          <cell r="F1137">
            <v>0</v>
          </cell>
          <cell r="G1137">
            <v>0</v>
          </cell>
          <cell r="H1137">
            <v>0</v>
          </cell>
          <cell r="I1137" t="str">
            <v>Others</v>
          </cell>
          <cell r="J1137">
            <v>3</v>
          </cell>
          <cell r="K1137" t="str">
            <v>Others</v>
          </cell>
        </row>
        <row r="1138">
          <cell r="D1138">
            <v>280700</v>
          </cell>
          <cell r="E1138" t="str">
            <v>Sulphuric acid; oleum</v>
          </cell>
          <cell r="F1138">
            <v>0</v>
          </cell>
          <cell r="G1138">
            <v>0</v>
          </cell>
          <cell r="H1138">
            <v>0</v>
          </cell>
          <cell r="I1138" t="str">
            <v>Others</v>
          </cell>
          <cell r="J1138">
            <v>3</v>
          </cell>
          <cell r="K1138" t="str">
            <v>Others</v>
          </cell>
        </row>
        <row r="1139">
          <cell r="D1139">
            <v>280800</v>
          </cell>
          <cell r="E1139" t="str">
            <v>Nitric acid; sulphonitric acids</v>
          </cell>
          <cell r="F1139">
            <v>0</v>
          </cell>
          <cell r="G1139">
            <v>0</v>
          </cell>
          <cell r="H1139">
            <v>0</v>
          </cell>
          <cell r="I1139" t="str">
            <v>Others</v>
          </cell>
          <cell r="J1139">
            <v>3</v>
          </cell>
          <cell r="K1139" t="str">
            <v>Others</v>
          </cell>
        </row>
        <row r="1140">
          <cell r="D1140">
            <v>280910</v>
          </cell>
          <cell r="E1140" t="str">
            <v>Diphosphorus pentoxide</v>
          </cell>
          <cell r="F1140">
            <v>0</v>
          </cell>
          <cell r="G1140">
            <v>0</v>
          </cell>
          <cell r="H1140">
            <v>0</v>
          </cell>
          <cell r="I1140" t="str">
            <v>Others</v>
          </cell>
          <cell r="J1140">
            <v>3</v>
          </cell>
          <cell r="K1140" t="str">
            <v>Others</v>
          </cell>
        </row>
        <row r="1141">
          <cell r="D1141">
            <v>280920</v>
          </cell>
          <cell r="E1141" t="str">
            <v>Phosphoric acid and polyphosphoric acids</v>
          </cell>
          <cell r="F1141">
            <v>0</v>
          </cell>
          <cell r="G1141">
            <v>0</v>
          </cell>
          <cell r="H1141">
            <v>0</v>
          </cell>
          <cell r="I1141" t="str">
            <v>Others</v>
          </cell>
          <cell r="J1141">
            <v>3</v>
          </cell>
          <cell r="K1141" t="str">
            <v>Others</v>
          </cell>
        </row>
        <row r="1142">
          <cell r="D1142">
            <v>281000</v>
          </cell>
          <cell r="E1142" t="str">
            <v>Oxides of boron; boric acids</v>
          </cell>
          <cell r="F1142">
            <v>0</v>
          </cell>
          <cell r="G1142">
            <v>0</v>
          </cell>
          <cell r="H1142">
            <v>0</v>
          </cell>
          <cell r="I1142" t="str">
            <v>Others</v>
          </cell>
          <cell r="J1142">
            <v>3</v>
          </cell>
          <cell r="K1142" t="str">
            <v>Others</v>
          </cell>
        </row>
        <row r="1143">
          <cell r="D1143">
            <v>281111</v>
          </cell>
          <cell r="E1143" t="str">
            <v>Hydrogen fluoride (hydrofluoric acid)</v>
          </cell>
          <cell r="F1143">
            <v>0</v>
          </cell>
          <cell r="G1143">
            <v>0</v>
          </cell>
          <cell r="H1143">
            <v>0</v>
          </cell>
          <cell r="I1143" t="str">
            <v>Others</v>
          </cell>
          <cell r="J1143">
            <v>3</v>
          </cell>
          <cell r="K1143" t="str">
            <v>Others</v>
          </cell>
        </row>
        <row r="1144">
          <cell r="D1144">
            <v>281112</v>
          </cell>
          <cell r="E1144" t="str">
            <v>Hydrogen cyanide (hydrocyanic acid)</v>
          </cell>
          <cell r="F1144">
            <v>0</v>
          </cell>
          <cell r="G1144">
            <v>0</v>
          </cell>
          <cell r="H1144">
            <v>0</v>
          </cell>
          <cell r="I1144" t="str">
            <v>Others</v>
          </cell>
          <cell r="J1144">
            <v>3</v>
          </cell>
          <cell r="K1144" t="str">
            <v>Others</v>
          </cell>
        </row>
        <row r="1145">
          <cell r="D1145">
            <v>281119</v>
          </cell>
          <cell r="E1145" t="str">
            <v>Inorganic acids; other than hydrogen fluoride</v>
          </cell>
          <cell r="F1145">
            <v>0</v>
          </cell>
          <cell r="G1145">
            <v>0</v>
          </cell>
          <cell r="H1145">
            <v>0</v>
          </cell>
          <cell r="I1145" t="str">
            <v>Others</v>
          </cell>
          <cell r="J1145">
            <v>3</v>
          </cell>
          <cell r="K1145" t="str">
            <v>Others</v>
          </cell>
        </row>
        <row r="1146">
          <cell r="D1146">
            <v>281121</v>
          </cell>
          <cell r="E1146" t="str">
            <v>Carbon dioxide</v>
          </cell>
          <cell r="F1146">
            <v>0</v>
          </cell>
          <cell r="G1146">
            <v>0</v>
          </cell>
          <cell r="H1146">
            <v>0</v>
          </cell>
          <cell r="I1146" t="str">
            <v>Others</v>
          </cell>
          <cell r="J1146">
            <v>3</v>
          </cell>
          <cell r="K1146" t="str">
            <v>Others</v>
          </cell>
        </row>
        <row r="1147">
          <cell r="D1147">
            <v>281122</v>
          </cell>
          <cell r="E1147" t="str">
            <v>Silicon dioxide</v>
          </cell>
          <cell r="F1147">
            <v>0</v>
          </cell>
          <cell r="G1147">
            <v>0</v>
          </cell>
          <cell r="H1147">
            <v>0</v>
          </cell>
          <cell r="I1147" t="str">
            <v>Others</v>
          </cell>
          <cell r="J1147">
            <v>3</v>
          </cell>
          <cell r="K1147" t="str">
            <v>Others</v>
          </cell>
        </row>
        <row r="1148">
          <cell r="D1148">
            <v>281129</v>
          </cell>
          <cell r="E1148" t="str">
            <v>Inorganic oxygen compounds; of non-metals, n.e.c. in item no. 2811.2</v>
          </cell>
          <cell r="F1148">
            <v>0</v>
          </cell>
          <cell r="G1148">
            <v>0</v>
          </cell>
          <cell r="H1148">
            <v>0</v>
          </cell>
          <cell r="I1148" t="str">
            <v>Others</v>
          </cell>
          <cell r="J1148">
            <v>3</v>
          </cell>
          <cell r="K1148" t="str">
            <v>Others</v>
          </cell>
        </row>
        <row r="1149">
          <cell r="D1149">
            <v>281211</v>
          </cell>
          <cell r="E1149" t="str">
            <v>Carbonyl dichloride (phosgene)</v>
          </cell>
          <cell r="F1149">
            <v>0</v>
          </cell>
          <cell r="G1149">
            <v>0</v>
          </cell>
          <cell r="H1149">
            <v>0</v>
          </cell>
          <cell r="I1149" t="str">
            <v>Others</v>
          </cell>
          <cell r="J1149">
            <v>3</v>
          </cell>
          <cell r="K1149" t="str">
            <v>Others</v>
          </cell>
        </row>
        <row r="1150">
          <cell r="D1150">
            <v>281212</v>
          </cell>
          <cell r="E1150" t="str">
            <v>Phosphorus oxychloride</v>
          </cell>
          <cell r="F1150">
            <v>0</v>
          </cell>
          <cell r="G1150">
            <v>0</v>
          </cell>
          <cell r="H1150">
            <v>0</v>
          </cell>
          <cell r="I1150" t="str">
            <v>Others</v>
          </cell>
          <cell r="J1150">
            <v>3</v>
          </cell>
          <cell r="K1150" t="str">
            <v>Others</v>
          </cell>
        </row>
        <row r="1151">
          <cell r="D1151">
            <v>281213</v>
          </cell>
          <cell r="E1151" t="str">
            <v>Phosphorus trichloride</v>
          </cell>
          <cell r="F1151">
            <v>0</v>
          </cell>
          <cell r="G1151">
            <v>0</v>
          </cell>
          <cell r="H1151">
            <v>0</v>
          </cell>
          <cell r="I1151" t="str">
            <v>Others</v>
          </cell>
          <cell r="J1151">
            <v>3</v>
          </cell>
          <cell r="K1151" t="str">
            <v>Others</v>
          </cell>
        </row>
        <row r="1152">
          <cell r="D1152">
            <v>281214</v>
          </cell>
          <cell r="E1152" t="str">
            <v>Phosphorus pentachloride</v>
          </cell>
          <cell r="F1152">
            <v>0</v>
          </cell>
          <cell r="G1152">
            <v>0</v>
          </cell>
          <cell r="H1152">
            <v>0</v>
          </cell>
          <cell r="I1152" t="str">
            <v>Others</v>
          </cell>
          <cell r="J1152">
            <v>3</v>
          </cell>
          <cell r="K1152" t="str">
            <v>Others</v>
          </cell>
        </row>
        <row r="1153">
          <cell r="D1153">
            <v>281215</v>
          </cell>
          <cell r="E1153" t="str">
            <v>Sulphur monochloride</v>
          </cell>
          <cell r="F1153">
            <v>0</v>
          </cell>
          <cell r="G1153">
            <v>0</v>
          </cell>
          <cell r="H1153">
            <v>0</v>
          </cell>
          <cell r="I1153" t="str">
            <v>Others</v>
          </cell>
          <cell r="J1153">
            <v>3</v>
          </cell>
          <cell r="K1153" t="str">
            <v>Others</v>
          </cell>
        </row>
        <row r="1154">
          <cell r="D1154">
            <v>281216</v>
          </cell>
          <cell r="E1154" t="str">
            <v>Sulphur dichloride</v>
          </cell>
          <cell r="F1154">
            <v>0</v>
          </cell>
          <cell r="G1154">
            <v>0</v>
          </cell>
          <cell r="H1154">
            <v>0</v>
          </cell>
          <cell r="I1154" t="str">
            <v>Others</v>
          </cell>
          <cell r="J1154">
            <v>3</v>
          </cell>
          <cell r="K1154" t="str">
            <v>Others</v>
          </cell>
        </row>
        <row r="1155">
          <cell r="D1155">
            <v>281217</v>
          </cell>
          <cell r="E1155" t="str">
            <v>Thionyl chloride</v>
          </cell>
          <cell r="F1155">
            <v>0</v>
          </cell>
          <cell r="G1155">
            <v>0</v>
          </cell>
          <cell r="H1155">
            <v>0</v>
          </cell>
          <cell r="I1155" t="str">
            <v>Others</v>
          </cell>
          <cell r="J1155">
            <v>3</v>
          </cell>
          <cell r="K1155" t="str">
            <v>Others</v>
          </cell>
        </row>
        <row r="1156">
          <cell r="D1156">
            <v>281219</v>
          </cell>
          <cell r="E1156" t="str">
            <v>Arsenic trichloride and other chlorides and chloride oxides, n.e.c. in item no. 2812</v>
          </cell>
          <cell r="F1156">
            <v>0</v>
          </cell>
          <cell r="G1156">
            <v>0</v>
          </cell>
          <cell r="H1156">
            <v>0</v>
          </cell>
          <cell r="I1156" t="str">
            <v>Others</v>
          </cell>
          <cell r="J1156">
            <v>3</v>
          </cell>
          <cell r="K1156" t="str">
            <v>Others</v>
          </cell>
        </row>
        <row r="1157">
          <cell r="D1157">
            <v>281290</v>
          </cell>
          <cell r="E1157" t="str">
            <v>Halides and halide oxides of non-metals; excluding chloride</v>
          </cell>
          <cell r="F1157">
            <v>0</v>
          </cell>
          <cell r="G1157">
            <v>0</v>
          </cell>
          <cell r="H1157">
            <v>0</v>
          </cell>
          <cell r="I1157" t="str">
            <v>Others</v>
          </cell>
          <cell r="J1157">
            <v>3</v>
          </cell>
          <cell r="K1157" t="str">
            <v>Others</v>
          </cell>
        </row>
        <row r="1158">
          <cell r="D1158">
            <v>281310</v>
          </cell>
          <cell r="E1158" t="str">
            <v>Carbon disulphide</v>
          </cell>
          <cell r="F1158">
            <v>0</v>
          </cell>
          <cell r="G1158">
            <v>0</v>
          </cell>
          <cell r="H1158">
            <v>0</v>
          </cell>
          <cell r="I1158" t="str">
            <v>Others</v>
          </cell>
          <cell r="J1158">
            <v>3</v>
          </cell>
          <cell r="K1158" t="str">
            <v>Others</v>
          </cell>
        </row>
        <row r="1159">
          <cell r="D1159">
            <v>281390</v>
          </cell>
          <cell r="E1159" t="str">
            <v>Sulphides of non-metals, (excluding carbon); commercial phosphorus trisulphide</v>
          </cell>
          <cell r="F1159">
            <v>0</v>
          </cell>
          <cell r="G1159">
            <v>0</v>
          </cell>
          <cell r="H1159">
            <v>0</v>
          </cell>
          <cell r="I1159" t="str">
            <v>Others</v>
          </cell>
          <cell r="J1159">
            <v>3</v>
          </cell>
          <cell r="K1159" t="str">
            <v>Others</v>
          </cell>
        </row>
        <row r="1160">
          <cell r="D1160">
            <v>281410</v>
          </cell>
          <cell r="E1160" t="str">
            <v>Ammonia; anhydrous</v>
          </cell>
          <cell r="F1160">
            <v>0</v>
          </cell>
          <cell r="G1160">
            <v>0</v>
          </cell>
          <cell r="H1160">
            <v>0</v>
          </cell>
          <cell r="I1160" t="str">
            <v>Others</v>
          </cell>
          <cell r="J1160">
            <v>3</v>
          </cell>
          <cell r="K1160" t="str">
            <v>Others</v>
          </cell>
        </row>
        <row r="1161">
          <cell r="D1161">
            <v>281420</v>
          </cell>
          <cell r="E1161" t="str">
            <v>Ammonia; in aqueous solution</v>
          </cell>
          <cell r="F1161">
            <v>0</v>
          </cell>
          <cell r="G1161">
            <v>0</v>
          </cell>
          <cell r="H1161">
            <v>0</v>
          </cell>
          <cell r="I1161" t="str">
            <v>Others</v>
          </cell>
          <cell r="J1161">
            <v>3</v>
          </cell>
          <cell r="K1161" t="str">
            <v>Others</v>
          </cell>
        </row>
        <row r="1162">
          <cell r="D1162">
            <v>281511</v>
          </cell>
          <cell r="E1162" t="str">
            <v>Sodium hydroxide (caustic soda); solid</v>
          </cell>
          <cell r="F1162">
            <v>0</v>
          </cell>
          <cell r="G1162">
            <v>0</v>
          </cell>
          <cell r="H1162">
            <v>0</v>
          </cell>
          <cell r="I1162" t="str">
            <v>Others</v>
          </cell>
          <cell r="J1162">
            <v>3</v>
          </cell>
          <cell r="K1162" t="str">
            <v>Others</v>
          </cell>
        </row>
        <row r="1163">
          <cell r="D1163">
            <v>281512</v>
          </cell>
          <cell r="E1163" t="str">
            <v>Sodium hydroxide (caustic soda); in aqueous solution (soda lye or liquid soda)</v>
          </cell>
          <cell r="F1163">
            <v>0</v>
          </cell>
          <cell r="G1163">
            <v>0</v>
          </cell>
          <cell r="H1163">
            <v>0</v>
          </cell>
          <cell r="I1163" t="str">
            <v>Others</v>
          </cell>
          <cell r="J1163">
            <v>3</v>
          </cell>
          <cell r="K1163" t="str">
            <v>Others</v>
          </cell>
        </row>
        <row r="1164">
          <cell r="D1164">
            <v>281520</v>
          </cell>
          <cell r="E1164" t="str">
            <v>Potassium hydroxide (caustic potash)</v>
          </cell>
          <cell r="F1164">
            <v>0</v>
          </cell>
          <cell r="G1164">
            <v>0</v>
          </cell>
          <cell r="H1164">
            <v>0</v>
          </cell>
          <cell r="I1164" t="str">
            <v>Others</v>
          </cell>
          <cell r="J1164">
            <v>3</v>
          </cell>
          <cell r="K1164" t="str">
            <v>Others</v>
          </cell>
        </row>
        <row r="1165">
          <cell r="D1165">
            <v>281530</v>
          </cell>
          <cell r="E1165" t="str">
            <v>Peroxides of sodium or potassium</v>
          </cell>
          <cell r="F1165">
            <v>0</v>
          </cell>
          <cell r="G1165">
            <v>0</v>
          </cell>
          <cell r="H1165">
            <v>0</v>
          </cell>
          <cell r="I1165" t="str">
            <v>Others</v>
          </cell>
          <cell r="J1165">
            <v>3</v>
          </cell>
          <cell r="K1165" t="str">
            <v>Others</v>
          </cell>
        </row>
        <row r="1166">
          <cell r="D1166">
            <v>281610</v>
          </cell>
          <cell r="E1166" t="str">
            <v>Hydroxide and peroxide of magnesium</v>
          </cell>
          <cell r="F1166">
            <v>0</v>
          </cell>
          <cell r="G1166">
            <v>0</v>
          </cell>
          <cell r="H1166">
            <v>0</v>
          </cell>
          <cell r="I1166" t="str">
            <v>Others</v>
          </cell>
          <cell r="J1166">
            <v>3</v>
          </cell>
          <cell r="K1166" t="str">
            <v>Others</v>
          </cell>
        </row>
        <row r="1167">
          <cell r="D1167">
            <v>281640</v>
          </cell>
          <cell r="E1167" t="str">
            <v>Oxides, hydroxides and peroxides, of strontium or barium</v>
          </cell>
          <cell r="F1167">
            <v>0</v>
          </cell>
          <cell r="G1167">
            <v>0</v>
          </cell>
          <cell r="H1167">
            <v>0</v>
          </cell>
          <cell r="I1167" t="str">
            <v>Others</v>
          </cell>
          <cell r="J1167">
            <v>3</v>
          </cell>
          <cell r="K1167" t="str">
            <v>Others</v>
          </cell>
        </row>
        <row r="1168">
          <cell r="D1168">
            <v>281700</v>
          </cell>
          <cell r="E1168" t="str">
            <v>Zinc; oxide and peroxide</v>
          </cell>
          <cell r="F1168">
            <v>0</v>
          </cell>
          <cell r="G1168">
            <v>0</v>
          </cell>
          <cell r="H1168">
            <v>0</v>
          </cell>
          <cell r="I1168" t="str">
            <v>Others</v>
          </cell>
          <cell r="J1168">
            <v>3</v>
          </cell>
          <cell r="K1168" t="str">
            <v>Others</v>
          </cell>
        </row>
        <row r="1169">
          <cell r="D1169">
            <v>281810</v>
          </cell>
          <cell r="E1169" t="str">
            <v>Aluminium oxide; artificial corundum</v>
          </cell>
          <cell r="F1169">
            <v>0</v>
          </cell>
          <cell r="G1169">
            <v>0</v>
          </cell>
          <cell r="H1169">
            <v>0</v>
          </cell>
          <cell r="I1169" t="str">
            <v>Others</v>
          </cell>
          <cell r="J1169">
            <v>3</v>
          </cell>
          <cell r="K1169" t="str">
            <v>Others</v>
          </cell>
        </row>
        <row r="1170">
          <cell r="D1170">
            <v>281820</v>
          </cell>
          <cell r="E1170" t="str">
            <v>Aluminium oxide; other than artificial corundum</v>
          </cell>
          <cell r="F1170" t="str">
            <v>Consumables</v>
          </cell>
          <cell r="G1170">
            <v>0</v>
          </cell>
          <cell r="H1170">
            <v>0</v>
          </cell>
          <cell r="I1170" t="str">
            <v>Others</v>
          </cell>
          <cell r="J1170">
            <v>2</v>
          </cell>
          <cell r="K1170" t="str">
            <v>Consumables - rc</v>
          </cell>
        </row>
        <row r="1171">
          <cell r="D1171">
            <v>281830</v>
          </cell>
          <cell r="E1171" t="str">
            <v>Aluminium hydroxide</v>
          </cell>
          <cell r="F1171">
            <v>0</v>
          </cell>
          <cell r="G1171">
            <v>0</v>
          </cell>
          <cell r="H1171">
            <v>0</v>
          </cell>
          <cell r="I1171" t="str">
            <v>Others</v>
          </cell>
          <cell r="J1171">
            <v>3</v>
          </cell>
          <cell r="K1171" t="str">
            <v>Others</v>
          </cell>
        </row>
        <row r="1172">
          <cell r="D1172">
            <v>281910</v>
          </cell>
          <cell r="E1172" t="str">
            <v>Chromium trioxide</v>
          </cell>
          <cell r="F1172">
            <v>0</v>
          </cell>
          <cell r="G1172">
            <v>0</v>
          </cell>
          <cell r="H1172">
            <v>0</v>
          </cell>
          <cell r="I1172" t="str">
            <v>Others</v>
          </cell>
          <cell r="J1172">
            <v>3</v>
          </cell>
          <cell r="K1172" t="str">
            <v>Others</v>
          </cell>
        </row>
        <row r="1173">
          <cell r="D1173">
            <v>281990</v>
          </cell>
          <cell r="E1173" t="str">
            <v>Chromium oxides and hydroxides; excluding chromium trioxide</v>
          </cell>
          <cell r="F1173">
            <v>0</v>
          </cell>
          <cell r="G1173">
            <v>0</v>
          </cell>
          <cell r="H1173">
            <v>0</v>
          </cell>
          <cell r="I1173" t="str">
            <v>Others</v>
          </cell>
          <cell r="J1173">
            <v>3</v>
          </cell>
          <cell r="K1173" t="str">
            <v>Others</v>
          </cell>
        </row>
        <row r="1174">
          <cell r="D1174">
            <v>282010</v>
          </cell>
          <cell r="E1174" t="str">
            <v>Manganese dioxide</v>
          </cell>
          <cell r="F1174">
            <v>0</v>
          </cell>
          <cell r="G1174">
            <v>0</v>
          </cell>
          <cell r="H1174">
            <v>0</v>
          </cell>
          <cell r="I1174" t="str">
            <v>Others</v>
          </cell>
          <cell r="J1174">
            <v>3</v>
          </cell>
          <cell r="K1174" t="str">
            <v>Others</v>
          </cell>
        </row>
        <row r="1175">
          <cell r="D1175">
            <v>282090</v>
          </cell>
          <cell r="E1175" t="str">
            <v>Manganese oxides; excluding manganese dioxide</v>
          </cell>
          <cell r="F1175">
            <v>0</v>
          </cell>
          <cell r="G1175">
            <v>0</v>
          </cell>
          <cell r="H1175">
            <v>0</v>
          </cell>
          <cell r="I1175" t="str">
            <v>Others</v>
          </cell>
          <cell r="J1175">
            <v>3</v>
          </cell>
          <cell r="K1175" t="str">
            <v>Others</v>
          </cell>
        </row>
        <row r="1176">
          <cell r="D1176">
            <v>282110</v>
          </cell>
          <cell r="E1176" t="str">
            <v>Iron oxides and hydroxides</v>
          </cell>
          <cell r="F1176">
            <v>0</v>
          </cell>
          <cell r="G1176">
            <v>0</v>
          </cell>
          <cell r="H1176">
            <v>0</v>
          </cell>
          <cell r="I1176" t="str">
            <v>Others</v>
          </cell>
          <cell r="J1176">
            <v>3</v>
          </cell>
          <cell r="K1176" t="str">
            <v>Others</v>
          </cell>
        </row>
        <row r="1177">
          <cell r="D1177">
            <v>282120</v>
          </cell>
          <cell r="E1177" t="str">
            <v>Earth colours; containing 70% or more by weight of combined iron evaluated as Fe2o3</v>
          </cell>
          <cell r="F1177">
            <v>0</v>
          </cell>
          <cell r="G1177">
            <v>0</v>
          </cell>
          <cell r="H1177">
            <v>0</v>
          </cell>
          <cell r="I1177" t="str">
            <v>Others</v>
          </cell>
          <cell r="J1177">
            <v>3</v>
          </cell>
          <cell r="K1177" t="str">
            <v>Others</v>
          </cell>
        </row>
        <row r="1178">
          <cell r="D1178">
            <v>282200</v>
          </cell>
          <cell r="E1178" t="str">
            <v>Cobalt oxides and hydroxides; commercial cobalt oxides</v>
          </cell>
          <cell r="F1178">
            <v>0</v>
          </cell>
          <cell r="G1178">
            <v>0</v>
          </cell>
          <cell r="H1178">
            <v>0</v>
          </cell>
          <cell r="I1178" t="str">
            <v>Others</v>
          </cell>
          <cell r="J1178">
            <v>3</v>
          </cell>
          <cell r="K1178" t="str">
            <v>Others</v>
          </cell>
        </row>
        <row r="1179">
          <cell r="D1179">
            <v>282300</v>
          </cell>
          <cell r="E1179" t="str">
            <v>Titanium oxides</v>
          </cell>
          <cell r="F1179">
            <v>0</v>
          </cell>
          <cell r="G1179">
            <v>0</v>
          </cell>
          <cell r="H1179">
            <v>0</v>
          </cell>
          <cell r="I1179" t="str">
            <v>Others</v>
          </cell>
          <cell r="J1179">
            <v>3</v>
          </cell>
          <cell r="K1179" t="str">
            <v>Others</v>
          </cell>
        </row>
        <row r="1180">
          <cell r="D1180">
            <v>282410</v>
          </cell>
          <cell r="E1180" t="str">
            <v>Lead; lead monoxide (litharge, massicot)</v>
          </cell>
          <cell r="F1180">
            <v>0</v>
          </cell>
          <cell r="G1180">
            <v>0</v>
          </cell>
          <cell r="H1180">
            <v>0</v>
          </cell>
          <cell r="I1180" t="str">
            <v>Others</v>
          </cell>
          <cell r="J1180">
            <v>3</v>
          </cell>
          <cell r="K1180" t="str">
            <v>Others</v>
          </cell>
        </row>
        <row r="1181">
          <cell r="D1181">
            <v>282490</v>
          </cell>
          <cell r="E1181" t="str">
            <v>Lead oxides; n.e.c. in heading no. 2824</v>
          </cell>
          <cell r="F1181">
            <v>0</v>
          </cell>
          <cell r="G1181">
            <v>0</v>
          </cell>
          <cell r="H1181">
            <v>0</v>
          </cell>
          <cell r="I1181" t="str">
            <v>Others</v>
          </cell>
          <cell r="J1181">
            <v>3</v>
          </cell>
          <cell r="K1181" t="str">
            <v>Others</v>
          </cell>
        </row>
        <row r="1182">
          <cell r="D1182">
            <v>282510</v>
          </cell>
          <cell r="E1182" t="str">
            <v>Hydrazine and hydroxylamine and their inorganic salts</v>
          </cell>
          <cell r="F1182">
            <v>0</v>
          </cell>
          <cell r="G1182">
            <v>0</v>
          </cell>
          <cell r="H1182">
            <v>0</v>
          </cell>
          <cell r="I1182" t="str">
            <v>Others</v>
          </cell>
          <cell r="J1182">
            <v>3</v>
          </cell>
          <cell r="K1182" t="str">
            <v>Others</v>
          </cell>
        </row>
        <row r="1183">
          <cell r="D1183">
            <v>282520</v>
          </cell>
          <cell r="E1183" t="str">
            <v>Lithium oxide and hydroxide</v>
          </cell>
          <cell r="F1183">
            <v>0</v>
          </cell>
          <cell r="G1183">
            <v>0</v>
          </cell>
          <cell r="H1183">
            <v>0</v>
          </cell>
          <cell r="I1183" t="str">
            <v>Others</v>
          </cell>
          <cell r="J1183">
            <v>3</v>
          </cell>
          <cell r="K1183" t="str">
            <v>Others</v>
          </cell>
        </row>
        <row r="1184">
          <cell r="D1184">
            <v>282530</v>
          </cell>
          <cell r="E1184" t="str">
            <v>Vanadium oxides and hydroxides</v>
          </cell>
          <cell r="F1184">
            <v>0</v>
          </cell>
          <cell r="G1184">
            <v>0</v>
          </cell>
          <cell r="H1184">
            <v>0</v>
          </cell>
          <cell r="I1184" t="str">
            <v>Others</v>
          </cell>
          <cell r="J1184">
            <v>3</v>
          </cell>
          <cell r="K1184" t="str">
            <v>Others</v>
          </cell>
        </row>
        <row r="1185">
          <cell r="D1185">
            <v>282540</v>
          </cell>
          <cell r="E1185" t="str">
            <v>Nickel oxides and hydroxides</v>
          </cell>
          <cell r="F1185">
            <v>0</v>
          </cell>
          <cell r="G1185">
            <v>0</v>
          </cell>
          <cell r="H1185">
            <v>0</v>
          </cell>
          <cell r="I1185" t="str">
            <v>Others</v>
          </cell>
          <cell r="J1185">
            <v>3</v>
          </cell>
          <cell r="K1185" t="str">
            <v>Others</v>
          </cell>
        </row>
        <row r="1186">
          <cell r="D1186">
            <v>282550</v>
          </cell>
          <cell r="E1186" t="str">
            <v>Copper oxides and hydroxides</v>
          </cell>
          <cell r="F1186">
            <v>0</v>
          </cell>
          <cell r="G1186">
            <v>0</v>
          </cell>
          <cell r="H1186">
            <v>0</v>
          </cell>
          <cell r="I1186" t="str">
            <v>Others</v>
          </cell>
          <cell r="J1186">
            <v>3</v>
          </cell>
          <cell r="K1186" t="str">
            <v>Others</v>
          </cell>
        </row>
        <row r="1187">
          <cell r="D1187">
            <v>282560</v>
          </cell>
          <cell r="E1187" t="str">
            <v>Germanium oxides and zirconium dioxide</v>
          </cell>
          <cell r="F1187">
            <v>0</v>
          </cell>
          <cell r="G1187">
            <v>0</v>
          </cell>
          <cell r="H1187">
            <v>0</v>
          </cell>
          <cell r="I1187" t="str">
            <v>Others</v>
          </cell>
          <cell r="J1187">
            <v>3</v>
          </cell>
          <cell r="K1187" t="str">
            <v>Others</v>
          </cell>
        </row>
        <row r="1188">
          <cell r="D1188">
            <v>282570</v>
          </cell>
          <cell r="E1188" t="str">
            <v>Molybdenum oxides and hydroxides</v>
          </cell>
          <cell r="F1188">
            <v>0</v>
          </cell>
          <cell r="G1188">
            <v>0</v>
          </cell>
          <cell r="H1188">
            <v>0</v>
          </cell>
          <cell r="I1188" t="str">
            <v>Others</v>
          </cell>
          <cell r="J1188">
            <v>3</v>
          </cell>
          <cell r="K1188" t="str">
            <v>Others</v>
          </cell>
        </row>
        <row r="1189">
          <cell r="D1189">
            <v>282580</v>
          </cell>
          <cell r="E1189" t="str">
            <v>Antimony oxides</v>
          </cell>
          <cell r="F1189">
            <v>0</v>
          </cell>
          <cell r="G1189">
            <v>0</v>
          </cell>
          <cell r="H1189">
            <v>0</v>
          </cell>
          <cell r="I1189" t="str">
            <v>Others</v>
          </cell>
          <cell r="J1189">
            <v>3</v>
          </cell>
          <cell r="K1189" t="str">
            <v>Others</v>
          </cell>
        </row>
        <row r="1190">
          <cell r="D1190">
            <v>282590</v>
          </cell>
          <cell r="E1190" t="str">
            <v>Inorganic bases, metal oxides, hydroxides and peroxides; n.e.c. in heading no. 2825</v>
          </cell>
          <cell r="F1190">
            <v>0</v>
          </cell>
          <cell r="G1190">
            <v>0</v>
          </cell>
          <cell r="H1190">
            <v>0</v>
          </cell>
          <cell r="I1190" t="str">
            <v>Others</v>
          </cell>
          <cell r="J1190">
            <v>3</v>
          </cell>
          <cell r="K1190" t="str">
            <v>Others</v>
          </cell>
        </row>
        <row r="1191">
          <cell r="D1191">
            <v>282612</v>
          </cell>
          <cell r="E1191" t="str">
            <v>Fluorides; of aluminium</v>
          </cell>
          <cell r="F1191">
            <v>0</v>
          </cell>
          <cell r="G1191">
            <v>0</v>
          </cell>
          <cell r="H1191">
            <v>0</v>
          </cell>
          <cell r="I1191" t="str">
            <v>Others</v>
          </cell>
          <cell r="J1191">
            <v>3</v>
          </cell>
          <cell r="K1191" t="str">
            <v>Others</v>
          </cell>
        </row>
        <row r="1192">
          <cell r="D1192">
            <v>282619</v>
          </cell>
          <cell r="E1192" t="str">
            <v>Fluorides; other than of aluminium</v>
          </cell>
          <cell r="F1192">
            <v>0</v>
          </cell>
          <cell r="G1192">
            <v>0</v>
          </cell>
          <cell r="H1192">
            <v>0</v>
          </cell>
          <cell r="I1192" t="str">
            <v>Others</v>
          </cell>
          <cell r="J1192">
            <v>3</v>
          </cell>
          <cell r="K1192" t="str">
            <v>Others</v>
          </cell>
        </row>
        <row r="1193">
          <cell r="D1193">
            <v>282630</v>
          </cell>
          <cell r="E1193" t="str">
            <v>Sodium hexafluoroaluminate (synthetic cryolite)</v>
          </cell>
          <cell r="F1193">
            <v>0</v>
          </cell>
          <cell r="G1193">
            <v>0</v>
          </cell>
          <cell r="H1193">
            <v>0</v>
          </cell>
          <cell r="I1193" t="str">
            <v>Others</v>
          </cell>
          <cell r="J1193">
            <v>3</v>
          </cell>
          <cell r="K1193" t="str">
            <v>Others</v>
          </cell>
        </row>
        <row r="1194">
          <cell r="D1194">
            <v>282690</v>
          </cell>
          <cell r="E1194" t="str">
            <v>Fluorides; fluorosilicates, fluoroaluminates and other complex fluorine salts, n.e.c. in heading no. 2826</v>
          </cell>
          <cell r="F1194">
            <v>0</v>
          </cell>
          <cell r="G1194">
            <v>0</v>
          </cell>
          <cell r="H1194">
            <v>0</v>
          </cell>
          <cell r="I1194" t="str">
            <v>Others</v>
          </cell>
          <cell r="J1194">
            <v>3</v>
          </cell>
          <cell r="K1194" t="str">
            <v>Others</v>
          </cell>
        </row>
        <row r="1195">
          <cell r="D1195">
            <v>282710</v>
          </cell>
          <cell r="E1195" t="str">
            <v>Chlorides; of ammonium</v>
          </cell>
          <cell r="F1195">
            <v>0</v>
          </cell>
          <cell r="G1195">
            <v>0</v>
          </cell>
          <cell r="H1195">
            <v>0</v>
          </cell>
          <cell r="I1195" t="str">
            <v>Others</v>
          </cell>
          <cell r="J1195">
            <v>3</v>
          </cell>
          <cell r="K1195" t="str">
            <v>Others</v>
          </cell>
        </row>
        <row r="1196">
          <cell r="D1196">
            <v>282720</v>
          </cell>
          <cell r="E1196" t="str">
            <v>Chlorides; of calcium</v>
          </cell>
          <cell r="F1196">
            <v>0</v>
          </cell>
          <cell r="G1196">
            <v>0</v>
          </cell>
          <cell r="H1196">
            <v>0</v>
          </cell>
          <cell r="I1196" t="str">
            <v>Others</v>
          </cell>
          <cell r="J1196">
            <v>3</v>
          </cell>
          <cell r="K1196" t="str">
            <v>Others</v>
          </cell>
        </row>
        <row r="1197">
          <cell r="D1197">
            <v>282731</v>
          </cell>
          <cell r="E1197" t="str">
            <v>Chlorides; of magnesium</v>
          </cell>
          <cell r="F1197">
            <v>0</v>
          </cell>
          <cell r="G1197">
            <v>0</v>
          </cell>
          <cell r="H1197">
            <v>0</v>
          </cell>
          <cell r="I1197" t="str">
            <v>Others</v>
          </cell>
          <cell r="J1197">
            <v>3</v>
          </cell>
          <cell r="K1197" t="str">
            <v>Others</v>
          </cell>
        </row>
        <row r="1198">
          <cell r="D1198">
            <v>282732</v>
          </cell>
          <cell r="E1198" t="str">
            <v>Chlorides; of aluminium</v>
          </cell>
          <cell r="F1198">
            <v>0</v>
          </cell>
          <cell r="G1198">
            <v>0</v>
          </cell>
          <cell r="H1198">
            <v>0</v>
          </cell>
          <cell r="I1198" t="str">
            <v>Others</v>
          </cell>
          <cell r="J1198">
            <v>3</v>
          </cell>
          <cell r="K1198" t="str">
            <v>Others</v>
          </cell>
        </row>
        <row r="1199">
          <cell r="D1199">
            <v>282735</v>
          </cell>
          <cell r="E1199" t="str">
            <v>Chlorides; of nickel</v>
          </cell>
          <cell r="F1199">
            <v>0</v>
          </cell>
          <cell r="G1199">
            <v>0</v>
          </cell>
          <cell r="H1199">
            <v>0</v>
          </cell>
          <cell r="I1199" t="str">
            <v>Others</v>
          </cell>
          <cell r="J1199">
            <v>3</v>
          </cell>
          <cell r="K1199" t="str">
            <v>Others</v>
          </cell>
        </row>
        <row r="1200">
          <cell r="D1200">
            <v>282739</v>
          </cell>
          <cell r="E1200" t="str">
            <v>Chlorides; other than of ammonium, calcium, magnesium, aluminium and nickel</v>
          </cell>
          <cell r="F1200">
            <v>0</v>
          </cell>
          <cell r="G1200">
            <v>0</v>
          </cell>
          <cell r="H1200">
            <v>0</v>
          </cell>
          <cell r="I1200" t="str">
            <v>Others</v>
          </cell>
          <cell r="J1200">
            <v>3</v>
          </cell>
          <cell r="K1200" t="str">
            <v>Others</v>
          </cell>
        </row>
        <row r="1201">
          <cell r="D1201">
            <v>282741</v>
          </cell>
          <cell r="E1201" t="str">
            <v>Chloride oxides and chloride hydroxides; of copper</v>
          </cell>
          <cell r="F1201">
            <v>0</v>
          </cell>
          <cell r="G1201">
            <v>0</v>
          </cell>
          <cell r="H1201">
            <v>0</v>
          </cell>
          <cell r="I1201" t="str">
            <v>Others</v>
          </cell>
          <cell r="J1201">
            <v>3</v>
          </cell>
          <cell r="K1201" t="str">
            <v>Others</v>
          </cell>
        </row>
        <row r="1202">
          <cell r="D1202">
            <v>282749</v>
          </cell>
          <cell r="E1202" t="str">
            <v>Chloride oxides and chloride hydroxides; other than of copper</v>
          </cell>
          <cell r="F1202">
            <v>0</v>
          </cell>
          <cell r="G1202">
            <v>0</v>
          </cell>
          <cell r="H1202">
            <v>0</v>
          </cell>
          <cell r="I1202" t="str">
            <v>Others</v>
          </cell>
          <cell r="J1202">
            <v>3</v>
          </cell>
          <cell r="K1202" t="str">
            <v>Others</v>
          </cell>
        </row>
        <row r="1203">
          <cell r="D1203">
            <v>282751</v>
          </cell>
          <cell r="E1203" t="str">
            <v>Bromides; of sodium or of potassium</v>
          </cell>
          <cell r="F1203">
            <v>0</v>
          </cell>
          <cell r="G1203">
            <v>0</v>
          </cell>
          <cell r="H1203">
            <v>0</v>
          </cell>
          <cell r="I1203" t="str">
            <v>Others</v>
          </cell>
          <cell r="J1203">
            <v>3</v>
          </cell>
          <cell r="K1203" t="str">
            <v>Others</v>
          </cell>
        </row>
        <row r="1204">
          <cell r="D1204">
            <v>282759</v>
          </cell>
          <cell r="E1204" t="str">
            <v>Bromides and bromide oxides; other than item no. 2827.51</v>
          </cell>
          <cell r="F1204">
            <v>0</v>
          </cell>
          <cell r="G1204">
            <v>0</v>
          </cell>
          <cell r="H1204">
            <v>0</v>
          </cell>
          <cell r="I1204" t="str">
            <v>Others</v>
          </cell>
          <cell r="J1204">
            <v>3</v>
          </cell>
          <cell r="K1204" t="str">
            <v>Others</v>
          </cell>
        </row>
        <row r="1205">
          <cell r="D1205">
            <v>282760</v>
          </cell>
          <cell r="E1205" t="str">
            <v>Iodides and iodide oxides</v>
          </cell>
          <cell r="F1205">
            <v>0</v>
          </cell>
          <cell r="G1205">
            <v>0</v>
          </cell>
          <cell r="H1205">
            <v>0</v>
          </cell>
          <cell r="I1205" t="str">
            <v>Others</v>
          </cell>
          <cell r="J1205">
            <v>3</v>
          </cell>
          <cell r="K1205" t="str">
            <v>Others</v>
          </cell>
        </row>
        <row r="1206">
          <cell r="D1206">
            <v>282810</v>
          </cell>
          <cell r="E1206" t="str">
            <v>Hypochlorites; commercial calcium hypochlorite and other calcium hypochlorites</v>
          </cell>
          <cell r="F1206">
            <v>0</v>
          </cell>
          <cell r="G1206">
            <v>0</v>
          </cell>
          <cell r="H1206">
            <v>0</v>
          </cell>
          <cell r="I1206" t="str">
            <v>Others</v>
          </cell>
          <cell r="J1206">
            <v>3</v>
          </cell>
          <cell r="K1206" t="str">
            <v>Others</v>
          </cell>
        </row>
        <row r="1207">
          <cell r="D1207">
            <v>282890</v>
          </cell>
          <cell r="E1207" t="str">
            <v>Hypochlorites; n.e.c. in heading no. 2828</v>
          </cell>
          <cell r="F1207">
            <v>0</v>
          </cell>
          <cell r="G1207">
            <v>0</v>
          </cell>
          <cell r="H1207">
            <v>0</v>
          </cell>
          <cell r="I1207" t="str">
            <v>Others</v>
          </cell>
          <cell r="J1207">
            <v>3</v>
          </cell>
          <cell r="K1207" t="str">
            <v>Others</v>
          </cell>
        </row>
        <row r="1208">
          <cell r="D1208">
            <v>282911</v>
          </cell>
          <cell r="E1208" t="str">
            <v>Chlorates; of sodium</v>
          </cell>
          <cell r="F1208">
            <v>0</v>
          </cell>
          <cell r="G1208">
            <v>0</v>
          </cell>
          <cell r="H1208">
            <v>0</v>
          </cell>
          <cell r="I1208" t="str">
            <v>Others</v>
          </cell>
          <cell r="J1208">
            <v>3</v>
          </cell>
          <cell r="K1208" t="str">
            <v>Others</v>
          </cell>
        </row>
        <row r="1209">
          <cell r="D1209">
            <v>282919</v>
          </cell>
          <cell r="E1209" t="str">
            <v>Chlorates; other than sodium</v>
          </cell>
          <cell r="F1209">
            <v>0</v>
          </cell>
          <cell r="G1209">
            <v>0</v>
          </cell>
          <cell r="H1209">
            <v>0</v>
          </cell>
          <cell r="I1209" t="str">
            <v>Others</v>
          </cell>
          <cell r="J1209">
            <v>3</v>
          </cell>
          <cell r="K1209" t="str">
            <v>Others</v>
          </cell>
        </row>
        <row r="1210">
          <cell r="D1210">
            <v>282990</v>
          </cell>
          <cell r="E1210" t="str">
            <v>Perchlorates; bromates and perbromates; iodates and periodates</v>
          </cell>
          <cell r="F1210">
            <v>0</v>
          </cell>
          <cell r="G1210">
            <v>0</v>
          </cell>
          <cell r="H1210">
            <v>0</v>
          </cell>
          <cell r="I1210" t="str">
            <v>Others</v>
          </cell>
          <cell r="J1210">
            <v>3</v>
          </cell>
          <cell r="K1210" t="str">
            <v>Others</v>
          </cell>
        </row>
        <row r="1211">
          <cell r="D1211">
            <v>283010</v>
          </cell>
          <cell r="E1211" t="str">
            <v>Sulphides; of sodium, whether or not chemically defined</v>
          </cell>
          <cell r="F1211">
            <v>0</v>
          </cell>
          <cell r="G1211">
            <v>0</v>
          </cell>
          <cell r="H1211">
            <v>0</v>
          </cell>
          <cell r="I1211" t="str">
            <v>Others</v>
          </cell>
          <cell r="J1211">
            <v>3</v>
          </cell>
          <cell r="K1211" t="str">
            <v>Others</v>
          </cell>
        </row>
        <row r="1212">
          <cell r="D1212">
            <v>283090</v>
          </cell>
          <cell r="E1212" t="str">
            <v>Sulphides and polysulphides; whether or not chemically defined, other than sulphides of sodium</v>
          </cell>
          <cell r="F1212">
            <v>0</v>
          </cell>
          <cell r="G1212">
            <v>0</v>
          </cell>
          <cell r="H1212">
            <v>0</v>
          </cell>
          <cell r="I1212" t="str">
            <v>Others</v>
          </cell>
          <cell r="J1212">
            <v>3</v>
          </cell>
          <cell r="K1212" t="str">
            <v>Others</v>
          </cell>
        </row>
        <row r="1213">
          <cell r="D1213">
            <v>283110</v>
          </cell>
          <cell r="E1213" t="str">
            <v>Dithionites and sulphoxylates; of sodium</v>
          </cell>
          <cell r="F1213">
            <v>0</v>
          </cell>
          <cell r="G1213">
            <v>0</v>
          </cell>
          <cell r="H1213">
            <v>0</v>
          </cell>
          <cell r="I1213" t="str">
            <v>Others</v>
          </cell>
          <cell r="J1213">
            <v>3</v>
          </cell>
          <cell r="K1213" t="str">
            <v>Others</v>
          </cell>
        </row>
        <row r="1214">
          <cell r="D1214">
            <v>283190</v>
          </cell>
          <cell r="E1214" t="str">
            <v>Dithionites and sulphoxylates; other than sodium</v>
          </cell>
          <cell r="F1214">
            <v>0</v>
          </cell>
          <cell r="G1214">
            <v>0</v>
          </cell>
          <cell r="H1214">
            <v>0</v>
          </cell>
          <cell r="I1214" t="str">
            <v>Others</v>
          </cell>
          <cell r="J1214">
            <v>3</v>
          </cell>
          <cell r="K1214" t="str">
            <v>Others</v>
          </cell>
        </row>
        <row r="1215">
          <cell r="D1215">
            <v>283210</v>
          </cell>
          <cell r="E1215" t="str">
            <v>Sulphites; of sodium</v>
          </cell>
          <cell r="F1215">
            <v>0</v>
          </cell>
          <cell r="G1215">
            <v>0</v>
          </cell>
          <cell r="H1215">
            <v>0</v>
          </cell>
          <cell r="I1215" t="str">
            <v>Others</v>
          </cell>
          <cell r="J1215">
            <v>3</v>
          </cell>
          <cell r="K1215" t="str">
            <v>Others</v>
          </cell>
        </row>
        <row r="1216">
          <cell r="D1216">
            <v>283220</v>
          </cell>
          <cell r="E1216" t="str">
            <v>Sulphites; other than of sodium</v>
          </cell>
          <cell r="F1216">
            <v>0</v>
          </cell>
          <cell r="G1216">
            <v>0</v>
          </cell>
          <cell r="H1216">
            <v>0</v>
          </cell>
          <cell r="I1216" t="str">
            <v>Others</v>
          </cell>
          <cell r="J1216">
            <v>3</v>
          </cell>
          <cell r="K1216" t="str">
            <v>Others</v>
          </cell>
        </row>
        <row r="1217">
          <cell r="D1217">
            <v>283230</v>
          </cell>
          <cell r="E1217" t="str">
            <v>Thiosulphates</v>
          </cell>
          <cell r="F1217">
            <v>0</v>
          </cell>
          <cell r="G1217">
            <v>0</v>
          </cell>
          <cell r="H1217">
            <v>0</v>
          </cell>
          <cell r="I1217" t="str">
            <v>Others</v>
          </cell>
          <cell r="J1217">
            <v>3</v>
          </cell>
          <cell r="K1217" t="str">
            <v>Others</v>
          </cell>
        </row>
        <row r="1218">
          <cell r="D1218">
            <v>283311</v>
          </cell>
          <cell r="E1218" t="str">
            <v>Sodium sulphates; disodium sulphate</v>
          </cell>
          <cell r="F1218">
            <v>0</v>
          </cell>
          <cell r="G1218">
            <v>0</v>
          </cell>
          <cell r="H1218">
            <v>0</v>
          </cell>
          <cell r="I1218" t="str">
            <v>Others</v>
          </cell>
          <cell r="J1218">
            <v>3</v>
          </cell>
          <cell r="K1218" t="str">
            <v>Others</v>
          </cell>
        </row>
        <row r="1219">
          <cell r="D1219">
            <v>283319</v>
          </cell>
          <cell r="E1219" t="str">
            <v>Sodium sulphates; other than disodium sulphate</v>
          </cell>
          <cell r="F1219">
            <v>0</v>
          </cell>
          <cell r="G1219">
            <v>0</v>
          </cell>
          <cell r="H1219">
            <v>0</v>
          </cell>
          <cell r="I1219" t="str">
            <v>Others</v>
          </cell>
          <cell r="J1219">
            <v>3</v>
          </cell>
          <cell r="K1219" t="str">
            <v>Others</v>
          </cell>
        </row>
        <row r="1220">
          <cell r="D1220">
            <v>283321</v>
          </cell>
          <cell r="E1220" t="str">
            <v>Sulphates; of magnesium</v>
          </cell>
          <cell r="F1220">
            <v>0</v>
          </cell>
          <cell r="G1220">
            <v>0</v>
          </cell>
          <cell r="H1220">
            <v>0</v>
          </cell>
          <cell r="I1220" t="str">
            <v>Others</v>
          </cell>
          <cell r="J1220">
            <v>3</v>
          </cell>
          <cell r="K1220" t="str">
            <v>Others</v>
          </cell>
        </row>
        <row r="1221">
          <cell r="D1221">
            <v>283322</v>
          </cell>
          <cell r="E1221" t="str">
            <v>Sulphates; of aluminium</v>
          </cell>
          <cell r="F1221">
            <v>0</v>
          </cell>
          <cell r="G1221">
            <v>0</v>
          </cell>
          <cell r="H1221">
            <v>0</v>
          </cell>
          <cell r="I1221" t="str">
            <v>Others</v>
          </cell>
          <cell r="J1221">
            <v>3</v>
          </cell>
          <cell r="K1221" t="str">
            <v>Others</v>
          </cell>
        </row>
        <row r="1222">
          <cell r="D1222">
            <v>283324</v>
          </cell>
          <cell r="E1222" t="str">
            <v>Sulphates; of nickel</v>
          </cell>
          <cell r="F1222">
            <v>0</v>
          </cell>
          <cell r="G1222">
            <v>0</v>
          </cell>
          <cell r="H1222">
            <v>0</v>
          </cell>
          <cell r="I1222" t="str">
            <v>Others</v>
          </cell>
          <cell r="J1222">
            <v>3</v>
          </cell>
          <cell r="K1222" t="str">
            <v>Others</v>
          </cell>
        </row>
        <row r="1223">
          <cell r="D1223">
            <v>283325</v>
          </cell>
          <cell r="E1223" t="str">
            <v>Sulphates; of copper</v>
          </cell>
          <cell r="F1223">
            <v>0</v>
          </cell>
          <cell r="G1223">
            <v>0</v>
          </cell>
          <cell r="H1223">
            <v>0</v>
          </cell>
          <cell r="I1223" t="str">
            <v>Others</v>
          </cell>
          <cell r="J1223">
            <v>3</v>
          </cell>
          <cell r="K1223" t="str">
            <v>Others</v>
          </cell>
        </row>
        <row r="1224">
          <cell r="D1224">
            <v>283327</v>
          </cell>
          <cell r="E1224" t="str">
            <v>Sulphates; of barium</v>
          </cell>
          <cell r="F1224">
            <v>0</v>
          </cell>
          <cell r="G1224">
            <v>0</v>
          </cell>
          <cell r="H1224">
            <v>0</v>
          </cell>
          <cell r="I1224" t="str">
            <v>Others</v>
          </cell>
          <cell r="J1224">
            <v>3</v>
          </cell>
          <cell r="K1224" t="str">
            <v>Others</v>
          </cell>
        </row>
        <row r="1225">
          <cell r="D1225">
            <v>283329</v>
          </cell>
          <cell r="E1225" t="str">
            <v>Sulphates; n.e.c. in item no. 2833.2</v>
          </cell>
          <cell r="F1225">
            <v>0</v>
          </cell>
          <cell r="G1225">
            <v>0</v>
          </cell>
          <cell r="H1225">
            <v>0</v>
          </cell>
          <cell r="I1225" t="str">
            <v>Others</v>
          </cell>
          <cell r="J1225">
            <v>3</v>
          </cell>
          <cell r="K1225" t="str">
            <v>Others</v>
          </cell>
        </row>
        <row r="1226">
          <cell r="D1226">
            <v>283330</v>
          </cell>
          <cell r="E1226" t="str">
            <v>Alums</v>
          </cell>
          <cell r="F1226">
            <v>0</v>
          </cell>
          <cell r="G1226">
            <v>0</v>
          </cell>
          <cell r="H1226">
            <v>0</v>
          </cell>
          <cell r="I1226" t="str">
            <v>Others</v>
          </cell>
          <cell r="J1226">
            <v>3</v>
          </cell>
          <cell r="K1226" t="str">
            <v>Others</v>
          </cell>
        </row>
        <row r="1227">
          <cell r="D1227">
            <v>283340</v>
          </cell>
          <cell r="E1227" t="str">
            <v>Peroxosulphates (persulphates)</v>
          </cell>
          <cell r="F1227">
            <v>0</v>
          </cell>
          <cell r="G1227">
            <v>0</v>
          </cell>
          <cell r="H1227">
            <v>0</v>
          </cell>
          <cell r="I1227" t="str">
            <v>Others</v>
          </cell>
          <cell r="J1227">
            <v>3</v>
          </cell>
          <cell r="K1227" t="str">
            <v>Others</v>
          </cell>
        </row>
        <row r="1228">
          <cell r="D1228">
            <v>283410</v>
          </cell>
          <cell r="E1228" t="str">
            <v>Nitrites</v>
          </cell>
          <cell r="F1228">
            <v>0</v>
          </cell>
          <cell r="G1228">
            <v>0</v>
          </cell>
          <cell r="H1228">
            <v>0</v>
          </cell>
          <cell r="I1228" t="str">
            <v>Others</v>
          </cell>
          <cell r="J1228">
            <v>3</v>
          </cell>
          <cell r="K1228" t="str">
            <v>Others</v>
          </cell>
        </row>
        <row r="1229">
          <cell r="D1229">
            <v>283421</v>
          </cell>
          <cell r="E1229" t="str">
            <v>Nitrates; of potassium</v>
          </cell>
          <cell r="F1229">
            <v>0</v>
          </cell>
          <cell r="G1229">
            <v>0</v>
          </cell>
          <cell r="H1229">
            <v>0</v>
          </cell>
          <cell r="I1229" t="str">
            <v>Others</v>
          </cell>
          <cell r="J1229">
            <v>3</v>
          </cell>
          <cell r="K1229" t="str">
            <v>Others</v>
          </cell>
        </row>
        <row r="1230">
          <cell r="D1230">
            <v>283429</v>
          </cell>
          <cell r="E1230" t="str">
            <v>Nitrates; of other than potassium</v>
          </cell>
          <cell r="F1230">
            <v>0</v>
          </cell>
          <cell r="G1230">
            <v>0</v>
          </cell>
          <cell r="H1230">
            <v>0</v>
          </cell>
          <cell r="I1230" t="str">
            <v>Others</v>
          </cell>
          <cell r="J1230">
            <v>3</v>
          </cell>
          <cell r="K1230" t="str">
            <v>Others</v>
          </cell>
        </row>
        <row r="1231">
          <cell r="D1231">
            <v>283510</v>
          </cell>
          <cell r="E1231" t="str">
            <v>Phosphinates (hypophosphites) and phosphonates (phosphites), whether or not chemically defined</v>
          </cell>
          <cell r="F1231">
            <v>0</v>
          </cell>
          <cell r="G1231">
            <v>0</v>
          </cell>
          <cell r="H1231">
            <v>0</v>
          </cell>
          <cell r="I1231" t="str">
            <v>Others</v>
          </cell>
          <cell r="J1231">
            <v>3</v>
          </cell>
          <cell r="K1231" t="str">
            <v>Others</v>
          </cell>
        </row>
        <row r="1232">
          <cell r="D1232">
            <v>283522</v>
          </cell>
          <cell r="E1232" t="str">
            <v>Phosphates; of mono- or disodium, whether or not chemically defined</v>
          </cell>
          <cell r="F1232">
            <v>0</v>
          </cell>
          <cell r="G1232">
            <v>0</v>
          </cell>
          <cell r="H1232">
            <v>0</v>
          </cell>
          <cell r="I1232" t="str">
            <v>Others</v>
          </cell>
          <cell r="J1232">
            <v>3</v>
          </cell>
          <cell r="K1232" t="str">
            <v>Others</v>
          </cell>
        </row>
        <row r="1233">
          <cell r="D1233">
            <v>283524</v>
          </cell>
          <cell r="E1233" t="str">
            <v>Phosphates; of potassium, whether or not chemically defined</v>
          </cell>
          <cell r="F1233">
            <v>0</v>
          </cell>
          <cell r="G1233">
            <v>0</v>
          </cell>
          <cell r="H1233">
            <v>0</v>
          </cell>
          <cell r="I1233" t="str">
            <v>Others</v>
          </cell>
          <cell r="J1233">
            <v>3</v>
          </cell>
          <cell r="K1233" t="str">
            <v>Others</v>
          </cell>
        </row>
        <row r="1234">
          <cell r="D1234">
            <v>283525</v>
          </cell>
          <cell r="E1234" t="str">
            <v>Phosphates; calcium hydrogenorthophosphate (dicalcium phosphate), whether or not chemically defined</v>
          </cell>
          <cell r="F1234">
            <v>0</v>
          </cell>
          <cell r="G1234">
            <v>0</v>
          </cell>
          <cell r="H1234">
            <v>0</v>
          </cell>
          <cell r="I1234" t="str">
            <v>Others</v>
          </cell>
          <cell r="J1234">
            <v>3</v>
          </cell>
          <cell r="K1234" t="str">
            <v>Others</v>
          </cell>
        </row>
        <row r="1235">
          <cell r="D1235">
            <v>283526</v>
          </cell>
          <cell r="E1235" t="str">
            <v>Phosphates; of calcium n.e.c. in item no. 2835.25, whether or not chemically defined</v>
          </cell>
          <cell r="F1235">
            <v>0</v>
          </cell>
          <cell r="G1235">
            <v>0</v>
          </cell>
          <cell r="H1235">
            <v>0</v>
          </cell>
          <cell r="I1235" t="str">
            <v>Others</v>
          </cell>
          <cell r="J1235">
            <v>3</v>
          </cell>
          <cell r="K1235" t="str">
            <v>Others</v>
          </cell>
        </row>
        <row r="1236">
          <cell r="D1236">
            <v>283529</v>
          </cell>
          <cell r="E1236" t="str">
            <v>Phosphates; (other than of mono- or disodium, other than of potassium or of calcium hydrogenorthophosphate (dicalcium phosphate) and excluding other phosphates of calcium), whether or not chemically defined</v>
          </cell>
          <cell r="F1236">
            <v>0</v>
          </cell>
          <cell r="G1236">
            <v>0</v>
          </cell>
          <cell r="H1236">
            <v>0</v>
          </cell>
          <cell r="I1236" t="str">
            <v>Others</v>
          </cell>
          <cell r="J1236">
            <v>3</v>
          </cell>
          <cell r="K1236" t="str">
            <v>Others</v>
          </cell>
        </row>
        <row r="1237">
          <cell r="D1237">
            <v>283531</v>
          </cell>
          <cell r="E1237" t="str">
            <v>Polyphosphates; sodium triphosphate (sodium tripolyphosphate), whether or not chemically defined</v>
          </cell>
          <cell r="F1237">
            <v>0</v>
          </cell>
          <cell r="G1237">
            <v>0</v>
          </cell>
          <cell r="H1237">
            <v>0</v>
          </cell>
          <cell r="I1237" t="str">
            <v>Others</v>
          </cell>
          <cell r="J1237">
            <v>3</v>
          </cell>
          <cell r="K1237" t="str">
            <v>Others</v>
          </cell>
        </row>
        <row r="1238">
          <cell r="D1238">
            <v>283539</v>
          </cell>
          <cell r="E1238" t="str">
            <v>Polyphosphates; other than sodium triphosphate (sodium tripolyphosphate), whether or not chemically defined</v>
          </cell>
          <cell r="F1238">
            <v>0</v>
          </cell>
          <cell r="G1238">
            <v>0</v>
          </cell>
          <cell r="H1238">
            <v>0</v>
          </cell>
          <cell r="I1238" t="str">
            <v>Others</v>
          </cell>
          <cell r="J1238">
            <v>3</v>
          </cell>
          <cell r="K1238" t="str">
            <v>Others</v>
          </cell>
        </row>
        <row r="1239">
          <cell r="D1239">
            <v>283620</v>
          </cell>
          <cell r="E1239" t="str">
            <v>Carbonates; disodium carbonate</v>
          </cell>
          <cell r="F1239">
            <v>0</v>
          </cell>
          <cell r="G1239">
            <v>0</v>
          </cell>
          <cell r="H1239">
            <v>0</v>
          </cell>
          <cell r="I1239" t="str">
            <v>Others</v>
          </cell>
          <cell r="J1239">
            <v>3</v>
          </cell>
          <cell r="K1239" t="str">
            <v>Others</v>
          </cell>
        </row>
        <row r="1240">
          <cell r="D1240">
            <v>283630</v>
          </cell>
          <cell r="E1240" t="str">
            <v>Carbonates; sodium hydrogen carbonate (sodium bicarbonate)</v>
          </cell>
          <cell r="F1240">
            <v>0</v>
          </cell>
          <cell r="G1240">
            <v>0</v>
          </cell>
          <cell r="H1240">
            <v>0</v>
          </cell>
          <cell r="I1240" t="str">
            <v>Others</v>
          </cell>
          <cell r="J1240">
            <v>3</v>
          </cell>
          <cell r="K1240" t="str">
            <v>Others</v>
          </cell>
        </row>
        <row r="1241">
          <cell r="D1241">
            <v>283640</v>
          </cell>
          <cell r="E1241" t="str">
            <v>Carbonates; potassium carbonate</v>
          </cell>
          <cell r="F1241">
            <v>0</v>
          </cell>
          <cell r="G1241">
            <v>0</v>
          </cell>
          <cell r="H1241">
            <v>0</v>
          </cell>
          <cell r="I1241" t="str">
            <v>Others</v>
          </cell>
          <cell r="J1241">
            <v>3</v>
          </cell>
          <cell r="K1241" t="str">
            <v>Others</v>
          </cell>
        </row>
        <row r="1242">
          <cell r="D1242">
            <v>283650</v>
          </cell>
          <cell r="E1242" t="str">
            <v>Carbonates; calcium carbonate</v>
          </cell>
          <cell r="F1242">
            <v>0</v>
          </cell>
          <cell r="G1242">
            <v>0</v>
          </cell>
          <cell r="H1242">
            <v>0</v>
          </cell>
          <cell r="I1242" t="str">
            <v>Others</v>
          </cell>
          <cell r="J1242">
            <v>3</v>
          </cell>
          <cell r="K1242" t="str">
            <v>Others</v>
          </cell>
        </row>
        <row r="1243">
          <cell r="D1243">
            <v>283660</v>
          </cell>
          <cell r="E1243" t="str">
            <v>Carbonates; barium carbonate</v>
          </cell>
          <cell r="F1243">
            <v>0</v>
          </cell>
          <cell r="G1243">
            <v>0</v>
          </cell>
          <cell r="H1243">
            <v>0</v>
          </cell>
          <cell r="I1243" t="str">
            <v>Others</v>
          </cell>
          <cell r="J1243">
            <v>3</v>
          </cell>
          <cell r="K1243" t="str">
            <v>Others</v>
          </cell>
        </row>
        <row r="1244">
          <cell r="D1244">
            <v>283691</v>
          </cell>
          <cell r="E1244" t="str">
            <v>Carbonates; lithium carbonate</v>
          </cell>
          <cell r="F1244">
            <v>0</v>
          </cell>
          <cell r="G1244">
            <v>0</v>
          </cell>
          <cell r="H1244">
            <v>0</v>
          </cell>
          <cell r="I1244" t="str">
            <v>Others</v>
          </cell>
          <cell r="J1244">
            <v>3</v>
          </cell>
          <cell r="K1244" t="str">
            <v>Others</v>
          </cell>
        </row>
        <row r="1245">
          <cell r="D1245">
            <v>283692</v>
          </cell>
          <cell r="E1245" t="str">
            <v>Carbonates; strontium carbonate</v>
          </cell>
          <cell r="F1245">
            <v>0</v>
          </cell>
          <cell r="G1245">
            <v>0</v>
          </cell>
          <cell r="H1245">
            <v>0</v>
          </cell>
          <cell r="I1245" t="str">
            <v>Others</v>
          </cell>
          <cell r="J1245">
            <v>3</v>
          </cell>
          <cell r="K1245" t="str">
            <v>Others</v>
          </cell>
        </row>
        <row r="1246">
          <cell r="D1246">
            <v>283699</v>
          </cell>
          <cell r="E1246" t="str">
            <v>Carbonates; n.e.c. in heading no. 2836 and other than lithium or strontium</v>
          </cell>
          <cell r="F1246">
            <v>0</v>
          </cell>
          <cell r="G1246">
            <v>0</v>
          </cell>
          <cell r="H1246">
            <v>0</v>
          </cell>
          <cell r="I1246" t="str">
            <v>Others</v>
          </cell>
          <cell r="J1246">
            <v>3</v>
          </cell>
          <cell r="K1246" t="str">
            <v>Others</v>
          </cell>
        </row>
        <row r="1247">
          <cell r="D1247">
            <v>283711</v>
          </cell>
          <cell r="E1247" t="str">
            <v>Cyanides and cyanide oxides; of sodium</v>
          </cell>
          <cell r="F1247">
            <v>0</v>
          </cell>
          <cell r="G1247">
            <v>0</v>
          </cell>
          <cell r="H1247">
            <v>0</v>
          </cell>
          <cell r="I1247" t="str">
            <v>Others</v>
          </cell>
          <cell r="J1247">
            <v>3</v>
          </cell>
          <cell r="K1247" t="str">
            <v>Others</v>
          </cell>
        </row>
        <row r="1248">
          <cell r="D1248">
            <v>283719</v>
          </cell>
          <cell r="E1248" t="str">
            <v>Cyanides and cyanide oxides; other than of sodium</v>
          </cell>
          <cell r="F1248">
            <v>0</v>
          </cell>
          <cell r="G1248">
            <v>0</v>
          </cell>
          <cell r="H1248">
            <v>0</v>
          </cell>
          <cell r="I1248" t="str">
            <v>Others</v>
          </cell>
          <cell r="J1248">
            <v>3</v>
          </cell>
          <cell r="K1248" t="str">
            <v>Others</v>
          </cell>
        </row>
        <row r="1249">
          <cell r="D1249">
            <v>283720</v>
          </cell>
          <cell r="E1249" t="str">
            <v>Complex cyanides</v>
          </cell>
          <cell r="F1249">
            <v>0</v>
          </cell>
          <cell r="G1249">
            <v>0</v>
          </cell>
          <cell r="H1249">
            <v>0</v>
          </cell>
          <cell r="I1249" t="str">
            <v>Others</v>
          </cell>
          <cell r="J1249">
            <v>3</v>
          </cell>
          <cell r="K1249" t="str">
            <v>Others</v>
          </cell>
        </row>
        <row r="1250">
          <cell r="D1250">
            <v>283911</v>
          </cell>
          <cell r="E1250" t="str">
            <v>Silicates; sodium metasilicates</v>
          </cell>
          <cell r="F1250">
            <v>0</v>
          </cell>
          <cell r="G1250">
            <v>0</v>
          </cell>
          <cell r="H1250">
            <v>0</v>
          </cell>
          <cell r="I1250" t="str">
            <v>Others</v>
          </cell>
          <cell r="J1250">
            <v>3</v>
          </cell>
          <cell r="K1250" t="str">
            <v>Others</v>
          </cell>
        </row>
        <row r="1251">
          <cell r="D1251">
            <v>283919</v>
          </cell>
          <cell r="E1251" t="str">
            <v>Silicates; of sodium (excluding sodium metasilicates)</v>
          </cell>
          <cell r="F1251">
            <v>0</v>
          </cell>
          <cell r="G1251">
            <v>0</v>
          </cell>
          <cell r="H1251">
            <v>0</v>
          </cell>
          <cell r="I1251" t="str">
            <v>Others</v>
          </cell>
          <cell r="J1251">
            <v>3</v>
          </cell>
          <cell r="K1251" t="str">
            <v>Others</v>
          </cell>
        </row>
        <row r="1252">
          <cell r="D1252">
            <v>283990</v>
          </cell>
          <cell r="E1252" t="str">
            <v>Silicates; commercial alkali metal silicates, other than of sodium</v>
          </cell>
          <cell r="F1252">
            <v>0</v>
          </cell>
          <cell r="G1252">
            <v>0</v>
          </cell>
          <cell r="H1252">
            <v>0</v>
          </cell>
          <cell r="I1252" t="str">
            <v>Others</v>
          </cell>
          <cell r="J1252">
            <v>3</v>
          </cell>
          <cell r="K1252" t="str">
            <v>Others</v>
          </cell>
        </row>
        <row r="1253">
          <cell r="D1253">
            <v>284011</v>
          </cell>
          <cell r="E1253" t="str">
            <v>Borates; disodium tetraborate (refined borax), anhydrous</v>
          </cell>
          <cell r="F1253">
            <v>0</v>
          </cell>
          <cell r="G1253">
            <v>0</v>
          </cell>
          <cell r="H1253">
            <v>0</v>
          </cell>
          <cell r="I1253" t="str">
            <v>Others</v>
          </cell>
          <cell r="J1253">
            <v>3</v>
          </cell>
          <cell r="K1253" t="str">
            <v>Others</v>
          </cell>
        </row>
        <row r="1254">
          <cell r="D1254">
            <v>284019</v>
          </cell>
          <cell r="E1254" t="str">
            <v>Borates; disodium tetraborate (refined borax), other than anhydrous</v>
          </cell>
          <cell r="F1254">
            <v>0</v>
          </cell>
          <cell r="G1254">
            <v>0</v>
          </cell>
          <cell r="H1254">
            <v>0</v>
          </cell>
          <cell r="I1254" t="str">
            <v>Others</v>
          </cell>
          <cell r="J1254">
            <v>3</v>
          </cell>
          <cell r="K1254" t="str">
            <v>Others</v>
          </cell>
        </row>
        <row r="1255">
          <cell r="D1255">
            <v>284020</v>
          </cell>
          <cell r="E1255" t="str">
            <v>Borates; n.e.c. in heading no. 2840</v>
          </cell>
          <cell r="F1255">
            <v>0</v>
          </cell>
          <cell r="G1255">
            <v>0</v>
          </cell>
          <cell r="H1255">
            <v>0</v>
          </cell>
          <cell r="I1255" t="str">
            <v>Others</v>
          </cell>
          <cell r="J1255">
            <v>3</v>
          </cell>
          <cell r="K1255" t="str">
            <v>Others</v>
          </cell>
        </row>
        <row r="1256">
          <cell r="D1256">
            <v>284030</v>
          </cell>
          <cell r="E1256" t="str">
            <v>Peroxoborates (perborates)</v>
          </cell>
          <cell r="F1256">
            <v>0</v>
          </cell>
          <cell r="G1256">
            <v>0</v>
          </cell>
          <cell r="H1256">
            <v>0</v>
          </cell>
          <cell r="I1256" t="str">
            <v>Others</v>
          </cell>
          <cell r="J1256">
            <v>3</v>
          </cell>
          <cell r="K1256" t="str">
            <v>Others</v>
          </cell>
        </row>
        <row r="1257">
          <cell r="D1257">
            <v>284130</v>
          </cell>
          <cell r="E1257" t="str">
            <v>Salts; sodium dichromate</v>
          </cell>
          <cell r="F1257">
            <v>0</v>
          </cell>
          <cell r="G1257">
            <v>0</v>
          </cell>
          <cell r="H1257">
            <v>0</v>
          </cell>
          <cell r="I1257" t="str">
            <v>Others</v>
          </cell>
          <cell r="J1257">
            <v>3</v>
          </cell>
          <cell r="K1257" t="str">
            <v>Others</v>
          </cell>
        </row>
        <row r="1258">
          <cell r="D1258">
            <v>284150</v>
          </cell>
          <cell r="E1258" t="str">
            <v>Salts; chromates, dichromates, peroxochromates; n.e.c. in heading no. 2841</v>
          </cell>
          <cell r="F1258">
            <v>0</v>
          </cell>
          <cell r="G1258">
            <v>0</v>
          </cell>
          <cell r="H1258">
            <v>0</v>
          </cell>
          <cell r="I1258" t="str">
            <v>Others</v>
          </cell>
          <cell r="J1258">
            <v>3</v>
          </cell>
          <cell r="K1258" t="str">
            <v>Others</v>
          </cell>
        </row>
        <row r="1259">
          <cell r="D1259">
            <v>284161</v>
          </cell>
          <cell r="E1259" t="str">
            <v>Salts; of oxometallic or peroxometallic acids, manganites, manganates and permanganates, potassium permanganate</v>
          </cell>
          <cell r="F1259">
            <v>0</v>
          </cell>
          <cell r="G1259">
            <v>0</v>
          </cell>
          <cell r="H1259">
            <v>0</v>
          </cell>
          <cell r="I1259" t="str">
            <v>Others</v>
          </cell>
          <cell r="J1259">
            <v>3</v>
          </cell>
          <cell r="K1259" t="str">
            <v>Others</v>
          </cell>
        </row>
        <row r="1260">
          <cell r="D1260">
            <v>284169</v>
          </cell>
          <cell r="E1260" t="str">
            <v>Salts; of oxometallic or peroxometallic acids, manganites, manganates and permanganates, other than potassium permanganate</v>
          </cell>
          <cell r="F1260">
            <v>0</v>
          </cell>
          <cell r="G1260">
            <v>0</v>
          </cell>
          <cell r="H1260">
            <v>0</v>
          </cell>
          <cell r="I1260" t="str">
            <v>Others</v>
          </cell>
          <cell r="J1260">
            <v>3</v>
          </cell>
          <cell r="K1260" t="str">
            <v>Others</v>
          </cell>
        </row>
        <row r="1261">
          <cell r="D1261">
            <v>284170</v>
          </cell>
          <cell r="E1261" t="str">
            <v>Salts; molybdates</v>
          </cell>
          <cell r="F1261">
            <v>0</v>
          </cell>
          <cell r="G1261">
            <v>0</v>
          </cell>
          <cell r="H1261">
            <v>0</v>
          </cell>
          <cell r="I1261" t="str">
            <v>Others</v>
          </cell>
          <cell r="J1261">
            <v>3</v>
          </cell>
          <cell r="K1261" t="str">
            <v>Others</v>
          </cell>
        </row>
        <row r="1262">
          <cell r="D1262">
            <v>284180</v>
          </cell>
          <cell r="E1262" t="str">
            <v>Salts; tungstates (wolframates)</v>
          </cell>
          <cell r="F1262">
            <v>0</v>
          </cell>
          <cell r="G1262">
            <v>0</v>
          </cell>
          <cell r="H1262">
            <v>0</v>
          </cell>
          <cell r="I1262" t="str">
            <v>Others</v>
          </cell>
          <cell r="J1262">
            <v>3</v>
          </cell>
          <cell r="K1262" t="str">
            <v>Others</v>
          </cell>
        </row>
        <row r="1263">
          <cell r="D1263">
            <v>284190</v>
          </cell>
          <cell r="E1263" t="str">
            <v>Salts of oxometallic or peroxometallic acids; n.e.c. in heading no. 2841</v>
          </cell>
          <cell r="F1263">
            <v>0</v>
          </cell>
          <cell r="G1263">
            <v>0</v>
          </cell>
          <cell r="H1263">
            <v>0</v>
          </cell>
          <cell r="I1263" t="str">
            <v>Others</v>
          </cell>
          <cell r="J1263">
            <v>3</v>
          </cell>
          <cell r="K1263" t="str">
            <v>Others</v>
          </cell>
        </row>
        <row r="1264">
          <cell r="D1264">
            <v>284210</v>
          </cell>
          <cell r="E1264" t="str">
            <v>Salts of inorganic acids or peroxoacids, double or complex silicates, including aluminosilicates, whether or not chemically defined, excluding azides</v>
          </cell>
          <cell r="F1264">
            <v>0</v>
          </cell>
          <cell r="G1264">
            <v>0</v>
          </cell>
          <cell r="H1264">
            <v>0</v>
          </cell>
          <cell r="I1264" t="str">
            <v>Others</v>
          </cell>
          <cell r="J1264">
            <v>3</v>
          </cell>
          <cell r="K1264" t="str">
            <v>Others</v>
          </cell>
        </row>
        <row r="1265">
          <cell r="D1265">
            <v>284290</v>
          </cell>
          <cell r="E1265" t="str">
            <v>Salts; of inorganic acids or peroxoacids, other than double or complex silicates, including aluminosilicates, whether or not chemically, excluding azides</v>
          </cell>
          <cell r="F1265">
            <v>0</v>
          </cell>
          <cell r="G1265">
            <v>0</v>
          </cell>
          <cell r="H1265">
            <v>0</v>
          </cell>
          <cell r="I1265" t="str">
            <v>Others</v>
          </cell>
          <cell r="J1265">
            <v>3</v>
          </cell>
          <cell r="K1265" t="str">
            <v>Others</v>
          </cell>
        </row>
        <row r="1266">
          <cell r="D1266">
            <v>284310</v>
          </cell>
          <cell r="E1266" t="str">
            <v>Colloidal precious metals; whether or not chemically defined</v>
          </cell>
          <cell r="F1266">
            <v>0</v>
          </cell>
          <cell r="G1266">
            <v>0</v>
          </cell>
          <cell r="H1266">
            <v>0</v>
          </cell>
          <cell r="I1266" t="str">
            <v>Others</v>
          </cell>
          <cell r="J1266">
            <v>3</v>
          </cell>
          <cell r="K1266" t="str">
            <v>Others</v>
          </cell>
        </row>
        <row r="1267">
          <cell r="D1267">
            <v>284321</v>
          </cell>
          <cell r="E1267" t="str">
            <v>Silver compounds; silver nitrates</v>
          </cell>
          <cell r="F1267">
            <v>0</v>
          </cell>
          <cell r="G1267">
            <v>0</v>
          </cell>
          <cell r="H1267">
            <v>0</v>
          </cell>
          <cell r="I1267" t="str">
            <v>Others</v>
          </cell>
          <cell r="J1267">
            <v>3</v>
          </cell>
          <cell r="K1267" t="str">
            <v>Others</v>
          </cell>
        </row>
        <row r="1268">
          <cell r="D1268">
            <v>284329</v>
          </cell>
          <cell r="E1268" t="str">
            <v>Silver compounds; excluding silver nitrates</v>
          </cell>
          <cell r="F1268">
            <v>0</v>
          </cell>
          <cell r="G1268">
            <v>0</v>
          </cell>
          <cell r="H1268">
            <v>0</v>
          </cell>
          <cell r="I1268" t="str">
            <v>Others</v>
          </cell>
          <cell r="J1268">
            <v>3</v>
          </cell>
          <cell r="K1268" t="str">
            <v>Others</v>
          </cell>
        </row>
        <row r="1269">
          <cell r="D1269">
            <v>284330</v>
          </cell>
          <cell r="E1269" t="str">
            <v>Gold compounds</v>
          </cell>
          <cell r="F1269">
            <v>0</v>
          </cell>
          <cell r="G1269">
            <v>0</v>
          </cell>
          <cell r="H1269">
            <v>0</v>
          </cell>
          <cell r="I1269" t="str">
            <v>Others</v>
          </cell>
          <cell r="J1269">
            <v>3</v>
          </cell>
          <cell r="K1269" t="str">
            <v>Others</v>
          </cell>
        </row>
        <row r="1270">
          <cell r="D1270">
            <v>284390</v>
          </cell>
          <cell r="E1270" t="str">
            <v>Inorganic or organic compounds of precious metals, n.e.c.; amalgams</v>
          </cell>
          <cell r="F1270">
            <v>0</v>
          </cell>
          <cell r="G1270">
            <v>0</v>
          </cell>
          <cell r="H1270">
            <v>0</v>
          </cell>
          <cell r="I1270" t="str">
            <v>Others</v>
          </cell>
          <cell r="J1270">
            <v>3</v>
          </cell>
          <cell r="K1270" t="str">
            <v>Others</v>
          </cell>
        </row>
        <row r="1271">
          <cell r="D1271">
            <v>284410</v>
          </cell>
          <cell r="E1271" t="str">
            <v>Uranium; natural uranium and its compounds, alloys, dispersions (including cermets), ceramic products and mixtures containing natural uranium or natural uranium compounds</v>
          </cell>
          <cell r="F1271">
            <v>0</v>
          </cell>
          <cell r="G1271">
            <v>0</v>
          </cell>
          <cell r="H1271">
            <v>0</v>
          </cell>
          <cell r="I1271" t="str">
            <v>Others</v>
          </cell>
          <cell r="J1271">
            <v>3</v>
          </cell>
          <cell r="K1271" t="str">
            <v>Others</v>
          </cell>
        </row>
        <row r="1272">
          <cell r="D1272">
            <v>284420</v>
          </cell>
          <cell r="E1272" t="str">
            <v>Uranium; enriched in U235, plutonium, their compounds, alloys dispersions (including cermets), ceramic products and mixtures containing uranium enriched in U235, plutonium or compounds of these products</v>
          </cell>
          <cell r="F1272">
            <v>0</v>
          </cell>
          <cell r="G1272">
            <v>0</v>
          </cell>
          <cell r="H1272">
            <v>0</v>
          </cell>
          <cell r="I1272" t="str">
            <v>Others</v>
          </cell>
          <cell r="J1272">
            <v>3</v>
          </cell>
          <cell r="K1272" t="str">
            <v>Others</v>
          </cell>
        </row>
        <row r="1273">
          <cell r="D1273">
            <v>284430</v>
          </cell>
          <cell r="E1273" t="str">
            <v>Uranium; depleted in U235, thorium, their compounds, alloys, dispersions (including cermets), ceramic products and mixtures containing uranium depleted in U235, thorium; compounds of these products</v>
          </cell>
          <cell r="F1273">
            <v>0</v>
          </cell>
          <cell r="G1273">
            <v>0</v>
          </cell>
          <cell r="H1273">
            <v>0</v>
          </cell>
          <cell r="I1273" t="str">
            <v>Others</v>
          </cell>
          <cell r="J1273">
            <v>3</v>
          </cell>
          <cell r="K1273" t="str">
            <v>Others</v>
          </cell>
        </row>
        <row r="1274">
          <cell r="D1274">
            <v>284441</v>
          </cell>
          <cell r="E1274" t="str">
            <v>Radioactive elements; tritium and its compounds; alloys, dispersions (including cermets), ceramic products and mixtures containing tritium or its compounds</v>
          </cell>
          <cell r="F1274">
            <v>0</v>
          </cell>
          <cell r="G1274">
            <v>0</v>
          </cell>
          <cell r="H1274">
            <v>0</v>
          </cell>
          <cell r="I1274" t="str">
            <v>Others</v>
          </cell>
          <cell r="J1274">
            <v>3</v>
          </cell>
          <cell r="K1274" t="str">
            <v>Others</v>
          </cell>
        </row>
        <row r="1275">
          <cell r="D1275">
            <v>284442</v>
          </cell>
          <cell r="E1275" t="str">
            <v>Radioactive elements; actinium-225, 227, californium-253, curium-240, 241, 242, 243, 244, einsteinium-253, 254, gadolinium-148, polonium-208, 209, 210, radium-223, uranium-230 or 232, compounds; alloys, dispersions, ceramic products and mixtures</v>
          </cell>
          <cell r="F1275">
            <v>0</v>
          </cell>
          <cell r="G1275">
            <v>0</v>
          </cell>
          <cell r="H1275">
            <v>0</v>
          </cell>
          <cell r="I1275" t="str">
            <v>Others</v>
          </cell>
          <cell r="J1275">
            <v>3</v>
          </cell>
          <cell r="K1275" t="str">
            <v>Others</v>
          </cell>
        </row>
        <row r="1276">
          <cell r="D1276">
            <v>284443</v>
          </cell>
          <cell r="E1276" t="str">
            <v>Radioactive elements, isotopes and compounds; other alloys, dispersions (including cermets), ceramic products and mixtures containing these elements, isotopes or compounds</v>
          </cell>
          <cell r="F1276">
            <v>0</v>
          </cell>
          <cell r="G1276">
            <v>0</v>
          </cell>
          <cell r="H1276">
            <v>0</v>
          </cell>
          <cell r="I1276" t="str">
            <v>Others</v>
          </cell>
          <cell r="J1276">
            <v>3</v>
          </cell>
          <cell r="K1276" t="str">
            <v>Others</v>
          </cell>
        </row>
        <row r="1277">
          <cell r="D1277">
            <v>284444</v>
          </cell>
          <cell r="E1277" t="str">
            <v>Radioactive elements, isotopes, compounds n.e.c. in heading no. 2844, alloys, dispersions (including cermets), ceramic products, mixtures containing the elements, isotopes, compounds; radioactive residues</v>
          </cell>
          <cell r="F1277">
            <v>0</v>
          </cell>
          <cell r="G1277">
            <v>0</v>
          </cell>
          <cell r="H1277">
            <v>0</v>
          </cell>
          <cell r="I1277" t="str">
            <v>Others</v>
          </cell>
          <cell r="J1277">
            <v>3</v>
          </cell>
          <cell r="K1277" t="str">
            <v>Others</v>
          </cell>
        </row>
        <row r="1278">
          <cell r="D1278">
            <v>284450</v>
          </cell>
          <cell r="E1278" t="str">
            <v>Spent (irradiated) fuel elements (cartridges) of nuclear reactors</v>
          </cell>
          <cell r="F1278">
            <v>0</v>
          </cell>
          <cell r="G1278">
            <v>0</v>
          </cell>
          <cell r="H1278">
            <v>0</v>
          </cell>
          <cell r="I1278" t="str">
            <v>Others</v>
          </cell>
          <cell r="J1278">
            <v>3</v>
          </cell>
          <cell r="K1278" t="str">
            <v>Others</v>
          </cell>
        </row>
        <row r="1279">
          <cell r="D1279">
            <v>284510</v>
          </cell>
          <cell r="E1279" t="str">
            <v>Heavy water (deuterium oxide)</v>
          </cell>
          <cell r="F1279">
            <v>0</v>
          </cell>
          <cell r="G1279">
            <v>0</v>
          </cell>
          <cell r="H1279">
            <v>0</v>
          </cell>
          <cell r="I1279" t="str">
            <v>Others</v>
          </cell>
          <cell r="J1279">
            <v>3</v>
          </cell>
          <cell r="K1279" t="str">
            <v>Others</v>
          </cell>
        </row>
        <row r="1280">
          <cell r="D1280">
            <v>284520</v>
          </cell>
          <cell r="E1280" t="str">
            <v>Boron enriched in boron-10 and its compounds</v>
          </cell>
          <cell r="F1280">
            <v>0</v>
          </cell>
          <cell r="G1280">
            <v>0</v>
          </cell>
          <cell r="H1280">
            <v>0</v>
          </cell>
          <cell r="I1280" t="str">
            <v>Others</v>
          </cell>
          <cell r="J1280">
            <v>3</v>
          </cell>
          <cell r="K1280" t="str">
            <v>Others</v>
          </cell>
        </row>
        <row r="1281">
          <cell r="D1281">
            <v>284530</v>
          </cell>
          <cell r="E1281" t="str">
            <v>Lithium enriched in lithium-6 and its compounds</v>
          </cell>
          <cell r="F1281">
            <v>0</v>
          </cell>
          <cell r="G1281">
            <v>0</v>
          </cell>
          <cell r="H1281">
            <v>0</v>
          </cell>
          <cell r="I1281" t="str">
            <v>Others</v>
          </cell>
          <cell r="J1281">
            <v>3</v>
          </cell>
          <cell r="K1281" t="str">
            <v>Others</v>
          </cell>
        </row>
        <row r="1282">
          <cell r="D1282">
            <v>284540</v>
          </cell>
          <cell r="E1282" t="str">
            <v>Helium-3</v>
          </cell>
          <cell r="F1282">
            <v>0</v>
          </cell>
          <cell r="G1282">
            <v>0</v>
          </cell>
          <cell r="H1282">
            <v>0</v>
          </cell>
          <cell r="I1282" t="str">
            <v>Others</v>
          </cell>
          <cell r="J1282">
            <v>3</v>
          </cell>
          <cell r="K1282" t="str">
            <v>Others</v>
          </cell>
        </row>
        <row r="1283">
          <cell r="D1283">
            <v>284590</v>
          </cell>
          <cell r="E1283" t="str">
            <v>Isotopes other than those of heading no. 2844, 2845.20, 2845.30 or 2845.40; compounds, inorganic or organic, of such isotopes, whether or not chemically defined</v>
          </cell>
          <cell r="F1283">
            <v>0</v>
          </cell>
          <cell r="G1283">
            <v>0</v>
          </cell>
          <cell r="H1283">
            <v>0</v>
          </cell>
          <cell r="I1283" t="str">
            <v>Others</v>
          </cell>
          <cell r="J1283">
            <v>3</v>
          </cell>
          <cell r="K1283" t="str">
            <v>Others</v>
          </cell>
        </row>
        <row r="1284">
          <cell r="D1284">
            <v>284610</v>
          </cell>
          <cell r="E1284" t="str">
            <v>Cerium compounds</v>
          </cell>
          <cell r="F1284">
            <v>0</v>
          </cell>
          <cell r="G1284">
            <v>0</v>
          </cell>
          <cell r="H1284">
            <v>0</v>
          </cell>
          <cell r="I1284" t="str">
            <v>Others</v>
          </cell>
          <cell r="J1284">
            <v>3</v>
          </cell>
          <cell r="K1284" t="str">
            <v>Others</v>
          </cell>
        </row>
        <row r="1285">
          <cell r="D1285">
            <v>284690</v>
          </cell>
          <cell r="E1285" t="str">
            <v>Compounds, inorganic or organic (excluding cerium), of rare-earth metals, of yttrium, scandium or of mixtures of these metals</v>
          </cell>
          <cell r="F1285">
            <v>0</v>
          </cell>
          <cell r="G1285">
            <v>0</v>
          </cell>
          <cell r="H1285">
            <v>0</v>
          </cell>
          <cell r="I1285" t="str">
            <v>Others</v>
          </cell>
          <cell r="J1285">
            <v>3</v>
          </cell>
          <cell r="K1285" t="str">
            <v>Others</v>
          </cell>
        </row>
        <row r="1286">
          <cell r="D1286">
            <v>284700</v>
          </cell>
          <cell r="E1286" t="str">
            <v>Hydrogen peroxide; whether or not solidified with urea</v>
          </cell>
          <cell r="F1286">
            <v>0</v>
          </cell>
          <cell r="G1286">
            <v>0</v>
          </cell>
          <cell r="H1286">
            <v>0</v>
          </cell>
          <cell r="I1286" t="str">
            <v>Others</v>
          </cell>
          <cell r="J1286">
            <v>3</v>
          </cell>
          <cell r="K1286" t="str">
            <v>Others</v>
          </cell>
        </row>
        <row r="1287">
          <cell r="D1287">
            <v>284910</v>
          </cell>
          <cell r="E1287" t="str">
            <v>Carbides; of calcium, whether or not chemically defined</v>
          </cell>
          <cell r="F1287">
            <v>0</v>
          </cell>
          <cell r="G1287">
            <v>0</v>
          </cell>
          <cell r="H1287">
            <v>0</v>
          </cell>
          <cell r="I1287" t="str">
            <v>Others</v>
          </cell>
          <cell r="J1287">
            <v>3</v>
          </cell>
          <cell r="K1287" t="str">
            <v>Others</v>
          </cell>
        </row>
        <row r="1288">
          <cell r="D1288">
            <v>284920</v>
          </cell>
          <cell r="E1288" t="str">
            <v>Carbides; of silicon, whether or not chemically defined</v>
          </cell>
          <cell r="F1288">
            <v>0</v>
          </cell>
          <cell r="G1288">
            <v>0</v>
          </cell>
          <cell r="H1288">
            <v>0</v>
          </cell>
          <cell r="I1288" t="str">
            <v>Others</v>
          </cell>
          <cell r="J1288">
            <v>3</v>
          </cell>
          <cell r="K1288" t="str">
            <v>Others</v>
          </cell>
        </row>
        <row r="1289">
          <cell r="D1289">
            <v>284990</v>
          </cell>
          <cell r="E1289" t="str">
            <v>Carbides; whether or not chemically defined, other than of calcium or silicon</v>
          </cell>
          <cell r="F1289">
            <v>0</v>
          </cell>
          <cell r="G1289">
            <v>0</v>
          </cell>
          <cell r="H1289">
            <v>0</v>
          </cell>
          <cell r="I1289" t="str">
            <v>Others</v>
          </cell>
          <cell r="J1289">
            <v>3</v>
          </cell>
          <cell r="K1289" t="str">
            <v>Others</v>
          </cell>
        </row>
        <row r="1290">
          <cell r="D1290">
            <v>285000</v>
          </cell>
          <cell r="E1290" t="str">
            <v>Hydrides, nitrides, azides, silicides and borides, whether or not chemically defined, other than compounds which are also carbides of heading no. 2849</v>
          </cell>
          <cell r="F1290">
            <v>0</v>
          </cell>
          <cell r="G1290">
            <v>0</v>
          </cell>
          <cell r="H1290">
            <v>0</v>
          </cell>
          <cell r="I1290" t="str">
            <v>Others</v>
          </cell>
          <cell r="J1290">
            <v>3</v>
          </cell>
          <cell r="K1290" t="str">
            <v>Others</v>
          </cell>
        </row>
        <row r="1291">
          <cell r="D1291">
            <v>285210</v>
          </cell>
          <cell r="E1291" t="str">
            <v>Inorganic or organic compounds of mercury, excluding amalgams, chemically defined</v>
          </cell>
          <cell r="F1291">
            <v>0</v>
          </cell>
          <cell r="G1291">
            <v>0</v>
          </cell>
          <cell r="H1291">
            <v>0</v>
          </cell>
          <cell r="I1291" t="str">
            <v>Others</v>
          </cell>
          <cell r="J1291">
            <v>3</v>
          </cell>
          <cell r="K1291" t="str">
            <v>Others</v>
          </cell>
        </row>
        <row r="1292">
          <cell r="D1292">
            <v>285290</v>
          </cell>
          <cell r="E1292" t="str">
            <v>Inorganic or organic compounds of mercury; excluding amalgams, not chemically defined,</v>
          </cell>
          <cell r="F1292">
            <v>0</v>
          </cell>
          <cell r="G1292">
            <v>0</v>
          </cell>
          <cell r="H1292">
            <v>0</v>
          </cell>
          <cell r="I1292" t="str">
            <v>Others</v>
          </cell>
          <cell r="J1292">
            <v>3</v>
          </cell>
          <cell r="K1292" t="str">
            <v>Others</v>
          </cell>
        </row>
        <row r="1293">
          <cell r="D1293">
            <v>285310</v>
          </cell>
          <cell r="E1293" t="str">
            <v>Inorganic compounds; cyanogen chloride (chlorcyan)</v>
          </cell>
          <cell r="F1293">
            <v>0</v>
          </cell>
          <cell r="G1293">
            <v>0</v>
          </cell>
          <cell r="H1293">
            <v>0</v>
          </cell>
          <cell r="I1293" t="str">
            <v>Others</v>
          </cell>
          <cell r="J1293">
            <v>3</v>
          </cell>
          <cell r="K1293" t="str">
            <v>Others</v>
          </cell>
        </row>
        <row r="1294">
          <cell r="D1294">
            <v>285390</v>
          </cell>
          <cell r="E1294" t="str">
            <v>Phosphides, chemically defined or not, not ferrophosphorus; other inorganic compounds n.e.c. (including distilled, conductivity water and water of like purity); liquid air, rare gases removed or not; compressed air; amalgams, not precious metal amalgams</v>
          </cell>
          <cell r="F1294">
            <v>0</v>
          </cell>
          <cell r="G1294">
            <v>0</v>
          </cell>
          <cell r="H1294">
            <v>0</v>
          </cell>
          <cell r="I1294" t="str">
            <v>Others</v>
          </cell>
          <cell r="J1294">
            <v>3</v>
          </cell>
          <cell r="K1294" t="str">
            <v>Others</v>
          </cell>
        </row>
        <row r="1295">
          <cell r="D1295">
            <v>290110</v>
          </cell>
          <cell r="E1295" t="str">
            <v>Acyclic hydrocarbons; saturated</v>
          </cell>
          <cell r="F1295">
            <v>0</v>
          </cell>
          <cell r="G1295">
            <v>0</v>
          </cell>
          <cell r="H1295">
            <v>0</v>
          </cell>
          <cell r="I1295" t="str">
            <v>Others</v>
          </cell>
          <cell r="J1295">
            <v>3</v>
          </cell>
          <cell r="K1295" t="str">
            <v>Others</v>
          </cell>
        </row>
        <row r="1296">
          <cell r="D1296">
            <v>290121</v>
          </cell>
          <cell r="E1296" t="str">
            <v>Acyclic hydrocarbons; unsaturated, ethylene</v>
          </cell>
          <cell r="F1296">
            <v>0</v>
          </cell>
          <cell r="G1296">
            <v>0</v>
          </cell>
          <cell r="H1296">
            <v>0</v>
          </cell>
          <cell r="I1296" t="str">
            <v>Others</v>
          </cell>
          <cell r="J1296">
            <v>3</v>
          </cell>
          <cell r="K1296" t="str">
            <v>Others</v>
          </cell>
        </row>
        <row r="1297">
          <cell r="D1297">
            <v>290122</v>
          </cell>
          <cell r="E1297" t="str">
            <v>Acyclic hydrocarbons; unsaturated, propene (propylene)</v>
          </cell>
          <cell r="F1297">
            <v>0</v>
          </cell>
          <cell r="G1297">
            <v>0</v>
          </cell>
          <cell r="H1297">
            <v>0</v>
          </cell>
          <cell r="I1297" t="str">
            <v>Others</v>
          </cell>
          <cell r="J1297">
            <v>3</v>
          </cell>
          <cell r="K1297" t="str">
            <v>Others</v>
          </cell>
        </row>
        <row r="1298">
          <cell r="D1298">
            <v>290123</v>
          </cell>
          <cell r="E1298" t="str">
            <v>Acyclic hydrocarbons; unsaturated, butene (butylene) and isomers thereof</v>
          </cell>
          <cell r="F1298" t="str">
            <v>Consumables</v>
          </cell>
          <cell r="G1298">
            <v>0</v>
          </cell>
          <cell r="H1298">
            <v>0</v>
          </cell>
          <cell r="I1298" t="str">
            <v>Others</v>
          </cell>
          <cell r="J1298">
            <v>2</v>
          </cell>
          <cell r="K1298" t="str">
            <v>Consumables - rc</v>
          </cell>
        </row>
        <row r="1299">
          <cell r="D1299">
            <v>290124</v>
          </cell>
          <cell r="E1299" t="str">
            <v>Acyclic hydrocarbons; unsaturated, buta-1,3-diene and isoprene</v>
          </cell>
          <cell r="F1299">
            <v>0</v>
          </cell>
          <cell r="G1299">
            <v>0</v>
          </cell>
          <cell r="H1299">
            <v>0</v>
          </cell>
          <cell r="I1299" t="str">
            <v>Others</v>
          </cell>
          <cell r="J1299">
            <v>3</v>
          </cell>
          <cell r="K1299" t="str">
            <v>Others</v>
          </cell>
        </row>
        <row r="1300">
          <cell r="D1300">
            <v>290129</v>
          </cell>
          <cell r="E1300" t="str">
            <v>Acyclic hydrocarbons; unsaturated, n.e.c. in heading no. 2901</v>
          </cell>
          <cell r="F1300">
            <v>0</v>
          </cell>
          <cell r="G1300">
            <v>0</v>
          </cell>
          <cell r="H1300">
            <v>0</v>
          </cell>
          <cell r="I1300" t="str">
            <v>Others</v>
          </cell>
          <cell r="J1300">
            <v>3</v>
          </cell>
          <cell r="K1300" t="str">
            <v>Others</v>
          </cell>
        </row>
        <row r="1301">
          <cell r="D1301">
            <v>290211</v>
          </cell>
          <cell r="E1301" t="str">
            <v>Cyclic hydrocarbons; cyclohexane</v>
          </cell>
          <cell r="F1301">
            <v>0</v>
          </cell>
          <cell r="G1301">
            <v>0</v>
          </cell>
          <cell r="H1301">
            <v>0</v>
          </cell>
          <cell r="I1301" t="str">
            <v>Others</v>
          </cell>
          <cell r="J1301">
            <v>3</v>
          </cell>
          <cell r="K1301" t="str">
            <v>Others</v>
          </cell>
        </row>
        <row r="1302">
          <cell r="D1302">
            <v>290219</v>
          </cell>
          <cell r="E1302" t="str">
            <v>Cyclic hydrocarbons; cyclanes, cyclenes and cycloterpenes, excluding cyclohexane</v>
          </cell>
          <cell r="F1302">
            <v>0</v>
          </cell>
          <cell r="G1302">
            <v>0</v>
          </cell>
          <cell r="H1302">
            <v>0</v>
          </cell>
          <cell r="I1302" t="str">
            <v>Others</v>
          </cell>
          <cell r="J1302">
            <v>3</v>
          </cell>
          <cell r="K1302" t="str">
            <v>Others</v>
          </cell>
        </row>
        <row r="1303">
          <cell r="D1303">
            <v>290220</v>
          </cell>
          <cell r="E1303" t="str">
            <v>Cyclic hydrocarbons; benzene</v>
          </cell>
          <cell r="F1303">
            <v>0</v>
          </cell>
          <cell r="G1303">
            <v>0</v>
          </cell>
          <cell r="H1303">
            <v>0</v>
          </cell>
          <cell r="I1303" t="str">
            <v>Others</v>
          </cell>
          <cell r="J1303">
            <v>3</v>
          </cell>
          <cell r="K1303" t="str">
            <v>Others</v>
          </cell>
        </row>
        <row r="1304">
          <cell r="D1304">
            <v>290230</v>
          </cell>
          <cell r="E1304" t="str">
            <v>Cyclic hydrocarbons; toluene</v>
          </cell>
          <cell r="F1304">
            <v>0</v>
          </cell>
          <cell r="G1304">
            <v>0</v>
          </cell>
          <cell r="H1304">
            <v>0</v>
          </cell>
          <cell r="I1304" t="str">
            <v>Others</v>
          </cell>
          <cell r="J1304">
            <v>3</v>
          </cell>
          <cell r="K1304" t="str">
            <v>Others</v>
          </cell>
        </row>
        <row r="1305">
          <cell r="D1305">
            <v>290241</v>
          </cell>
          <cell r="E1305" t="str">
            <v>Cyclic hydrocarbons; o-xylene</v>
          </cell>
          <cell r="F1305">
            <v>0</v>
          </cell>
          <cell r="G1305">
            <v>0</v>
          </cell>
          <cell r="H1305">
            <v>0</v>
          </cell>
          <cell r="I1305" t="str">
            <v>Others</v>
          </cell>
          <cell r="J1305">
            <v>3</v>
          </cell>
          <cell r="K1305" t="str">
            <v>Others</v>
          </cell>
        </row>
        <row r="1306">
          <cell r="D1306">
            <v>290242</v>
          </cell>
          <cell r="E1306" t="str">
            <v>Cyclic hydrocarbons; m-xylene</v>
          </cell>
          <cell r="F1306">
            <v>0</v>
          </cell>
          <cell r="G1306">
            <v>0</v>
          </cell>
          <cell r="H1306">
            <v>0</v>
          </cell>
          <cell r="I1306" t="str">
            <v>Others</v>
          </cell>
          <cell r="J1306">
            <v>3</v>
          </cell>
          <cell r="K1306" t="str">
            <v>Others</v>
          </cell>
        </row>
        <row r="1307">
          <cell r="D1307">
            <v>290243</v>
          </cell>
          <cell r="E1307" t="str">
            <v>Cyclic hydrocarbons; p-xylene</v>
          </cell>
          <cell r="F1307">
            <v>0</v>
          </cell>
          <cell r="G1307">
            <v>0</v>
          </cell>
          <cell r="H1307">
            <v>0</v>
          </cell>
          <cell r="I1307" t="str">
            <v>Others</v>
          </cell>
          <cell r="J1307">
            <v>3</v>
          </cell>
          <cell r="K1307" t="str">
            <v>Others</v>
          </cell>
        </row>
        <row r="1308">
          <cell r="D1308">
            <v>290244</v>
          </cell>
          <cell r="E1308" t="str">
            <v>Cyclic hydrocarbons; mixed xylene isomers</v>
          </cell>
          <cell r="F1308">
            <v>0</v>
          </cell>
          <cell r="G1308">
            <v>0</v>
          </cell>
          <cell r="H1308">
            <v>0</v>
          </cell>
          <cell r="I1308" t="str">
            <v>Others</v>
          </cell>
          <cell r="J1308">
            <v>3</v>
          </cell>
          <cell r="K1308" t="str">
            <v>Others</v>
          </cell>
        </row>
        <row r="1309">
          <cell r="D1309">
            <v>290250</v>
          </cell>
          <cell r="E1309" t="str">
            <v>Cyclic hydrocarbons; styrene</v>
          </cell>
          <cell r="F1309">
            <v>0</v>
          </cell>
          <cell r="G1309">
            <v>0</v>
          </cell>
          <cell r="H1309">
            <v>0</v>
          </cell>
          <cell r="I1309" t="str">
            <v>Others</v>
          </cell>
          <cell r="J1309">
            <v>3</v>
          </cell>
          <cell r="K1309" t="str">
            <v>Others</v>
          </cell>
        </row>
        <row r="1310">
          <cell r="D1310">
            <v>290260</v>
          </cell>
          <cell r="E1310" t="str">
            <v>Cyclic hydrocarbons; ethylbenzene</v>
          </cell>
          <cell r="F1310">
            <v>0</v>
          </cell>
          <cell r="G1310">
            <v>0</v>
          </cell>
          <cell r="H1310">
            <v>0</v>
          </cell>
          <cell r="I1310" t="str">
            <v>Others</v>
          </cell>
          <cell r="J1310">
            <v>3</v>
          </cell>
          <cell r="K1310" t="str">
            <v>Others</v>
          </cell>
        </row>
        <row r="1311">
          <cell r="D1311">
            <v>290270</v>
          </cell>
          <cell r="E1311" t="str">
            <v>Cyclic hydrocarbons; cumene</v>
          </cell>
          <cell r="F1311">
            <v>0</v>
          </cell>
          <cell r="G1311">
            <v>0</v>
          </cell>
          <cell r="H1311">
            <v>0</v>
          </cell>
          <cell r="I1311" t="str">
            <v>Others</v>
          </cell>
          <cell r="J1311">
            <v>3</v>
          </cell>
          <cell r="K1311" t="str">
            <v>Others</v>
          </cell>
        </row>
        <row r="1312">
          <cell r="D1312">
            <v>290290</v>
          </cell>
          <cell r="E1312" t="str">
            <v>Cyclic hydrocarbons; n.e.c. in heading no. 2902</v>
          </cell>
          <cell r="F1312">
            <v>0</v>
          </cell>
          <cell r="G1312">
            <v>0</v>
          </cell>
          <cell r="H1312">
            <v>0</v>
          </cell>
          <cell r="I1312" t="str">
            <v>Others</v>
          </cell>
          <cell r="J1312">
            <v>3</v>
          </cell>
          <cell r="K1312" t="str">
            <v>Others</v>
          </cell>
        </row>
        <row r="1313">
          <cell r="D1313">
            <v>290311</v>
          </cell>
          <cell r="E1313" t="str">
            <v>Saturated chlorinated derivatives of acyclic hydrocarbons; chloromethane (methyl chloride) and chloroethane (ethyl chloride)</v>
          </cell>
          <cell r="F1313">
            <v>0</v>
          </cell>
          <cell r="G1313">
            <v>0</v>
          </cell>
          <cell r="H1313">
            <v>0</v>
          </cell>
          <cell r="I1313" t="str">
            <v>Others</v>
          </cell>
          <cell r="J1313">
            <v>3</v>
          </cell>
          <cell r="K1313" t="str">
            <v>Others</v>
          </cell>
        </row>
        <row r="1314">
          <cell r="D1314">
            <v>290312</v>
          </cell>
          <cell r="E1314" t="str">
            <v>Saturated chlorinated derivatives of acyclic hydrocarbons; dichloromethane (methylene chloride)</v>
          </cell>
          <cell r="F1314">
            <v>0</v>
          </cell>
          <cell r="G1314">
            <v>0</v>
          </cell>
          <cell r="H1314">
            <v>0</v>
          </cell>
          <cell r="I1314" t="str">
            <v>Others</v>
          </cell>
          <cell r="J1314">
            <v>3</v>
          </cell>
          <cell r="K1314" t="str">
            <v>Others</v>
          </cell>
        </row>
        <row r="1315">
          <cell r="D1315">
            <v>290313</v>
          </cell>
          <cell r="E1315" t="str">
            <v>Saturated chlorinated derivatives of acyclic hydrocarbons; chloroform (trichloromethane)</v>
          </cell>
          <cell r="F1315">
            <v>0</v>
          </cell>
          <cell r="G1315">
            <v>0</v>
          </cell>
          <cell r="H1315">
            <v>0</v>
          </cell>
          <cell r="I1315" t="str">
            <v>Others</v>
          </cell>
          <cell r="J1315">
            <v>3</v>
          </cell>
          <cell r="K1315" t="str">
            <v>Others</v>
          </cell>
        </row>
        <row r="1316">
          <cell r="D1316">
            <v>290314</v>
          </cell>
          <cell r="E1316" t="str">
            <v>Saturated chlorinated derivatives of acyclic hydrocarbons; carbon tetrachloride</v>
          </cell>
          <cell r="F1316">
            <v>0</v>
          </cell>
          <cell r="G1316">
            <v>0</v>
          </cell>
          <cell r="H1316">
            <v>0</v>
          </cell>
          <cell r="I1316" t="str">
            <v>Others</v>
          </cell>
          <cell r="J1316">
            <v>3</v>
          </cell>
          <cell r="K1316" t="str">
            <v>Others</v>
          </cell>
        </row>
        <row r="1317">
          <cell r="D1317">
            <v>290315</v>
          </cell>
          <cell r="E1317" t="str">
            <v>Saturated chlorinated derivatives of acyclic hydrocarbons; ethylene dichloride (ISO) (1,2-dichloroethane)</v>
          </cell>
          <cell r="F1317">
            <v>0</v>
          </cell>
          <cell r="G1317">
            <v>0</v>
          </cell>
          <cell r="H1317">
            <v>0</v>
          </cell>
          <cell r="I1317" t="str">
            <v>Others</v>
          </cell>
          <cell r="J1317">
            <v>3</v>
          </cell>
          <cell r="K1317" t="str">
            <v>Others</v>
          </cell>
        </row>
        <row r="1318">
          <cell r="D1318">
            <v>290319</v>
          </cell>
          <cell r="E1318" t="str">
            <v>Saturated chlorinated derivatives of acyclic hydrocarbons; n.e.c. in item no. 2903.1</v>
          </cell>
          <cell r="F1318">
            <v>0</v>
          </cell>
          <cell r="G1318">
            <v>0</v>
          </cell>
          <cell r="H1318">
            <v>0</v>
          </cell>
          <cell r="I1318" t="str">
            <v>Others</v>
          </cell>
          <cell r="J1318">
            <v>3</v>
          </cell>
          <cell r="K1318" t="str">
            <v>Others</v>
          </cell>
        </row>
        <row r="1319">
          <cell r="D1319">
            <v>290321</v>
          </cell>
          <cell r="E1319" t="str">
            <v>Unsaturated chlorinated derivatives of acyclic hydrocarbons; vinyl chloride (chloroethylene)</v>
          </cell>
          <cell r="F1319">
            <v>0</v>
          </cell>
          <cell r="G1319">
            <v>0</v>
          </cell>
          <cell r="H1319">
            <v>0</v>
          </cell>
          <cell r="I1319" t="str">
            <v>Others</v>
          </cell>
          <cell r="J1319">
            <v>3</v>
          </cell>
          <cell r="K1319" t="str">
            <v>Others</v>
          </cell>
        </row>
        <row r="1320">
          <cell r="D1320">
            <v>290322</v>
          </cell>
          <cell r="E1320" t="str">
            <v>Unsaturated chlorinated derivatives of acyclic hydrocarbons; trichloroethylene</v>
          </cell>
          <cell r="F1320">
            <v>0</v>
          </cell>
          <cell r="G1320">
            <v>0</v>
          </cell>
          <cell r="H1320">
            <v>0</v>
          </cell>
          <cell r="I1320" t="str">
            <v>Others</v>
          </cell>
          <cell r="J1320">
            <v>3</v>
          </cell>
          <cell r="K1320" t="str">
            <v>Others</v>
          </cell>
        </row>
        <row r="1321">
          <cell r="D1321">
            <v>290323</v>
          </cell>
          <cell r="E1321" t="str">
            <v>Unsaturated chlorinated derivatives of acyclic hydrocarbons; tetrachloroethylene (perchloroethylene)</v>
          </cell>
          <cell r="F1321">
            <v>0</v>
          </cell>
          <cell r="G1321">
            <v>0</v>
          </cell>
          <cell r="H1321">
            <v>0</v>
          </cell>
          <cell r="I1321" t="str">
            <v>Others</v>
          </cell>
          <cell r="J1321">
            <v>3</v>
          </cell>
          <cell r="K1321" t="str">
            <v>Others</v>
          </cell>
        </row>
        <row r="1322">
          <cell r="D1322">
            <v>290329</v>
          </cell>
          <cell r="E1322" t="str">
            <v>Unsaturated chlorinated derivatives of acyclic hydrocarbons; n.e.c. in item no. 2903.2</v>
          </cell>
          <cell r="F1322">
            <v>0</v>
          </cell>
          <cell r="G1322">
            <v>0</v>
          </cell>
          <cell r="H1322">
            <v>0</v>
          </cell>
          <cell r="I1322" t="str">
            <v>Others</v>
          </cell>
          <cell r="J1322">
            <v>3</v>
          </cell>
          <cell r="K1322" t="str">
            <v>Others</v>
          </cell>
        </row>
        <row r="1323">
          <cell r="D1323">
            <v>290341</v>
          </cell>
          <cell r="E1323" t="str">
            <v>Saturated fluorinated derivatives of acyclic hydrocarbons; trifluoromethane (HFC-23)</v>
          </cell>
          <cell r="F1323">
            <v>0</v>
          </cell>
          <cell r="G1323">
            <v>0</v>
          </cell>
          <cell r="H1323">
            <v>0</v>
          </cell>
          <cell r="I1323" t="str">
            <v>Others</v>
          </cell>
          <cell r="J1323">
            <v>3</v>
          </cell>
          <cell r="K1323" t="str">
            <v>Others</v>
          </cell>
        </row>
        <row r="1324">
          <cell r="D1324">
            <v>290342</v>
          </cell>
          <cell r="E1324" t="str">
            <v>Saturated fluorinated derivatives of acyclic hydrocarbons; difluoromethane (HFC-32)</v>
          </cell>
          <cell r="F1324">
            <v>0</v>
          </cell>
          <cell r="G1324">
            <v>0</v>
          </cell>
          <cell r="H1324">
            <v>0</v>
          </cell>
          <cell r="I1324" t="str">
            <v>Others</v>
          </cell>
          <cell r="J1324">
            <v>3</v>
          </cell>
          <cell r="K1324" t="str">
            <v>Others</v>
          </cell>
        </row>
        <row r="1325">
          <cell r="D1325">
            <v>290343</v>
          </cell>
          <cell r="E1325" t="str">
            <v>Saturated fluorinated derivatives of acyclic hydrocarbons; fluoromethane (HFC-41), 1,2-difluoroethane (HFC-152) and 1,1-difluoroethane (HFC-152a)</v>
          </cell>
          <cell r="F1325">
            <v>0</v>
          </cell>
          <cell r="G1325">
            <v>0</v>
          </cell>
          <cell r="H1325">
            <v>0</v>
          </cell>
          <cell r="I1325" t="str">
            <v>Others</v>
          </cell>
          <cell r="J1325">
            <v>3</v>
          </cell>
          <cell r="K1325" t="str">
            <v>Others</v>
          </cell>
        </row>
        <row r="1326">
          <cell r="D1326">
            <v>290344</v>
          </cell>
          <cell r="E1326" t="str">
            <v>Saturated fluorinated derivatives of acyclic hydrocarbons; pentafluoroethane (HFC-125), 1,1,1-trifluoroethane (HFC-143a) and 1,1,2-trifluoroethane (HFC-143)</v>
          </cell>
          <cell r="F1326">
            <v>0</v>
          </cell>
          <cell r="G1326">
            <v>0</v>
          </cell>
          <cell r="H1326">
            <v>0</v>
          </cell>
          <cell r="I1326" t="str">
            <v>Others</v>
          </cell>
          <cell r="J1326">
            <v>3</v>
          </cell>
          <cell r="K1326" t="str">
            <v>Others</v>
          </cell>
        </row>
        <row r="1327">
          <cell r="D1327">
            <v>290345</v>
          </cell>
          <cell r="E1327" t="str">
            <v>Saturated fluorinated derivatives of acyclic hydrocarbons; 1,1,1,2-tetrafluoroethane (HFC-134a) and 1,1,2,2-tetrafluoroethane (HFC-134)</v>
          </cell>
          <cell r="F1327">
            <v>0</v>
          </cell>
          <cell r="G1327">
            <v>0</v>
          </cell>
          <cell r="H1327">
            <v>0</v>
          </cell>
          <cell r="I1327" t="str">
            <v>Others</v>
          </cell>
          <cell r="J1327">
            <v>3</v>
          </cell>
          <cell r="K1327" t="str">
            <v>Others</v>
          </cell>
        </row>
        <row r="1328">
          <cell r="D1328">
            <v>290346</v>
          </cell>
          <cell r="E1328" t="str">
            <v>Saturated fluorinated derivatives of acyclic hydrocarbons; 1,1,1,2,3,3,3-heptafluoropropane (HFC-227ea), 1,1,1,2,2,3-hexafluoropropane (HFC-236cb), 1,1,1,2,3,3-hexafluoropropane (HFC-236ea) and 1,1,1,3,3,3-hexafluoropropane (HFC-236fa)</v>
          </cell>
          <cell r="F1328">
            <v>0</v>
          </cell>
          <cell r="G1328">
            <v>0</v>
          </cell>
          <cell r="H1328">
            <v>0</v>
          </cell>
          <cell r="I1328" t="str">
            <v>Others</v>
          </cell>
          <cell r="J1328">
            <v>3</v>
          </cell>
          <cell r="K1328" t="str">
            <v>Others</v>
          </cell>
        </row>
        <row r="1329">
          <cell r="D1329">
            <v>290347</v>
          </cell>
          <cell r="E1329" t="str">
            <v>Saturated fluorinated derivatives of acyclic hydrocarbons; 1,1,1,3,3-pentafluoropropane (HFC-245fa) and 1,1,2,2,3-pentafluoropropane (HFC-245ca)</v>
          </cell>
          <cell r="F1329">
            <v>0</v>
          </cell>
          <cell r="G1329">
            <v>0</v>
          </cell>
          <cell r="H1329">
            <v>0</v>
          </cell>
          <cell r="I1329" t="str">
            <v>Others</v>
          </cell>
          <cell r="J1329">
            <v>3</v>
          </cell>
          <cell r="K1329" t="str">
            <v>Others</v>
          </cell>
        </row>
        <row r="1330">
          <cell r="D1330">
            <v>290348</v>
          </cell>
          <cell r="E1330" t="str">
            <v>Saturated fluorinated derivatives of acyclic hydrocarbons; 1,1,1,3,3-pentafluorobutane (HFC-365mfc) and 1,1,1,2,2,3,4,5,5,5-decafluoropentane (HFC-43-10mee)</v>
          </cell>
          <cell r="F1330">
            <v>0</v>
          </cell>
          <cell r="G1330">
            <v>0</v>
          </cell>
          <cell r="H1330">
            <v>0</v>
          </cell>
          <cell r="I1330" t="str">
            <v>Others</v>
          </cell>
          <cell r="J1330">
            <v>3</v>
          </cell>
          <cell r="K1330" t="str">
            <v>Others</v>
          </cell>
        </row>
        <row r="1331">
          <cell r="D1331">
            <v>290349</v>
          </cell>
          <cell r="E1331" t="str">
            <v>Saturated fluorinated derivatives of acyclic hydrocarbons; n.e.c. in item no 2903.4</v>
          </cell>
          <cell r="F1331">
            <v>0</v>
          </cell>
          <cell r="G1331">
            <v>0</v>
          </cell>
          <cell r="H1331">
            <v>0</v>
          </cell>
          <cell r="I1331" t="str">
            <v>Others</v>
          </cell>
          <cell r="J1331">
            <v>3</v>
          </cell>
          <cell r="K1331" t="str">
            <v>Others</v>
          </cell>
        </row>
        <row r="1332">
          <cell r="D1332">
            <v>290351</v>
          </cell>
          <cell r="E1332" t="str">
            <v>Unsaturated fluorinated derivatives of acyclic hydrocarbons; 2,3,3,3-tetrafluoropropene (HFO-1234yf), 1,3,3,3-tetrafluoropropene (HFO-1234ze) and (Z)-1,1,1,4,4,4-hexafluoro-2-butene (HFO-1336mzz)</v>
          </cell>
          <cell r="F1332">
            <v>0</v>
          </cell>
          <cell r="G1332">
            <v>0</v>
          </cell>
          <cell r="H1332">
            <v>0</v>
          </cell>
          <cell r="I1332" t="str">
            <v>Others</v>
          </cell>
          <cell r="J1332">
            <v>3</v>
          </cell>
          <cell r="K1332" t="str">
            <v>Others</v>
          </cell>
        </row>
        <row r="1333">
          <cell r="D1333">
            <v>290359</v>
          </cell>
          <cell r="E1333" t="str">
            <v>Unsaturated fluorinated derivatives of acyclic hydrocarbons; n.e.c. in item no. 2903.5</v>
          </cell>
          <cell r="F1333">
            <v>0</v>
          </cell>
          <cell r="G1333">
            <v>0</v>
          </cell>
          <cell r="H1333">
            <v>0</v>
          </cell>
          <cell r="I1333" t="str">
            <v>Others</v>
          </cell>
          <cell r="J1333">
            <v>3</v>
          </cell>
          <cell r="K1333" t="str">
            <v>Others</v>
          </cell>
        </row>
        <row r="1334">
          <cell r="D1334">
            <v>290361</v>
          </cell>
          <cell r="E1334" t="str">
            <v>Brominated or iodinated derivatives of acyclic hydrocarbons; methyl bromide (bromomethane)</v>
          </cell>
          <cell r="F1334">
            <v>0</v>
          </cell>
          <cell r="G1334">
            <v>0</v>
          </cell>
          <cell r="H1334">
            <v>0</v>
          </cell>
          <cell r="I1334" t="str">
            <v>Others</v>
          </cell>
          <cell r="J1334">
            <v>3</v>
          </cell>
          <cell r="K1334" t="str">
            <v>Others</v>
          </cell>
        </row>
        <row r="1335">
          <cell r="D1335">
            <v>290362</v>
          </cell>
          <cell r="E1335" t="str">
            <v>Brominated or iodinated derivatives of acyclic hydrocarbons; ethylene dibromide (ISO) (1,2-dibromoethane)</v>
          </cell>
          <cell r="F1335">
            <v>0</v>
          </cell>
          <cell r="G1335">
            <v>0</v>
          </cell>
          <cell r="H1335">
            <v>0</v>
          </cell>
          <cell r="I1335" t="str">
            <v>Others</v>
          </cell>
          <cell r="J1335">
            <v>3</v>
          </cell>
          <cell r="K1335" t="str">
            <v>Others</v>
          </cell>
        </row>
        <row r="1336">
          <cell r="D1336">
            <v>290369</v>
          </cell>
          <cell r="E1336" t="str">
            <v>Brominated or iodinated derivatives of acyclic hydrocarbons; n.e.c. in item no. 2903.6</v>
          </cell>
          <cell r="F1336">
            <v>0</v>
          </cell>
          <cell r="G1336">
            <v>0</v>
          </cell>
          <cell r="H1336">
            <v>0</v>
          </cell>
          <cell r="I1336" t="str">
            <v>Others</v>
          </cell>
          <cell r="J1336">
            <v>3</v>
          </cell>
          <cell r="K1336" t="str">
            <v>Others</v>
          </cell>
        </row>
        <row r="1337">
          <cell r="D1337">
            <v>290371</v>
          </cell>
          <cell r="E1337" t="str">
            <v>Halogenated derivatives of acyclic hydrocarbons containing two or more different halogens; chlorodifluoromethane (HCFC-22)</v>
          </cell>
          <cell r="F1337">
            <v>0</v>
          </cell>
          <cell r="G1337">
            <v>0</v>
          </cell>
          <cell r="H1337">
            <v>0</v>
          </cell>
          <cell r="I1337" t="str">
            <v>Others</v>
          </cell>
          <cell r="J1337">
            <v>3</v>
          </cell>
          <cell r="K1337" t="str">
            <v>Others</v>
          </cell>
        </row>
        <row r="1338">
          <cell r="D1338">
            <v>290372</v>
          </cell>
          <cell r="E1338" t="str">
            <v>Halogenated derivatives of acyclic hydrocarbons containing two or more different halogens; dichlorotrifluoroethane (HCFC-123)</v>
          </cell>
          <cell r="F1338">
            <v>0</v>
          </cell>
          <cell r="G1338">
            <v>0</v>
          </cell>
          <cell r="H1338">
            <v>0</v>
          </cell>
          <cell r="I1338" t="str">
            <v>Others</v>
          </cell>
          <cell r="J1338">
            <v>3</v>
          </cell>
          <cell r="K1338" t="str">
            <v>Others</v>
          </cell>
        </row>
        <row r="1339">
          <cell r="D1339">
            <v>290373</v>
          </cell>
          <cell r="E1339" t="str">
            <v>Halogenated derivatives of acyclic hydrocarbons containing two or more different halogens; dichlorofluoroethanes (HCFC-141, 141b)</v>
          </cell>
          <cell r="F1339">
            <v>0</v>
          </cell>
          <cell r="G1339">
            <v>0</v>
          </cell>
          <cell r="H1339">
            <v>0</v>
          </cell>
          <cell r="I1339" t="str">
            <v>Others</v>
          </cell>
          <cell r="J1339">
            <v>3</v>
          </cell>
          <cell r="K1339" t="str">
            <v>Others</v>
          </cell>
        </row>
        <row r="1340">
          <cell r="D1340">
            <v>290374</v>
          </cell>
          <cell r="E1340" t="str">
            <v>Halogenated derivatives of acyclic hydrocarbons containing two or more different halogens; chlorodifluoroethanes HCFC-142, 142b)</v>
          </cell>
          <cell r="F1340">
            <v>0</v>
          </cell>
          <cell r="G1340">
            <v>0</v>
          </cell>
          <cell r="H1340">
            <v>0</v>
          </cell>
          <cell r="I1340" t="str">
            <v>Others</v>
          </cell>
          <cell r="J1340">
            <v>3</v>
          </cell>
          <cell r="K1340" t="str">
            <v>Others</v>
          </cell>
        </row>
        <row r="1341">
          <cell r="D1341">
            <v>290375</v>
          </cell>
          <cell r="E1341" t="str">
            <v>Halogenated derivatives of acyclic hydrocarbons containing two or more different halogens; dichloropentafluoropropanes (HCFC-225, 225ca, 225cb)</v>
          </cell>
          <cell r="F1341">
            <v>0</v>
          </cell>
          <cell r="G1341">
            <v>0</v>
          </cell>
          <cell r="H1341">
            <v>0</v>
          </cell>
          <cell r="I1341" t="str">
            <v>Others</v>
          </cell>
          <cell r="J1341">
            <v>3</v>
          </cell>
          <cell r="K1341" t="str">
            <v>Others</v>
          </cell>
        </row>
        <row r="1342">
          <cell r="D1342">
            <v>290376</v>
          </cell>
          <cell r="E1342" t="str">
            <v>Halogenated derivatives of acyclic hydrocarbons containing two or more different halogens; bromochlorodifluoromethane (Halon-1211), bromotrifluoromethane (Halon-1301), and dibromotetrafluoroethanes (Halon-2402)</v>
          </cell>
          <cell r="F1342">
            <v>0</v>
          </cell>
          <cell r="G1342">
            <v>0</v>
          </cell>
          <cell r="H1342">
            <v>0</v>
          </cell>
          <cell r="I1342" t="str">
            <v>Others</v>
          </cell>
          <cell r="J1342">
            <v>3</v>
          </cell>
          <cell r="K1342" t="str">
            <v>Others</v>
          </cell>
        </row>
        <row r="1343">
          <cell r="D1343">
            <v>290377</v>
          </cell>
          <cell r="E1343" t="str">
            <v>Halogenated derivatives of acyclic hydrocarbons containing two or more different halogens; n.e.c. in headings 290371 to 290376, perhalogenated only with fluorine and chlorine</v>
          </cell>
          <cell r="F1343">
            <v>0</v>
          </cell>
          <cell r="G1343">
            <v>0</v>
          </cell>
          <cell r="H1343">
            <v>0</v>
          </cell>
          <cell r="I1343" t="str">
            <v>Others</v>
          </cell>
          <cell r="J1343">
            <v>3</v>
          </cell>
          <cell r="K1343" t="str">
            <v>Others</v>
          </cell>
        </row>
        <row r="1344">
          <cell r="D1344">
            <v>290378</v>
          </cell>
          <cell r="E1344" t="str">
            <v>Halogenated derivatives of acyclic hydrocarbons containing two or more different halogens; perhalogenated derivatives, other than those only with fluorine and chlorine, n.e.c. in item no. 2903.71 to 2903.76</v>
          </cell>
          <cell r="F1344">
            <v>0</v>
          </cell>
          <cell r="G1344">
            <v>0</v>
          </cell>
          <cell r="H1344">
            <v>0</v>
          </cell>
          <cell r="I1344" t="str">
            <v>Others</v>
          </cell>
          <cell r="J1344">
            <v>3</v>
          </cell>
          <cell r="K1344" t="str">
            <v>Others</v>
          </cell>
        </row>
        <row r="1345">
          <cell r="D1345">
            <v>290379</v>
          </cell>
          <cell r="E1345" t="str">
            <v>Halogenated derivatives of acyclic hydrocarbons containing two or more different halogens; n.e.c. in item no. 2903.7</v>
          </cell>
          <cell r="F1345">
            <v>0</v>
          </cell>
          <cell r="G1345">
            <v>0</v>
          </cell>
          <cell r="H1345">
            <v>0</v>
          </cell>
          <cell r="I1345" t="str">
            <v>Others</v>
          </cell>
          <cell r="J1345">
            <v>3</v>
          </cell>
          <cell r="K1345" t="str">
            <v>Others</v>
          </cell>
        </row>
        <row r="1346">
          <cell r="D1346">
            <v>290381</v>
          </cell>
          <cell r="E1346" t="str">
            <v>Halogenated derivatives of cyclanic, cyclenic or cycloterpenic hydrocarbons; 1,2,3,4,5,6-Hexachlorocyclohexane (HCH (ISO)), including lindane (ISO, INN)</v>
          </cell>
          <cell r="F1346">
            <v>0</v>
          </cell>
          <cell r="G1346">
            <v>0</v>
          </cell>
          <cell r="H1346">
            <v>0</v>
          </cell>
          <cell r="I1346" t="str">
            <v>Others</v>
          </cell>
          <cell r="J1346">
            <v>3</v>
          </cell>
          <cell r="K1346" t="str">
            <v>Others</v>
          </cell>
        </row>
        <row r="1347">
          <cell r="D1347">
            <v>290382</v>
          </cell>
          <cell r="E1347" t="str">
            <v>Halogenated derivatives of cyclanic, cyclenic or cycloterpenic hydrocarbons; aldrin (ISO), chlordane (ISO), and heptachlor (ISO)</v>
          </cell>
          <cell r="F1347">
            <v>0</v>
          </cell>
          <cell r="G1347">
            <v>0</v>
          </cell>
          <cell r="H1347">
            <v>0</v>
          </cell>
          <cell r="I1347" t="str">
            <v>Others</v>
          </cell>
          <cell r="J1347">
            <v>3</v>
          </cell>
          <cell r="K1347" t="str">
            <v>Others</v>
          </cell>
        </row>
        <row r="1348">
          <cell r="D1348">
            <v>290383</v>
          </cell>
          <cell r="E1348" t="str">
            <v>Halogenated derivatives of cyclanic, cyclenic or cycloterpenic hydrocarbons; mirex (ISO)</v>
          </cell>
          <cell r="F1348">
            <v>0</v>
          </cell>
          <cell r="G1348">
            <v>0</v>
          </cell>
          <cell r="H1348">
            <v>0</v>
          </cell>
          <cell r="I1348" t="str">
            <v>Others</v>
          </cell>
          <cell r="J1348">
            <v>3</v>
          </cell>
          <cell r="K1348" t="str">
            <v>Others</v>
          </cell>
        </row>
        <row r="1349">
          <cell r="D1349">
            <v>290389</v>
          </cell>
          <cell r="E1349" t="str">
            <v>Halogenated derivatives of cyclanic, cyclenic or cycloterpenic hydrocarbons; n.e.c. in item no. 2903.8</v>
          </cell>
          <cell r="F1349">
            <v>0</v>
          </cell>
          <cell r="G1349">
            <v>0</v>
          </cell>
          <cell r="H1349">
            <v>0</v>
          </cell>
          <cell r="I1349" t="str">
            <v>Others</v>
          </cell>
          <cell r="J1349">
            <v>3</v>
          </cell>
          <cell r="K1349" t="str">
            <v>Others</v>
          </cell>
        </row>
        <row r="1350">
          <cell r="D1350">
            <v>290391</v>
          </cell>
          <cell r="E1350" t="str">
            <v>Halogenated derivatives of aromatic hydrocarbons; chlorobenzene, o-dichlorobenzene, and p-dichlorobenzene</v>
          </cell>
          <cell r="F1350">
            <v>0</v>
          </cell>
          <cell r="G1350">
            <v>0</v>
          </cell>
          <cell r="H1350">
            <v>0</v>
          </cell>
          <cell r="I1350" t="str">
            <v>Others</v>
          </cell>
          <cell r="J1350">
            <v>3</v>
          </cell>
          <cell r="K1350" t="str">
            <v>Others</v>
          </cell>
        </row>
        <row r="1351">
          <cell r="D1351">
            <v>290392</v>
          </cell>
          <cell r="E1351" t="str">
            <v>Halogenated derivatives of aromatic hydrocarbons; hexachlorobenzene (ISO) and DDT (ISO) (clofenotane (INN), and 1,1,1-trichloro-2,2-bis(p-chlorophenyl)ethane)</v>
          </cell>
          <cell r="F1351">
            <v>0</v>
          </cell>
          <cell r="G1351">
            <v>0</v>
          </cell>
          <cell r="H1351">
            <v>0</v>
          </cell>
          <cell r="I1351" t="str">
            <v>Others</v>
          </cell>
          <cell r="J1351">
            <v>3</v>
          </cell>
          <cell r="K1351" t="str">
            <v>Others</v>
          </cell>
        </row>
        <row r="1352">
          <cell r="D1352">
            <v>290393</v>
          </cell>
          <cell r="E1352" t="str">
            <v>Halogenated derivatives of aromatic hydrocarbons; pentachlorobenzene (ISO)</v>
          </cell>
          <cell r="F1352">
            <v>0</v>
          </cell>
          <cell r="G1352">
            <v>0</v>
          </cell>
          <cell r="H1352">
            <v>0</v>
          </cell>
          <cell r="I1352" t="str">
            <v>Others</v>
          </cell>
          <cell r="J1352">
            <v>3</v>
          </cell>
          <cell r="K1352" t="str">
            <v>Others</v>
          </cell>
        </row>
        <row r="1353">
          <cell r="D1353">
            <v>290394</v>
          </cell>
          <cell r="E1353" t="str">
            <v>Halogenated derivatives of aromatic hydrocarbons; hexabromobiphenyls</v>
          </cell>
          <cell r="F1353">
            <v>0</v>
          </cell>
          <cell r="G1353">
            <v>0</v>
          </cell>
          <cell r="H1353">
            <v>0</v>
          </cell>
          <cell r="I1353" t="str">
            <v>Others</v>
          </cell>
          <cell r="J1353">
            <v>3</v>
          </cell>
          <cell r="K1353" t="str">
            <v>Others</v>
          </cell>
        </row>
        <row r="1354">
          <cell r="D1354">
            <v>290399</v>
          </cell>
          <cell r="E1354" t="str">
            <v>Halogenated derivatives of aromatic hydrocarbons; n.e.c. in item no. 2903.91, 2903.92, 2903.93 and 2903.94</v>
          </cell>
          <cell r="F1354">
            <v>0</v>
          </cell>
          <cell r="G1354">
            <v>0</v>
          </cell>
          <cell r="H1354">
            <v>0</v>
          </cell>
          <cell r="I1354" t="str">
            <v>Others</v>
          </cell>
          <cell r="J1354">
            <v>3</v>
          </cell>
          <cell r="K1354" t="str">
            <v>Others</v>
          </cell>
        </row>
        <row r="1355">
          <cell r="D1355">
            <v>290410</v>
          </cell>
          <cell r="E1355" t="str">
            <v>Derivatives of hydrocarbons; containing only sulpho groups, their salts and ethyl esters, whether or not halogenated</v>
          </cell>
          <cell r="F1355">
            <v>0</v>
          </cell>
          <cell r="G1355">
            <v>0</v>
          </cell>
          <cell r="H1355">
            <v>0</v>
          </cell>
          <cell r="I1355" t="str">
            <v>Others</v>
          </cell>
          <cell r="J1355">
            <v>3</v>
          </cell>
          <cell r="K1355" t="str">
            <v>Others</v>
          </cell>
        </row>
        <row r="1356">
          <cell r="D1356">
            <v>290420</v>
          </cell>
          <cell r="E1356" t="str">
            <v>Derivatives of hydrocarbons; containing only nitro or only nitroso groups, whether or not halogenated</v>
          </cell>
          <cell r="F1356">
            <v>0</v>
          </cell>
          <cell r="G1356">
            <v>0</v>
          </cell>
          <cell r="H1356">
            <v>0</v>
          </cell>
          <cell r="I1356" t="str">
            <v>Others</v>
          </cell>
          <cell r="J1356">
            <v>3</v>
          </cell>
          <cell r="K1356" t="str">
            <v>Others</v>
          </cell>
        </row>
        <row r="1357">
          <cell r="D1357">
            <v>290431</v>
          </cell>
          <cell r="E1357" t="str">
            <v>Derivatives of hydrocarbons; perfluorooctane sulphonic acid, whether or not halogenated</v>
          </cell>
          <cell r="F1357">
            <v>0</v>
          </cell>
          <cell r="G1357">
            <v>0</v>
          </cell>
          <cell r="H1357">
            <v>0</v>
          </cell>
          <cell r="I1357" t="str">
            <v>Others</v>
          </cell>
          <cell r="J1357">
            <v>3</v>
          </cell>
          <cell r="K1357" t="str">
            <v>Others</v>
          </cell>
        </row>
        <row r="1358">
          <cell r="D1358">
            <v>290432</v>
          </cell>
          <cell r="E1358" t="str">
            <v>Derivatives of hydrocarbons; ammonium perfluorooctane sulphonate, whether or not halogenated</v>
          </cell>
          <cell r="F1358">
            <v>0</v>
          </cell>
          <cell r="G1358">
            <v>0</v>
          </cell>
          <cell r="H1358">
            <v>0</v>
          </cell>
          <cell r="I1358" t="str">
            <v>Others</v>
          </cell>
          <cell r="J1358">
            <v>3</v>
          </cell>
          <cell r="K1358" t="str">
            <v>Others</v>
          </cell>
        </row>
        <row r="1359">
          <cell r="D1359">
            <v>290433</v>
          </cell>
          <cell r="E1359" t="str">
            <v>Derivatives of hydrocarbons; lithium perfluorooctane sulphonate, whether or not halogenated</v>
          </cell>
          <cell r="F1359">
            <v>0</v>
          </cell>
          <cell r="G1359">
            <v>0</v>
          </cell>
          <cell r="H1359">
            <v>0</v>
          </cell>
          <cell r="I1359" t="str">
            <v>Others</v>
          </cell>
          <cell r="J1359">
            <v>3</v>
          </cell>
          <cell r="K1359" t="str">
            <v>Others</v>
          </cell>
        </row>
        <row r="1360">
          <cell r="D1360">
            <v>290434</v>
          </cell>
          <cell r="E1360" t="str">
            <v>Derivatives of hydrocarbons; potassium perfluorooctane sulphonate, whether or not halogenated</v>
          </cell>
          <cell r="F1360">
            <v>0</v>
          </cell>
          <cell r="G1360">
            <v>0</v>
          </cell>
          <cell r="H1360">
            <v>0</v>
          </cell>
          <cell r="I1360" t="str">
            <v>Others</v>
          </cell>
          <cell r="J1360">
            <v>3</v>
          </cell>
          <cell r="K1360" t="str">
            <v>Others</v>
          </cell>
        </row>
        <row r="1361">
          <cell r="D1361">
            <v>290435</v>
          </cell>
          <cell r="E1361" t="str">
            <v>Derivatives of hydrocarbons; salts of perfluorooctane sulphonic acid n.e.c in heading no. 2904, whether or not halogenated</v>
          </cell>
          <cell r="F1361">
            <v>0</v>
          </cell>
          <cell r="G1361">
            <v>0</v>
          </cell>
          <cell r="H1361">
            <v>0</v>
          </cell>
          <cell r="I1361" t="str">
            <v>Others</v>
          </cell>
          <cell r="J1361">
            <v>3</v>
          </cell>
          <cell r="K1361" t="str">
            <v>Others</v>
          </cell>
        </row>
        <row r="1362">
          <cell r="D1362">
            <v>290436</v>
          </cell>
          <cell r="E1362" t="str">
            <v>Derivatives of hydrocarbons; perfluorooctane sulphonyl fluoride, whether or not halogenated</v>
          </cell>
          <cell r="F1362">
            <v>0</v>
          </cell>
          <cell r="G1362">
            <v>0</v>
          </cell>
          <cell r="H1362">
            <v>0</v>
          </cell>
          <cell r="I1362" t="str">
            <v>Others</v>
          </cell>
          <cell r="J1362">
            <v>3</v>
          </cell>
          <cell r="K1362" t="str">
            <v>Others</v>
          </cell>
        </row>
        <row r="1363">
          <cell r="D1363">
            <v>290491</v>
          </cell>
          <cell r="E1363" t="str">
            <v>Derivatives of hydrocarbons; trichloronitromethane (chloropicrin), whether or not halogenated</v>
          </cell>
          <cell r="F1363">
            <v>0</v>
          </cell>
          <cell r="G1363">
            <v>0</v>
          </cell>
          <cell r="H1363">
            <v>0</v>
          </cell>
          <cell r="I1363" t="str">
            <v>Others</v>
          </cell>
          <cell r="J1363">
            <v>3</v>
          </cell>
          <cell r="K1363" t="str">
            <v>Others</v>
          </cell>
        </row>
        <row r="1364">
          <cell r="D1364">
            <v>290499</v>
          </cell>
          <cell r="E1364" t="str">
            <v>Derivatives of hydrocarbons n.e.c. in heading no. 2904, whether or not halogenated</v>
          </cell>
          <cell r="F1364">
            <v>0</v>
          </cell>
          <cell r="G1364">
            <v>0</v>
          </cell>
          <cell r="H1364">
            <v>0</v>
          </cell>
          <cell r="I1364" t="str">
            <v>Others</v>
          </cell>
          <cell r="J1364">
            <v>3</v>
          </cell>
          <cell r="K1364" t="str">
            <v>Others</v>
          </cell>
        </row>
        <row r="1365">
          <cell r="D1365">
            <v>290511</v>
          </cell>
          <cell r="E1365" t="str">
            <v>Alcohols; saturated monohydric, methanol (methyl alcohol)</v>
          </cell>
          <cell r="F1365">
            <v>0</v>
          </cell>
          <cell r="G1365">
            <v>0</v>
          </cell>
          <cell r="H1365">
            <v>0</v>
          </cell>
          <cell r="I1365" t="str">
            <v>Others</v>
          </cell>
          <cell r="J1365">
            <v>3</v>
          </cell>
          <cell r="K1365" t="str">
            <v>Others</v>
          </cell>
        </row>
        <row r="1366">
          <cell r="D1366">
            <v>290512</v>
          </cell>
          <cell r="E1366" t="str">
            <v>Alcohols; saturated monohydric, propan-1-ol (propyl alcohol) and propan-2-ol (isopropyl alcohol)</v>
          </cell>
          <cell r="F1366">
            <v>0</v>
          </cell>
          <cell r="G1366">
            <v>0</v>
          </cell>
          <cell r="H1366">
            <v>0</v>
          </cell>
          <cell r="I1366" t="str">
            <v>Others</v>
          </cell>
          <cell r="J1366">
            <v>3</v>
          </cell>
          <cell r="K1366" t="str">
            <v>Others</v>
          </cell>
        </row>
        <row r="1367">
          <cell r="D1367">
            <v>290513</v>
          </cell>
          <cell r="E1367" t="str">
            <v>Alcohols; saturated monohydric, butan-1-ol (n-butyl alcohol)</v>
          </cell>
          <cell r="F1367">
            <v>0</v>
          </cell>
          <cell r="G1367">
            <v>0</v>
          </cell>
          <cell r="H1367">
            <v>0</v>
          </cell>
          <cell r="I1367" t="str">
            <v>Others</v>
          </cell>
          <cell r="J1367">
            <v>3</v>
          </cell>
          <cell r="K1367" t="str">
            <v>Others</v>
          </cell>
        </row>
        <row r="1368">
          <cell r="D1368">
            <v>290514</v>
          </cell>
          <cell r="E1368" t="str">
            <v>Alcohols; saturated monohydric, butanols excluding item no. 2905.13</v>
          </cell>
          <cell r="F1368">
            <v>0</v>
          </cell>
          <cell r="G1368">
            <v>0</v>
          </cell>
          <cell r="H1368">
            <v>0</v>
          </cell>
          <cell r="I1368" t="str">
            <v>Others</v>
          </cell>
          <cell r="J1368">
            <v>3</v>
          </cell>
          <cell r="K1368" t="str">
            <v>Others</v>
          </cell>
        </row>
        <row r="1369">
          <cell r="D1369">
            <v>290516</v>
          </cell>
          <cell r="E1369" t="str">
            <v>Alcohols; saturated monohydric, octanol (octyl alcohol) and isomers thereof</v>
          </cell>
          <cell r="F1369">
            <v>0</v>
          </cell>
          <cell r="G1369">
            <v>0</v>
          </cell>
          <cell r="H1369">
            <v>0</v>
          </cell>
          <cell r="I1369" t="str">
            <v>Others</v>
          </cell>
          <cell r="J1369">
            <v>3</v>
          </cell>
          <cell r="K1369" t="str">
            <v>Others</v>
          </cell>
        </row>
        <row r="1370">
          <cell r="D1370">
            <v>290517</v>
          </cell>
          <cell r="E1370" t="str">
            <v>Alcohols; saturated monohydric, dodecan-1-ol (lauryl alcohol), hexadecan-1-ol (cetyl alcohol) and octadecan-1-ol (stearyl alcohol)</v>
          </cell>
          <cell r="F1370">
            <v>0</v>
          </cell>
          <cell r="G1370">
            <v>0</v>
          </cell>
          <cell r="H1370">
            <v>0</v>
          </cell>
          <cell r="I1370" t="str">
            <v>Others</v>
          </cell>
          <cell r="J1370">
            <v>3</v>
          </cell>
          <cell r="K1370" t="str">
            <v>Others</v>
          </cell>
        </row>
        <row r="1371">
          <cell r="D1371">
            <v>290519</v>
          </cell>
          <cell r="E1371" t="str">
            <v>Alcohols; saturated monohydric, n.e.c. in item no. 2905.1</v>
          </cell>
          <cell r="F1371">
            <v>0</v>
          </cell>
          <cell r="G1371">
            <v>0</v>
          </cell>
          <cell r="H1371">
            <v>0</v>
          </cell>
          <cell r="I1371" t="str">
            <v>Others</v>
          </cell>
          <cell r="J1371">
            <v>3</v>
          </cell>
          <cell r="K1371" t="str">
            <v>Others</v>
          </cell>
        </row>
        <row r="1372">
          <cell r="D1372">
            <v>290522</v>
          </cell>
          <cell r="E1372" t="str">
            <v>Alcohols; unsaturated monohydric, acyclic terpene alcohols</v>
          </cell>
          <cell r="F1372">
            <v>0</v>
          </cell>
          <cell r="G1372">
            <v>0</v>
          </cell>
          <cell r="H1372">
            <v>0</v>
          </cell>
          <cell r="I1372" t="str">
            <v>Others</v>
          </cell>
          <cell r="J1372">
            <v>3</v>
          </cell>
          <cell r="K1372" t="str">
            <v>Others</v>
          </cell>
        </row>
        <row r="1373">
          <cell r="D1373">
            <v>290529</v>
          </cell>
          <cell r="E1373" t="str">
            <v>Alcohols; acyclic, unsaturated monohydric, (other than acyclic terpene alcohols)</v>
          </cell>
          <cell r="F1373">
            <v>0</v>
          </cell>
          <cell r="G1373">
            <v>0</v>
          </cell>
          <cell r="H1373">
            <v>0</v>
          </cell>
          <cell r="I1373" t="str">
            <v>Others</v>
          </cell>
          <cell r="J1373">
            <v>3</v>
          </cell>
          <cell r="K1373" t="str">
            <v>Others</v>
          </cell>
        </row>
        <row r="1374">
          <cell r="D1374">
            <v>290531</v>
          </cell>
          <cell r="E1374" t="str">
            <v>Alcohols; acyclic, diols; ethylene glycol (ethanediol)</v>
          </cell>
          <cell r="F1374">
            <v>0</v>
          </cell>
          <cell r="G1374">
            <v>0</v>
          </cell>
          <cell r="H1374">
            <v>0</v>
          </cell>
          <cell r="I1374" t="str">
            <v>Others</v>
          </cell>
          <cell r="J1374">
            <v>3</v>
          </cell>
          <cell r="K1374" t="str">
            <v>Others</v>
          </cell>
        </row>
        <row r="1375">
          <cell r="D1375">
            <v>290532</v>
          </cell>
          <cell r="E1375" t="str">
            <v>Alcohols; acyclic, diols; propylene glycol (propane-1, 2-diol)</v>
          </cell>
          <cell r="F1375">
            <v>0</v>
          </cell>
          <cell r="G1375">
            <v>0</v>
          </cell>
          <cell r="H1375">
            <v>0</v>
          </cell>
          <cell r="I1375" t="str">
            <v>Others</v>
          </cell>
          <cell r="J1375">
            <v>3</v>
          </cell>
          <cell r="K1375" t="str">
            <v>Others</v>
          </cell>
        </row>
        <row r="1376">
          <cell r="D1376">
            <v>290539</v>
          </cell>
          <cell r="E1376" t="str">
            <v>Alcohols; acyclic, diols, other than ethylene glycol (ethandiol) or propylene glycol (propane-1,2-diol)</v>
          </cell>
          <cell r="F1376">
            <v>0</v>
          </cell>
          <cell r="G1376">
            <v>0</v>
          </cell>
          <cell r="H1376">
            <v>0</v>
          </cell>
          <cell r="I1376" t="str">
            <v>Others</v>
          </cell>
          <cell r="J1376">
            <v>3</v>
          </cell>
          <cell r="K1376" t="str">
            <v>Others</v>
          </cell>
        </row>
        <row r="1377">
          <cell r="D1377">
            <v>290541</v>
          </cell>
          <cell r="E1377" t="str">
            <v>Alcohols; polyhydric, 2-ethyl-2- (hydroxymethyl) propane-1,3-diol (trimethylolpropane)</v>
          </cell>
          <cell r="F1377">
            <v>0</v>
          </cell>
          <cell r="G1377">
            <v>0</v>
          </cell>
          <cell r="H1377">
            <v>0</v>
          </cell>
          <cell r="I1377" t="str">
            <v>Others</v>
          </cell>
          <cell r="J1377">
            <v>3</v>
          </cell>
          <cell r="K1377" t="str">
            <v>Others</v>
          </cell>
        </row>
        <row r="1378">
          <cell r="D1378">
            <v>290542</v>
          </cell>
          <cell r="E1378" t="str">
            <v>Alcohols; polyhydric, pentaerythritol</v>
          </cell>
          <cell r="F1378">
            <v>0</v>
          </cell>
          <cell r="G1378">
            <v>0</v>
          </cell>
          <cell r="H1378">
            <v>0</v>
          </cell>
          <cell r="I1378" t="str">
            <v>Others</v>
          </cell>
          <cell r="J1378">
            <v>3</v>
          </cell>
          <cell r="K1378" t="str">
            <v>Others</v>
          </cell>
        </row>
        <row r="1379">
          <cell r="D1379">
            <v>290543</v>
          </cell>
          <cell r="E1379" t="str">
            <v>Alcohols; polyhydric, mannitol</v>
          </cell>
          <cell r="F1379">
            <v>0</v>
          </cell>
          <cell r="G1379">
            <v>0</v>
          </cell>
          <cell r="H1379">
            <v>0</v>
          </cell>
          <cell r="I1379" t="str">
            <v>Others</v>
          </cell>
          <cell r="J1379">
            <v>3</v>
          </cell>
          <cell r="K1379" t="str">
            <v>Others</v>
          </cell>
        </row>
        <row r="1380">
          <cell r="D1380">
            <v>290544</v>
          </cell>
          <cell r="E1380" t="str">
            <v>Alcohols; polyhydric, d-glucitol (sorbitol)</v>
          </cell>
          <cell r="F1380">
            <v>0</v>
          </cell>
          <cell r="G1380">
            <v>0</v>
          </cell>
          <cell r="H1380">
            <v>0</v>
          </cell>
          <cell r="I1380" t="str">
            <v>Others</v>
          </cell>
          <cell r="J1380">
            <v>3</v>
          </cell>
          <cell r="K1380" t="str">
            <v>Others</v>
          </cell>
        </row>
        <row r="1381">
          <cell r="D1381">
            <v>290545</v>
          </cell>
          <cell r="E1381" t="str">
            <v>Alcohols; polyhydric, glycerol</v>
          </cell>
          <cell r="F1381">
            <v>0</v>
          </cell>
          <cell r="G1381">
            <v>0</v>
          </cell>
          <cell r="H1381">
            <v>0</v>
          </cell>
          <cell r="I1381" t="str">
            <v>Others</v>
          </cell>
          <cell r="J1381">
            <v>3</v>
          </cell>
          <cell r="K1381" t="str">
            <v>Others</v>
          </cell>
        </row>
        <row r="1382">
          <cell r="D1382">
            <v>290549</v>
          </cell>
          <cell r="E1382" t="str">
            <v>Alcohols; polyhydric, n.e.c. in item no. 2905.4</v>
          </cell>
          <cell r="F1382">
            <v>0</v>
          </cell>
          <cell r="G1382">
            <v>0</v>
          </cell>
          <cell r="H1382">
            <v>0</v>
          </cell>
          <cell r="I1382" t="str">
            <v>Others</v>
          </cell>
          <cell r="J1382">
            <v>3</v>
          </cell>
          <cell r="K1382" t="str">
            <v>Others</v>
          </cell>
        </row>
        <row r="1383">
          <cell r="D1383">
            <v>290551</v>
          </cell>
          <cell r="E1383" t="str">
            <v>Alcohols; acyclic; halogenated, sulphonated, nitrated or nitrosated derivatives thereof, ethchlorvynol (INN)</v>
          </cell>
          <cell r="F1383">
            <v>0</v>
          </cell>
          <cell r="G1383">
            <v>0</v>
          </cell>
          <cell r="H1383">
            <v>0</v>
          </cell>
          <cell r="I1383" t="str">
            <v>Others</v>
          </cell>
          <cell r="J1383">
            <v>3</v>
          </cell>
          <cell r="K1383" t="str">
            <v>Others</v>
          </cell>
        </row>
        <row r="1384">
          <cell r="D1384">
            <v>290559</v>
          </cell>
          <cell r="E1384" t="str">
            <v>Alcohols; acyclic; halogenated, sulphonated, nitrated or nitrosated derivatives thereof, other than ethchlorvynol (INN)</v>
          </cell>
          <cell r="F1384">
            <v>0</v>
          </cell>
          <cell r="G1384">
            <v>0</v>
          </cell>
          <cell r="H1384">
            <v>0</v>
          </cell>
          <cell r="I1384" t="str">
            <v>Others</v>
          </cell>
          <cell r="J1384">
            <v>3</v>
          </cell>
          <cell r="K1384" t="str">
            <v>Others</v>
          </cell>
        </row>
        <row r="1385">
          <cell r="D1385">
            <v>290611</v>
          </cell>
          <cell r="E1385" t="str">
            <v>Alcohols; cyclanic, cyclenic or cycloterpenic and derivatives, menthol</v>
          </cell>
          <cell r="F1385">
            <v>0</v>
          </cell>
          <cell r="G1385">
            <v>0</v>
          </cell>
          <cell r="H1385">
            <v>0</v>
          </cell>
          <cell r="I1385" t="str">
            <v>Others</v>
          </cell>
          <cell r="J1385">
            <v>3</v>
          </cell>
          <cell r="K1385" t="str">
            <v>Others</v>
          </cell>
        </row>
        <row r="1386">
          <cell r="D1386">
            <v>290612</v>
          </cell>
          <cell r="E1386" t="str">
            <v>Alcohols; cyclanic, cyclenic or cycloterpenic and derivatives, cyclohexanol, methylcyclohexanols and dimethylcyclohexanols</v>
          </cell>
          <cell r="F1386">
            <v>0</v>
          </cell>
          <cell r="G1386">
            <v>0</v>
          </cell>
          <cell r="H1386">
            <v>0</v>
          </cell>
          <cell r="I1386" t="str">
            <v>Others</v>
          </cell>
          <cell r="J1386">
            <v>3</v>
          </cell>
          <cell r="K1386" t="str">
            <v>Others</v>
          </cell>
        </row>
        <row r="1387">
          <cell r="D1387">
            <v>290613</v>
          </cell>
          <cell r="E1387" t="str">
            <v>Alcohols; cyclanic, cyclenic or cycloterpenic and derivatives, sterols and inositols</v>
          </cell>
          <cell r="F1387">
            <v>0</v>
          </cell>
          <cell r="G1387">
            <v>0</v>
          </cell>
          <cell r="H1387">
            <v>0</v>
          </cell>
          <cell r="I1387" t="str">
            <v>Others</v>
          </cell>
          <cell r="J1387">
            <v>3</v>
          </cell>
          <cell r="K1387" t="str">
            <v>Others</v>
          </cell>
        </row>
        <row r="1388">
          <cell r="D1388">
            <v>290619</v>
          </cell>
          <cell r="E1388" t="str">
            <v>Alcohols; cyclanic, cyclenic or cycloterpenic and derivatives, n.e.c. in item no. 2906.1</v>
          </cell>
          <cell r="F1388">
            <v>0</v>
          </cell>
          <cell r="G1388">
            <v>0</v>
          </cell>
          <cell r="H1388">
            <v>0</v>
          </cell>
          <cell r="I1388" t="str">
            <v>Others</v>
          </cell>
          <cell r="J1388">
            <v>3</v>
          </cell>
          <cell r="K1388" t="str">
            <v>Others</v>
          </cell>
        </row>
        <row r="1389">
          <cell r="D1389">
            <v>290621</v>
          </cell>
          <cell r="E1389" t="str">
            <v>Alcohols; aromatic alcohols and derivatives, benzyl alcohol</v>
          </cell>
          <cell r="F1389">
            <v>0</v>
          </cell>
          <cell r="G1389">
            <v>0</v>
          </cell>
          <cell r="H1389">
            <v>0</v>
          </cell>
          <cell r="I1389" t="str">
            <v>Others</v>
          </cell>
          <cell r="J1389">
            <v>3</v>
          </cell>
          <cell r="K1389" t="str">
            <v>Others</v>
          </cell>
        </row>
        <row r="1390">
          <cell r="D1390">
            <v>290629</v>
          </cell>
          <cell r="E1390" t="str">
            <v>Alcohols; aromatic and derivatives, other than benzyl alcohol</v>
          </cell>
          <cell r="F1390">
            <v>0</v>
          </cell>
          <cell r="G1390">
            <v>0</v>
          </cell>
          <cell r="H1390">
            <v>0</v>
          </cell>
          <cell r="I1390" t="str">
            <v>Others</v>
          </cell>
          <cell r="J1390">
            <v>3</v>
          </cell>
          <cell r="K1390" t="str">
            <v>Others</v>
          </cell>
        </row>
        <row r="1391">
          <cell r="D1391">
            <v>290711</v>
          </cell>
          <cell r="E1391" t="str">
            <v>Monophenols; phenol (hydroxybenzene) and its salts</v>
          </cell>
          <cell r="F1391">
            <v>0</v>
          </cell>
          <cell r="G1391">
            <v>0</v>
          </cell>
          <cell r="H1391">
            <v>0</v>
          </cell>
          <cell r="I1391" t="str">
            <v>Others</v>
          </cell>
          <cell r="J1391">
            <v>3</v>
          </cell>
          <cell r="K1391" t="str">
            <v>Others</v>
          </cell>
        </row>
        <row r="1392">
          <cell r="D1392">
            <v>290712</v>
          </cell>
          <cell r="E1392" t="str">
            <v>Monophenols; cresols and their salts</v>
          </cell>
          <cell r="F1392">
            <v>0</v>
          </cell>
          <cell r="G1392">
            <v>0</v>
          </cell>
          <cell r="H1392">
            <v>0</v>
          </cell>
          <cell r="I1392" t="str">
            <v>Others</v>
          </cell>
          <cell r="J1392">
            <v>3</v>
          </cell>
          <cell r="K1392" t="str">
            <v>Others</v>
          </cell>
        </row>
        <row r="1393">
          <cell r="D1393">
            <v>290713</v>
          </cell>
          <cell r="E1393" t="str">
            <v>Monophenols; octylphenol, nonylphenol and their isomers, salts thereof</v>
          </cell>
          <cell r="F1393">
            <v>0</v>
          </cell>
          <cell r="G1393">
            <v>0</v>
          </cell>
          <cell r="H1393">
            <v>0</v>
          </cell>
          <cell r="I1393" t="str">
            <v>Others</v>
          </cell>
          <cell r="J1393">
            <v>3</v>
          </cell>
          <cell r="K1393" t="str">
            <v>Others</v>
          </cell>
        </row>
        <row r="1394">
          <cell r="D1394">
            <v>290715</v>
          </cell>
          <cell r="E1394" t="str">
            <v>Monophenols; naphthols and their salts</v>
          </cell>
          <cell r="F1394">
            <v>0</v>
          </cell>
          <cell r="G1394">
            <v>0</v>
          </cell>
          <cell r="H1394">
            <v>0</v>
          </cell>
          <cell r="I1394" t="str">
            <v>Others</v>
          </cell>
          <cell r="J1394">
            <v>3</v>
          </cell>
          <cell r="K1394" t="str">
            <v>Others</v>
          </cell>
        </row>
        <row r="1395">
          <cell r="D1395">
            <v>290719</v>
          </cell>
          <cell r="E1395" t="str">
            <v>Monophenols; n.e.c. in item no. 2907.1</v>
          </cell>
          <cell r="F1395">
            <v>0</v>
          </cell>
          <cell r="G1395">
            <v>0</v>
          </cell>
          <cell r="H1395">
            <v>0</v>
          </cell>
          <cell r="I1395" t="str">
            <v>Others</v>
          </cell>
          <cell r="J1395">
            <v>3</v>
          </cell>
          <cell r="K1395" t="str">
            <v>Others</v>
          </cell>
        </row>
        <row r="1396">
          <cell r="D1396">
            <v>290721</v>
          </cell>
          <cell r="E1396" t="str">
            <v>Polyphenols; resorcinol and its salts</v>
          </cell>
          <cell r="F1396">
            <v>0</v>
          </cell>
          <cell r="G1396">
            <v>0</v>
          </cell>
          <cell r="H1396">
            <v>0</v>
          </cell>
          <cell r="I1396" t="str">
            <v>Others</v>
          </cell>
          <cell r="J1396">
            <v>3</v>
          </cell>
          <cell r="K1396" t="str">
            <v>Others</v>
          </cell>
        </row>
        <row r="1397">
          <cell r="D1397">
            <v>290722</v>
          </cell>
          <cell r="E1397" t="str">
            <v>Polyphenols; hydroquinone (quinol) and its salts</v>
          </cell>
          <cell r="F1397">
            <v>0</v>
          </cell>
          <cell r="G1397">
            <v>0</v>
          </cell>
          <cell r="H1397">
            <v>0</v>
          </cell>
          <cell r="I1397" t="str">
            <v>Others</v>
          </cell>
          <cell r="J1397">
            <v>3</v>
          </cell>
          <cell r="K1397" t="str">
            <v>Others</v>
          </cell>
        </row>
        <row r="1398">
          <cell r="D1398">
            <v>290723</v>
          </cell>
          <cell r="E1398" t="str">
            <v>Polyphenols; 4,4'-isopropylidenediphenol (bisphenol A, diphenylolpropane) and its salts</v>
          </cell>
          <cell r="F1398">
            <v>0</v>
          </cell>
          <cell r="G1398">
            <v>0</v>
          </cell>
          <cell r="H1398">
            <v>0</v>
          </cell>
          <cell r="I1398" t="str">
            <v>Others</v>
          </cell>
          <cell r="J1398">
            <v>3</v>
          </cell>
          <cell r="K1398" t="str">
            <v>Others</v>
          </cell>
        </row>
        <row r="1399">
          <cell r="D1399">
            <v>290729</v>
          </cell>
          <cell r="E1399" t="str">
            <v>Phenol-alcohols and polyphenols n.e.c. in item number 2907.2</v>
          </cell>
          <cell r="F1399">
            <v>0</v>
          </cell>
          <cell r="G1399">
            <v>0</v>
          </cell>
          <cell r="H1399">
            <v>0</v>
          </cell>
          <cell r="I1399" t="str">
            <v>Others</v>
          </cell>
          <cell r="J1399">
            <v>3</v>
          </cell>
          <cell r="K1399" t="str">
            <v>Others</v>
          </cell>
        </row>
        <row r="1400">
          <cell r="D1400">
            <v>290811</v>
          </cell>
          <cell r="E1400" t="str">
            <v>Phenol or phenol-alcohol derivatives containing only halogen substituents and their salts; pentachlorophenol (ISO)</v>
          </cell>
          <cell r="F1400">
            <v>0</v>
          </cell>
          <cell r="G1400">
            <v>0</v>
          </cell>
          <cell r="H1400">
            <v>0</v>
          </cell>
          <cell r="I1400" t="str">
            <v>Others</v>
          </cell>
          <cell r="J1400">
            <v>3</v>
          </cell>
          <cell r="K1400" t="str">
            <v>Others</v>
          </cell>
        </row>
        <row r="1401">
          <cell r="D1401">
            <v>290819</v>
          </cell>
          <cell r="E1401" t="str">
            <v>Phenol or phenol-alcohol derivatives containing only halogen substituents and their salts; other than pentachlorophenol (ISO)</v>
          </cell>
          <cell r="F1401">
            <v>0</v>
          </cell>
          <cell r="G1401">
            <v>0</v>
          </cell>
          <cell r="H1401">
            <v>0</v>
          </cell>
          <cell r="I1401" t="str">
            <v>Others</v>
          </cell>
          <cell r="J1401">
            <v>3</v>
          </cell>
          <cell r="K1401" t="str">
            <v>Others</v>
          </cell>
        </row>
        <row r="1402">
          <cell r="D1402">
            <v>290891</v>
          </cell>
          <cell r="E1402" t="str">
            <v>Phenol or phenol-alcohol derivatives, sulphonated, nitrated or nitrosated derivatives thereof; dinoseb (ISO) and its salts</v>
          </cell>
          <cell r="F1402">
            <v>0</v>
          </cell>
          <cell r="G1402">
            <v>0</v>
          </cell>
          <cell r="H1402">
            <v>0</v>
          </cell>
          <cell r="I1402" t="str">
            <v>Others</v>
          </cell>
          <cell r="J1402">
            <v>3</v>
          </cell>
          <cell r="K1402" t="str">
            <v>Others</v>
          </cell>
        </row>
        <row r="1403">
          <cell r="D1403">
            <v>290892</v>
          </cell>
          <cell r="E1403" t="str">
            <v>Phenol or phenol-alcohol derivatives, sulphonated, nitrated or nitrosated derivatives thereof; 4,6-dinitro-o-cresol (DNOC (ISO)) and its salts</v>
          </cell>
          <cell r="F1403">
            <v>0</v>
          </cell>
          <cell r="G1403">
            <v>0</v>
          </cell>
          <cell r="H1403">
            <v>0</v>
          </cell>
          <cell r="I1403" t="str">
            <v>Others</v>
          </cell>
          <cell r="J1403">
            <v>3</v>
          </cell>
          <cell r="K1403" t="str">
            <v>Others</v>
          </cell>
        </row>
        <row r="1404">
          <cell r="D1404">
            <v>290899</v>
          </cell>
          <cell r="E1404" t="str">
            <v>Phenol or phenol-alcohol derivatives, sulphonated, nitrated or nitrosated derivatives thereof; other than dinoseb (ISO), and 4,6-dinitro-o-cresol (DNOC (ISO)), and their salts</v>
          </cell>
          <cell r="F1404">
            <v>0</v>
          </cell>
          <cell r="G1404">
            <v>0</v>
          </cell>
          <cell r="H1404">
            <v>0</v>
          </cell>
          <cell r="I1404" t="str">
            <v>Others</v>
          </cell>
          <cell r="J1404">
            <v>3</v>
          </cell>
          <cell r="K1404" t="str">
            <v>Others</v>
          </cell>
        </row>
        <row r="1405">
          <cell r="D1405">
            <v>290911</v>
          </cell>
          <cell r="E1405" t="str">
            <v>Ethers; acyclic, and their halogenated, sulphonated, nitrated or nitrosated derivatives, diethyl ether</v>
          </cell>
          <cell r="F1405">
            <v>0</v>
          </cell>
          <cell r="G1405">
            <v>0</v>
          </cell>
          <cell r="H1405">
            <v>0</v>
          </cell>
          <cell r="I1405" t="str">
            <v>Others</v>
          </cell>
          <cell r="J1405">
            <v>3</v>
          </cell>
          <cell r="K1405" t="str">
            <v>Others</v>
          </cell>
        </row>
        <row r="1406">
          <cell r="D1406">
            <v>290919</v>
          </cell>
          <cell r="E1406" t="str">
            <v>Ethers; acyclic, and their halogenated, sulphonated, nitrated or nitrosated derivatives, other than diethyl ether</v>
          </cell>
          <cell r="F1406" t="str">
            <v>Consumables</v>
          </cell>
          <cell r="G1406">
            <v>0</v>
          </cell>
          <cell r="H1406">
            <v>0</v>
          </cell>
          <cell r="I1406" t="str">
            <v>Others</v>
          </cell>
          <cell r="J1406">
            <v>2</v>
          </cell>
          <cell r="K1406" t="str">
            <v>Consumables</v>
          </cell>
        </row>
        <row r="1407">
          <cell r="D1407">
            <v>290920</v>
          </cell>
          <cell r="E1407" t="str">
            <v>Ethers; cyclanic, cyclenic or cycloterpenic and their halogenated, sulphonated, nitrated or nitrosated derivatives</v>
          </cell>
          <cell r="F1407">
            <v>0</v>
          </cell>
          <cell r="G1407">
            <v>0</v>
          </cell>
          <cell r="H1407">
            <v>0</v>
          </cell>
          <cell r="I1407" t="str">
            <v>Others</v>
          </cell>
          <cell r="J1407">
            <v>3</v>
          </cell>
          <cell r="K1407" t="str">
            <v>Others</v>
          </cell>
        </row>
        <row r="1408">
          <cell r="D1408">
            <v>290930</v>
          </cell>
          <cell r="E1408" t="str">
            <v>Ethers; aromatic, and their halogenated, sulphonated, nitrated or nitrosated derivatives</v>
          </cell>
          <cell r="F1408">
            <v>0</v>
          </cell>
          <cell r="G1408">
            <v>0</v>
          </cell>
          <cell r="H1408">
            <v>0</v>
          </cell>
          <cell r="I1408" t="str">
            <v>Others</v>
          </cell>
          <cell r="J1408">
            <v>3</v>
          </cell>
          <cell r="K1408" t="str">
            <v>Others</v>
          </cell>
        </row>
        <row r="1409">
          <cell r="D1409">
            <v>290941</v>
          </cell>
          <cell r="E1409" t="str">
            <v>Ether-alcohols and their halogenated, sulphonated, nitrated or nitrosated derivatives; 2,2-oxydiethanol (diethylene glycol, digol)</v>
          </cell>
          <cell r="F1409">
            <v>0</v>
          </cell>
          <cell r="G1409">
            <v>0</v>
          </cell>
          <cell r="H1409">
            <v>0</v>
          </cell>
          <cell r="I1409" t="str">
            <v>Others</v>
          </cell>
          <cell r="J1409">
            <v>3</v>
          </cell>
          <cell r="K1409" t="str">
            <v>Others</v>
          </cell>
        </row>
        <row r="1410">
          <cell r="D1410">
            <v>290943</v>
          </cell>
          <cell r="E1410" t="str">
            <v>Ether-alcohols and their halogenated, sulphonated, nitrated or nitrosated derivatives; monobutyl ethers of ethylene glycol or of diethylene glycol</v>
          </cell>
          <cell r="F1410">
            <v>0</v>
          </cell>
          <cell r="G1410">
            <v>0</v>
          </cell>
          <cell r="H1410">
            <v>0</v>
          </cell>
          <cell r="I1410" t="str">
            <v>Others</v>
          </cell>
          <cell r="J1410">
            <v>3</v>
          </cell>
          <cell r="K1410" t="str">
            <v>Others</v>
          </cell>
        </row>
        <row r="1411">
          <cell r="D1411">
            <v>290944</v>
          </cell>
          <cell r="E1411" t="str">
            <v>Ether-alcohols and their halogenated, sulphonated, nitrated or nitrosated derivatives; monoalkylethers of ethylene glycol or of diethylene glycol n.e.c. in heading no. 2909</v>
          </cell>
          <cell r="F1411">
            <v>0</v>
          </cell>
          <cell r="G1411">
            <v>0</v>
          </cell>
          <cell r="H1411">
            <v>0</v>
          </cell>
          <cell r="I1411" t="str">
            <v>Others</v>
          </cell>
          <cell r="J1411">
            <v>3</v>
          </cell>
          <cell r="K1411" t="str">
            <v>Others</v>
          </cell>
        </row>
        <row r="1412">
          <cell r="D1412">
            <v>290949</v>
          </cell>
          <cell r="E1412" t="str">
            <v>Ether-alcohols and their halogenated, sulphonated, nitrated or nitrosated derivatives; n.e.c. in item no. 2909.4</v>
          </cell>
          <cell r="F1412">
            <v>0</v>
          </cell>
          <cell r="G1412">
            <v>0</v>
          </cell>
          <cell r="H1412">
            <v>0</v>
          </cell>
          <cell r="I1412" t="str">
            <v>Others</v>
          </cell>
          <cell r="J1412">
            <v>3</v>
          </cell>
          <cell r="K1412" t="str">
            <v>Others</v>
          </cell>
        </row>
        <row r="1413">
          <cell r="D1413">
            <v>290950</v>
          </cell>
          <cell r="E1413" t="str">
            <v>Ether-phenols, ether-alcohol-phenols and their halogenated, sulphonated, nitrated or nitrosated derivatives</v>
          </cell>
          <cell r="F1413">
            <v>0</v>
          </cell>
          <cell r="G1413">
            <v>0</v>
          </cell>
          <cell r="H1413">
            <v>0</v>
          </cell>
          <cell r="I1413" t="str">
            <v>Others</v>
          </cell>
          <cell r="J1413">
            <v>3</v>
          </cell>
          <cell r="K1413" t="str">
            <v>Others</v>
          </cell>
        </row>
        <row r="1414">
          <cell r="D1414">
            <v>290960</v>
          </cell>
          <cell r="E1414" t="str">
            <v>Alcohol peroxides, ether peroxides, acetal and hemiacetal peroxides, ketone peroxides and their halogenated, sulphonated, nitrated or nitrosated derivatives</v>
          </cell>
          <cell r="F1414">
            <v>0</v>
          </cell>
          <cell r="G1414">
            <v>0</v>
          </cell>
          <cell r="H1414">
            <v>0</v>
          </cell>
          <cell r="I1414" t="str">
            <v>Others</v>
          </cell>
          <cell r="J1414">
            <v>3</v>
          </cell>
          <cell r="K1414" t="str">
            <v>Others</v>
          </cell>
        </row>
        <row r="1415">
          <cell r="D1415">
            <v>291010</v>
          </cell>
          <cell r="E1415" t="str">
            <v>Epoxides, epoxyalcohols, epoxyphenols and epoxyethers; with a three-membered ring and their halogenated, sulphonated, nitrated or nitrosated derivatives; oxirane (ethylene oxide)</v>
          </cell>
          <cell r="F1415">
            <v>0</v>
          </cell>
          <cell r="G1415">
            <v>0</v>
          </cell>
          <cell r="H1415">
            <v>0</v>
          </cell>
          <cell r="I1415" t="str">
            <v>Others</v>
          </cell>
          <cell r="J1415">
            <v>3</v>
          </cell>
          <cell r="K1415" t="str">
            <v>Others</v>
          </cell>
        </row>
        <row r="1416">
          <cell r="D1416">
            <v>291020</v>
          </cell>
          <cell r="E1416" t="str">
            <v>Epoxides, epoxyalcohols, epoxyphenols and epoxyethers; with a three-membered ring and their halogenated, sulphonated, nitrated or nitrosated derivatives, methyloxirane (propylene oxide)</v>
          </cell>
          <cell r="F1416">
            <v>0</v>
          </cell>
          <cell r="G1416">
            <v>0</v>
          </cell>
          <cell r="H1416">
            <v>0</v>
          </cell>
          <cell r="I1416" t="str">
            <v>Others</v>
          </cell>
          <cell r="J1416">
            <v>3</v>
          </cell>
          <cell r="K1416" t="str">
            <v>Others</v>
          </cell>
        </row>
        <row r="1417">
          <cell r="D1417">
            <v>291030</v>
          </cell>
          <cell r="E1417" t="str">
            <v>Epoxides, epoxyalcohols, epoxyphenols and epoxyethers; with a three-membered ring and their halogenated, sulphonated, nitrated or nitrosated derivatives, 1-chloro-2,3-epoxypropane (epichlorohydrin)</v>
          </cell>
          <cell r="F1417">
            <v>0</v>
          </cell>
          <cell r="G1417">
            <v>0</v>
          </cell>
          <cell r="H1417">
            <v>0</v>
          </cell>
          <cell r="I1417" t="str">
            <v>Others</v>
          </cell>
          <cell r="J1417">
            <v>3</v>
          </cell>
          <cell r="K1417" t="str">
            <v>Others</v>
          </cell>
        </row>
        <row r="1418">
          <cell r="D1418">
            <v>291040</v>
          </cell>
          <cell r="E1418" t="str">
            <v>Epoxides, epoxyalcohols, epoxyphenols and epoxyethers; with a three-membered ring and their halogenated, sulphonated, nitrated or nitrosated derivatives, dieldrin (ISO, INN)</v>
          </cell>
          <cell r="F1418">
            <v>0</v>
          </cell>
          <cell r="G1418">
            <v>0</v>
          </cell>
          <cell r="H1418">
            <v>0</v>
          </cell>
          <cell r="I1418" t="str">
            <v>Others</v>
          </cell>
          <cell r="J1418">
            <v>3</v>
          </cell>
          <cell r="K1418" t="str">
            <v>Others</v>
          </cell>
        </row>
        <row r="1419">
          <cell r="D1419">
            <v>291050</v>
          </cell>
          <cell r="E1419" t="str">
            <v>Epoxides, epoxyalcohols, epoxyphenols and epoxyethers; with a three-membered ring and their halogenated, sulphonated, nitrated or nitrosated derivatives, endrin (ISO)</v>
          </cell>
          <cell r="F1419">
            <v>0</v>
          </cell>
          <cell r="G1419">
            <v>0</v>
          </cell>
          <cell r="H1419">
            <v>0</v>
          </cell>
          <cell r="I1419" t="str">
            <v>Others</v>
          </cell>
          <cell r="J1419">
            <v>3</v>
          </cell>
          <cell r="K1419" t="str">
            <v>Others</v>
          </cell>
        </row>
        <row r="1420">
          <cell r="D1420">
            <v>291090</v>
          </cell>
          <cell r="E1420" t="str">
            <v>Epoxides, epoxyalcohols, epoxyphenols and epoxyethers; with a three-membered ring and their halogenated, sulphonated, nitrated or nitrosated derivatives, n.e.c. in heading no. 2910</v>
          </cell>
          <cell r="F1420">
            <v>0</v>
          </cell>
          <cell r="G1420">
            <v>0</v>
          </cell>
          <cell r="H1420">
            <v>0</v>
          </cell>
          <cell r="I1420" t="str">
            <v>Others</v>
          </cell>
          <cell r="J1420">
            <v>3</v>
          </cell>
          <cell r="K1420" t="str">
            <v>Others</v>
          </cell>
        </row>
        <row r="1421">
          <cell r="D1421">
            <v>291100</v>
          </cell>
          <cell r="E1421" t="str">
            <v>Acetals and hemiacetals; whether or not with other oxygen function, and their halogenated, sulphonated, nitrated or nitrosated derivatives</v>
          </cell>
          <cell r="F1421">
            <v>0</v>
          </cell>
          <cell r="G1421">
            <v>0</v>
          </cell>
          <cell r="H1421">
            <v>0</v>
          </cell>
          <cell r="I1421" t="str">
            <v>Others</v>
          </cell>
          <cell r="J1421">
            <v>3</v>
          </cell>
          <cell r="K1421" t="str">
            <v>Others</v>
          </cell>
        </row>
        <row r="1422">
          <cell r="D1422">
            <v>291211</v>
          </cell>
          <cell r="E1422" t="str">
            <v>Aldehydes; acyclic, without other oxygen function, methanal (formaldehyde)</v>
          </cell>
          <cell r="F1422">
            <v>0</v>
          </cell>
          <cell r="G1422">
            <v>0</v>
          </cell>
          <cell r="H1422">
            <v>0</v>
          </cell>
          <cell r="I1422" t="str">
            <v>Others</v>
          </cell>
          <cell r="J1422">
            <v>3</v>
          </cell>
          <cell r="K1422" t="str">
            <v>Others</v>
          </cell>
        </row>
        <row r="1423">
          <cell r="D1423">
            <v>291212</v>
          </cell>
          <cell r="E1423" t="str">
            <v>Aldehydes; acyclic, without other oxygen function, ethanal (acetaldehyde)</v>
          </cell>
          <cell r="F1423">
            <v>0</v>
          </cell>
          <cell r="G1423">
            <v>0</v>
          </cell>
          <cell r="H1423">
            <v>0</v>
          </cell>
          <cell r="I1423" t="str">
            <v>Others</v>
          </cell>
          <cell r="J1423">
            <v>3</v>
          </cell>
          <cell r="K1423" t="str">
            <v>Others</v>
          </cell>
        </row>
        <row r="1424">
          <cell r="D1424">
            <v>291219</v>
          </cell>
          <cell r="E1424" t="str">
            <v>Aldehydes; acyclic, without other oxygen function, n.e.c. in item no. 2912.1</v>
          </cell>
          <cell r="F1424">
            <v>0</v>
          </cell>
          <cell r="G1424">
            <v>0</v>
          </cell>
          <cell r="H1424">
            <v>0</v>
          </cell>
          <cell r="I1424" t="str">
            <v>Others</v>
          </cell>
          <cell r="J1424">
            <v>3</v>
          </cell>
          <cell r="K1424" t="str">
            <v>Others</v>
          </cell>
        </row>
        <row r="1425">
          <cell r="D1425">
            <v>291221</v>
          </cell>
          <cell r="E1425" t="str">
            <v>Aldehydes; cyclic, without other oxygen function, benzaldehyde</v>
          </cell>
          <cell r="F1425">
            <v>0</v>
          </cell>
          <cell r="G1425">
            <v>0</v>
          </cell>
          <cell r="H1425">
            <v>0</v>
          </cell>
          <cell r="I1425" t="str">
            <v>Others</v>
          </cell>
          <cell r="J1425">
            <v>3</v>
          </cell>
          <cell r="K1425" t="str">
            <v>Others</v>
          </cell>
        </row>
        <row r="1426">
          <cell r="D1426">
            <v>291229</v>
          </cell>
          <cell r="E1426" t="str">
            <v>Aldehydes; cyclic, without other oxygen function, other than benzaldehyde</v>
          </cell>
          <cell r="F1426">
            <v>0</v>
          </cell>
          <cell r="G1426">
            <v>0</v>
          </cell>
          <cell r="H1426">
            <v>0</v>
          </cell>
          <cell r="I1426" t="str">
            <v>Others</v>
          </cell>
          <cell r="J1426">
            <v>3</v>
          </cell>
          <cell r="K1426" t="str">
            <v>Others</v>
          </cell>
        </row>
        <row r="1427">
          <cell r="D1427">
            <v>291241</v>
          </cell>
          <cell r="E1427" t="str">
            <v>Aldehydes; aldehyde-ethers, aldehyde-phenols and aldehydes with other oxygen function, vanillin (4-hydroxy-3-methoxybenzaldehyde)</v>
          </cell>
          <cell r="F1427">
            <v>0</v>
          </cell>
          <cell r="G1427">
            <v>0</v>
          </cell>
          <cell r="H1427">
            <v>0</v>
          </cell>
          <cell r="I1427" t="str">
            <v>Others</v>
          </cell>
          <cell r="J1427">
            <v>3</v>
          </cell>
          <cell r="K1427" t="str">
            <v>Others</v>
          </cell>
        </row>
        <row r="1428">
          <cell r="D1428">
            <v>291242</v>
          </cell>
          <cell r="E1428" t="str">
            <v>Aldehydes; aldehyde-ethers, aldehyde-phenols and aldehydes with other oxygen function, ethylvanillin (3-ethoxy-4-hydroxybenzaldehyde)</v>
          </cell>
          <cell r="F1428">
            <v>0</v>
          </cell>
          <cell r="G1428">
            <v>0</v>
          </cell>
          <cell r="H1428">
            <v>0</v>
          </cell>
          <cell r="I1428" t="str">
            <v>Others</v>
          </cell>
          <cell r="J1428">
            <v>3</v>
          </cell>
          <cell r="K1428" t="str">
            <v>Others</v>
          </cell>
        </row>
        <row r="1429">
          <cell r="D1429">
            <v>291249</v>
          </cell>
          <cell r="E1429" t="str">
            <v>Aldehyde-alcohols, aldehyde-ethers, aldehyde-phenols and aldehydes with other oxygen function; other than vanillin (4-hydroxy-3-methoxybenzaldehyde) and ethylvanillin (3-ethoxy-4-hydroxybenzaldehyde)</v>
          </cell>
          <cell r="F1429">
            <v>0</v>
          </cell>
          <cell r="G1429">
            <v>0</v>
          </cell>
          <cell r="H1429">
            <v>0</v>
          </cell>
          <cell r="I1429" t="str">
            <v>Others</v>
          </cell>
          <cell r="J1429">
            <v>3</v>
          </cell>
          <cell r="K1429" t="str">
            <v>Others</v>
          </cell>
        </row>
        <row r="1430">
          <cell r="D1430">
            <v>291250</v>
          </cell>
          <cell r="E1430" t="str">
            <v>Aldehydes; cyclic polymers of aldehydes</v>
          </cell>
          <cell r="F1430">
            <v>0</v>
          </cell>
          <cell r="G1430">
            <v>0</v>
          </cell>
          <cell r="H1430">
            <v>0</v>
          </cell>
          <cell r="I1430" t="str">
            <v>Others</v>
          </cell>
          <cell r="J1430">
            <v>3</v>
          </cell>
          <cell r="K1430" t="str">
            <v>Others</v>
          </cell>
        </row>
        <row r="1431">
          <cell r="D1431">
            <v>291260</v>
          </cell>
          <cell r="E1431" t="str">
            <v>Paraformaldehyde</v>
          </cell>
          <cell r="F1431">
            <v>0</v>
          </cell>
          <cell r="G1431">
            <v>0</v>
          </cell>
          <cell r="H1431">
            <v>0</v>
          </cell>
          <cell r="I1431" t="str">
            <v>Others</v>
          </cell>
          <cell r="J1431">
            <v>3</v>
          </cell>
          <cell r="K1431" t="str">
            <v>Others</v>
          </cell>
        </row>
        <row r="1432">
          <cell r="D1432">
            <v>291300</v>
          </cell>
          <cell r="E1432" t="str">
            <v>Aldehydes; halogenated, sulphonated, nitrated or nitrosated derivatives of products of heading no. 2912</v>
          </cell>
          <cell r="F1432">
            <v>0</v>
          </cell>
          <cell r="G1432">
            <v>0</v>
          </cell>
          <cell r="H1432">
            <v>0</v>
          </cell>
          <cell r="I1432" t="str">
            <v>Others</v>
          </cell>
          <cell r="J1432">
            <v>3</v>
          </cell>
          <cell r="K1432" t="str">
            <v>Others</v>
          </cell>
        </row>
        <row r="1433">
          <cell r="D1433">
            <v>291411</v>
          </cell>
          <cell r="E1433" t="str">
            <v>Ketones; acyclic, without other oxygen function, acetone</v>
          </cell>
          <cell r="F1433">
            <v>0</v>
          </cell>
          <cell r="G1433">
            <v>0</v>
          </cell>
          <cell r="H1433">
            <v>0</v>
          </cell>
          <cell r="I1433" t="str">
            <v>Others</v>
          </cell>
          <cell r="J1433">
            <v>3</v>
          </cell>
          <cell r="K1433" t="str">
            <v>Others</v>
          </cell>
        </row>
        <row r="1434">
          <cell r="D1434">
            <v>291412</v>
          </cell>
          <cell r="E1434" t="str">
            <v>Ketones; acyclic, without other oxygen function, butanone (methyl ethyl ketone)</v>
          </cell>
          <cell r="F1434">
            <v>0</v>
          </cell>
          <cell r="G1434">
            <v>0</v>
          </cell>
          <cell r="H1434">
            <v>0</v>
          </cell>
          <cell r="I1434" t="str">
            <v>Others</v>
          </cell>
          <cell r="J1434">
            <v>3</v>
          </cell>
          <cell r="K1434" t="str">
            <v>Others</v>
          </cell>
        </row>
        <row r="1435">
          <cell r="D1435">
            <v>291413</v>
          </cell>
          <cell r="E1435" t="str">
            <v>Ketones; acyclic, without other oxygen function, 4-methylpentan-2-one (methyl isobutyl ketone)</v>
          </cell>
          <cell r="F1435">
            <v>0</v>
          </cell>
          <cell r="G1435">
            <v>0</v>
          </cell>
          <cell r="H1435">
            <v>0</v>
          </cell>
          <cell r="I1435" t="str">
            <v>Others</v>
          </cell>
          <cell r="J1435">
            <v>3</v>
          </cell>
          <cell r="K1435" t="str">
            <v>Others</v>
          </cell>
        </row>
        <row r="1436">
          <cell r="D1436">
            <v>291419</v>
          </cell>
          <cell r="E1436" t="str">
            <v>Ketones; acyclic, without other oxygen function, n.e.c. in item no. 2914.1</v>
          </cell>
          <cell r="F1436">
            <v>0</v>
          </cell>
          <cell r="G1436">
            <v>0</v>
          </cell>
          <cell r="H1436">
            <v>0</v>
          </cell>
          <cell r="I1436" t="str">
            <v>Others</v>
          </cell>
          <cell r="J1436">
            <v>3</v>
          </cell>
          <cell r="K1436" t="str">
            <v>Others</v>
          </cell>
        </row>
        <row r="1437">
          <cell r="D1437">
            <v>291422</v>
          </cell>
          <cell r="E1437" t="str">
            <v>Ketones; cyclanic, cyclenic or cycloterpenic, without other oxygen function, cyclohexanone and methylcyclohexanones</v>
          </cell>
          <cell r="F1437">
            <v>0</v>
          </cell>
          <cell r="G1437">
            <v>0</v>
          </cell>
          <cell r="H1437">
            <v>0</v>
          </cell>
          <cell r="I1437" t="str">
            <v>Others</v>
          </cell>
          <cell r="J1437">
            <v>3</v>
          </cell>
          <cell r="K1437" t="str">
            <v>Others</v>
          </cell>
        </row>
        <row r="1438">
          <cell r="D1438">
            <v>291423</v>
          </cell>
          <cell r="E1438" t="str">
            <v>Ketones; cyclanic, cyclenic or cycloterpenic, without other oxygen function, ionones and methylionones</v>
          </cell>
          <cell r="F1438">
            <v>0</v>
          </cell>
          <cell r="G1438">
            <v>0</v>
          </cell>
          <cell r="H1438">
            <v>0</v>
          </cell>
          <cell r="I1438" t="str">
            <v>Others</v>
          </cell>
          <cell r="J1438">
            <v>3</v>
          </cell>
          <cell r="K1438" t="str">
            <v>Others</v>
          </cell>
        </row>
        <row r="1439">
          <cell r="D1439">
            <v>291429</v>
          </cell>
          <cell r="E1439" t="str">
            <v>Ketones; cyclanic, cyclenic or cycloterpenic, without other oxygen function, other than cyclohexanone, methylcyclohexanones, ionones, and methylionones</v>
          </cell>
          <cell r="F1439">
            <v>0</v>
          </cell>
          <cell r="G1439">
            <v>0</v>
          </cell>
          <cell r="H1439">
            <v>0</v>
          </cell>
          <cell r="I1439" t="str">
            <v>Others</v>
          </cell>
          <cell r="J1439">
            <v>3</v>
          </cell>
          <cell r="K1439" t="str">
            <v>Others</v>
          </cell>
        </row>
        <row r="1440">
          <cell r="D1440">
            <v>291431</v>
          </cell>
          <cell r="E1440" t="str">
            <v>Ketones; aromatic, (without other oxygen function), phenylacetone (phenylpropan-2-one)</v>
          </cell>
          <cell r="F1440">
            <v>0</v>
          </cell>
          <cell r="G1440">
            <v>0</v>
          </cell>
          <cell r="H1440">
            <v>0</v>
          </cell>
          <cell r="I1440" t="str">
            <v>Others</v>
          </cell>
          <cell r="J1440">
            <v>3</v>
          </cell>
          <cell r="K1440" t="str">
            <v>Others</v>
          </cell>
        </row>
        <row r="1441">
          <cell r="D1441">
            <v>291439</v>
          </cell>
          <cell r="E1441" t="str">
            <v>Ketones; aromatic, (without other oxygen function), excluding phenylacetone (phenylpropan-2-one)</v>
          </cell>
          <cell r="F1441">
            <v>0</v>
          </cell>
          <cell r="G1441">
            <v>0</v>
          </cell>
          <cell r="H1441">
            <v>0</v>
          </cell>
          <cell r="I1441" t="str">
            <v>Others</v>
          </cell>
          <cell r="J1441">
            <v>3</v>
          </cell>
          <cell r="K1441" t="str">
            <v>Others</v>
          </cell>
        </row>
        <row r="1442">
          <cell r="D1442">
            <v>291440</v>
          </cell>
          <cell r="E1442" t="str">
            <v>Ketone-alcohols and ketone-aldehydes</v>
          </cell>
          <cell r="F1442">
            <v>0</v>
          </cell>
          <cell r="G1442">
            <v>0</v>
          </cell>
          <cell r="H1442">
            <v>0</v>
          </cell>
          <cell r="I1442" t="str">
            <v>Others</v>
          </cell>
          <cell r="J1442">
            <v>3</v>
          </cell>
          <cell r="K1442" t="str">
            <v>Others</v>
          </cell>
        </row>
        <row r="1443">
          <cell r="D1443">
            <v>291450</v>
          </cell>
          <cell r="E1443" t="str">
            <v>Ketone-phenols and ketones with other oxygen function</v>
          </cell>
          <cell r="F1443">
            <v>0</v>
          </cell>
          <cell r="G1443">
            <v>0</v>
          </cell>
          <cell r="H1443">
            <v>0</v>
          </cell>
          <cell r="I1443" t="str">
            <v>Others</v>
          </cell>
          <cell r="J1443">
            <v>3</v>
          </cell>
          <cell r="K1443" t="str">
            <v>Others</v>
          </cell>
        </row>
        <row r="1444">
          <cell r="D1444">
            <v>291461</v>
          </cell>
          <cell r="E1444" t="str">
            <v>Quinones; anthraquinone</v>
          </cell>
          <cell r="F1444">
            <v>0</v>
          </cell>
          <cell r="G1444">
            <v>0</v>
          </cell>
          <cell r="H1444">
            <v>0</v>
          </cell>
          <cell r="I1444" t="str">
            <v>Others</v>
          </cell>
          <cell r="J1444">
            <v>3</v>
          </cell>
          <cell r="K1444" t="str">
            <v>Others</v>
          </cell>
        </row>
        <row r="1445">
          <cell r="D1445">
            <v>291462</v>
          </cell>
          <cell r="E1445" t="str">
            <v>Quinones; coenzyme Q10 (ubidecarenone (INN))</v>
          </cell>
          <cell r="F1445">
            <v>0</v>
          </cell>
          <cell r="G1445">
            <v>0</v>
          </cell>
          <cell r="H1445">
            <v>0</v>
          </cell>
          <cell r="I1445" t="str">
            <v>Others</v>
          </cell>
          <cell r="J1445">
            <v>3</v>
          </cell>
          <cell r="K1445" t="str">
            <v>Others</v>
          </cell>
        </row>
        <row r="1446">
          <cell r="D1446">
            <v>291469</v>
          </cell>
          <cell r="E1446" t="str">
            <v>Quinones; other than anthraquinone and coenzyme Q10 (ubidecarenone (INN))</v>
          </cell>
          <cell r="F1446">
            <v>0</v>
          </cell>
          <cell r="G1446">
            <v>0</v>
          </cell>
          <cell r="H1446">
            <v>0</v>
          </cell>
          <cell r="I1446" t="str">
            <v>Others</v>
          </cell>
          <cell r="J1446">
            <v>3</v>
          </cell>
          <cell r="K1446" t="str">
            <v>Others</v>
          </cell>
        </row>
        <row r="1447">
          <cell r="D1447">
            <v>291471</v>
          </cell>
          <cell r="E1447" t="str">
            <v>Ketones and quinones; halogenated, sulphonated, nitrated or nitrosated derivatives; chlordecone (ISO)</v>
          </cell>
          <cell r="F1447">
            <v>0</v>
          </cell>
          <cell r="G1447">
            <v>0</v>
          </cell>
          <cell r="H1447">
            <v>0</v>
          </cell>
          <cell r="I1447" t="str">
            <v>Others</v>
          </cell>
          <cell r="J1447">
            <v>3</v>
          </cell>
          <cell r="K1447" t="str">
            <v>Others</v>
          </cell>
        </row>
        <row r="1448">
          <cell r="D1448">
            <v>291479</v>
          </cell>
          <cell r="E1448" t="str">
            <v>Ketones and quinones; halogenated, sulphonated, nitrated or nitrosated derivatives, other than chlordecone (ISO)</v>
          </cell>
          <cell r="F1448">
            <v>0</v>
          </cell>
          <cell r="G1448">
            <v>0</v>
          </cell>
          <cell r="H1448">
            <v>0</v>
          </cell>
          <cell r="I1448" t="str">
            <v>Others</v>
          </cell>
          <cell r="J1448">
            <v>3</v>
          </cell>
          <cell r="K1448" t="str">
            <v>Others</v>
          </cell>
        </row>
        <row r="1449">
          <cell r="D1449">
            <v>291511</v>
          </cell>
          <cell r="E1449" t="str">
            <v>Acids; saturated acyclic monocarboxylic acids; formic acid</v>
          </cell>
          <cell r="F1449">
            <v>0</v>
          </cell>
          <cell r="G1449">
            <v>0</v>
          </cell>
          <cell r="H1449">
            <v>0</v>
          </cell>
          <cell r="I1449" t="str">
            <v>Others</v>
          </cell>
          <cell r="J1449">
            <v>3</v>
          </cell>
          <cell r="K1449" t="str">
            <v>Others</v>
          </cell>
        </row>
        <row r="1450">
          <cell r="D1450">
            <v>291512</v>
          </cell>
          <cell r="E1450" t="str">
            <v>Acids; saturated acyclic monocarboxylic acids; salts of formic acids</v>
          </cell>
          <cell r="F1450">
            <v>0</v>
          </cell>
          <cell r="G1450">
            <v>0</v>
          </cell>
          <cell r="H1450">
            <v>0</v>
          </cell>
          <cell r="I1450" t="str">
            <v>Others</v>
          </cell>
          <cell r="J1450">
            <v>3</v>
          </cell>
          <cell r="K1450" t="str">
            <v>Others</v>
          </cell>
        </row>
        <row r="1451">
          <cell r="D1451">
            <v>291513</v>
          </cell>
          <cell r="E1451" t="str">
            <v>Acids; saturated acyclic monocarboxylic acids; esters of formic acid</v>
          </cell>
          <cell r="F1451">
            <v>0</v>
          </cell>
          <cell r="G1451">
            <v>0</v>
          </cell>
          <cell r="H1451">
            <v>0</v>
          </cell>
          <cell r="I1451" t="str">
            <v>Others</v>
          </cell>
          <cell r="J1451">
            <v>3</v>
          </cell>
          <cell r="K1451" t="str">
            <v>Others</v>
          </cell>
        </row>
        <row r="1452">
          <cell r="D1452">
            <v>291521</v>
          </cell>
          <cell r="E1452" t="str">
            <v>Acids; saturated acyclic monocarboxylic acids; acetic acid</v>
          </cell>
          <cell r="F1452">
            <v>0</v>
          </cell>
          <cell r="G1452">
            <v>0</v>
          </cell>
          <cell r="H1452">
            <v>0</v>
          </cell>
          <cell r="I1452" t="str">
            <v>Others</v>
          </cell>
          <cell r="J1452">
            <v>3</v>
          </cell>
          <cell r="K1452" t="str">
            <v>Others</v>
          </cell>
        </row>
        <row r="1453">
          <cell r="D1453">
            <v>291524</v>
          </cell>
          <cell r="E1453" t="str">
            <v>Acids; saturated acyclic monocarboxylic acids; acetic anhydride</v>
          </cell>
          <cell r="F1453">
            <v>0</v>
          </cell>
          <cell r="G1453">
            <v>0</v>
          </cell>
          <cell r="H1453">
            <v>0</v>
          </cell>
          <cell r="I1453" t="str">
            <v>Others</v>
          </cell>
          <cell r="J1453">
            <v>3</v>
          </cell>
          <cell r="K1453" t="str">
            <v>Others</v>
          </cell>
        </row>
        <row r="1454">
          <cell r="D1454">
            <v>291529</v>
          </cell>
          <cell r="E1454" t="str">
            <v>Acids; saturated acyclic monocarboxylic acids; acetic acid and its salts n.e.c. in item no. 2915.2</v>
          </cell>
          <cell r="F1454">
            <v>0</v>
          </cell>
          <cell r="G1454">
            <v>0</v>
          </cell>
          <cell r="H1454">
            <v>0</v>
          </cell>
          <cell r="I1454" t="str">
            <v>Others</v>
          </cell>
          <cell r="J1454">
            <v>3</v>
          </cell>
          <cell r="K1454" t="str">
            <v>Others</v>
          </cell>
        </row>
        <row r="1455">
          <cell r="D1455">
            <v>291531</v>
          </cell>
          <cell r="E1455" t="str">
            <v>Acids; saturated acyclic monocarboxylic acids; ethyl acetate</v>
          </cell>
          <cell r="F1455">
            <v>0</v>
          </cell>
          <cell r="G1455">
            <v>0</v>
          </cell>
          <cell r="H1455">
            <v>0</v>
          </cell>
          <cell r="I1455" t="str">
            <v>Others</v>
          </cell>
          <cell r="J1455">
            <v>3</v>
          </cell>
          <cell r="K1455" t="str">
            <v>Others</v>
          </cell>
        </row>
        <row r="1456">
          <cell r="D1456">
            <v>291532</v>
          </cell>
          <cell r="E1456" t="str">
            <v>Acids; saturated acyclic monocarboxylic acids; vinyl acetate</v>
          </cell>
          <cell r="F1456">
            <v>0</v>
          </cell>
          <cell r="G1456">
            <v>0</v>
          </cell>
          <cell r="H1456">
            <v>0</v>
          </cell>
          <cell r="I1456" t="str">
            <v>Others</v>
          </cell>
          <cell r="J1456">
            <v>3</v>
          </cell>
          <cell r="K1456" t="str">
            <v>Others</v>
          </cell>
        </row>
        <row r="1457">
          <cell r="D1457">
            <v>291533</v>
          </cell>
          <cell r="E1457" t="str">
            <v>Acids; saturated acyclic monocarboxylic acids; n-butyl acetate</v>
          </cell>
          <cell r="F1457">
            <v>0</v>
          </cell>
          <cell r="G1457">
            <v>0</v>
          </cell>
          <cell r="H1457">
            <v>0</v>
          </cell>
          <cell r="I1457" t="str">
            <v>Others</v>
          </cell>
          <cell r="J1457">
            <v>3</v>
          </cell>
          <cell r="K1457" t="str">
            <v>Others</v>
          </cell>
        </row>
        <row r="1458">
          <cell r="D1458">
            <v>291536</v>
          </cell>
          <cell r="E1458" t="str">
            <v>Acids; saturated acyclic monocarboxylic acids; dinoseb (ISO) acetate</v>
          </cell>
          <cell r="F1458">
            <v>0</v>
          </cell>
          <cell r="G1458">
            <v>0</v>
          </cell>
          <cell r="H1458">
            <v>0</v>
          </cell>
          <cell r="I1458" t="str">
            <v>Others</v>
          </cell>
          <cell r="J1458">
            <v>3</v>
          </cell>
          <cell r="K1458" t="str">
            <v>Others</v>
          </cell>
        </row>
        <row r="1459">
          <cell r="D1459">
            <v>291539</v>
          </cell>
          <cell r="E1459" t="str">
            <v>Acids; saturated acyclic monocarboxylic acids; esters of acetic acid n.e.c. in item no. 2915.3</v>
          </cell>
          <cell r="F1459">
            <v>0</v>
          </cell>
          <cell r="G1459">
            <v>0</v>
          </cell>
          <cell r="H1459">
            <v>0</v>
          </cell>
          <cell r="I1459" t="str">
            <v>Others</v>
          </cell>
          <cell r="J1459">
            <v>3</v>
          </cell>
          <cell r="K1459" t="str">
            <v>Others</v>
          </cell>
        </row>
        <row r="1460">
          <cell r="D1460">
            <v>291540</v>
          </cell>
          <cell r="E1460" t="str">
            <v>Acids; saturated acyclic monocarboxylic acids; mono-, di- or trichloroacetic acids, their salts and esters</v>
          </cell>
          <cell r="F1460">
            <v>0</v>
          </cell>
          <cell r="G1460">
            <v>0</v>
          </cell>
          <cell r="H1460">
            <v>0</v>
          </cell>
          <cell r="I1460" t="str">
            <v>Others</v>
          </cell>
          <cell r="J1460">
            <v>3</v>
          </cell>
          <cell r="K1460" t="str">
            <v>Others</v>
          </cell>
        </row>
        <row r="1461">
          <cell r="D1461">
            <v>291550</v>
          </cell>
          <cell r="E1461" t="str">
            <v>Acids; saturated acyclic monocarboxylic acids; propionic acid, its salts and esters</v>
          </cell>
          <cell r="F1461">
            <v>0</v>
          </cell>
          <cell r="G1461">
            <v>0</v>
          </cell>
          <cell r="H1461">
            <v>0</v>
          </cell>
          <cell r="I1461" t="str">
            <v>Others</v>
          </cell>
          <cell r="J1461">
            <v>3</v>
          </cell>
          <cell r="K1461" t="str">
            <v>Others</v>
          </cell>
        </row>
        <row r="1462">
          <cell r="D1462">
            <v>291560</v>
          </cell>
          <cell r="E1462" t="str">
            <v>Acids; saturated acyclic monocarboxylic acids; butanoic acids, pentanoic acids, their salts and esters</v>
          </cell>
          <cell r="F1462">
            <v>0</v>
          </cell>
          <cell r="G1462">
            <v>0</v>
          </cell>
          <cell r="H1462">
            <v>0</v>
          </cell>
          <cell r="I1462" t="str">
            <v>Others</v>
          </cell>
          <cell r="J1462">
            <v>3</v>
          </cell>
          <cell r="K1462" t="str">
            <v>Others</v>
          </cell>
        </row>
        <row r="1463">
          <cell r="D1463">
            <v>291570</v>
          </cell>
          <cell r="E1463" t="str">
            <v>Acids; saturated acyclic monocarboxylic acids; palmitic acid, stearic acid, their salts and esters</v>
          </cell>
          <cell r="F1463">
            <v>0</v>
          </cell>
          <cell r="G1463">
            <v>0</v>
          </cell>
          <cell r="H1463">
            <v>0</v>
          </cell>
          <cell r="I1463" t="str">
            <v>Others</v>
          </cell>
          <cell r="J1463">
            <v>3</v>
          </cell>
          <cell r="K1463" t="str">
            <v>Others</v>
          </cell>
        </row>
        <row r="1464">
          <cell r="D1464">
            <v>291590</v>
          </cell>
          <cell r="E1464" t="str">
            <v>Acids; saturated acyclic monocarboxylic acids; anhydrides, halides, peroxides, peroxyacids and halogenated, sulphonated, nitrated or nitrosated derivatives, n.e.c. in heading no. 2915</v>
          </cell>
          <cell r="F1464">
            <v>0</v>
          </cell>
          <cell r="G1464">
            <v>0</v>
          </cell>
          <cell r="H1464">
            <v>0</v>
          </cell>
          <cell r="I1464" t="str">
            <v>Others</v>
          </cell>
          <cell r="J1464">
            <v>3</v>
          </cell>
          <cell r="K1464" t="str">
            <v>Others</v>
          </cell>
        </row>
        <row r="1465">
          <cell r="D1465">
            <v>291611</v>
          </cell>
          <cell r="E1465" t="str">
            <v>Acids; unsaturated acyclic monocarboxylic acids; acrylic acid and its salts</v>
          </cell>
          <cell r="F1465">
            <v>0</v>
          </cell>
          <cell r="G1465">
            <v>0</v>
          </cell>
          <cell r="H1465">
            <v>0</v>
          </cell>
          <cell r="I1465" t="str">
            <v>Others</v>
          </cell>
          <cell r="J1465">
            <v>3</v>
          </cell>
          <cell r="K1465" t="str">
            <v>Others</v>
          </cell>
        </row>
        <row r="1466">
          <cell r="D1466">
            <v>291612</v>
          </cell>
          <cell r="E1466" t="str">
            <v>Acids; unsaturated acyclic monocarboxylic acids; esters of acrylic acid</v>
          </cell>
          <cell r="F1466">
            <v>0</v>
          </cell>
          <cell r="G1466">
            <v>0</v>
          </cell>
          <cell r="H1466">
            <v>0</v>
          </cell>
          <cell r="I1466" t="str">
            <v>Others</v>
          </cell>
          <cell r="J1466">
            <v>3</v>
          </cell>
          <cell r="K1466" t="str">
            <v>Others</v>
          </cell>
        </row>
        <row r="1467">
          <cell r="D1467">
            <v>291613</v>
          </cell>
          <cell r="E1467" t="str">
            <v>Acids; unsaturated acyclic monocarboxylic acids; methacrylic acid and its salts</v>
          </cell>
          <cell r="F1467">
            <v>0</v>
          </cell>
          <cell r="G1467">
            <v>0</v>
          </cell>
          <cell r="H1467">
            <v>0</v>
          </cell>
          <cell r="I1467" t="str">
            <v>Others</v>
          </cell>
          <cell r="J1467">
            <v>3</v>
          </cell>
          <cell r="K1467" t="str">
            <v>Others</v>
          </cell>
        </row>
        <row r="1468">
          <cell r="D1468">
            <v>291614</v>
          </cell>
          <cell r="E1468" t="str">
            <v>Acids; unsaturated acyclic monocarboxylic acids; esters of methacrylic acid</v>
          </cell>
          <cell r="F1468">
            <v>0</v>
          </cell>
          <cell r="G1468">
            <v>0</v>
          </cell>
          <cell r="H1468">
            <v>0</v>
          </cell>
          <cell r="I1468" t="str">
            <v>Others</v>
          </cell>
          <cell r="J1468">
            <v>3</v>
          </cell>
          <cell r="K1468" t="str">
            <v>Others</v>
          </cell>
        </row>
        <row r="1469">
          <cell r="D1469">
            <v>291615</v>
          </cell>
          <cell r="E1469" t="str">
            <v>Acids; unsaturated acyclic monocarboxylic acids; oleic, linoleic or linolenic acids, their salts and esters</v>
          </cell>
          <cell r="F1469">
            <v>0</v>
          </cell>
          <cell r="G1469">
            <v>0</v>
          </cell>
          <cell r="H1469">
            <v>0</v>
          </cell>
          <cell r="I1469" t="str">
            <v>Others</v>
          </cell>
          <cell r="J1469">
            <v>3</v>
          </cell>
          <cell r="K1469" t="str">
            <v>Others</v>
          </cell>
        </row>
        <row r="1470">
          <cell r="D1470">
            <v>291616</v>
          </cell>
          <cell r="E1470" t="str">
            <v>Acids; unsaturated acyclic monocarboxylic, cyclic monocarboxylic, their anhydrides, halides, peroxides and peroxyacids; their halogenated, sulphonated, nitrated or nitrosated derivatives, binapacryl (ISO)</v>
          </cell>
          <cell r="F1470">
            <v>0</v>
          </cell>
          <cell r="G1470">
            <v>0</v>
          </cell>
          <cell r="H1470">
            <v>0</v>
          </cell>
          <cell r="I1470" t="str">
            <v>Others</v>
          </cell>
          <cell r="J1470">
            <v>3</v>
          </cell>
          <cell r="K1470" t="str">
            <v>Others</v>
          </cell>
        </row>
        <row r="1471">
          <cell r="D1471">
            <v>291619</v>
          </cell>
          <cell r="E1471" t="str">
            <v>Acids; unsaturated acyclic monocarboxylic, cyclic monocarboxylic, their anhydrides, halides, peroxides and peroxyacids; their halogenated, sulphonated, nitrated or nitrosated derivatives, n.e.c. in item no. 2916.1</v>
          </cell>
          <cell r="F1471">
            <v>0</v>
          </cell>
          <cell r="G1471">
            <v>0</v>
          </cell>
          <cell r="H1471">
            <v>0</v>
          </cell>
          <cell r="I1471" t="str">
            <v>Others</v>
          </cell>
          <cell r="J1471">
            <v>3</v>
          </cell>
          <cell r="K1471" t="str">
            <v>Others</v>
          </cell>
        </row>
        <row r="1472">
          <cell r="D1472">
            <v>291620</v>
          </cell>
          <cell r="E1472" t="str">
            <v>Acids; cyclanic, cyclenic or cycloterpenic monocarboxylic acids, their anhydrides, halides, peroxides, peroxyacids and their derivatives</v>
          </cell>
          <cell r="F1472">
            <v>0</v>
          </cell>
          <cell r="G1472">
            <v>0</v>
          </cell>
          <cell r="H1472">
            <v>0</v>
          </cell>
          <cell r="I1472" t="str">
            <v>Others</v>
          </cell>
          <cell r="J1472">
            <v>3</v>
          </cell>
          <cell r="K1472" t="str">
            <v>Others</v>
          </cell>
        </row>
        <row r="1473">
          <cell r="D1473">
            <v>291631</v>
          </cell>
          <cell r="E1473" t="str">
            <v>Acids; aromatic monocarboxylic acids, benzoic acid, its salts and esters</v>
          </cell>
          <cell r="F1473">
            <v>0</v>
          </cell>
          <cell r="G1473">
            <v>0</v>
          </cell>
          <cell r="H1473">
            <v>0</v>
          </cell>
          <cell r="I1473" t="str">
            <v>Others</v>
          </cell>
          <cell r="J1473">
            <v>3</v>
          </cell>
          <cell r="K1473" t="str">
            <v>Others</v>
          </cell>
        </row>
        <row r="1474">
          <cell r="D1474">
            <v>291632</v>
          </cell>
          <cell r="E1474" t="str">
            <v>Acids; aromatic monocarboxylic acids, benzoyl peroxide and benzoyl chloride</v>
          </cell>
          <cell r="F1474">
            <v>0</v>
          </cell>
          <cell r="G1474">
            <v>0</v>
          </cell>
          <cell r="H1474">
            <v>0</v>
          </cell>
          <cell r="I1474" t="str">
            <v>Others</v>
          </cell>
          <cell r="J1474">
            <v>3</v>
          </cell>
          <cell r="K1474" t="str">
            <v>Others</v>
          </cell>
        </row>
        <row r="1475">
          <cell r="D1475">
            <v>291634</v>
          </cell>
          <cell r="E1475" t="str">
            <v>Acids; aromatic monocarboxylic acids, phenylacetic acid and its salts</v>
          </cell>
          <cell r="F1475">
            <v>0</v>
          </cell>
          <cell r="G1475">
            <v>0</v>
          </cell>
          <cell r="H1475">
            <v>0</v>
          </cell>
          <cell r="I1475" t="str">
            <v>Others</v>
          </cell>
          <cell r="J1475">
            <v>3</v>
          </cell>
          <cell r="K1475" t="str">
            <v>Others</v>
          </cell>
        </row>
        <row r="1476">
          <cell r="D1476">
            <v>291639</v>
          </cell>
          <cell r="E1476" t="str">
            <v>Acids; aromatic monocarboxylic acids, and their anhydrides, halides, peroxides, peroxyacids and their derivatives, other than benzoic acid, its salts and esters, benzoyl peroxide and benzoyl chloride, phenylacetic acid and its salts</v>
          </cell>
          <cell r="F1476">
            <v>0</v>
          </cell>
          <cell r="G1476">
            <v>0</v>
          </cell>
          <cell r="H1476">
            <v>0</v>
          </cell>
          <cell r="I1476" t="str">
            <v>Others</v>
          </cell>
          <cell r="J1476">
            <v>3</v>
          </cell>
          <cell r="K1476" t="str">
            <v>Others</v>
          </cell>
        </row>
        <row r="1477">
          <cell r="D1477">
            <v>291711</v>
          </cell>
          <cell r="E1477" t="str">
            <v>Acids; acyclic polycarboxylic acids; oxalic acid, its salts and esters</v>
          </cell>
          <cell r="F1477">
            <v>0</v>
          </cell>
          <cell r="G1477">
            <v>0</v>
          </cell>
          <cell r="H1477">
            <v>0</v>
          </cell>
          <cell r="I1477" t="str">
            <v>Others</v>
          </cell>
          <cell r="J1477">
            <v>3</v>
          </cell>
          <cell r="K1477" t="str">
            <v>Others</v>
          </cell>
        </row>
        <row r="1478">
          <cell r="D1478">
            <v>291712</v>
          </cell>
          <cell r="E1478" t="str">
            <v>Acids; acyclic polycarboxylic acids; adipic acid, its salts and esters</v>
          </cell>
          <cell r="F1478" t="str">
            <v>Consumables</v>
          </cell>
          <cell r="G1478">
            <v>0</v>
          </cell>
          <cell r="H1478">
            <v>0</v>
          </cell>
          <cell r="I1478" t="str">
            <v>Others</v>
          </cell>
          <cell r="J1478">
            <v>2</v>
          </cell>
          <cell r="K1478" t="str">
            <v>Consumables - rc</v>
          </cell>
        </row>
        <row r="1479">
          <cell r="D1479">
            <v>291713</v>
          </cell>
          <cell r="E1479" t="str">
            <v>Acids; acyclic polycarboxylic acids; azelaic acid, sebacic acid, their salts and esters</v>
          </cell>
          <cell r="F1479">
            <v>0</v>
          </cell>
          <cell r="G1479">
            <v>0</v>
          </cell>
          <cell r="H1479">
            <v>0</v>
          </cell>
          <cell r="I1479" t="str">
            <v>Others</v>
          </cell>
          <cell r="J1479">
            <v>3</v>
          </cell>
          <cell r="K1479" t="str">
            <v>Others</v>
          </cell>
        </row>
        <row r="1480">
          <cell r="D1480">
            <v>291714</v>
          </cell>
          <cell r="E1480" t="str">
            <v>Acids; acyclic polycarboxylic acids; maleic anhydride</v>
          </cell>
          <cell r="F1480">
            <v>0</v>
          </cell>
          <cell r="G1480">
            <v>0</v>
          </cell>
          <cell r="H1480">
            <v>0</v>
          </cell>
          <cell r="I1480" t="str">
            <v>Others</v>
          </cell>
          <cell r="J1480">
            <v>3</v>
          </cell>
          <cell r="K1480" t="str">
            <v>Others</v>
          </cell>
        </row>
        <row r="1481">
          <cell r="D1481">
            <v>291719</v>
          </cell>
          <cell r="E1481" t="str">
            <v>Acids; acyclic polycarboxylic acids; n.e.c. in item no. 2917.1</v>
          </cell>
          <cell r="F1481">
            <v>0</v>
          </cell>
          <cell r="G1481">
            <v>0</v>
          </cell>
          <cell r="H1481">
            <v>0</v>
          </cell>
          <cell r="I1481" t="str">
            <v>Others</v>
          </cell>
          <cell r="J1481">
            <v>3</v>
          </cell>
          <cell r="K1481" t="str">
            <v>Others</v>
          </cell>
        </row>
        <row r="1482">
          <cell r="D1482">
            <v>291720</v>
          </cell>
          <cell r="E1482" t="str">
            <v>Acids; cyclanic, cyclenic or cycloterpenic polycarboxylic acids, their anhydrides, halides, peroxides, peroxyacids and derivatives</v>
          </cell>
          <cell r="F1482">
            <v>0</v>
          </cell>
          <cell r="G1482">
            <v>0</v>
          </cell>
          <cell r="H1482">
            <v>0</v>
          </cell>
          <cell r="I1482" t="str">
            <v>Others</v>
          </cell>
          <cell r="J1482">
            <v>3</v>
          </cell>
          <cell r="K1482" t="str">
            <v>Others</v>
          </cell>
        </row>
        <row r="1483">
          <cell r="D1483">
            <v>291732</v>
          </cell>
          <cell r="E1483" t="str">
            <v>Acids; aromatic polycarboxylic acids; dioctyl orthophthalates</v>
          </cell>
          <cell r="F1483">
            <v>0</v>
          </cell>
          <cell r="G1483">
            <v>0</v>
          </cell>
          <cell r="H1483">
            <v>0</v>
          </cell>
          <cell r="I1483" t="str">
            <v>Others</v>
          </cell>
          <cell r="J1483">
            <v>3</v>
          </cell>
          <cell r="K1483" t="str">
            <v>Others</v>
          </cell>
        </row>
        <row r="1484">
          <cell r="D1484">
            <v>291733</v>
          </cell>
          <cell r="E1484" t="str">
            <v>Acids; aromatic polycarboxylic acids; dinonyl or didecyl orthophthalates</v>
          </cell>
          <cell r="F1484">
            <v>0</v>
          </cell>
          <cell r="G1484">
            <v>0</v>
          </cell>
          <cell r="H1484">
            <v>0</v>
          </cell>
          <cell r="I1484" t="str">
            <v>Others</v>
          </cell>
          <cell r="J1484">
            <v>3</v>
          </cell>
          <cell r="K1484" t="str">
            <v>Others</v>
          </cell>
        </row>
        <row r="1485">
          <cell r="D1485">
            <v>291734</v>
          </cell>
          <cell r="E1485" t="str">
            <v>Acids; aromatic polycarboxylic acids; other esters of orthophthalic acids</v>
          </cell>
          <cell r="F1485">
            <v>0</v>
          </cell>
          <cell r="G1485">
            <v>0</v>
          </cell>
          <cell r="H1485">
            <v>0</v>
          </cell>
          <cell r="I1485" t="str">
            <v>Others</v>
          </cell>
          <cell r="J1485">
            <v>3</v>
          </cell>
          <cell r="K1485" t="str">
            <v>Others</v>
          </cell>
        </row>
        <row r="1486">
          <cell r="D1486">
            <v>291735</v>
          </cell>
          <cell r="E1486" t="str">
            <v>Acids; aromatic polycarboxylic acids; phthalic anhydride</v>
          </cell>
          <cell r="F1486">
            <v>0</v>
          </cell>
          <cell r="G1486">
            <v>0</v>
          </cell>
          <cell r="H1486">
            <v>0</v>
          </cell>
          <cell r="I1486" t="str">
            <v>Others</v>
          </cell>
          <cell r="J1486">
            <v>3</v>
          </cell>
          <cell r="K1486" t="str">
            <v>Others</v>
          </cell>
        </row>
        <row r="1487">
          <cell r="D1487">
            <v>291736</v>
          </cell>
          <cell r="E1487" t="str">
            <v>Acids; aromatic polycarboxylic acids; terephthalic acid and its salts</v>
          </cell>
          <cell r="F1487">
            <v>0</v>
          </cell>
          <cell r="G1487">
            <v>0</v>
          </cell>
          <cell r="H1487">
            <v>0</v>
          </cell>
          <cell r="I1487" t="str">
            <v>Others</v>
          </cell>
          <cell r="J1487">
            <v>3</v>
          </cell>
          <cell r="K1487" t="str">
            <v>Others</v>
          </cell>
        </row>
        <row r="1488">
          <cell r="D1488">
            <v>291737</v>
          </cell>
          <cell r="E1488" t="str">
            <v>Acids; aromatic polycarboxylic acids; dimethyl terephthalate</v>
          </cell>
          <cell r="F1488">
            <v>0</v>
          </cell>
          <cell r="G1488">
            <v>0</v>
          </cell>
          <cell r="H1488">
            <v>0</v>
          </cell>
          <cell r="I1488" t="str">
            <v>Others</v>
          </cell>
          <cell r="J1488">
            <v>3</v>
          </cell>
          <cell r="K1488" t="str">
            <v>Others</v>
          </cell>
        </row>
        <row r="1489">
          <cell r="D1489">
            <v>291739</v>
          </cell>
          <cell r="E1489" t="str">
            <v>Acids; aromatic polycarboxylic acids; n.e.c. in item no. 2917.3</v>
          </cell>
          <cell r="F1489">
            <v>0</v>
          </cell>
          <cell r="G1489">
            <v>0</v>
          </cell>
          <cell r="H1489">
            <v>0</v>
          </cell>
          <cell r="I1489" t="str">
            <v>Others</v>
          </cell>
          <cell r="J1489">
            <v>3</v>
          </cell>
          <cell r="K1489" t="str">
            <v>Others</v>
          </cell>
        </row>
        <row r="1490">
          <cell r="D1490">
            <v>291811</v>
          </cell>
          <cell r="E1490" t="str">
            <v>Acids; carboxylic acids, (with alcohol function but without other oxygen function), lactic acid, its salts and esters</v>
          </cell>
          <cell r="F1490">
            <v>0</v>
          </cell>
          <cell r="G1490">
            <v>0</v>
          </cell>
          <cell r="H1490">
            <v>0</v>
          </cell>
          <cell r="I1490" t="str">
            <v>Others</v>
          </cell>
          <cell r="J1490">
            <v>3</v>
          </cell>
          <cell r="K1490" t="str">
            <v>Others</v>
          </cell>
        </row>
        <row r="1491">
          <cell r="D1491">
            <v>291812</v>
          </cell>
          <cell r="E1491" t="str">
            <v>Acids; carboxylic acids, (with alcohol function but without other oxygen function), tartaric acid</v>
          </cell>
          <cell r="F1491">
            <v>0</v>
          </cell>
          <cell r="G1491">
            <v>0</v>
          </cell>
          <cell r="H1491">
            <v>0</v>
          </cell>
          <cell r="I1491" t="str">
            <v>Others</v>
          </cell>
          <cell r="J1491">
            <v>3</v>
          </cell>
          <cell r="K1491" t="str">
            <v>Others</v>
          </cell>
        </row>
        <row r="1492">
          <cell r="D1492">
            <v>291813</v>
          </cell>
          <cell r="E1492" t="str">
            <v>Acids; carboxylic acids, (with alcohol function but without other oxygen function); salts and esters of tartaric acid</v>
          </cell>
          <cell r="F1492">
            <v>0</v>
          </cell>
          <cell r="G1492">
            <v>0</v>
          </cell>
          <cell r="H1492">
            <v>0</v>
          </cell>
          <cell r="I1492" t="str">
            <v>Others</v>
          </cell>
          <cell r="J1492">
            <v>3</v>
          </cell>
          <cell r="K1492" t="str">
            <v>Others</v>
          </cell>
        </row>
        <row r="1493">
          <cell r="D1493">
            <v>291814</v>
          </cell>
          <cell r="E1493" t="str">
            <v>Acids; carboxylic acids, (with alcohol function but without other oxygen function), citric acid</v>
          </cell>
          <cell r="F1493">
            <v>0</v>
          </cell>
          <cell r="G1493">
            <v>0</v>
          </cell>
          <cell r="H1493">
            <v>0</v>
          </cell>
          <cell r="I1493" t="str">
            <v>Others</v>
          </cell>
          <cell r="J1493">
            <v>3</v>
          </cell>
          <cell r="K1493" t="str">
            <v>Others</v>
          </cell>
        </row>
        <row r="1494">
          <cell r="D1494">
            <v>291815</v>
          </cell>
          <cell r="E1494" t="str">
            <v>Acids; carboxylic acids, (with alcohol function but without other oxygen function), salts and esters of citric acid</v>
          </cell>
          <cell r="F1494">
            <v>0</v>
          </cell>
          <cell r="G1494">
            <v>0</v>
          </cell>
          <cell r="H1494">
            <v>0</v>
          </cell>
          <cell r="I1494" t="str">
            <v>Others</v>
          </cell>
          <cell r="J1494">
            <v>3</v>
          </cell>
          <cell r="K1494" t="str">
            <v>Others</v>
          </cell>
        </row>
        <row r="1495">
          <cell r="D1495">
            <v>291816</v>
          </cell>
          <cell r="E1495" t="str">
            <v>Acids; carboxylic acids, (with alcohol function but without other oxygen function), gluconic acid, its salts and esters</v>
          </cell>
          <cell r="F1495">
            <v>0</v>
          </cell>
          <cell r="G1495">
            <v>0</v>
          </cell>
          <cell r="H1495">
            <v>0</v>
          </cell>
          <cell r="I1495" t="str">
            <v>Others</v>
          </cell>
          <cell r="J1495">
            <v>3</v>
          </cell>
          <cell r="K1495" t="str">
            <v>Others</v>
          </cell>
        </row>
        <row r="1496">
          <cell r="D1496">
            <v>291817</v>
          </cell>
          <cell r="E1496" t="str">
            <v>Acids; carboxylic acids, (with alcohol function but without other oxygen function), 2,2-Diphenyl-2-hydroxyacetic acid (benzilic acid)</v>
          </cell>
          <cell r="F1496">
            <v>0</v>
          </cell>
          <cell r="G1496">
            <v>0</v>
          </cell>
          <cell r="H1496">
            <v>0</v>
          </cell>
          <cell r="I1496" t="str">
            <v>Others</v>
          </cell>
          <cell r="J1496">
            <v>3</v>
          </cell>
          <cell r="K1496" t="str">
            <v>Others</v>
          </cell>
        </row>
        <row r="1497">
          <cell r="D1497">
            <v>291818</v>
          </cell>
          <cell r="E1497" t="str">
            <v>Acids; carboxylic acids, (with alcohol function but without other oxygen function), chlorobenzilate (ISO)</v>
          </cell>
          <cell r="F1497">
            <v>0</v>
          </cell>
          <cell r="G1497">
            <v>0</v>
          </cell>
          <cell r="H1497">
            <v>0</v>
          </cell>
          <cell r="I1497" t="str">
            <v>Others</v>
          </cell>
          <cell r="J1497">
            <v>3</v>
          </cell>
          <cell r="K1497" t="str">
            <v>Others</v>
          </cell>
        </row>
        <row r="1498">
          <cell r="D1498">
            <v>291819</v>
          </cell>
          <cell r="E1498" t="str">
            <v>Acids; carboxylic acids, (with alcohol function but without other oxygen function), other than lactic, tartaric, citric, and gluconic acids and their salts and esters</v>
          </cell>
          <cell r="F1498">
            <v>0</v>
          </cell>
          <cell r="G1498">
            <v>0</v>
          </cell>
          <cell r="H1498">
            <v>0</v>
          </cell>
          <cell r="I1498" t="str">
            <v>Others</v>
          </cell>
          <cell r="J1498">
            <v>3</v>
          </cell>
          <cell r="K1498" t="str">
            <v>Others</v>
          </cell>
        </row>
        <row r="1499">
          <cell r="D1499">
            <v>291821</v>
          </cell>
          <cell r="E1499" t="str">
            <v>Acids; carboxylic acids, (with phenol function but without other oxygen function), salicylic acid and its salts</v>
          </cell>
          <cell r="F1499">
            <v>0</v>
          </cell>
          <cell r="G1499">
            <v>0</v>
          </cell>
          <cell r="H1499">
            <v>0</v>
          </cell>
          <cell r="I1499" t="str">
            <v>Others</v>
          </cell>
          <cell r="J1499">
            <v>3</v>
          </cell>
          <cell r="K1499" t="str">
            <v>Others</v>
          </cell>
        </row>
        <row r="1500">
          <cell r="D1500">
            <v>291822</v>
          </cell>
          <cell r="E1500" t="str">
            <v>Acids; carboxylic acids, (with phenol function but without other oxygen function), o-acetylsalicylic acid, its salts and esters</v>
          </cell>
          <cell r="F1500">
            <v>0</v>
          </cell>
          <cell r="G1500">
            <v>0</v>
          </cell>
          <cell r="H1500">
            <v>0</v>
          </cell>
          <cell r="I1500" t="str">
            <v>Others</v>
          </cell>
          <cell r="J1500">
            <v>3</v>
          </cell>
          <cell r="K1500" t="str">
            <v>Others</v>
          </cell>
        </row>
        <row r="1501">
          <cell r="D1501">
            <v>291823</v>
          </cell>
          <cell r="E1501" t="str">
            <v>Acids; carboxylic acids, (with phenol function but without other oxygen function), other esters of salicylic acid and its salts n.e.c. in item no. 2918.2</v>
          </cell>
          <cell r="F1501">
            <v>0</v>
          </cell>
          <cell r="G1501">
            <v>0</v>
          </cell>
          <cell r="H1501">
            <v>0</v>
          </cell>
          <cell r="I1501" t="str">
            <v>Others</v>
          </cell>
          <cell r="J1501">
            <v>3</v>
          </cell>
          <cell r="K1501" t="str">
            <v>Others</v>
          </cell>
        </row>
        <row r="1502">
          <cell r="D1502">
            <v>291829</v>
          </cell>
          <cell r="E1502" t="str">
            <v>Acids; carboxylic acids, (with phenol function but without other oxygen function), their anhydrides, halides, peroxides, peroxyacids and their derivatives, n.e.c. in item no. 2918.2</v>
          </cell>
          <cell r="F1502">
            <v>0</v>
          </cell>
          <cell r="G1502">
            <v>0</v>
          </cell>
          <cell r="H1502">
            <v>0</v>
          </cell>
          <cell r="I1502" t="str">
            <v>Others</v>
          </cell>
          <cell r="J1502">
            <v>3</v>
          </cell>
          <cell r="K1502" t="str">
            <v>Others</v>
          </cell>
        </row>
        <row r="1503">
          <cell r="D1503">
            <v>291830</v>
          </cell>
          <cell r="E1503" t="str">
            <v>Acids; carboxylic acids, (with aldehyde or ketone function but without other oxygen function), their anhydrides, halides, peroxides, peroxyacids and their derivatives</v>
          </cell>
          <cell r="F1503">
            <v>0</v>
          </cell>
          <cell r="G1503">
            <v>0</v>
          </cell>
          <cell r="H1503">
            <v>0</v>
          </cell>
          <cell r="I1503" t="str">
            <v>Others</v>
          </cell>
          <cell r="J1503">
            <v>3</v>
          </cell>
          <cell r="K1503" t="str">
            <v>Others</v>
          </cell>
        </row>
        <row r="1504">
          <cell r="D1504">
            <v>291891</v>
          </cell>
          <cell r="E1504" t="str">
            <v>Acids; carboxylic acids, with additional oxygen function (not alcohol, phenol, aldehyde or ketone) and their anhydrides, halides, peroxides and peroxyacids; 2,4,5-T (ISO) (2,4,5-trichlorophenoxyacetic acid), its salts and esters</v>
          </cell>
          <cell r="F1504">
            <v>0</v>
          </cell>
          <cell r="G1504">
            <v>0</v>
          </cell>
          <cell r="H1504">
            <v>0</v>
          </cell>
          <cell r="I1504" t="str">
            <v>Others</v>
          </cell>
          <cell r="J1504">
            <v>3</v>
          </cell>
          <cell r="K1504" t="str">
            <v>Others</v>
          </cell>
        </row>
        <row r="1505">
          <cell r="D1505">
            <v>291899</v>
          </cell>
          <cell r="E1505" t="str">
            <v>Acids; carboxylic acids, with additional oxygen function (not alcohol, phenol, aldehyde or ketone) and their anhydrides, halides, peroxides and peroxyacids; their halogenated, sulphonated, nitrated or nitrosated derivatives; other than 2,4,5-T (ISO)</v>
          </cell>
          <cell r="F1505">
            <v>0</v>
          </cell>
          <cell r="G1505">
            <v>0</v>
          </cell>
          <cell r="H1505">
            <v>0</v>
          </cell>
          <cell r="I1505" t="str">
            <v>Others</v>
          </cell>
          <cell r="J1505">
            <v>3</v>
          </cell>
          <cell r="K1505" t="str">
            <v>Others</v>
          </cell>
        </row>
        <row r="1506">
          <cell r="D1506">
            <v>291910</v>
          </cell>
          <cell r="E1506" t="str">
            <v>Esters; phosphoric, and their salts, including lactophosphates, their halogenated, sulphonated, nitrated or nitrosated derivatives; tris(2,3-dibromopropyl) phosphate</v>
          </cell>
          <cell r="F1506">
            <v>0</v>
          </cell>
          <cell r="G1506">
            <v>0</v>
          </cell>
          <cell r="H1506">
            <v>0</v>
          </cell>
          <cell r="I1506" t="str">
            <v>Others</v>
          </cell>
          <cell r="J1506">
            <v>3</v>
          </cell>
          <cell r="K1506" t="str">
            <v>Others</v>
          </cell>
        </row>
        <row r="1507">
          <cell r="D1507">
            <v>291990</v>
          </cell>
          <cell r="E1507" t="str">
            <v>Esters; phosphoric, and their salts, including lactophosphates, their halogenated, sulphonated, nitrated or nitrosated derivatives; other than tris(2,3-dibromopropyl) phosphate</v>
          </cell>
          <cell r="F1507">
            <v>0</v>
          </cell>
          <cell r="G1507">
            <v>0</v>
          </cell>
          <cell r="H1507">
            <v>0</v>
          </cell>
          <cell r="I1507" t="str">
            <v>Others</v>
          </cell>
          <cell r="J1507">
            <v>3</v>
          </cell>
          <cell r="K1507" t="str">
            <v>Others</v>
          </cell>
        </row>
        <row r="1508">
          <cell r="D1508">
            <v>292011</v>
          </cell>
          <cell r="E1508" t="str">
            <v>Esters; thiophosphoric esters (phosphorothioates) and their salts, their halogenated, sulphonated, nitrated or nitrosated derivatives, parathion (ISO) and parathion-methyl (ISO) (methyl-parathion)</v>
          </cell>
          <cell r="F1508">
            <v>0</v>
          </cell>
          <cell r="G1508">
            <v>0</v>
          </cell>
          <cell r="H1508">
            <v>0</v>
          </cell>
          <cell r="I1508" t="str">
            <v>Others</v>
          </cell>
          <cell r="J1508">
            <v>3</v>
          </cell>
          <cell r="K1508" t="str">
            <v>Others</v>
          </cell>
        </row>
        <row r="1509">
          <cell r="D1509">
            <v>292019</v>
          </cell>
          <cell r="E1509" t="str">
            <v>Esters; thiophosphoric esters (phosphorothioates) and their salts; other than parathion (ISO) and parathion-methyl (ISO) (methyl-parathion)</v>
          </cell>
          <cell r="F1509">
            <v>0</v>
          </cell>
          <cell r="G1509">
            <v>0</v>
          </cell>
          <cell r="H1509">
            <v>0</v>
          </cell>
          <cell r="I1509" t="str">
            <v>Others</v>
          </cell>
          <cell r="J1509">
            <v>3</v>
          </cell>
          <cell r="K1509" t="str">
            <v>Others</v>
          </cell>
        </row>
        <row r="1510">
          <cell r="D1510">
            <v>292021</v>
          </cell>
          <cell r="E1510" t="str">
            <v>Esters; phosphite esters and their salts; their halogenated, sulphonated, nitrated or nitrosated derivatives, dimethyl phosphite</v>
          </cell>
          <cell r="F1510">
            <v>0</v>
          </cell>
          <cell r="G1510">
            <v>0</v>
          </cell>
          <cell r="H1510">
            <v>0</v>
          </cell>
          <cell r="I1510" t="str">
            <v>Others</v>
          </cell>
          <cell r="J1510">
            <v>3</v>
          </cell>
          <cell r="K1510" t="str">
            <v>Others</v>
          </cell>
        </row>
        <row r="1511">
          <cell r="D1511">
            <v>292022</v>
          </cell>
          <cell r="E1511" t="str">
            <v>Esters; phosphite esters and their salts; their halogenated, sulphonated, nitrated or nitrosated derivatives, diethyl phosphite</v>
          </cell>
          <cell r="F1511">
            <v>0</v>
          </cell>
          <cell r="G1511">
            <v>0</v>
          </cell>
          <cell r="H1511">
            <v>0</v>
          </cell>
          <cell r="I1511" t="str">
            <v>Others</v>
          </cell>
          <cell r="J1511">
            <v>3</v>
          </cell>
          <cell r="K1511" t="str">
            <v>Others</v>
          </cell>
        </row>
        <row r="1512">
          <cell r="D1512">
            <v>292023</v>
          </cell>
          <cell r="E1512" t="str">
            <v>Esters; phosphite esters and their salts; their halogenated, sulphonated, nitrated or nitrosated derivatives, trimethyl phosphite</v>
          </cell>
          <cell r="F1512">
            <v>0</v>
          </cell>
          <cell r="G1512">
            <v>0</v>
          </cell>
          <cell r="H1512">
            <v>0</v>
          </cell>
          <cell r="I1512" t="str">
            <v>Others</v>
          </cell>
          <cell r="J1512">
            <v>3</v>
          </cell>
          <cell r="K1512" t="str">
            <v>Others</v>
          </cell>
        </row>
        <row r="1513">
          <cell r="D1513">
            <v>292024</v>
          </cell>
          <cell r="E1513" t="str">
            <v>Esters; phosphite esters and their salts; their halogenated, sulphonated, nitrated or nitrosated derivatives, triethyl phosphite</v>
          </cell>
          <cell r="F1513">
            <v>0</v>
          </cell>
          <cell r="G1513">
            <v>0</v>
          </cell>
          <cell r="H1513">
            <v>0</v>
          </cell>
          <cell r="I1513" t="str">
            <v>Others</v>
          </cell>
          <cell r="J1513">
            <v>3</v>
          </cell>
          <cell r="K1513" t="str">
            <v>Others</v>
          </cell>
        </row>
        <row r="1514">
          <cell r="D1514">
            <v>292029</v>
          </cell>
          <cell r="E1514" t="str">
            <v>Esters; phosphite esters and their salts; their halogenated, sulphonated, nitrated or nitrosated derivatives, n.e.c. in heading no. 2920</v>
          </cell>
          <cell r="F1514">
            <v>0</v>
          </cell>
          <cell r="G1514">
            <v>0</v>
          </cell>
          <cell r="H1514">
            <v>0</v>
          </cell>
          <cell r="I1514" t="str">
            <v>Others</v>
          </cell>
          <cell r="J1514">
            <v>3</v>
          </cell>
          <cell r="K1514" t="str">
            <v>Others</v>
          </cell>
        </row>
        <row r="1515">
          <cell r="D1515">
            <v>292030</v>
          </cell>
          <cell r="E1515" t="str">
            <v>Esters; of other inorganic acids of non-metals (excluding esters of hydrogen halides) and their salts; their halogenated, sulphonated, nitrated or nitrosated derivatives, endosulfan (ISO)</v>
          </cell>
          <cell r="F1515">
            <v>0</v>
          </cell>
          <cell r="G1515">
            <v>0</v>
          </cell>
          <cell r="H1515">
            <v>0</v>
          </cell>
          <cell r="I1515" t="str">
            <v>Others</v>
          </cell>
          <cell r="J1515">
            <v>3</v>
          </cell>
          <cell r="K1515" t="str">
            <v>Others</v>
          </cell>
        </row>
        <row r="1516">
          <cell r="D1516">
            <v>292090</v>
          </cell>
          <cell r="E1516" t="str">
            <v>Esters; other than thiophosphoric esters (phosphorothioates) and phosphite esters and their salts, their halogenated, sulphonated, nitrated or nitrosated derivatives, n.e.c. in heading no. 2920</v>
          </cell>
          <cell r="F1516">
            <v>0</v>
          </cell>
          <cell r="G1516">
            <v>0</v>
          </cell>
          <cell r="H1516">
            <v>0</v>
          </cell>
          <cell r="I1516" t="str">
            <v>Others</v>
          </cell>
          <cell r="J1516">
            <v>3</v>
          </cell>
          <cell r="K1516" t="str">
            <v>Others</v>
          </cell>
        </row>
        <row r="1517">
          <cell r="D1517">
            <v>292111</v>
          </cell>
          <cell r="E1517" t="str">
            <v>Amine-function compounds; acyclic monoamines and their derivatives, methylamine, di- or trimethylamine and their salts</v>
          </cell>
          <cell r="F1517">
            <v>0</v>
          </cell>
          <cell r="G1517">
            <v>0</v>
          </cell>
          <cell r="H1517">
            <v>0</v>
          </cell>
          <cell r="I1517" t="str">
            <v>Others</v>
          </cell>
          <cell r="J1517">
            <v>3</v>
          </cell>
          <cell r="K1517" t="str">
            <v>Others</v>
          </cell>
        </row>
        <row r="1518">
          <cell r="D1518">
            <v>292112</v>
          </cell>
          <cell r="E1518" t="str">
            <v>Amine-function compounds; acyclic monoamines and their derivatives, and salts thereof, 2-(N,N-Dimethylamino)ethylchloride hydrochloride</v>
          </cell>
          <cell r="F1518">
            <v>0</v>
          </cell>
          <cell r="G1518">
            <v>0</v>
          </cell>
          <cell r="H1518">
            <v>0</v>
          </cell>
          <cell r="I1518" t="str">
            <v>Others</v>
          </cell>
          <cell r="J1518">
            <v>3</v>
          </cell>
          <cell r="K1518" t="str">
            <v>Others</v>
          </cell>
        </row>
        <row r="1519">
          <cell r="D1519">
            <v>292113</v>
          </cell>
          <cell r="E1519" t="str">
            <v>Amine-function compounds; acyclic monoamines and their derivatives, and salts thereof, 2-(N,N-Diethylamino)ethylchloride hydrochloride</v>
          </cell>
          <cell r="F1519">
            <v>0</v>
          </cell>
          <cell r="G1519">
            <v>0</v>
          </cell>
          <cell r="H1519">
            <v>0</v>
          </cell>
          <cell r="I1519" t="str">
            <v>Others</v>
          </cell>
          <cell r="J1519">
            <v>3</v>
          </cell>
          <cell r="K1519" t="str">
            <v>Others</v>
          </cell>
        </row>
        <row r="1520">
          <cell r="D1520">
            <v>292114</v>
          </cell>
          <cell r="E1520" t="str">
            <v>Amine-function compounds; acyclic monoamines and their derivatives, and salts thereof, 2-(N,N-Diisopropylamino)ethylchloride hydrochloride</v>
          </cell>
          <cell r="F1520">
            <v>0</v>
          </cell>
          <cell r="G1520">
            <v>0</v>
          </cell>
          <cell r="H1520">
            <v>0</v>
          </cell>
          <cell r="I1520" t="str">
            <v>Others</v>
          </cell>
          <cell r="J1520">
            <v>3</v>
          </cell>
          <cell r="K1520" t="str">
            <v>Others</v>
          </cell>
        </row>
        <row r="1521">
          <cell r="D1521">
            <v>292119</v>
          </cell>
          <cell r="E1521" t="str">
            <v>Amine-function compounds; acyclic monoamines and their derivatives, and salts thereof, n.e.c. in item no. 2921.1</v>
          </cell>
          <cell r="F1521">
            <v>0</v>
          </cell>
          <cell r="G1521">
            <v>0</v>
          </cell>
          <cell r="H1521">
            <v>0</v>
          </cell>
          <cell r="I1521" t="str">
            <v>Others</v>
          </cell>
          <cell r="J1521">
            <v>3</v>
          </cell>
          <cell r="K1521" t="str">
            <v>Others</v>
          </cell>
        </row>
        <row r="1522">
          <cell r="D1522">
            <v>292121</v>
          </cell>
          <cell r="E1522" t="str">
            <v>Amine-function compounds; acyclic polyamines and their derivatives, ethylenediamine and its salts</v>
          </cell>
          <cell r="F1522">
            <v>0</v>
          </cell>
          <cell r="G1522">
            <v>0</v>
          </cell>
          <cell r="H1522">
            <v>0</v>
          </cell>
          <cell r="I1522" t="str">
            <v>Others</v>
          </cell>
          <cell r="J1522">
            <v>3</v>
          </cell>
          <cell r="K1522" t="str">
            <v>Others</v>
          </cell>
        </row>
        <row r="1523">
          <cell r="D1523">
            <v>292122</v>
          </cell>
          <cell r="E1523" t="str">
            <v>Amine-function compounds; acyclic polyamines and their derivatives, hexamethylenediamine and its salts</v>
          </cell>
          <cell r="F1523">
            <v>0</v>
          </cell>
          <cell r="G1523">
            <v>0</v>
          </cell>
          <cell r="H1523">
            <v>0</v>
          </cell>
          <cell r="I1523" t="str">
            <v>Others</v>
          </cell>
          <cell r="J1523">
            <v>3</v>
          </cell>
          <cell r="K1523" t="str">
            <v>Others</v>
          </cell>
        </row>
        <row r="1524">
          <cell r="D1524">
            <v>292129</v>
          </cell>
          <cell r="E1524" t="str">
            <v>Amine-function compounds; acyclic polyamines and their derivatives, and salts thereof, n.e.c. in item no. 2921.2</v>
          </cell>
          <cell r="F1524">
            <v>0</v>
          </cell>
          <cell r="G1524">
            <v>0</v>
          </cell>
          <cell r="H1524">
            <v>0</v>
          </cell>
          <cell r="I1524" t="str">
            <v>Others</v>
          </cell>
          <cell r="J1524">
            <v>3</v>
          </cell>
          <cell r="K1524" t="str">
            <v>Others</v>
          </cell>
        </row>
        <row r="1525">
          <cell r="D1525">
            <v>292130</v>
          </cell>
          <cell r="E1525" t="str">
            <v>Amine-function compounds; cyclanic, cyclenic or cycloterpenic mono- or polyamines and their derivatives; salts thereof</v>
          </cell>
          <cell r="F1525">
            <v>0</v>
          </cell>
          <cell r="G1525">
            <v>0</v>
          </cell>
          <cell r="H1525">
            <v>0</v>
          </cell>
          <cell r="I1525" t="str">
            <v>Others</v>
          </cell>
          <cell r="J1525">
            <v>3</v>
          </cell>
          <cell r="K1525" t="str">
            <v>Others</v>
          </cell>
        </row>
        <row r="1526">
          <cell r="D1526">
            <v>292141</v>
          </cell>
          <cell r="E1526" t="str">
            <v>Amine-function compounds; aromatic monoamines and their derivatives, aniline and its salts</v>
          </cell>
          <cell r="F1526">
            <v>0</v>
          </cell>
          <cell r="G1526">
            <v>0</v>
          </cell>
          <cell r="H1526">
            <v>0</v>
          </cell>
          <cell r="I1526" t="str">
            <v>Others</v>
          </cell>
          <cell r="J1526">
            <v>3</v>
          </cell>
          <cell r="K1526" t="str">
            <v>Others</v>
          </cell>
        </row>
        <row r="1527">
          <cell r="D1527">
            <v>292142</v>
          </cell>
          <cell r="E1527" t="str">
            <v>Amine-function-compounds; aromatic monoamines and their derivatives, aniline derivatives and their salts</v>
          </cell>
          <cell r="F1527">
            <v>0</v>
          </cell>
          <cell r="G1527">
            <v>0</v>
          </cell>
          <cell r="H1527">
            <v>0</v>
          </cell>
          <cell r="I1527" t="str">
            <v>Others</v>
          </cell>
          <cell r="J1527">
            <v>3</v>
          </cell>
          <cell r="K1527" t="str">
            <v>Others</v>
          </cell>
        </row>
        <row r="1528">
          <cell r="D1528">
            <v>292143</v>
          </cell>
          <cell r="E1528" t="str">
            <v>Amine-function compounds; aromatic monoamines and their derivatives, toluidines and their derivatives; salts thereof</v>
          </cell>
          <cell r="F1528">
            <v>0</v>
          </cell>
          <cell r="G1528">
            <v>0</v>
          </cell>
          <cell r="H1528">
            <v>0</v>
          </cell>
          <cell r="I1528" t="str">
            <v>Others</v>
          </cell>
          <cell r="J1528">
            <v>3</v>
          </cell>
          <cell r="K1528" t="str">
            <v>Others</v>
          </cell>
        </row>
        <row r="1529">
          <cell r="D1529">
            <v>292144</v>
          </cell>
          <cell r="E1529" t="str">
            <v>Amine-function compounds; aromatic monoamines and their derivatives, diphenylamine and its derivatives; salts thereof</v>
          </cell>
          <cell r="F1529">
            <v>0</v>
          </cell>
          <cell r="G1529">
            <v>0</v>
          </cell>
          <cell r="H1529">
            <v>0</v>
          </cell>
          <cell r="I1529" t="str">
            <v>Others</v>
          </cell>
          <cell r="J1529">
            <v>3</v>
          </cell>
          <cell r="K1529" t="str">
            <v>Others</v>
          </cell>
        </row>
        <row r="1530">
          <cell r="D1530">
            <v>292145</v>
          </cell>
          <cell r="E1530" t="str">
            <v>Amine-function compounds; aromatic monoamines and their derivatives; 1-naphthylamine (alpha-naphthylamine), 2-naphthylamine (beta-naphthaylamine) and their derivatives; salts thereof</v>
          </cell>
          <cell r="F1530">
            <v>0</v>
          </cell>
          <cell r="G1530">
            <v>0</v>
          </cell>
          <cell r="H1530">
            <v>0</v>
          </cell>
          <cell r="I1530" t="str">
            <v>Others</v>
          </cell>
          <cell r="J1530">
            <v>3</v>
          </cell>
          <cell r="K1530" t="str">
            <v>Others</v>
          </cell>
        </row>
        <row r="1531">
          <cell r="D1531">
            <v>292146</v>
          </cell>
          <cell r="E1531" t="str">
            <v>Amine-function compounds; aromatic monoamines and derivatives; amfetamine (INN), benzfetamine (INN), dexamfetamine (INN), etilamfetamine (INN), fencamfamin (INN), lefetamine (INN), levamfetamine (INN), mefenorex (INN) and phentermine (INN); salts thereof</v>
          </cell>
          <cell r="F1531">
            <v>0</v>
          </cell>
          <cell r="G1531">
            <v>0</v>
          </cell>
          <cell r="H1531">
            <v>0</v>
          </cell>
          <cell r="I1531" t="str">
            <v>Others</v>
          </cell>
          <cell r="J1531">
            <v>3</v>
          </cell>
          <cell r="K1531" t="str">
            <v>Others</v>
          </cell>
        </row>
        <row r="1532">
          <cell r="D1532">
            <v>292149</v>
          </cell>
          <cell r="E1532" t="str">
            <v>Amine-function compounds; aromatic monoamines and their derivatives; salts thereof; n.e.c. in item no. 2921.4</v>
          </cell>
          <cell r="F1532">
            <v>0</v>
          </cell>
          <cell r="G1532">
            <v>0</v>
          </cell>
          <cell r="H1532">
            <v>0</v>
          </cell>
          <cell r="I1532" t="str">
            <v>Others</v>
          </cell>
          <cell r="J1532">
            <v>3</v>
          </cell>
          <cell r="K1532" t="str">
            <v>Others</v>
          </cell>
        </row>
        <row r="1533">
          <cell r="D1533">
            <v>292151</v>
          </cell>
          <cell r="E1533" t="str">
            <v>Amine-function compounds; aromatic amines and their derivatives; o-, m-, p-phenylenediamine, diaminotoluenes and their derivatives; salts thereof</v>
          </cell>
          <cell r="F1533">
            <v>0</v>
          </cell>
          <cell r="G1533">
            <v>0</v>
          </cell>
          <cell r="H1533">
            <v>0</v>
          </cell>
          <cell r="I1533" t="str">
            <v>Others</v>
          </cell>
          <cell r="J1533">
            <v>3</v>
          </cell>
          <cell r="K1533" t="str">
            <v>Others</v>
          </cell>
        </row>
        <row r="1534">
          <cell r="D1534">
            <v>292159</v>
          </cell>
          <cell r="E1534" t="str">
            <v>Amine-function compounds; aromatic polyamines and their derivatives, other than item no. 2921.51</v>
          </cell>
          <cell r="F1534">
            <v>0</v>
          </cell>
          <cell r="G1534">
            <v>0</v>
          </cell>
          <cell r="H1534">
            <v>0</v>
          </cell>
          <cell r="I1534" t="str">
            <v>Others</v>
          </cell>
          <cell r="J1534">
            <v>3</v>
          </cell>
          <cell r="K1534" t="str">
            <v>Others</v>
          </cell>
        </row>
        <row r="1535">
          <cell r="D1535">
            <v>292211</v>
          </cell>
          <cell r="E1535" t="str">
            <v>Amino-alcohols, other than those containing more than one kind of oxygen function; their ethers and esters; salts thereof, monoethanolamine and its salts</v>
          </cell>
          <cell r="F1535">
            <v>0</v>
          </cell>
          <cell r="G1535">
            <v>0</v>
          </cell>
          <cell r="H1535">
            <v>0</v>
          </cell>
          <cell r="I1535" t="str">
            <v>Others</v>
          </cell>
          <cell r="J1535">
            <v>3</v>
          </cell>
          <cell r="K1535" t="str">
            <v>Others</v>
          </cell>
        </row>
        <row r="1536">
          <cell r="D1536">
            <v>292212</v>
          </cell>
          <cell r="E1536" t="str">
            <v>Amino-alcohols, other than those containing more than one kind of oxygen function; their ethers and esters; salts thereof, diethanolamine and its salts</v>
          </cell>
          <cell r="F1536">
            <v>0</v>
          </cell>
          <cell r="G1536">
            <v>0</v>
          </cell>
          <cell r="H1536">
            <v>0</v>
          </cell>
          <cell r="I1536" t="str">
            <v>Others</v>
          </cell>
          <cell r="J1536">
            <v>3</v>
          </cell>
          <cell r="K1536" t="str">
            <v>Others</v>
          </cell>
        </row>
        <row r="1537">
          <cell r="D1537">
            <v>292214</v>
          </cell>
          <cell r="E1537" t="str">
            <v>Amino-alcohols, other than those containing more than one kind of oxygen function; their ethers and esters; salts thereof; dextropropoxyphene (INN) and its salts</v>
          </cell>
          <cell r="F1537">
            <v>0</v>
          </cell>
          <cell r="G1537">
            <v>0</v>
          </cell>
          <cell r="H1537">
            <v>0</v>
          </cell>
          <cell r="I1537" t="str">
            <v>Others</v>
          </cell>
          <cell r="J1537">
            <v>3</v>
          </cell>
          <cell r="K1537" t="str">
            <v>Others</v>
          </cell>
        </row>
        <row r="1538">
          <cell r="D1538">
            <v>292215</v>
          </cell>
          <cell r="E1538" t="str">
            <v>Amino-alcohols, other than those containing more than one kind of oxygen function; their ethers and esters; salts thereof, triethanolamine</v>
          </cell>
          <cell r="F1538">
            <v>0</v>
          </cell>
          <cell r="G1538">
            <v>0</v>
          </cell>
          <cell r="H1538">
            <v>0</v>
          </cell>
          <cell r="I1538" t="str">
            <v>Others</v>
          </cell>
          <cell r="J1538">
            <v>3</v>
          </cell>
          <cell r="K1538" t="str">
            <v>Others</v>
          </cell>
        </row>
        <row r="1539">
          <cell r="D1539">
            <v>292216</v>
          </cell>
          <cell r="E1539" t="str">
            <v>Amino-alcohols, other than those containing more than one kind of oxygen function; their ethers and esters; salts thereof, Diethanolammonium perfluorooctane sulphonate</v>
          </cell>
          <cell r="F1539">
            <v>0</v>
          </cell>
          <cell r="G1539">
            <v>0</v>
          </cell>
          <cell r="H1539">
            <v>0</v>
          </cell>
          <cell r="I1539" t="str">
            <v>Others</v>
          </cell>
          <cell r="J1539">
            <v>3</v>
          </cell>
          <cell r="K1539" t="str">
            <v>Others</v>
          </cell>
        </row>
        <row r="1540">
          <cell r="D1540">
            <v>292217</v>
          </cell>
          <cell r="E1540" t="str">
            <v>Amino-alcohols, other than those containing more than one kind of oxygen function; their ethers and esters; salts thereof, Methyldiethanolamine and ethyldiethanolamine</v>
          </cell>
          <cell r="F1540">
            <v>0</v>
          </cell>
          <cell r="G1540">
            <v>0</v>
          </cell>
          <cell r="H1540">
            <v>0</v>
          </cell>
          <cell r="I1540" t="str">
            <v>Others</v>
          </cell>
          <cell r="J1540">
            <v>3</v>
          </cell>
          <cell r="K1540" t="str">
            <v>Others</v>
          </cell>
        </row>
        <row r="1541">
          <cell r="D1541">
            <v>292218</v>
          </cell>
          <cell r="E1541" t="str">
            <v>Amino-alcohols, other than those containing more than one kind of oxygen function; their ethers and esters; salts thereof, 2-(N,N- Diisopropylamino)ethanol</v>
          </cell>
          <cell r="F1541">
            <v>0</v>
          </cell>
          <cell r="G1541">
            <v>0</v>
          </cell>
          <cell r="H1541">
            <v>0</v>
          </cell>
          <cell r="I1541" t="str">
            <v>Others</v>
          </cell>
          <cell r="J1541">
            <v>3</v>
          </cell>
          <cell r="K1541" t="str">
            <v>Others</v>
          </cell>
        </row>
        <row r="1542">
          <cell r="D1542">
            <v>292219</v>
          </cell>
          <cell r="E1542" t="str">
            <v>Amino-alcohols, other than those containing more than one kind of oxygen function, their ethers and esters; salts thereof, n.e.c. in item no. 2922.1</v>
          </cell>
          <cell r="F1542">
            <v>0</v>
          </cell>
          <cell r="G1542">
            <v>0</v>
          </cell>
          <cell r="H1542">
            <v>0</v>
          </cell>
          <cell r="I1542" t="str">
            <v>Others</v>
          </cell>
          <cell r="J1542">
            <v>3</v>
          </cell>
          <cell r="K1542" t="str">
            <v>Others</v>
          </cell>
        </row>
        <row r="1543">
          <cell r="D1543">
            <v>292221</v>
          </cell>
          <cell r="E1543" t="str">
            <v>Amino-naphthols and other amino-phenols, other than those containing more than one kind of oxygen function; their ethers and esters; salts thereof, aminohydroxynaphthalenesulphonic acids and their salts</v>
          </cell>
          <cell r="F1543">
            <v>0</v>
          </cell>
          <cell r="G1543">
            <v>0</v>
          </cell>
          <cell r="H1543">
            <v>0</v>
          </cell>
          <cell r="I1543" t="str">
            <v>Others</v>
          </cell>
          <cell r="J1543">
            <v>3</v>
          </cell>
          <cell r="K1543" t="str">
            <v>Others</v>
          </cell>
        </row>
        <row r="1544">
          <cell r="D1544">
            <v>292229</v>
          </cell>
          <cell r="E1544" t="str">
            <v>Amino-naphthols and other amino-phenols, other than those containing more than one kind of oxygen function, their ethers and esters; salts thereof n.e.c. in item no. 2922.2</v>
          </cell>
          <cell r="F1544">
            <v>0</v>
          </cell>
          <cell r="G1544">
            <v>0</v>
          </cell>
          <cell r="H1544">
            <v>0</v>
          </cell>
          <cell r="I1544" t="str">
            <v>Others</v>
          </cell>
          <cell r="J1544">
            <v>3</v>
          </cell>
          <cell r="K1544" t="str">
            <v>Others</v>
          </cell>
        </row>
        <row r="1545">
          <cell r="D1545">
            <v>292231</v>
          </cell>
          <cell r="E1545" t="str">
            <v>Amino-aldehydes, amino-ketones and amino-quinones; other than those containing more than one kind of oxygen function, salts thereof</v>
          </cell>
          <cell r="F1545">
            <v>0</v>
          </cell>
          <cell r="G1545">
            <v>0</v>
          </cell>
          <cell r="H1545">
            <v>0</v>
          </cell>
          <cell r="I1545" t="str">
            <v>Others</v>
          </cell>
          <cell r="J1545">
            <v>3</v>
          </cell>
          <cell r="K1545" t="str">
            <v>Others</v>
          </cell>
        </row>
        <row r="1546">
          <cell r="D1546">
            <v>292239</v>
          </cell>
          <cell r="E1546" t="str">
            <v>Amino-aldehydes, amino-ketones and amino-quinones; other than those containing more than one kind of oxygen function; salts thereof, excluding amfepramone (INN), methadone (INN), and normethadone (INN) and salts thereof</v>
          </cell>
          <cell r="F1546">
            <v>0</v>
          </cell>
          <cell r="G1546">
            <v>0</v>
          </cell>
          <cell r="H1546">
            <v>0</v>
          </cell>
          <cell r="I1546" t="str">
            <v>Others</v>
          </cell>
          <cell r="J1546">
            <v>3</v>
          </cell>
          <cell r="K1546" t="str">
            <v>Others</v>
          </cell>
        </row>
        <row r="1547">
          <cell r="D1547">
            <v>292241</v>
          </cell>
          <cell r="E1547" t="str">
            <v>Amino-acids, other than those containing more than one kind of oxygen function, and their esters; lysine and its esters; salts thereof</v>
          </cell>
          <cell r="F1547">
            <v>0</v>
          </cell>
          <cell r="G1547">
            <v>0</v>
          </cell>
          <cell r="H1547">
            <v>0</v>
          </cell>
          <cell r="I1547" t="str">
            <v>Others</v>
          </cell>
          <cell r="J1547">
            <v>3</v>
          </cell>
          <cell r="K1547" t="str">
            <v>Others</v>
          </cell>
        </row>
        <row r="1548">
          <cell r="D1548">
            <v>292242</v>
          </cell>
          <cell r="E1548" t="str">
            <v>Amino-acids, other than those containing more than one kind of oxygen function, and their esters; glutamic acid and its esters; salts thereof</v>
          </cell>
          <cell r="F1548">
            <v>0</v>
          </cell>
          <cell r="G1548">
            <v>0</v>
          </cell>
          <cell r="H1548">
            <v>0</v>
          </cell>
          <cell r="I1548" t="str">
            <v>Others</v>
          </cell>
          <cell r="J1548">
            <v>3</v>
          </cell>
          <cell r="K1548" t="str">
            <v>Others</v>
          </cell>
        </row>
        <row r="1549">
          <cell r="D1549">
            <v>292243</v>
          </cell>
          <cell r="E1549" t="str">
            <v>Amino-acids, other than those containing more than one kind of oxygen function, and their esters; anthranilic acid and its esters; salts thereof</v>
          </cell>
          <cell r="F1549">
            <v>0</v>
          </cell>
          <cell r="G1549">
            <v>0</v>
          </cell>
          <cell r="H1549">
            <v>0</v>
          </cell>
          <cell r="I1549" t="str">
            <v>Others</v>
          </cell>
          <cell r="J1549">
            <v>3</v>
          </cell>
          <cell r="K1549" t="str">
            <v>Others</v>
          </cell>
        </row>
        <row r="1550">
          <cell r="D1550">
            <v>292244</v>
          </cell>
          <cell r="E1550" t="str">
            <v>Amino-acids, other than those containing more than one kind of oxygen function, and their esters; tilidine (INN) and its esters; salts thereof</v>
          </cell>
          <cell r="F1550">
            <v>0</v>
          </cell>
          <cell r="G1550">
            <v>0</v>
          </cell>
          <cell r="H1550">
            <v>0</v>
          </cell>
          <cell r="I1550" t="str">
            <v>Others</v>
          </cell>
          <cell r="J1550">
            <v>3</v>
          </cell>
          <cell r="K1550" t="str">
            <v>Others</v>
          </cell>
        </row>
        <row r="1551">
          <cell r="D1551">
            <v>292249</v>
          </cell>
          <cell r="E1551" t="str">
            <v>Amino-acids, other than those containing more than one kind of oxygen function, their esters; salts thereof, excluding lysine, glutamic acid, anthranalic acid and tilidine, their esters and salts thereof</v>
          </cell>
          <cell r="F1551">
            <v>0</v>
          </cell>
          <cell r="G1551">
            <v>0</v>
          </cell>
          <cell r="H1551">
            <v>0</v>
          </cell>
          <cell r="I1551" t="str">
            <v>Others</v>
          </cell>
          <cell r="J1551">
            <v>3</v>
          </cell>
          <cell r="K1551" t="str">
            <v>Others</v>
          </cell>
        </row>
        <row r="1552">
          <cell r="D1552">
            <v>292250</v>
          </cell>
          <cell r="E1552" t="str">
            <v>Amino-alcohol-phenols, amino-acid-phenols and other amino-compounds with oxygen function</v>
          </cell>
          <cell r="F1552">
            <v>0</v>
          </cell>
          <cell r="G1552">
            <v>0</v>
          </cell>
          <cell r="H1552">
            <v>0</v>
          </cell>
          <cell r="I1552" t="str">
            <v>Others</v>
          </cell>
          <cell r="J1552">
            <v>3</v>
          </cell>
          <cell r="K1552" t="str">
            <v>Others</v>
          </cell>
        </row>
        <row r="1553">
          <cell r="D1553">
            <v>292310</v>
          </cell>
          <cell r="E1553" t="str">
            <v>Quaternary ammonium salts and hydroxides; choline and its salts, whether or not chemically defined</v>
          </cell>
          <cell r="F1553">
            <v>0</v>
          </cell>
          <cell r="G1553">
            <v>0</v>
          </cell>
          <cell r="H1553">
            <v>0</v>
          </cell>
          <cell r="I1553" t="str">
            <v>Others</v>
          </cell>
          <cell r="J1553">
            <v>3</v>
          </cell>
          <cell r="K1553" t="str">
            <v>Others</v>
          </cell>
        </row>
        <row r="1554">
          <cell r="D1554">
            <v>292320</v>
          </cell>
          <cell r="E1554" t="str">
            <v>Lecithins and other phosphoaminolipids, whether or not chemically defined</v>
          </cell>
          <cell r="F1554">
            <v>0</v>
          </cell>
          <cell r="G1554">
            <v>0</v>
          </cell>
          <cell r="H1554">
            <v>0</v>
          </cell>
          <cell r="I1554" t="str">
            <v>Others</v>
          </cell>
          <cell r="J1554">
            <v>3</v>
          </cell>
          <cell r="K1554" t="str">
            <v>Others</v>
          </cell>
        </row>
        <row r="1555">
          <cell r="D1555">
            <v>292330</v>
          </cell>
          <cell r="E1555" t="str">
            <v>Quaternary ammonium salts and hydroxides; tetraethylammonium perfluorooctane sulphonate, whether or not chemically defined</v>
          </cell>
          <cell r="F1555">
            <v>0</v>
          </cell>
          <cell r="G1555">
            <v>0</v>
          </cell>
          <cell r="H1555">
            <v>0</v>
          </cell>
          <cell r="I1555" t="str">
            <v>Others</v>
          </cell>
          <cell r="J1555">
            <v>3</v>
          </cell>
          <cell r="K1555" t="str">
            <v>Others</v>
          </cell>
        </row>
        <row r="1556">
          <cell r="D1556">
            <v>292340</v>
          </cell>
          <cell r="E1556" t="str">
            <v>Quaternary ammonium salts and hydroxides; didecyldimethylammonium perfluorooctane sulphonate, whether or not chemically defined</v>
          </cell>
          <cell r="F1556">
            <v>0</v>
          </cell>
          <cell r="G1556">
            <v>0</v>
          </cell>
          <cell r="H1556">
            <v>0</v>
          </cell>
          <cell r="I1556" t="str">
            <v>Others</v>
          </cell>
          <cell r="J1556">
            <v>3</v>
          </cell>
          <cell r="K1556" t="str">
            <v>Others</v>
          </cell>
        </row>
        <row r="1557">
          <cell r="D1557">
            <v>292390</v>
          </cell>
          <cell r="E1557" t="str">
            <v>Quaternary ammonium salts and hydroxides; whether or not chemically defined n.e.c. in heading no. 2923</v>
          </cell>
          <cell r="F1557">
            <v>0</v>
          </cell>
          <cell r="G1557">
            <v>0</v>
          </cell>
          <cell r="H1557">
            <v>0</v>
          </cell>
          <cell r="I1557" t="str">
            <v>Others</v>
          </cell>
          <cell r="J1557">
            <v>3</v>
          </cell>
          <cell r="K1557" t="str">
            <v>Others</v>
          </cell>
        </row>
        <row r="1558">
          <cell r="D1558">
            <v>292411</v>
          </cell>
          <cell r="E1558" t="str">
            <v>Acyclic amides (including acyclic carbamates) and their derivatives; salts thereof; meprobamate (INN)</v>
          </cell>
          <cell r="F1558">
            <v>0</v>
          </cell>
          <cell r="G1558">
            <v>0</v>
          </cell>
          <cell r="H1558">
            <v>0</v>
          </cell>
          <cell r="I1558" t="str">
            <v>Others</v>
          </cell>
          <cell r="J1558">
            <v>3</v>
          </cell>
          <cell r="K1558" t="str">
            <v>Others</v>
          </cell>
        </row>
        <row r="1559">
          <cell r="D1559">
            <v>292412</v>
          </cell>
          <cell r="E1559" t="str">
            <v>Acyclic amides (including acyclic carbamates) and their derivatives; salts thereof; fluoroacetamide (ISO), monocrotophos (ISO) and phosphamidon (ISO)</v>
          </cell>
          <cell r="F1559">
            <v>0</v>
          </cell>
          <cell r="G1559">
            <v>0</v>
          </cell>
          <cell r="H1559">
            <v>0</v>
          </cell>
          <cell r="I1559" t="str">
            <v>Others</v>
          </cell>
          <cell r="J1559">
            <v>3</v>
          </cell>
          <cell r="K1559" t="str">
            <v>Others</v>
          </cell>
        </row>
        <row r="1560">
          <cell r="D1560">
            <v>292419</v>
          </cell>
          <cell r="E1560" t="str">
            <v>Acyclic amides (including acyclic carbamates) and their derivatives; salts thereof, other than meprobamate (INN), fluoroacetamide (ISO), monocrotophos (ISO) or phosphamidon (ISO)</v>
          </cell>
          <cell r="F1560">
            <v>0</v>
          </cell>
          <cell r="G1560">
            <v>0</v>
          </cell>
          <cell r="H1560">
            <v>0</v>
          </cell>
          <cell r="I1560" t="str">
            <v>Others</v>
          </cell>
          <cell r="J1560">
            <v>3</v>
          </cell>
          <cell r="K1560" t="str">
            <v>Others</v>
          </cell>
        </row>
        <row r="1561">
          <cell r="D1561">
            <v>292421</v>
          </cell>
          <cell r="E1561" t="str">
            <v>Cyclic amides (including cyclic carbamates) and their derivatives, ureines and their derivatives; salts thereof</v>
          </cell>
          <cell r="F1561">
            <v>0</v>
          </cell>
          <cell r="G1561">
            <v>0</v>
          </cell>
          <cell r="H1561">
            <v>0</v>
          </cell>
          <cell r="I1561" t="str">
            <v>Others</v>
          </cell>
          <cell r="J1561">
            <v>3</v>
          </cell>
          <cell r="K1561" t="str">
            <v>Others</v>
          </cell>
        </row>
        <row r="1562">
          <cell r="D1562">
            <v>292423</v>
          </cell>
          <cell r="E1562" t="str">
            <v>Cyclic amides (including cyclic carbamates) and their derivatives; 2-acetamidobenzoic acid (N-acetylanthranillic acid) and its salts</v>
          </cell>
          <cell r="F1562">
            <v>0</v>
          </cell>
          <cell r="G1562">
            <v>0</v>
          </cell>
          <cell r="H1562">
            <v>0</v>
          </cell>
          <cell r="I1562" t="str">
            <v>Others</v>
          </cell>
          <cell r="J1562">
            <v>3</v>
          </cell>
          <cell r="K1562" t="str">
            <v>Others</v>
          </cell>
        </row>
        <row r="1563">
          <cell r="D1563">
            <v>292424</v>
          </cell>
          <cell r="E1563" t="str">
            <v>Cyclic amides (including cyclic carbamates) and their derivatives; ethinamate and its salts</v>
          </cell>
          <cell r="F1563">
            <v>0</v>
          </cell>
          <cell r="G1563">
            <v>0</v>
          </cell>
          <cell r="H1563">
            <v>0</v>
          </cell>
          <cell r="I1563" t="str">
            <v>Others</v>
          </cell>
          <cell r="J1563">
            <v>3</v>
          </cell>
          <cell r="K1563" t="str">
            <v>Others</v>
          </cell>
        </row>
        <row r="1564">
          <cell r="D1564">
            <v>292425</v>
          </cell>
          <cell r="E1564" t="str">
            <v>Cyclic amides (including cyclic carbamates) and their derivatives; alachlor (ISO) and its salts</v>
          </cell>
          <cell r="F1564">
            <v>0</v>
          </cell>
          <cell r="G1564">
            <v>0</v>
          </cell>
          <cell r="H1564">
            <v>0</v>
          </cell>
          <cell r="I1564" t="str">
            <v>Others</v>
          </cell>
          <cell r="J1564">
            <v>3</v>
          </cell>
          <cell r="K1564" t="str">
            <v>Others</v>
          </cell>
        </row>
        <row r="1565">
          <cell r="D1565">
            <v>292429</v>
          </cell>
          <cell r="E1565" t="str">
            <v>Cyclic amides (including cyclic carbamates) and their derivatives; other than the derivatives and salts of ureines, 2-acetamidobenzoic acid (N-acetylanthancillic acid),ethinamate S, and alachlor (ISO) and their derivatives and salts</v>
          </cell>
          <cell r="F1565">
            <v>0</v>
          </cell>
          <cell r="G1565">
            <v>0</v>
          </cell>
          <cell r="H1565">
            <v>0</v>
          </cell>
          <cell r="I1565" t="str">
            <v>Others</v>
          </cell>
          <cell r="J1565">
            <v>3</v>
          </cell>
          <cell r="K1565" t="str">
            <v>Others</v>
          </cell>
        </row>
        <row r="1566">
          <cell r="D1566">
            <v>292511</v>
          </cell>
          <cell r="E1566" t="str">
            <v>Imides and their derivatives; saccharin and its salts</v>
          </cell>
          <cell r="F1566">
            <v>0</v>
          </cell>
          <cell r="G1566">
            <v>0</v>
          </cell>
          <cell r="H1566">
            <v>0</v>
          </cell>
          <cell r="I1566" t="str">
            <v>Others</v>
          </cell>
          <cell r="J1566">
            <v>3</v>
          </cell>
          <cell r="K1566" t="str">
            <v>Others</v>
          </cell>
        </row>
        <row r="1567">
          <cell r="D1567">
            <v>292512</v>
          </cell>
          <cell r="E1567" t="str">
            <v>Imides and their derivatives; glutethimide (INN)</v>
          </cell>
          <cell r="F1567">
            <v>0</v>
          </cell>
          <cell r="G1567">
            <v>0</v>
          </cell>
          <cell r="H1567">
            <v>0</v>
          </cell>
          <cell r="I1567" t="str">
            <v>Others</v>
          </cell>
          <cell r="J1567">
            <v>3</v>
          </cell>
          <cell r="K1567" t="str">
            <v>Others</v>
          </cell>
        </row>
        <row r="1568">
          <cell r="D1568">
            <v>292519</v>
          </cell>
          <cell r="E1568" t="str">
            <v>Imides and their derivatives; other than saccharin and glutethimide (INN)</v>
          </cell>
          <cell r="F1568">
            <v>0</v>
          </cell>
          <cell r="G1568">
            <v>0</v>
          </cell>
          <cell r="H1568">
            <v>0</v>
          </cell>
          <cell r="I1568" t="str">
            <v>Others</v>
          </cell>
          <cell r="J1568">
            <v>3</v>
          </cell>
          <cell r="K1568" t="str">
            <v>Others</v>
          </cell>
        </row>
        <row r="1569">
          <cell r="D1569">
            <v>292521</v>
          </cell>
          <cell r="E1569" t="str">
            <v>Imines and their derivatives; salts thereof; chlordimeform (ISO)</v>
          </cell>
          <cell r="F1569">
            <v>0</v>
          </cell>
          <cell r="G1569">
            <v>0</v>
          </cell>
          <cell r="H1569">
            <v>0</v>
          </cell>
          <cell r="I1569" t="str">
            <v>Others</v>
          </cell>
          <cell r="J1569">
            <v>3</v>
          </cell>
          <cell r="K1569" t="str">
            <v>Others</v>
          </cell>
        </row>
        <row r="1570">
          <cell r="D1570">
            <v>292529</v>
          </cell>
          <cell r="E1570" t="str">
            <v>Imines and their derivatives; salts thereof; other than chlordimeform (ISO)</v>
          </cell>
          <cell r="F1570">
            <v>0</v>
          </cell>
          <cell r="G1570">
            <v>0</v>
          </cell>
          <cell r="H1570">
            <v>0</v>
          </cell>
          <cell r="I1570" t="str">
            <v>Others</v>
          </cell>
          <cell r="J1570">
            <v>3</v>
          </cell>
          <cell r="K1570" t="str">
            <v>Others</v>
          </cell>
        </row>
        <row r="1571">
          <cell r="D1571">
            <v>292610</v>
          </cell>
          <cell r="E1571" t="str">
            <v>Nitrile-function compounds; acrylonitrile</v>
          </cell>
          <cell r="F1571">
            <v>0</v>
          </cell>
          <cell r="G1571">
            <v>0</v>
          </cell>
          <cell r="H1571">
            <v>0</v>
          </cell>
          <cell r="I1571" t="str">
            <v>Others</v>
          </cell>
          <cell r="J1571">
            <v>3</v>
          </cell>
          <cell r="K1571" t="str">
            <v>Others</v>
          </cell>
        </row>
        <row r="1572">
          <cell r="D1572">
            <v>292620</v>
          </cell>
          <cell r="E1572" t="str">
            <v>Nitrile-function compounds; 1-cyanoguanidine (dicyandiamide)</v>
          </cell>
          <cell r="F1572">
            <v>0</v>
          </cell>
          <cell r="G1572">
            <v>0</v>
          </cell>
          <cell r="H1572">
            <v>0</v>
          </cell>
          <cell r="I1572" t="str">
            <v>Others</v>
          </cell>
          <cell r="J1572">
            <v>3</v>
          </cell>
          <cell r="K1572" t="str">
            <v>Others</v>
          </cell>
        </row>
        <row r="1573">
          <cell r="D1573">
            <v>292630</v>
          </cell>
          <cell r="E1573" t="str">
            <v>Nitrile-function compounds; fenproporex (INN) and its salts; methadone (INN) intermediate (4-cyano-2-dimethylamino-4,4-diphenylbutane)</v>
          </cell>
          <cell r="F1573">
            <v>0</v>
          </cell>
          <cell r="G1573">
            <v>0</v>
          </cell>
          <cell r="H1573">
            <v>0</v>
          </cell>
          <cell r="I1573" t="str">
            <v>Others</v>
          </cell>
          <cell r="J1573">
            <v>3</v>
          </cell>
          <cell r="K1573" t="str">
            <v>Others</v>
          </cell>
        </row>
        <row r="1574">
          <cell r="D1574">
            <v>292640</v>
          </cell>
          <cell r="E1574" t="str">
            <v>Nitrile-function compounds; alpha-phenylacetoacetonitrile</v>
          </cell>
          <cell r="F1574">
            <v>0</v>
          </cell>
          <cell r="G1574">
            <v>0</v>
          </cell>
          <cell r="H1574">
            <v>0</v>
          </cell>
          <cell r="I1574" t="str">
            <v>Others</v>
          </cell>
          <cell r="J1574">
            <v>3</v>
          </cell>
          <cell r="K1574" t="str">
            <v>Others</v>
          </cell>
        </row>
        <row r="1575">
          <cell r="D1575">
            <v>292690</v>
          </cell>
          <cell r="E1575" t="str">
            <v>Nitrile-function compounds; n.e.c. heading no. 2926</v>
          </cell>
          <cell r="F1575">
            <v>0</v>
          </cell>
          <cell r="G1575">
            <v>0</v>
          </cell>
          <cell r="H1575">
            <v>0</v>
          </cell>
          <cell r="I1575" t="str">
            <v>Others</v>
          </cell>
          <cell r="J1575">
            <v>3</v>
          </cell>
          <cell r="K1575" t="str">
            <v>Others</v>
          </cell>
        </row>
        <row r="1576">
          <cell r="D1576">
            <v>292700</v>
          </cell>
          <cell r="E1576" t="str">
            <v>Diazo-, azo- or azoxy compounds</v>
          </cell>
          <cell r="F1576">
            <v>0</v>
          </cell>
          <cell r="G1576">
            <v>0</v>
          </cell>
          <cell r="H1576">
            <v>0</v>
          </cell>
          <cell r="I1576" t="str">
            <v>Others</v>
          </cell>
          <cell r="J1576">
            <v>3</v>
          </cell>
          <cell r="K1576" t="str">
            <v>Others</v>
          </cell>
        </row>
        <row r="1577">
          <cell r="D1577">
            <v>292800</v>
          </cell>
          <cell r="E1577" t="str">
            <v>Organic derivatives of hydrazine or of hydroxylamine</v>
          </cell>
          <cell r="F1577">
            <v>0</v>
          </cell>
          <cell r="G1577">
            <v>0</v>
          </cell>
          <cell r="H1577">
            <v>0</v>
          </cell>
          <cell r="I1577" t="str">
            <v>Others</v>
          </cell>
          <cell r="J1577">
            <v>3</v>
          </cell>
          <cell r="K1577" t="str">
            <v>Others</v>
          </cell>
        </row>
        <row r="1578">
          <cell r="D1578">
            <v>292910</v>
          </cell>
          <cell r="E1578" t="str">
            <v>Nitrogen-function compounds; n.e.c. in chapter 29, isocyanates</v>
          </cell>
          <cell r="F1578">
            <v>0</v>
          </cell>
          <cell r="G1578">
            <v>0</v>
          </cell>
          <cell r="H1578">
            <v>0</v>
          </cell>
          <cell r="I1578" t="str">
            <v>Others</v>
          </cell>
          <cell r="J1578">
            <v>3</v>
          </cell>
          <cell r="K1578" t="str">
            <v>Others</v>
          </cell>
        </row>
        <row r="1579">
          <cell r="D1579">
            <v>292990</v>
          </cell>
          <cell r="E1579" t="str">
            <v>Nitrogen-function compounds; n.e.c. in chapter 29, excluding isocyanates</v>
          </cell>
          <cell r="F1579">
            <v>0</v>
          </cell>
          <cell r="G1579">
            <v>0</v>
          </cell>
          <cell r="H1579">
            <v>0</v>
          </cell>
          <cell r="I1579" t="str">
            <v>Others</v>
          </cell>
          <cell r="J1579">
            <v>3</v>
          </cell>
          <cell r="K1579" t="str">
            <v>Others</v>
          </cell>
        </row>
        <row r="1580">
          <cell r="D1580">
            <v>293010</v>
          </cell>
          <cell r="E1580" t="str">
            <v>Organo-sulphur compounds; 2-(N,N-Diethylamino) ethanethiol</v>
          </cell>
          <cell r="F1580">
            <v>0</v>
          </cell>
          <cell r="G1580">
            <v>0</v>
          </cell>
          <cell r="H1580">
            <v>0</v>
          </cell>
          <cell r="I1580" t="str">
            <v>Others</v>
          </cell>
          <cell r="J1580">
            <v>3</v>
          </cell>
          <cell r="K1580" t="str">
            <v>Others</v>
          </cell>
        </row>
        <row r="1581">
          <cell r="D1581">
            <v>293020</v>
          </cell>
          <cell r="E1581" t="str">
            <v>Organo-sulphur compounds; thiocarbamates and dithiocarbamates</v>
          </cell>
          <cell r="F1581">
            <v>0</v>
          </cell>
          <cell r="G1581">
            <v>0</v>
          </cell>
          <cell r="H1581">
            <v>0</v>
          </cell>
          <cell r="I1581" t="str">
            <v>Others</v>
          </cell>
          <cell r="J1581">
            <v>3</v>
          </cell>
          <cell r="K1581" t="str">
            <v>Others</v>
          </cell>
        </row>
        <row r="1582">
          <cell r="D1582">
            <v>293030</v>
          </cell>
          <cell r="E1582" t="str">
            <v>Organo-sulphur compounds; thiuram mono-, di- or tetrasulphides</v>
          </cell>
          <cell r="F1582">
            <v>0</v>
          </cell>
          <cell r="G1582">
            <v>0</v>
          </cell>
          <cell r="H1582">
            <v>0</v>
          </cell>
          <cell r="I1582" t="str">
            <v>Others</v>
          </cell>
          <cell r="J1582">
            <v>3</v>
          </cell>
          <cell r="K1582" t="str">
            <v>Others</v>
          </cell>
        </row>
        <row r="1583">
          <cell r="D1583">
            <v>293040</v>
          </cell>
          <cell r="E1583" t="str">
            <v>Organo-sulphur compounds; methionine</v>
          </cell>
          <cell r="F1583">
            <v>0</v>
          </cell>
          <cell r="G1583">
            <v>0</v>
          </cell>
          <cell r="H1583">
            <v>0</v>
          </cell>
          <cell r="I1583" t="str">
            <v>Others</v>
          </cell>
          <cell r="J1583">
            <v>3</v>
          </cell>
          <cell r="K1583" t="str">
            <v>Others</v>
          </cell>
        </row>
        <row r="1584">
          <cell r="D1584">
            <v>293060</v>
          </cell>
          <cell r="E1584" t="str">
            <v>Organo-sulphur compounds; 2-(N,N-Diethylamino)ethanethiol</v>
          </cell>
          <cell r="F1584">
            <v>0</v>
          </cell>
          <cell r="G1584">
            <v>0</v>
          </cell>
          <cell r="H1584">
            <v>0</v>
          </cell>
          <cell r="I1584" t="str">
            <v>Others</v>
          </cell>
          <cell r="J1584">
            <v>3</v>
          </cell>
          <cell r="K1584" t="str">
            <v>Others</v>
          </cell>
        </row>
        <row r="1585">
          <cell r="D1585">
            <v>293070</v>
          </cell>
          <cell r="E1585" t="str">
            <v>Organo-sulphur compounds; bis(2-hydroxyethyl)sulfide (thiodiglycol (INN))</v>
          </cell>
          <cell r="F1585">
            <v>0</v>
          </cell>
          <cell r="G1585">
            <v>0</v>
          </cell>
          <cell r="H1585">
            <v>0</v>
          </cell>
          <cell r="I1585" t="str">
            <v>Others</v>
          </cell>
          <cell r="J1585">
            <v>3</v>
          </cell>
          <cell r="K1585" t="str">
            <v>Others</v>
          </cell>
        </row>
        <row r="1586">
          <cell r="D1586">
            <v>293080</v>
          </cell>
          <cell r="E1586" t="str">
            <v>Organo-sulphur compounds; aldicarb (ISO), captafol (ISO) and methamidophos (ISO)</v>
          </cell>
          <cell r="F1586">
            <v>0</v>
          </cell>
          <cell r="G1586">
            <v>0</v>
          </cell>
          <cell r="H1586">
            <v>0</v>
          </cell>
          <cell r="I1586" t="str">
            <v>Others</v>
          </cell>
          <cell r="J1586">
            <v>3</v>
          </cell>
          <cell r="K1586" t="str">
            <v>Others</v>
          </cell>
        </row>
        <row r="1587">
          <cell r="D1587">
            <v>293090</v>
          </cell>
          <cell r="E1587" t="str">
            <v>Organo-sulphur compounds; n.e.c. in heading no. 2930</v>
          </cell>
          <cell r="F1587">
            <v>0</v>
          </cell>
          <cell r="G1587">
            <v>0</v>
          </cell>
          <cell r="H1587">
            <v>0</v>
          </cell>
          <cell r="I1587" t="str">
            <v>Others</v>
          </cell>
          <cell r="J1587">
            <v>3</v>
          </cell>
          <cell r="K1587" t="str">
            <v>Others</v>
          </cell>
        </row>
        <row r="1588">
          <cell r="D1588">
            <v>293110</v>
          </cell>
          <cell r="E1588" t="str">
            <v>Organo-inorganic compounds; tetramethyl lead and tetraethyl lead</v>
          </cell>
          <cell r="F1588">
            <v>0</v>
          </cell>
          <cell r="G1588">
            <v>0</v>
          </cell>
          <cell r="H1588">
            <v>0</v>
          </cell>
          <cell r="I1588" t="str">
            <v>Others</v>
          </cell>
          <cell r="J1588">
            <v>3</v>
          </cell>
          <cell r="K1588" t="str">
            <v>Others</v>
          </cell>
        </row>
        <row r="1589">
          <cell r="D1589">
            <v>293120</v>
          </cell>
          <cell r="E1589" t="str">
            <v>Organo-inorganic compounds; tributyltin compounds</v>
          </cell>
          <cell r="F1589">
            <v>0</v>
          </cell>
          <cell r="G1589">
            <v>0</v>
          </cell>
          <cell r="H1589">
            <v>0</v>
          </cell>
          <cell r="I1589" t="str">
            <v>Others</v>
          </cell>
          <cell r="J1589">
            <v>3</v>
          </cell>
          <cell r="K1589" t="str">
            <v>Others</v>
          </cell>
        </row>
        <row r="1590">
          <cell r="D1590">
            <v>293141</v>
          </cell>
          <cell r="E1590" t="str">
            <v>Non-halogenated organo-phosphorous derivatives; dimethyl methylphosphonate</v>
          </cell>
          <cell r="F1590">
            <v>0</v>
          </cell>
          <cell r="G1590">
            <v>0</v>
          </cell>
          <cell r="H1590">
            <v>0</v>
          </cell>
          <cell r="I1590" t="str">
            <v>Others</v>
          </cell>
          <cell r="J1590">
            <v>3</v>
          </cell>
          <cell r="K1590" t="str">
            <v>Others</v>
          </cell>
        </row>
        <row r="1591">
          <cell r="D1591">
            <v>293142</v>
          </cell>
          <cell r="E1591" t="str">
            <v>Non-halogenated organo-phosphorous derivatives; dimethyl propylphosphonate</v>
          </cell>
          <cell r="F1591">
            <v>0</v>
          </cell>
          <cell r="G1591">
            <v>0</v>
          </cell>
          <cell r="H1591">
            <v>0</v>
          </cell>
          <cell r="I1591" t="str">
            <v>Others</v>
          </cell>
          <cell r="J1591">
            <v>3</v>
          </cell>
          <cell r="K1591" t="str">
            <v>Others</v>
          </cell>
        </row>
        <row r="1592">
          <cell r="D1592">
            <v>293143</v>
          </cell>
          <cell r="E1592" t="str">
            <v>Non-halogenated organo-phosphorous derivatives; diethyl ethylphosphonate</v>
          </cell>
          <cell r="F1592">
            <v>0</v>
          </cell>
          <cell r="G1592">
            <v>0</v>
          </cell>
          <cell r="H1592">
            <v>0</v>
          </cell>
          <cell r="I1592" t="str">
            <v>Others</v>
          </cell>
          <cell r="J1592">
            <v>3</v>
          </cell>
          <cell r="K1592" t="str">
            <v>Others</v>
          </cell>
        </row>
        <row r="1593">
          <cell r="D1593">
            <v>293144</v>
          </cell>
          <cell r="E1593" t="str">
            <v>Non-halogenated organo-phosphorous derivatives; methylphosphonic acid</v>
          </cell>
          <cell r="F1593">
            <v>0</v>
          </cell>
          <cell r="G1593">
            <v>0</v>
          </cell>
          <cell r="H1593">
            <v>0</v>
          </cell>
          <cell r="I1593" t="str">
            <v>Others</v>
          </cell>
          <cell r="J1593">
            <v>3</v>
          </cell>
          <cell r="K1593" t="str">
            <v>Others</v>
          </cell>
        </row>
        <row r="1594">
          <cell r="D1594">
            <v>293145</v>
          </cell>
          <cell r="E1594" t="str">
            <v>Non-halogenated organo-phosphorous derivatives; salt of methylphosphonic acid and (aminominomethyl) urea (1:1)</v>
          </cell>
          <cell r="F1594">
            <v>0</v>
          </cell>
          <cell r="G1594">
            <v>0</v>
          </cell>
          <cell r="H1594">
            <v>0</v>
          </cell>
          <cell r="I1594" t="str">
            <v>Others</v>
          </cell>
          <cell r="J1594">
            <v>3</v>
          </cell>
          <cell r="K1594" t="str">
            <v>Others</v>
          </cell>
        </row>
        <row r="1595">
          <cell r="D1595">
            <v>293146</v>
          </cell>
          <cell r="E1595" t="str">
            <v>Non-halogenated organo-phosphorous derivatives; 2,4,6-tripropyl-1,3,5,2,4,6-trioxatriphosphinane 2,4,6-trioxide</v>
          </cell>
          <cell r="F1595">
            <v>0</v>
          </cell>
          <cell r="G1595">
            <v>0</v>
          </cell>
          <cell r="H1595">
            <v>0</v>
          </cell>
          <cell r="I1595" t="str">
            <v>Others</v>
          </cell>
          <cell r="J1595">
            <v>3</v>
          </cell>
          <cell r="K1595" t="str">
            <v>Others</v>
          </cell>
        </row>
        <row r="1596">
          <cell r="D1596">
            <v>293147</v>
          </cell>
          <cell r="E1596" t="str">
            <v>Non-halogenated organo-phosphorous derivatives; (5-ethyl-2-methyl-2-oxido-1,3,2-dioxaphosphinan-5-yl) methyl methyl methylphosphonate</v>
          </cell>
          <cell r="F1596">
            <v>0</v>
          </cell>
          <cell r="G1596">
            <v>0</v>
          </cell>
          <cell r="H1596">
            <v>0</v>
          </cell>
          <cell r="I1596" t="str">
            <v>Others</v>
          </cell>
          <cell r="J1596">
            <v>3</v>
          </cell>
          <cell r="K1596" t="str">
            <v>Others</v>
          </cell>
        </row>
        <row r="1597">
          <cell r="D1597">
            <v>293148</v>
          </cell>
          <cell r="E1597" t="str">
            <v>Non-halogenated organo-phosphorous derivatives; 3,9-dimethyl-2,4,8,10-tetraoxa-3,9-diphosphaspiro[5.5] undecane 3,9-dioxide</v>
          </cell>
          <cell r="F1597">
            <v>0</v>
          </cell>
          <cell r="G1597">
            <v>0</v>
          </cell>
          <cell r="H1597">
            <v>0</v>
          </cell>
          <cell r="I1597" t="str">
            <v>Others</v>
          </cell>
          <cell r="J1597">
            <v>3</v>
          </cell>
          <cell r="K1597" t="str">
            <v>Others</v>
          </cell>
        </row>
        <row r="1598">
          <cell r="D1598">
            <v>293149</v>
          </cell>
          <cell r="E1598" t="str">
            <v>Non-halogenated organo-phosphorous derivatives; other non-halogenated organo-phosphorous derivatives, n.e.c. in item no. 2931.4</v>
          </cell>
          <cell r="F1598">
            <v>0</v>
          </cell>
          <cell r="G1598">
            <v>0</v>
          </cell>
          <cell r="H1598">
            <v>0</v>
          </cell>
          <cell r="I1598" t="str">
            <v>Others</v>
          </cell>
          <cell r="J1598">
            <v>3</v>
          </cell>
          <cell r="K1598" t="str">
            <v>Others</v>
          </cell>
        </row>
        <row r="1599">
          <cell r="D1599">
            <v>293151</v>
          </cell>
          <cell r="E1599" t="str">
            <v>Halogenated organo-phosphorous derivatives; methylphosphonic dichloride</v>
          </cell>
          <cell r="F1599">
            <v>0</v>
          </cell>
          <cell r="G1599">
            <v>0</v>
          </cell>
          <cell r="H1599">
            <v>0</v>
          </cell>
          <cell r="I1599" t="str">
            <v>Others</v>
          </cell>
          <cell r="J1599">
            <v>3</v>
          </cell>
          <cell r="K1599" t="str">
            <v>Others</v>
          </cell>
        </row>
        <row r="1600">
          <cell r="D1600">
            <v>293152</v>
          </cell>
          <cell r="E1600" t="str">
            <v>Halogenated organo-phosphorous derivatives; propylphosphonic dichloride</v>
          </cell>
          <cell r="F1600">
            <v>0</v>
          </cell>
          <cell r="G1600">
            <v>0</v>
          </cell>
          <cell r="H1600">
            <v>0</v>
          </cell>
          <cell r="I1600" t="str">
            <v>Others</v>
          </cell>
          <cell r="J1600">
            <v>3</v>
          </cell>
          <cell r="K1600" t="str">
            <v>Others</v>
          </cell>
        </row>
        <row r="1601">
          <cell r="D1601">
            <v>293153</v>
          </cell>
          <cell r="E1601" t="str">
            <v>Halogenated organo-phosphorous derivatives; O-(3-chloropropyl) O-[4-nitro-3-(trifluoromethyl)phenyl] methylphosphonothionate</v>
          </cell>
          <cell r="F1601">
            <v>0</v>
          </cell>
          <cell r="G1601">
            <v>0</v>
          </cell>
          <cell r="H1601">
            <v>0</v>
          </cell>
          <cell r="I1601" t="str">
            <v>Others</v>
          </cell>
          <cell r="J1601">
            <v>3</v>
          </cell>
          <cell r="K1601" t="str">
            <v>Others</v>
          </cell>
        </row>
        <row r="1602">
          <cell r="D1602">
            <v>293154</v>
          </cell>
          <cell r="E1602" t="str">
            <v>Halogenated organo-phosphorous derivatives; trichlorfon (ISO)</v>
          </cell>
          <cell r="F1602">
            <v>0</v>
          </cell>
          <cell r="G1602">
            <v>0</v>
          </cell>
          <cell r="H1602">
            <v>0</v>
          </cell>
          <cell r="I1602" t="str">
            <v>Others</v>
          </cell>
          <cell r="J1602">
            <v>3</v>
          </cell>
          <cell r="K1602" t="str">
            <v>Others</v>
          </cell>
        </row>
        <row r="1603">
          <cell r="D1603">
            <v>293159</v>
          </cell>
          <cell r="E1603" t="str">
            <v>Halogenated organo-phosphorous derivatives; other halogenated organo-phosphorous derivatives, n.e.c. in item no. 2931.5</v>
          </cell>
          <cell r="F1603">
            <v>0</v>
          </cell>
          <cell r="G1603">
            <v>0</v>
          </cell>
          <cell r="H1603">
            <v>0</v>
          </cell>
          <cell r="I1603" t="str">
            <v>Others</v>
          </cell>
          <cell r="J1603">
            <v>3</v>
          </cell>
          <cell r="K1603" t="str">
            <v>Others</v>
          </cell>
        </row>
        <row r="1604">
          <cell r="D1604">
            <v>293190</v>
          </cell>
          <cell r="E1604" t="str">
            <v>Organo-inorganic compounds; other than tetramethyl lead, tetraethyl lead, tributyltin compounds, and other organo-phosphorous derivatives</v>
          </cell>
          <cell r="F1604">
            <v>0</v>
          </cell>
          <cell r="G1604">
            <v>0</v>
          </cell>
          <cell r="H1604">
            <v>0</v>
          </cell>
          <cell r="I1604" t="str">
            <v>Others</v>
          </cell>
          <cell r="J1604">
            <v>3</v>
          </cell>
          <cell r="K1604" t="str">
            <v>Others</v>
          </cell>
        </row>
        <row r="1605">
          <cell r="D1605">
            <v>293211</v>
          </cell>
          <cell r="E1605" t="str">
            <v>Heterocyclic compounds; with oxygen hetero-atom(s) only, containing an unfused furan ring (whether or not hydrogenated) in the structure, tetrahydrofuran</v>
          </cell>
          <cell r="F1605">
            <v>0</v>
          </cell>
          <cell r="G1605">
            <v>0</v>
          </cell>
          <cell r="H1605">
            <v>0</v>
          </cell>
          <cell r="I1605" t="str">
            <v>Others</v>
          </cell>
          <cell r="J1605">
            <v>3</v>
          </cell>
          <cell r="K1605" t="str">
            <v>Others</v>
          </cell>
        </row>
        <row r="1606">
          <cell r="D1606">
            <v>293212</v>
          </cell>
          <cell r="E1606" t="str">
            <v>Heterocyclic compounds; with oxygen hetero-atom(s) only, containing an unfused furan ring (whether or not hydrogenated) in the structure, 2-furaldehyde (furfuraldehyde)</v>
          </cell>
          <cell r="F1606">
            <v>0</v>
          </cell>
          <cell r="G1606">
            <v>0</v>
          </cell>
          <cell r="H1606">
            <v>0</v>
          </cell>
          <cell r="I1606" t="str">
            <v>Others</v>
          </cell>
          <cell r="J1606">
            <v>3</v>
          </cell>
          <cell r="K1606" t="str">
            <v>Others</v>
          </cell>
        </row>
        <row r="1607">
          <cell r="D1607">
            <v>293213</v>
          </cell>
          <cell r="E1607" t="str">
            <v>Heterocyclic compounds; with oxygen hetero-atom(s) only, containing an unfused furan ring (whether or not hydrogenated) in the structure, furfuryl alcohol and tetrahydrofurfuryl alcohol</v>
          </cell>
          <cell r="F1607">
            <v>0</v>
          </cell>
          <cell r="G1607">
            <v>0</v>
          </cell>
          <cell r="H1607">
            <v>0</v>
          </cell>
          <cell r="I1607" t="str">
            <v>Others</v>
          </cell>
          <cell r="J1607">
            <v>3</v>
          </cell>
          <cell r="K1607" t="str">
            <v>Others</v>
          </cell>
        </row>
        <row r="1608">
          <cell r="D1608">
            <v>293214</v>
          </cell>
          <cell r="E1608" t="str">
            <v>Heterocyclic compounds; with oxygen hetero-atom(s) only, containing an unfused furan ring (whether or not hydrogenated) in the structure, sucralose</v>
          </cell>
          <cell r="F1608">
            <v>0</v>
          </cell>
          <cell r="G1608">
            <v>0</v>
          </cell>
          <cell r="H1608">
            <v>0</v>
          </cell>
          <cell r="I1608" t="str">
            <v>Others</v>
          </cell>
          <cell r="J1608">
            <v>3</v>
          </cell>
          <cell r="K1608" t="str">
            <v>Others</v>
          </cell>
        </row>
        <row r="1609">
          <cell r="D1609">
            <v>293219</v>
          </cell>
          <cell r="E1609" t="str">
            <v>Heterocyclic compounds; with oxygen hetero-atom(s) only, containing an unfused furan ring (whether or not hydrogenated) in the structure, n.e.c. in item no. 2932.1</v>
          </cell>
          <cell r="F1609">
            <v>0</v>
          </cell>
          <cell r="G1609">
            <v>0</v>
          </cell>
          <cell r="H1609">
            <v>0</v>
          </cell>
          <cell r="I1609" t="str">
            <v>Others</v>
          </cell>
          <cell r="J1609">
            <v>3</v>
          </cell>
          <cell r="K1609" t="str">
            <v>Others</v>
          </cell>
        </row>
        <row r="1610">
          <cell r="D1610">
            <v>293220</v>
          </cell>
          <cell r="E1610" t="str">
            <v>Heterocyclic compounds; with oxygen hetero-atom(s) only, containing an unfused furan ring (whether or not hydrogenated) in the structure, lactones</v>
          </cell>
          <cell r="F1610">
            <v>0</v>
          </cell>
          <cell r="G1610">
            <v>0</v>
          </cell>
          <cell r="H1610">
            <v>0</v>
          </cell>
          <cell r="I1610" t="str">
            <v>Others</v>
          </cell>
          <cell r="J1610">
            <v>3</v>
          </cell>
          <cell r="K1610" t="str">
            <v>Others</v>
          </cell>
        </row>
        <row r="1611">
          <cell r="D1611">
            <v>293291</v>
          </cell>
          <cell r="E1611" t="str">
            <v>Heterocyclic compounds; with oxygen hetero-atom(s) only, (other than lactones or compounds containing an unfused furan ring (whether or not hydrogenated) in the structure), isosafrole</v>
          </cell>
          <cell r="F1611">
            <v>0</v>
          </cell>
          <cell r="G1611">
            <v>0</v>
          </cell>
          <cell r="H1611">
            <v>0</v>
          </cell>
          <cell r="I1611" t="str">
            <v>Others</v>
          </cell>
          <cell r="J1611">
            <v>3</v>
          </cell>
          <cell r="K1611" t="str">
            <v>Others</v>
          </cell>
        </row>
        <row r="1612">
          <cell r="D1612">
            <v>293292</v>
          </cell>
          <cell r="E1612" t="str">
            <v>Heterocyclic compounds; with oxygen hetero-atom(s) only, (other than lactones or compounds containing an unfused furan ring (whether or not hydrogenated) in the structure), 1-(1,3-Benzodioxol-5-yl)propan-2-one</v>
          </cell>
          <cell r="F1612">
            <v>0</v>
          </cell>
          <cell r="G1612">
            <v>0</v>
          </cell>
          <cell r="H1612">
            <v>0</v>
          </cell>
          <cell r="I1612" t="str">
            <v>Others</v>
          </cell>
          <cell r="J1612">
            <v>3</v>
          </cell>
          <cell r="K1612" t="str">
            <v>Others</v>
          </cell>
        </row>
        <row r="1613">
          <cell r="D1613">
            <v>293293</v>
          </cell>
          <cell r="E1613" t="str">
            <v>Heterocyclic compounds; with oxygen hetero-atom(s) only, (other than lactones or compounds containing an unfused furan ring (whether or not hydrogenated) in the structure), piperonal</v>
          </cell>
          <cell r="F1613">
            <v>0</v>
          </cell>
          <cell r="G1613">
            <v>0</v>
          </cell>
          <cell r="H1613">
            <v>0</v>
          </cell>
          <cell r="I1613" t="str">
            <v>Others</v>
          </cell>
          <cell r="J1613">
            <v>3</v>
          </cell>
          <cell r="K1613" t="str">
            <v>Others</v>
          </cell>
        </row>
        <row r="1614">
          <cell r="D1614">
            <v>293294</v>
          </cell>
          <cell r="E1614" t="str">
            <v>Heterocyclic compounds; with oxygen hetero-atom(s) only, (other than lactones or compounds containing an unfused furan ring (whether or not hydrogenated) in the structure), safrole</v>
          </cell>
          <cell r="F1614">
            <v>0</v>
          </cell>
          <cell r="G1614">
            <v>0</v>
          </cell>
          <cell r="H1614">
            <v>0</v>
          </cell>
          <cell r="I1614" t="str">
            <v>Others</v>
          </cell>
          <cell r="J1614">
            <v>3</v>
          </cell>
          <cell r="K1614" t="str">
            <v>Others</v>
          </cell>
        </row>
        <row r="1615">
          <cell r="D1615">
            <v>293295</v>
          </cell>
          <cell r="E1615" t="str">
            <v>Heterocyclic compounds; with oxygen hetero-atom(s) only, (other than lactones or compounds containing an unfused furan ring (whether or not hydrogenated) in the structure), tetrahydrocannabinols (all isomers)</v>
          </cell>
          <cell r="F1615">
            <v>0</v>
          </cell>
          <cell r="G1615">
            <v>0</v>
          </cell>
          <cell r="H1615">
            <v>0</v>
          </cell>
          <cell r="I1615" t="str">
            <v>Others</v>
          </cell>
          <cell r="J1615">
            <v>3</v>
          </cell>
          <cell r="K1615" t="str">
            <v>Others</v>
          </cell>
        </row>
        <row r="1616">
          <cell r="D1616">
            <v>293296</v>
          </cell>
          <cell r="E1616" t="str">
            <v>Heterocyclic compounds; with oxygen hetero-atom(s) only, (other than lactones or compounds containing an unfused furan ring (whether or not hydrogenated) in the structure), carbofuran (ISO)</v>
          </cell>
          <cell r="F1616">
            <v>0</v>
          </cell>
          <cell r="G1616">
            <v>0</v>
          </cell>
          <cell r="H1616">
            <v>0</v>
          </cell>
          <cell r="I1616" t="str">
            <v>Others</v>
          </cell>
          <cell r="J1616">
            <v>3</v>
          </cell>
          <cell r="K1616" t="str">
            <v>Others</v>
          </cell>
        </row>
        <row r="1617">
          <cell r="D1617">
            <v>293299</v>
          </cell>
          <cell r="E1617" t="str">
            <v>Heterocyclic compounds; with oxygen hetero-atom(s) only, no lactones or unfused furan rings in the structure, other than isosafrole, 1-(1,3-benzodiaxol-5-yl) propan-2-one, piperonal, safrole, tetrahydrocannabinols (all isomers), carbofuran (ISO)</v>
          </cell>
          <cell r="F1617">
            <v>0</v>
          </cell>
          <cell r="G1617">
            <v>0</v>
          </cell>
          <cell r="H1617">
            <v>0</v>
          </cell>
          <cell r="I1617" t="str">
            <v>Others</v>
          </cell>
          <cell r="J1617">
            <v>3</v>
          </cell>
          <cell r="K1617" t="str">
            <v>Others</v>
          </cell>
        </row>
        <row r="1618">
          <cell r="D1618">
            <v>293311</v>
          </cell>
          <cell r="E1618" t="str">
            <v>Heterocyclic compounds; with nitrogen hetero-atom(s) only, containing an unfused pyrazole ring (whether or not hydrogenated) in the structure, phenazone (antipyrin) and its derivatives</v>
          </cell>
          <cell r="F1618">
            <v>0</v>
          </cell>
          <cell r="G1618">
            <v>0</v>
          </cell>
          <cell r="H1618">
            <v>0</v>
          </cell>
          <cell r="I1618" t="str">
            <v>Others</v>
          </cell>
          <cell r="J1618">
            <v>3</v>
          </cell>
          <cell r="K1618" t="str">
            <v>Others</v>
          </cell>
        </row>
        <row r="1619">
          <cell r="D1619">
            <v>293319</v>
          </cell>
          <cell r="E1619" t="str">
            <v>Heterocyclic compounds; with nitrogen hetero-atom(s) only, containing an unfused pyrazole ring (whether or not hydrogenated) in the structure, other than henazone (antipyrin) and its derivatives</v>
          </cell>
          <cell r="F1619">
            <v>0</v>
          </cell>
          <cell r="G1619">
            <v>0</v>
          </cell>
          <cell r="H1619">
            <v>0</v>
          </cell>
          <cell r="I1619" t="str">
            <v>Others</v>
          </cell>
          <cell r="J1619">
            <v>3</v>
          </cell>
          <cell r="K1619" t="str">
            <v>Others</v>
          </cell>
        </row>
        <row r="1620">
          <cell r="D1620">
            <v>293321</v>
          </cell>
          <cell r="E1620" t="str">
            <v>Heterocyclic compounds; with nitrogen hetero-atom(s) only, containing an unfused imidazole ring (whether or not hydrogenated) in the structure, hydantoin and its derivatives</v>
          </cell>
          <cell r="F1620">
            <v>0</v>
          </cell>
          <cell r="G1620">
            <v>0</v>
          </cell>
          <cell r="H1620">
            <v>0</v>
          </cell>
          <cell r="I1620" t="str">
            <v>Others</v>
          </cell>
          <cell r="J1620">
            <v>3</v>
          </cell>
          <cell r="K1620" t="str">
            <v>Others</v>
          </cell>
        </row>
        <row r="1621">
          <cell r="D1621">
            <v>293329</v>
          </cell>
          <cell r="E1621" t="str">
            <v>Heterocyclic compounds; with nitrogen hetero-atom(s) only, containing an unfused imidazole ring (whether or not hydrogenated) in the structure, other than hydantoin and its derivatives</v>
          </cell>
          <cell r="F1621">
            <v>0</v>
          </cell>
          <cell r="G1621">
            <v>0</v>
          </cell>
          <cell r="H1621">
            <v>0</v>
          </cell>
          <cell r="I1621" t="str">
            <v>Others</v>
          </cell>
          <cell r="J1621">
            <v>3</v>
          </cell>
          <cell r="K1621" t="str">
            <v>Others</v>
          </cell>
        </row>
        <row r="1622">
          <cell r="D1622">
            <v>293331</v>
          </cell>
          <cell r="E1622" t="str">
            <v>Heterocyclic compounds; containing an unfused pyridine ring (whether or not hydrogenated) in the structure, pyridine and its salts</v>
          </cell>
          <cell r="F1622">
            <v>0</v>
          </cell>
          <cell r="G1622">
            <v>0</v>
          </cell>
          <cell r="H1622">
            <v>0</v>
          </cell>
          <cell r="I1622" t="str">
            <v>Others</v>
          </cell>
          <cell r="J1622">
            <v>3</v>
          </cell>
          <cell r="K1622" t="str">
            <v>Others</v>
          </cell>
        </row>
        <row r="1623">
          <cell r="D1623">
            <v>293332</v>
          </cell>
          <cell r="E1623" t="str">
            <v>Heterocyclic compounds; containing an unfused pyridine ring (whether or not hydrogenated) in the structure, piperidine and its salts</v>
          </cell>
          <cell r="F1623">
            <v>0</v>
          </cell>
          <cell r="G1623">
            <v>0</v>
          </cell>
          <cell r="H1623">
            <v>0</v>
          </cell>
          <cell r="I1623" t="str">
            <v>Others</v>
          </cell>
          <cell r="J1623">
            <v>3</v>
          </cell>
          <cell r="K1623" t="str">
            <v>Others</v>
          </cell>
        </row>
        <row r="1624">
          <cell r="D1624">
            <v>293333</v>
          </cell>
          <cell r="E1624" t="str">
            <v>Heterocyclic compounds; containing an unfused pyridine ring (whether or not hydrogenated) in the structure, alfentanil (INN), anileridine (INN), bezitramide (INN), bromazepam (INN), carfentanil (INN), difenoxin (INN), diphenoxylate (INN), dipipanone (INN)</v>
          </cell>
          <cell r="F1624">
            <v>0</v>
          </cell>
          <cell r="G1624">
            <v>0</v>
          </cell>
          <cell r="H1624">
            <v>0</v>
          </cell>
          <cell r="I1624" t="str">
            <v>Others</v>
          </cell>
          <cell r="J1624">
            <v>3</v>
          </cell>
          <cell r="K1624" t="str">
            <v>Others</v>
          </cell>
        </row>
        <row r="1625">
          <cell r="D1625">
            <v>293334</v>
          </cell>
          <cell r="E1625" t="str">
            <v>Heterocyclic compounds; containing an unfused pyridine ring (whether or not hydrogenated) in the structure, other fentanyls and their derivatives</v>
          </cell>
          <cell r="F1625">
            <v>0</v>
          </cell>
          <cell r="G1625">
            <v>0</v>
          </cell>
          <cell r="H1625">
            <v>0</v>
          </cell>
          <cell r="I1625" t="str">
            <v>Others</v>
          </cell>
          <cell r="J1625">
            <v>3</v>
          </cell>
          <cell r="K1625" t="str">
            <v>Others</v>
          </cell>
        </row>
        <row r="1626">
          <cell r="D1626">
            <v>293335</v>
          </cell>
          <cell r="E1626" t="str">
            <v>Heterocyclic compounds; containing an unfused pyridine ring (whether or not hydrogenated) in the structure, 3-quinuclidinol</v>
          </cell>
          <cell r="F1626">
            <v>0</v>
          </cell>
          <cell r="G1626">
            <v>0</v>
          </cell>
          <cell r="H1626">
            <v>0</v>
          </cell>
          <cell r="I1626" t="str">
            <v>Others</v>
          </cell>
          <cell r="J1626">
            <v>3</v>
          </cell>
          <cell r="K1626" t="str">
            <v>Others</v>
          </cell>
        </row>
        <row r="1627">
          <cell r="D1627">
            <v>293336</v>
          </cell>
          <cell r="E1627" t="str">
            <v>Heterocyclic compounds; containing an unfused pyridine ring (whether or not hydrogenated) in the structure, 4-anilino-N-phenethylpiperidine (ANPP)</v>
          </cell>
          <cell r="F1627">
            <v>0</v>
          </cell>
          <cell r="G1627">
            <v>0</v>
          </cell>
          <cell r="H1627">
            <v>0</v>
          </cell>
          <cell r="I1627" t="str">
            <v>Others</v>
          </cell>
          <cell r="J1627">
            <v>3</v>
          </cell>
          <cell r="K1627" t="str">
            <v>Others</v>
          </cell>
        </row>
        <row r="1628">
          <cell r="D1628">
            <v>293337</v>
          </cell>
          <cell r="E1628" t="str">
            <v>Heterocyclic compounds; containing an unfused pyridine ring (whether or not hydrogenated) in the structure, N-phenethyl-4-piperdone (NPP)</v>
          </cell>
          <cell r="F1628">
            <v>0</v>
          </cell>
          <cell r="G1628">
            <v>0</v>
          </cell>
          <cell r="H1628">
            <v>0</v>
          </cell>
          <cell r="I1628" t="str">
            <v>Others</v>
          </cell>
          <cell r="J1628">
            <v>3</v>
          </cell>
          <cell r="K1628" t="str">
            <v>Others</v>
          </cell>
        </row>
        <row r="1629">
          <cell r="D1629">
            <v>293339</v>
          </cell>
          <cell r="E1629" t="str">
            <v>Heterocyclic compounds; containing an unfused pyridine ring (whether or not hydrogenated) in the structure, n.e.c. in 2933.3</v>
          </cell>
          <cell r="F1629">
            <v>0</v>
          </cell>
          <cell r="G1629">
            <v>0</v>
          </cell>
          <cell r="H1629">
            <v>0</v>
          </cell>
          <cell r="I1629" t="str">
            <v>Others</v>
          </cell>
          <cell r="J1629">
            <v>3</v>
          </cell>
          <cell r="K1629" t="str">
            <v>Others</v>
          </cell>
        </row>
        <row r="1630">
          <cell r="D1630">
            <v>293341</v>
          </cell>
          <cell r="E1630" t="str">
            <v>Heterocyclic compounds; containing a quinoline or isoquinoline ring-system (whether or not hydrogenated) in the structure, not further fused, levorphanol (INN) and its salts</v>
          </cell>
          <cell r="F1630">
            <v>0</v>
          </cell>
          <cell r="G1630">
            <v>0</v>
          </cell>
          <cell r="H1630">
            <v>0</v>
          </cell>
          <cell r="I1630" t="str">
            <v>Others</v>
          </cell>
          <cell r="J1630">
            <v>3</v>
          </cell>
          <cell r="K1630" t="str">
            <v>Others</v>
          </cell>
        </row>
        <row r="1631">
          <cell r="D1631">
            <v>293349</v>
          </cell>
          <cell r="E1631" t="str">
            <v>Heterocyclic compounds; containing a quinoline or isoquinoline ring-system (whether or not hydrogenated) in the structure, not further fused, other than levorphanol (INN) and its salts</v>
          </cell>
          <cell r="F1631">
            <v>0</v>
          </cell>
          <cell r="G1631">
            <v>0</v>
          </cell>
          <cell r="H1631">
            <v>0</v>
          </cell>
          <cell r="I1631" t="str">
            <v>Others</v>
          </cell>
          <cell r="J1631">
            <v>3</v>
          </cell>
          <cell r="K1631" t="str">
            <v>Others</v>
          </cell>
        </row>
        <row r="1632">
          <cell r="D1632">
            <v>293352</v>
          </cell>
          <cell r="E1632" t="str">
            <v>Heterocyclic compounds; containing a pyrimidine ring (whether or not hydrogenated) or piperazine ring in the structure, malonylurea (barbituric acid) and its salts</v>
          </cell>
          <cell r="F1632">
            <v>0</v>
          </cell>
          <cell r="G1632">
            <v>0</v>
          </cell>
          <cell r="H1632">
            <v>0</v>
          </cell>
          <cell r="I1632" t="str">
            <v>Others</v>
          </cell>
          <cell r="J1632">
            <v>3</v>
          </cell>
          <cell r="K1632" t="str">
            <v>Others</v>
          </cell>
        </row>
        <row r="1633">
          <cell r="D1633">
            <v>293353</v>
          </cell>
          <cell r="E1633" t="str">
            <v>Allobarbital (INN), amobarbital (INN), barbital (INN), butalbital (INN), butobarbital, cyclobarbital (INN), methylphenobarbital (INN), pentobarbital (INN), phenobarbital (INN), secbutabarbital (INN), secobarbital (INN) and vinylbital (INN); salts thereof</v>
          </cell>
          <cell r="F1633">
            <v>0</v>
          </cell>
          <cell r="G1633">
            <v>0</v>
          </cell>
          <cell r="H1633">
            <v>0</v>
          </cell>
          <cell r="I1633" t="str">
            <v>Others</v>
          </cell>
          <cell r="J1633">
            <v>3</v>
          </cell>
          <cell r="K1633" t="str">
            <v>Others</v>
          </cell>
        </row>
        <row r="1634">
          <cell r="D1634">
            <v>293354</v>
          </cell>
          <cell r="E1634" t="str">
            <v>Heterocyclic compounds; containing a pyrimidine ring (whether or not hydrogenated) or piperazine ring in the structure, other derivatives of malonylurea (barbituric acid) and salts thereof, n.e.c. in 2933.53</v>
          </cell>
          <cell r="F1634">
            <v>0</v>
          </cell>
          <cell r="G1634">
            <v>0</v>
          </cell>
          <cell r="H1634">
            <v>0</v>
          </cell>
          <cell r="I1634" t="str">
            <v>Others</v>
          </cell>
          <cell r="J1634">
            <v>3</v>
          </cell>
          <cell r="K1634" t="str">
            <v>Others</v>
          </cell>
        </row>
        <row r="1635">
          <cell r="D1635">
            <v>293355</v>
          </cell>
          <cell r="E1635" t="str">
            <v>Heterocyclic compounds; containing a pyrimidine ring (whether or not hydrogenated) or piperazine ring in the structure; loprazolam (INN), mecloqualone (INN), methaqualone (INN), and zipeprol (INN); salts thereof</v>
          </cell>
          <cell r="F1635">
            <v>0</v>
          </cell>
          <cell r="G1635">
            <v>0</v>
          </cell>
          <cell r="H1635">
            <v>0</v>
          </cell>
          <cell r="I1635" t="str">
            <v>Others</v>
          </cell>
          <cell r="J1635">
            <v>3</v>
          </cell>
          <cell r="K1635" t="str">
            <v>Others</v>
          </cell>
        </row>
        <row r="1636">
          <cell r="D1636">
            <v>293359</v>
          </cell>
          <cell r="E1636" t="str">
            <v>Heterocyclic compounds; containing a pyrimidine ring (whether or not hydrogenated) or piperazine ring in the structure, (other than malonylurea and its derivatives, loprazolam, mecloqualone, methaqualone, zipeprol, and salts thereof) n.e.c. in 2933.5</v>
          </cell>
          <cell r="F1636">
            <v>0</v>
          </cell>
          <cell r="G1636">
            <v>0</v>
          </cell>
          <cell r="H1636">
            <v>0</v>
          </cell>
          <cell r="I1636" t="str">
            <v>Others</v>
          </cell>
          <cell r="J1636">
            <v>3</v>
          </cell>
          <cell r="K1636" t="str">
            <v>Others</v>
          </cell>
        </row>
        <row r="1637">
          <cell r="D1637">
            <v>293361</v>
          </cell>
          <cell r="E1637" t="str">
            <v>Heterocyclic compounds; containing an unfused triazine ring (whether or not hydrogenated) in the structure, melamine</v>
          </cell>
          <cell r="F1637">
            <v>0</v>
          </cell>
          <cell r="G1637">
            <v>0</v>
          </cell>
          <cell r="H1637">
            <v>0</v>
          </cell>
          <cell r="I1637" t="str">
            <v>Others</v>
          </cell>
          <cell r="J1637">
            <v>3</v>
          </cell>
          <cell r="K1637" t="str">
            <v>Others</v>
          </cell>
        </row>
        <row r="1638">
          <cell r="D1638">
            <v>293369</v>
          </cell>
          <cell r="E1638" t="str">
            <v>Heterocyclic compounds; containing an unfused triazine ring (whether or not hydrogenated) in the structure, others excluding melamine</v>
          </cell>
          <cell r="F1638">
            <v>0</v>
          </cell>
          <cell r="G1638">
            <v>0</v>
          </cell>
          <cell r="H1638">
            <v>0</v>
          </cell>
          <cell r="I1638" t="str">
            <v>Others</v>
          </cell>
          <cell r="J1638">
            <v>3</v>
          </cell>
          <cell r="K1638" t="str">
            <v>Others</v>
          </cell>
        </row>
        <row r="1639">
          <cell r="D1639">
            <v>293371</v>
          </cell>
          <cell r="E1639" t="str">
            <v>Heterocyclic compounds; lactams; 6-hexanelactam (epsilon-caprolactam)</v>
          </cell>
          <cell r="F1639">
            <v>0</v>
          </cell>
          <cell r="G1639">
            <v>0</v>
          </cell>
          <cell r="H1639">
            <v>0</v>
          </cell>
          <cell r="I1639" t="str">
            <v>Others</v>
          </cell>
          <cell r="J1639">
            <v>3</v>
          </cell>
          <cell r="K1639" t="str">
            <v>Others</v>
          </cell>
        </row>
        <row r="1640">
          <cell r="D1640">
            <v>293372</v>
          </cell>
          <cell r="E1640" t="str">
            <v>Heterocyclic compounds; lactams; clobazam (INN) and methyprylon (INN)</v>
          </cell>
          <cell r="F1640">
            <v>0</v>
          </cell>
          <cell r="G1640">
            <v>0</v>
          </cell>
          <cell r="H1640">
            <v>0</v>
          </cell>
          <cell r="I1640" t="str">
            <v>Others</v>
          </cell>
          <cell r="J1640">
            <v>3</v>
          </cell>
          <cell r="K1640" t="str">
            <v>Others</v>
          </cell>
        </row>
        <row r="1641">
          <cell r="D1641">
            <v>293379</v>
          </cell>
          <cell r="E1641" t="str">
            <v>Heterocyclic compounds; lactams; other than 6-hexanelactam (epsilon caprolactam) and clobazam (INN) and methyprylon (INN)</v>
          </cell>
          <cell r="F1641">
            <v>0</v>
          </cell>
          <cell r="G1641">
            <v>0</v>
          </cell>
          <cell r="H1641">
            <v>0</v>
          </cell>
          <cell r="I1641" t="str">
            <v>Others</v>
          </cell>
          <cell r="J1641">
            <v>3</v>
          </cell>
          <cell r="K1641" t="str">
            <v>Others</v>
          </cell>
        </row>
        <row r="1642">
          <cell r="D1642">
            <v>293391</v>
          </cell>
          <cell r="E1642" t="str">
            <v>Heterocyclic compounds; alprazolam (INN), camazepam (INN), chlordiazepoxide (INN), clonazepam (INN), clorazepate, delorazepam (INN), diazepam (INN), estazolam (INN), ethyl loflazepate (INN), fludiazepam (INN), flunitrazepam (INN), (cont)</v>
          </cell>
          <cell r="F1642">
            <v>0</v>
          </cell>
          <cell r="G1642">
            <v>0</v>
          </cell>
          <cell r="H1642">
            <v>0</v>
          </cell>
          <cell r="I1642" t="str">
            <v>Others</v>
          </cell>
          <cell r="J1642">
            <v>3</v>
          </cell>
          <cell r="K1642" t="str">
            <v>Others</v>
          </cell>
        </row>
        <row r="1643">
          <cell r="D1643">
            <v>293392</v>
          </cell>
          <cell r="E1643" t="str">
            <v>Heterocyclic compounds; azinphos-methyl (ISO)</v>
          </cell>
          <cell r="F1643">
            <v>0</v>
          </cell>
          <cell r="G1643">
            <v>0</v>
          </cell>
          <cell r="H1643">
            <v>0</v>
          </cell>
          <cell r="I1643" t="str">
            <v>Others</v>
          </cell>
          <cell r="J1643">
            <v>3</v>
          </cell>
          <cell r="K1643" t="str">
            <v>Others</v>
          </cell>
        </row>
        <row r="1644">
          <cell r="D1644">
            <v>293399</v>
          </cell>
          <cell r="E1644" t="str">
            <v>Heterocyclic compounds; n.e.c. in headings no. 2933</v>
          </cell>
          <cell r="F1644">
            <v>0</v>
          </cell>
          <cell r="G1644">
            <v>0</v>
          </cell>
          <cell r="H1644">
            <v>0</v>
          </cell>
          <cell r="I1644" t="str">
            <v>Others</v>
          </cell>
          <cell r="J1644">
            <v>3</v>
          </cell>
          <cell r="K1644" t="str">
            <v>Others</v>
          </cell>
        </row>
        <row r="1645">
          <cell r="D1645">
            <v>293410</v>
          </cell>
          <cell r="E1645" t="str">
            <v>Heterocyclic compounds; containing an unfused thiazole ring (whether or not hydrogenated) in the structure</v>
          </cell>
          <cell r="F1645">
            <v>0</v>
          </cell>
          <cell r="G1645">
            <v>0</v>
          </cell>
          <cell r="H1645">
            <v>0</v>
          </cell>
          <cell r="I1645" t="str">
            <v>Others</v>
          </cell>
          <cell r="J1645">
            <v>3</v>
          </cell>
          <cell r="K1645" t="str">
            <v>Others</v>
          </cell>
        </row>
        <row r="1646">
          <cell r="D1646">
            <v>293420</v>
          </cell>
          <cell r="E1646" t="str">
            <v>Heterocyclic compounds; containing in the structure, a benzothiazole ring-system (whether or not hydrogenated), not further fused</v>
          </cell>
          <cell r="F1646">
            <v>0</v>
          </cell>
          <cell r="G1646">
            <v>0</v>
          </cell>
          <cell r="H1646">
            <v>0</v>
          </cell>
          <cell r="I1646" t="str">
            <v>Others</v>
          </cell>
          <cell r="J1646">
            <v>3</v>
          </cell>
          <cell r="K1646" t="str">
            <v>Others</v>
          </cell>
        </row>
        <row r="1647">
          <cell r="D1647">
            <v>293430</v>
          </cell>
          <cell r="E1647" t="str">
            <v>Heterocyclic compounds; containing in the structure, a phenothiazine ring-system (whether or not hydrogenated), not further fused</v>
          </cell>
          <cell r="F1647">
            <v>0</v>
          </cell>
          <cell r="G1647">
            <v>0</v>
          </cell>
          <cell r="H1647">
            <v>0</v>
          </cell>
          <cell r="I1647" t="str">
            <v>Others</v>
          </cell>
          <cell r="J1647">
            <v>3</v>
          </cell>
          <cell r="K1647" t="str">
            <v>Others</v>
          </cell>
        </row>
        <row r="1648">
          <cell r="D1648">
            <v>293491</v>
          </cell>
          <cell r="E1648" t="str">
            <v>Heterocyclic compounds; other heterocyclic compounds, n.e.c. in 2934.1, 2934.2 and 2934.3</v>
          </cell>
          <cell r="F1648">
            <v>0</v>
          </cell>
          <cell r="G1648">
            <v>0</v>
          </cell>
          <cell r="H1648">
            <v>0</v>
          </cell>
          <cell r="I1648" t="str">
            <v>Others</v>
          </cell>
          <cell r="J1648">
            <v>3</v>
          </cell>
          <cell r="K1648" t="str">
            <v>Others</v>
          </cell>
        </row>
        <row r="1649">
          <cell r="D1649">
            <v>293492</v>
          </cell>
          <cell r="E1649" t="str">
            <v>Heterocyclic compounds; other fentanyls n.e.c. in 2934, and their derivatives</v>
          </cell>
          <cell r="F1649">
            <v>0</v>
          </cell>
          <cell r="G1649">
            <v>0</v>
          </cell>
          <cell r="H1649">
            <v>0</v>
          </cell>
          <cell r="I1649" t="str">
            <v>Others</v>
          </cell>
          <cell r="J1649">
            <v>3</v>
          </cell>
          <cell r="K1649" t="str">
            <v>Others</v>
          </cell>
        </row>
        <row r="1650">
          <cell r="D1650">
            <v>293499</v>
          </cell>
          <cell r="E1650" t="str">
            <v>Nucleic acids and their salts, other heterocyclic compounds, n.e.c. in heading number 2934</v>
          </cell>
          <cell r="F1650">
            <v>0</v>
          </cell>
          <cell r="G1650">
            <v>0</v>
          </cell>
          <cell r="H1650">
            <v>0</v>
          </cell>
          <cell r="I1650" t="str">
            <v>Others</v>
          </cell>
          <cell r="J1650">
            <v>3</v>
          </cell>
          <cell r="K1650" t="str">
            <v>Others</v>
          </cell>
        </row>
        <row r="1651">
          <cell r="D1651">
            <v>293510</v>
          </cell>
          <cell r="E1651" t="str">
            <v>Sulphonamides; N-methylperfluorooctane sulphonamide</v>
          </cell>
          <cell r="F1651">
            <v>0</v>
          </cell>
          <cell r="G1651">
            <v>0</v>
          </cell>
          <cell r="H1651">
            <v>0</v>
          </cell>
          <cell r="I1651" t="str">
            <v>Others</v>
          </cell>
          <cell r="J1651">
            <v>3</v>
          </cell>
          <cell r="K1651" t="str">
            <v>Others</v>
          </cell>
        </row>
        <row r="1652">
          <cell r="D1652">
            <v>293520</v>
          </cell>
          <cell r="E1652" t="str">
            <v>Sulphonamides; N-ethylperfluorooctane sulphonamide</v>
          </cell>
          <cell r="F1652">
            <v>0</v>
          </cell>
          <cell r="G1652">
            <v>0</v>
          </cell>
          <cell r="H1652">
            <v>0</v>
          </cell>
          <cell r="I1652" t="str">
            <v>Others</v>
          </cell>
          <cell r="J1652">
            <v>3</v>
          </cell>
          <cell r="K1652" t="str">
            <v>Others</v>
          </cell>
        </row>
        <row r="1653">
          <cell r="D1653">
            <v>293530</v>
          </cell>
          <cell r="E1653" t="str">
            <v>Sulphonamides; N-ethyl-N-(2-hydroxyethyl) perfluorooctane sulphonamide</v>
          </cell>
          <cell r="F1653">
            <v>0</v>
          </cell>
          <cell r="G1653">
            <v>0</v>
          </cell>
          <cell r="H1653">
            <v>0</v>
          </cell>
          <cell r="I1653" t="str">
            <v>Others</v>
          </cell>
          <cell r="J1653">
            <v>3</v>
          </cell>
          <cell r="K1653" t="str">
            <v>Others</v>
          </cell>
        </row>
        <row r="1654">
          <cell r="D1654">
            <v>293540</v>
          </cell>
          <cell r="E1654" t="str">
            <v>Sulphonamides; N-(2-hydroxyethyl)-N-methylperfluorooctane sulphonamide</v>
          </cell>
          <cell r="F1654">
            <v>0</v>
          </cell>
          <cell r="G1654">
            <v>0</v>
          </cell>
          <cell r="H1654">
            <v>0</v>
          </cell>
          <cell r="I1654" t="str">
            <v>Others</v>
          </cell>
          <cell r="J1654">
            <v>3</v>
          </cell>
          <cell r="K1654" t="str">
            <v>Others</v>
          </cell>
        </row>
        <row r="1655">
          <cell r="D1655">
            <v>293550</v>
          </cell>
          <cell r="E1655" t="str">
            <v>Sulphonamides; other perfluorooctane sulphonamides</v>
          </cell>
          <cell r="F1655">
            <v>0</v>
          </cell>
          <cell r="G1655">
            <v>0</v>
          </cell>
          <cell r="H1655">
            <v>0</v>
          </cell>
          <cell r="I1655" t="str">
            <v>Others</v>
          </cell>
          <cell r="J1655">
            <v>3</v>
          </cell>
          <cell r="K1655" t="str">
            <v>Others</v>
          </cell>
        </row>
        <row r="1656">
          <cell r="D1656">
            <v>293590</v>
          </cell>
          <cell r="E1656" t="str">
            <v>Sulphonamides; n.e.c. in heading no. 2935</v>
          </cell>
          <cell r="F1656">
            <v>0</v>
          </cell>
          <cell r="G1656">
            <v>0</v>
          </cell>
          <cell r="H1656">
            <v>0</v>
          </cell>
          <cell r="I1656" t="str">
            <v>Others</v>
          </cell>
          <cell r="J1656">
            <v>3</v>
          </cell>
          <cell r="K1656" t="str">
            <v>Others</v>
          </cell>
        </row>
        <row r="1657">
          <cell r="D1657">
            <v>293621</v>
          </cell>
          <cell r="E1657" t="str">
            <v>Vitamins; vitamins A and their derivatives, unmixed</v>
          </cell>
          <cell r="F1657">
            <v>0</v>
          </cell>
          <cell r="G1657">
            <v>0</v>
          </cell>
          <cell r="H1657">
            <v>0</v>
          </cell>
          <cell r="I1657" t="str">
            <v>Others</v>
          </cell>
          <cell r="J1657">
            <v>3</v>
          </cell>
          <cell r="K1657" t="str">
            <v>Others</v>
          </cell>
        </row>
        <row r="1658">
          <cell r="D1658">
            <v>293622</v>
          </cell>
          <cell r="E1658" t="str">
            <v>Vitamins; vitamin B1 and its derivatives, unmixed</v>
          </cell>
          <cell r="F1658">
            <v>0</v>
          </cell>
          <cell r="G1658">
            <v>0</v>
          </cell>
          <cell r="H1658">
            <v>0</v>
          </cell>
          <cell r="I1658" t="str">
            <v>Others</v>
          </cell>
          <cell r="J1658">
            <v>3</v>
          </cell>
          <cell r="K1658" t="str">
            <v>Others</v>
          </cell>
        </row>
        <row r="1659">
          <cell r="D1659">
            <v>293623</v>
          </cell>
          <cell r="E1659" t="str">
            <v>Vitamins; vitamin B2 and its derivatives, unmixed</v>
          </cell>
          <cell r="F1659">
            <v>0</v>
          </cell>
          <cell r="G1659">
            <v>0</v>
          </cell>
          <cell r="H1659">
            <v>0</v>
          </cell>
          <cell r="I1659" t="str">
            <v>Others</v>
          </cell>
          <cell r="J1659">
            <v>3</v>
          </cell>
          <cell r="K1659" t="str">
            <v>Others</v>
          </cell>
        </row>
        <row r="1660">
          <cell r="D1660">
            <v>293624</v>
          </cell>
          <cell r="E1660" t="str">
            <v>Vitamins; D- or DL-pantothenic acid (vitamin B5) and its derivatives, unmixed</v>
          </cell>
          <cell r="F1660">
            <v>0</v>
          </cell>
          <cell r="G1660">
            <v>0</v>
          </cell>
          <cell r="H1660">
            <v>0</v>
          </cell>
          <cell r="I1660" t="str">
            <v>Others</v>
          </cell>
          <cell r="J1660">
            <v>3</v>
          </cell>
          <cell r="K1660" t="str">
            <v>Others</v>
          </cell>
        </row>
        <row r="1661">
          <cell r="D1661">
            <v>293625</v>
          </cell>
          <cell r="E1661" t="str">
            <v>Vitamins; vitamin B6 and its derivatives, unmixed</v>
          </cell>
          <cell r="F1661">
            <v>0</v>
          </cell>
          <cell r="G1661">
            <v>0</v>
          </cell>
          <cell r="H1661">
            <v>0</v>
          </cell>
          <cell r="I1661" t="str">
            <v>Others</v>
          </cell>
          <cell r="J1661">
            <v>3</v>
          </cell>
          <cell r="K1661" t="str">
            <v>Others</v>
          </cell>
        </row>
        <row r="1662">
          <cell r="D1662">
            <v>293626</v>
          </cell>
          <cell r="E1662" t="str">
            <v>Vitamins; vitamin B12 and its derivatives, unmixed</v>
          </cell>
          <cell r="F1662">
            <v>0</v>
          </cell>
          <cell r="G1662">
            <v>0</v>
          </cell>
          <cell r="H1662">
            <v>0</v>
          </cell>
          <cell r="I1662" t="str">
            <v>Others</v>
          </cell>
          <cell r="J1662">
            <v>3</v>
          </cell>
          <cell r="K1662" t="str">
            <v>Others</v>
          </cell>
        </row>
        <row r="1663">
          <cell r="D1663">
            <v>293627</v>
          </cell>
          <cell r="E1663" t="str">
            <v>Vitamins; vitamin C and its derivatives, unmixed</v>
          </cell>
          <cell r="F1663">
            <v>0</v>
          </cell>
          <cell r="G1663">
            <v>0</v>
          </cell>
          <cell r="H1663">
            <v>0</v>
          </cell>
          <cell r="I1663" t="str">
            <v>Others</v>
          </cell>
          <cell r="J1663">
            <v>3</v>
          </cell>
          <cell r="K1663" t="str">
            <v>Others</v>
          </cell>
        </row>
        <row r="1664">
          <cell r="D1664">
            <v>293628</v>
          </cell>
          <cell r="E1664" t="str">
            <v>Vitamins; vitamin E and its derivatives, unmixed</v>
          </cell>
          <cell r="F1664">
            <v>0</v>
          </cell>
          <cell r="G1664">
            <v>0</v>
          </cell>
          <cell r="H1664">
            <v>0</v>
          </cell>
          <cell r="I1664" t="str">
            <v>Others</v>
          </cell>
          <cell r="J1664">
            <v>3</v>
          </cell>
          <cell r="K1664" t="str">
            <v>Others</v>
          </cell>
        </row>
        <row r="1665">
          <cell r="D1665">
            <v>293629</v>
          </cell>
          <cell r="E1665" t="str">
            <v>Vitamins; n.e.c. in item no. 2936.2, and their derivatives, unmixed</v>
          </cell>
          <cell r="F1665">
            <v>0</v>
          </cell>
          <cell r="G1665">
            <v>0</v>
          </cell>
          <cell r="H1665">
            <v>0</v>
          </cell>
          <cell r="I1665" t="str">
            <v>Others</v>
          </cell>
          <cell r="J1665">
            <v>3</v>
          </cell>
          <cell r="K1665" t="str">
            <v>Others</v>
          </cell>
        </row>
        <row r="1666">
          <cell r="D1666">
            <v>293690</v>
          </cell>
          <cell r="E1666" t="str">
            <v>Vitamins; n.e.c. in heading no. 2936, including natural concentrates</v>
          </cell>
          <cell r="F1666">
            <v>0</v>
          </cell>
          <cell r="G1666">
            <v>0</v>
          </cell>
          <cell r="H1666">
            <v>0</v>
          </cell>
          <cell r="I1666" t="str">
            <v>Others</v>
          </cell>
          <cell r="J1666">
            <v>3</v>
          </cell>
          <cell r="K1666" t="str">
            <v>Others</v>
          </cell>
        </row>
        <row r="1667">
          <cell r="D1667">
            <v>293711</v>
          </cell>
          <cell r="E1667" t="str">
            <v>Polypeptide hormones, protein hormones and glycoprotein hormones, their derivatives and structural analogues; somatotropin, its derivatives and structural analogues</v>
          </cell>
          <cell r="F1667">
            <v>0</v>
          </cell>
          <cell r="G1667">
            <v>0</v>
          </cell>
          <cell r="H1667">
            <v>0</v>
          </cell>
          <cell r="I1667" t="str">
            <v>Others</v>
          </cell>
          <cell r="J1667">
            <v>3</v>
          </cell>
          <cell r="K1667" t="str">
            <v>Others</v>
          </cell>
        </row>
        <row r="1668">
          <cell r="D1668">
            <v>293712</v>
          </cell>
          <cell r="E1668" t="str">
            <v>Polypeptide hormones, protein hormones and glycoprotein hormones, their derivatives and structural analogues; insulin and its salts</v>
          </cell>
          <cell r="F1668">
            <v>0</v>
          </cell>
          <cell r="G1668">
            <v>0</v>
          </cell>
          <cell r="H1668">
            <v>0</v>
          </cell>
          <cell r="I1668" t="str">
            <v>Others</v>
          </cell>
          <cell r="J1668">
            <v>3</v>
          </cell>
          <cell r="K1668" t="str">
            <v>Others</v>
          </cell>
        </row>
        <row r="1669">
          <cell r="D1669">
            <v>293719</v>
          </cell>
          <cell r="E1669" t="str">
            <v>Polypeptide hormones, protein hormones and glycoprotein hormones, their derivatives and structural analogues; other than somatotropin, (its derivatives and structural anaologues) and insulin and its salts</v>
          </cell>
          <cell r="F1669">
            <v>0</v>
          </cell>
          <cell r="G1669">
            <v>0</v>
          </cell>
          <cell r="H1669">
            <v>0</v>
          </cell>
          <cell r="I1669" t="str">
            <v>Others</v>
          </cell>
          <cell r="J1669">
            <v>3</v>
          </cell>
          <cell r="K1669" t="str">
            <v>Others</v>
          </cell>
        </row>
        <row r="1670">
          <cell r="D1670">
            <v>293721</v>
          </cell>
          <cell r="E1670" t="str">
            <v>Steroidal hormones, their derivatives and structural analogues; cortisone, hydrocortisone, prednisone (dehydrocortisone) and prednisolone (dehydrohydrocortisone)</v>
          </cell>
          <cell r="F1670">
            <v>0</v>
          </cell>
          <cell r="G1670">
            <v>0</v>
          </cell>
          <cell r="H1670">
            <v>0</v>
          </cell>
          <cell r="I1670" t="str">
            <v>Others</v>
          </cell>
          <cell r="J1670">
            <v>3</v>
          </cell>
          <cell r="K1670" t="str">
            <v>Others</v>
          </cell>
        </row>
        <row r="1671">
          <cell r="D1671">
            <v>293722</v>
          </cell>
          <cell r="E1671" t="str">
            <v>Steroidal hormones, their derivatives and structural analogues; halogenated derivatives of corticosteroidal hormones</v>
          </cell>
          <cell r="F1671">
            <v>0</v>
          </cell>
          <cell r="G1671">
            <v>0</v>
          </cell>
          <cell r="H1671">
            <v>0</v>
          </cell>
          <cell r="I1671" t="str">
            <v>Others</v>
          </cell>
          <cell r="J1671">
            <v>3</v>
          </cell>
          <cell r="K1671" t="str">
            <v>Others</v>
          </cell>
        </row>
        <row r="1672">
          <cell r="D1672">
            <v>293723</v>
          </cell>
          <cell r="E1672" t="str">
            <v>Steroidal hormones, their derivatives and structural analogues; oestrogens and progestogens</v>
          </cell>
          <cell r="F1672">
            <v>0</v>
          </cell>
          <cell r="G1672">
            <v>0</v>
          </cell>
          <cell r="H1672">
            <v>0</v>
          </cell>
          <cell r="I1672" t="str">
            <v>Others</v>
          </cell>
          <cell r="J1672">
            <v>3</v>
          </cell>
          <cell r="K1672" t="str">
            <v>Others</v>
          </cell>
        </row>
        <row r="1673">
          <cell r="D1673">
            <v>293729</v>
          </cell>
          <cell r="E1673" t="str">
            <v>Steroidal hormones, their derivatives and structural analogues; other than cortisone, hydrocortisone, prednisone (dehydrocortisone), prednisolone (dehydrohydrocortisone), halogenated derivatives of corticosteroidal hormones, oestrogen and progestogens</v>
          </cell>
          <cell r="F1673">
            <v>0</v>
          </cell>
          <cell r="G1673">
            <v>0</v>
          </cell>
          <cell r="H1673">
            <v>0</v>
          </cell>
          <cell r="I1673" t="str">
            <v>Others</v>
          </cell>
          <cell r="J1673">
            <v>3</v>
          </cell>
          <cell r="K1673" t="str">
            <v>Others</v>
          </cell>
        </row>
        <row r="1674">
          <cell r="D1674">
            <v>293750</v>
          </cell>
          <cell r="E1674" t="str">
            <v>Prostaglandins, thromboxanes and leukotrienes, their derivatives and structural analogues</v>
          </cell>
          <cell r="F1674">
            <v>0</v>
          </cell>
          <cell r="G1674">
            <v>0</v>
          </cell>
          <cell r="H1674">
            <v>0</v>
          </cell>
          <cell r="I1674" t="str">
            <v>Others</v>
          </cell>
          <cell r="J1674">
            <v>3</v>
          </cell>
          <cell r="K1674" t="str">
            <v>Others</v>
          </cell>
        </row>
        <row r="1675">
          <cell r="D1675">
            <v>293790</v>
          </cell>
          <cell r="E1675" t="str">
            <v>Hormones, prostaglandins, thromboxanes and leukotrienes, natural or reproduced by synthesis; derivatives and structural analogues thereof, including chain modified polypeptides, used primarily as hormones, n.e.c. in heading 2937</v>
          </cell>
          <cell r="F1675">
            <v>0</v>
          </cell>
          <cell r="G1675">
            <v>0</v>
          </cell>
          <cell r="H1675">
            <v>0</v>
          </cell>
          <cell r="I1675" t="str">
            <v>Others</v>
          </cell>
          <cell r="J1675">
            <v>3</v>
          </cell>
          <cell r="K1675" t="str">
            <v>Others</v>
          </cell>
        </row>
        <row r="1676">
          <cell r="D1676">
            <v>293810</v>
          </cell>
          <cell r="E1676" t="str">
            <v>Glycosides; rutoside (rutin) and its derivatives</v>
          </cell>
          <cell r="F1676">
            <v>0</v>
          </cell>
          <cell r="G1676">
            <v>0</v>
          </cell>
          <cell r="H1676">
            <v>0</v>
          </cell>
          <cell r="I1676" t="str">
            <v>Others</v>
          </cell>
          <cell r="J1676">
            <v>3</v>
          </cell>
          <cell r="K1676" t="str">
            <v>Others</v>
          </cell>
        </row>
        <row r="1677">
          <cell r="D1677">
            <v>293890</v>
          </cell>
          <cell r="E1677" t="str">
            <v>Glycosides; natural or reproduced by synthesis, other than rutoside (rutin) and its derivatives</v>
          </cell>
          <cell r="F1677">
            <v>0</v>
          </cell>
          <cell r="G1677">
            <v>0</v>
          </cell>
          <cell r="H1677">
            <v>0</v>
          </cell>
          <cell r="I1677" t="str">
            <v>Others</v>
          </cell>
          <cell r="J1677">
            <v>3</v>
          </cell>
          <cell r="K1677" t="str">
            <v>Others</v>
          </cell>
        </row>
        <row r="1678">
          <cell r="D1678">
            <v>293911</v>
          </cell>
          <cell r="E1678" t="str">
            <v>Alkaloids; of opium and their derivatives; salts thereof</v>
          </cell>
          <cell r="F1678">
            <v>0</v>
          </cell>
          <cell r="G1678">
            <v>0</v>
          </cell>
          <cell r="H1678">
            <v>0</v>
          </cell>
          <cell r="I1678" t="str">
            <v>Others</v>
          </cell>
          <cell r="J1678">
            <v>3</v>
          </cell>
          <cell r="K1678" t="str">
            <v>Others</v>
          </cell>
        </row>
        <row r="1679">
          <cell r="D1679">
            <v>293919</v>
          </cell>
          <cell r="E1679" t="str">
            <v>Alkaloids; of opium and their derivatives; other than in 2939.11, salts thereof</v>
          </cell>
          <cell r="F1679">
            <v>0</v>
          </cell>
          <cell r="G1679">
            <v>0</v>
          </cell>
          <cell r="H1679">
            <v>0</v>
          </cell>
          <cell r="I1679" t="str">
            <v>Others</v>
          </cell>
          <cell r="J1679">
            <v>3</v>
          </cell>
          <cell r="K1679" t="str">
            <v>Others</v>
          </cell>
        </row>
        <row r="1680">
          <cell r="D1680">
            <v>293920</v>
          </cell>
          <cell r="E1680" t="str">
            <v>Alkaloids; of cinchona and their derivatives; salts thereof</v>
          </cell>
          <cell r="F1680">
            <v>0</v>
          </cell>
          <cell r="G1680">
            <v>0</v>
          </cell>
          <cell r="H1680">
            <v>0</v>
          </cell>
          <cell r="I1680" t="str">
            <v>Others</v>
          </cell>
          <cell r="J1680">
            <v>3</v>
          </cell>
          <cell r="K1680" t="str">
            <v>Others</v>
          </cell>
        </row>
        <row r="1681">
          <cell r="D1681">
            <v>293930</v>
          </cell>
          <cell r="E1681" t="str">
            <v>Alkaloids; caffeine and its salts</v>
          </cell>
          <cell r="F1681">
            <v>0</v>
          </cell>
          <cell r="G1681">
            <v>0</v>
          </cell>
          <cell r="H1681">
            <v>0</v>
          </cell>
          <cell r="I1681" t="str">
            <v>Others</v>
          </cell>
          <cell r="J1681">
            <v>3</v>
          </cell>
          <cell r="K1681" t="str">
            <v>Others</v>
          </cell>
        </row>
        <row r="1682">
          <cell r="D1682">
            <v>293941</v>
          </cell>
          <cell r="E1682" t="str">
            <v>Alkaloids; of ephedrine and their derivatives; salts thereof</v>
          </cell>
          <cell r="F1682">
            <v>0</v>
          </cell>
          <cell r="G1682">
            <v>0</v>
          </cell>
          <cell r="H1682">
            <v>0</v>
          </cell>
          <cell r="I1682" t="str">
            <v>Others</v>
          </cell>
          <cell r="J1682">
            <v>3</v>
          </cell>
          <cell r="K1682" t="str">
            <v>Others</v>
          </cell>
        </row>
        <row r="1683">
          <cell r="D1683">
            <v>293942</v>
          </cell>
          <cell r="E1683" t="str">
            <v>Alkaloids; of ephedrine and their derivatives; pseudoephedrine (INN) and its salts</v>
          </cell>
          <cell r="F1683">
            <v>0</v>
          </cell>
          <cell r="G1683">
            <v>0</v>
          </cell>
          <cell r="H1683">
            <v>0</v>
          </cell>
          <cell r="I1683" t="str">
            <v>Others</v>
          </cell>
          <cell r="J1683">
            <v>3</v>
          </cell>
          <cell r="K1683" t="str">
            <v>Others</v>
          </cell>
        </row>
        <row r="1684">
          <cell r="D1684">
            <v>293943</v>
          </cell>
          <cell r="E1684" t="str">
            <v>Alkaloids; of ephedrine and their derivatives; cathine (INN) and its salts</v>
          </cell>
          <cell r="F1684">
            <v>0</v>
          </cell>
          <cell r="G1684">
            <v>0</v>
          </cell>
          <cell r="H1684">
            <v>0</v>
          </cell>
          <cell r="I1684" t="str">
            <v>Others</v>
          </cell>
          <cell r="J1684">
            <v>3</v>
          </cell>
          <cell r="K1684" t="str">
            <v>Others</v>
          </cell>
        </row>
        <row r="1685">
          <cell r="D1685">
            <v>293944</v>
          </cell>
          <cell r="E1685" t="str">
            <v>Alkaloids; of ephedrine and their derivatives; norephedrine and its salts</v>
          </cell>
          <cell r="F1685">
            <v>0</v>
          </cell>
          <cell r="G1685">
            <v>0</v>
          </cell>
          <cell r="H1685">
            <v>0</v>
          </cell>
          <cell r="I1685" t="str">
            <v>Others</v>
          </cell>
          <cell r="J1685">
            <v>3</v>
          </cell>
          <cell r="K1685" t="str">
            <v>Others</v>
          </cell>
        </row>
        <row r="1686">
          <cell r="D1686">
            <v>293945</v>
          </cell>
          <cell r="E1686" t="str">
            <v>Alkaloids; of ephedrine and their derivatives; levometamfetamine, metamfetamine (INN), metamefetamine racemate and their salts</v>
          </cell>
          <cell r="F1686">
            <v>0</v>
          </cell>
          <cell r="G1686">
            <v>0</v>
          </cell>
          <cell r="H1686">
            <v>0</v>
          </cell>
          <cell r="I1686" t="str">
            <v>Others</v>
          </cell>
          <cell r="J1686">
            <v>3</v>
          </cell>
          <cell r="K1686" t="str">
            <v>Others</v>
          </cell>
        </row>
        <row r="1687">
          <cell r="D1687">
            <v>293949</v>
          </cell>
          <cell r="E1687" t="str">
            <v>Alkaloids; of ephedrine and their derivatives; other than ephedrine, pseudoephedrine (INN), norephedrine, cathine (INN), levometamfetamine, metamfetamine (INN), metamefetamine racemate and their salts</v>
          </cell>
          <cell r="F1687">
            <v>0</v>
          </cell>
          <cell r="G1687">
            <v>0</v>
          </cell>
          <cell r="H1687">
            <v>0</v>
          </cell>
          <cell r="I1687" t="str">
            <v>Others</v>
          </cell>
          <cell r="J1687">
            <v>3</v>
          </cell>
          <cell r="K1687" t="str">
            <v>Others</v>
          </cell>
        </row>
        <row r="1688">
          <cell r="D1688">
            <v>293951</v>
          </cell>
          <cell r="E1688" t="str">
            <v>Alkaloids; theophylline and aminophylline (theophylline-ethylenediamine) and their derivatives; salts thereof, fenetylline (INN) and its salts</v>
          </cell>
          <cell r="F1688">
            <v>0</v>
          </cell>
          <cell r="G1688">
            <v>0</v>
          </cell>
          <cell r="H1688">
            <v>0</v>
          </cell>
          <cell r="I1688" t="str">
            <v>Others</v>
          </cell>
          <cell r="J1688">
            <v>3</v>
          </cell>
          <cell r="K1688" t="str">
            <v>Others</v>
          </cell>
        </row>
        <row r="1689">
          <cell r="D1689">
            <v>293959</v>
          </cell>
          <cell r="E1689" t="str">
            <v>Alkaloids; theophylline and aminophylline (theophylline-ethylenediamine) and their derivatives; salts thereof, other than fenetylline</v>
          </cell>
          <cell r="F1689">
            <v>0</v>
          </cell>
          <cell r="G1689">
            <v>0</v>
          </cell>
          <cell r="H1689">
            <v>0</v>
          </cell>
          <cell r="I1689" t="str">
            <v>Others</v>
          </cell>
          <cell r="J1689">
            <v>3</v>
          </cell>
          <cell r="K1689" t="str">
            <v>Others</v>
          </cell>
        </row>
        <row r="1690">
          <cell r="D1690">
            <v>293961</v>
          </cell>
          <cell r="E1690" t="str">
            <v>Alkaloids; of rye ergot and their derivatives, ergometrine (INN) and its salts</v>
          </cell>
          <cell r="F1690">
            <v>0</v>
          </cell>
          <cell r="G1690">
            <v>0</v>
          </cell>
          <cell r="H1690">
            <v>0</v>
          </cell>
          <cell r="I1690" t="str">
            <v>Others</v>
          </cell>
          <cell r="J1690">
            <v>3</v>
          </cell>
          <cell r="K1690" t="str">
            <v>Others</v>
          </cell>
        </row>
        <row r="1691">
          <cell r="D1691">
            <v>293962</v>
          </cell>
          <cell r="E1691" t="str">
            <v>Alkaloids; of rye ergot and their derivatives, ergotamine (INN) and its salts</v>
          </cell>
          <cell r="F1691">
            <v>0</v>
          </cell>
          <cell r="G1691">
            <v>0</v>
          </cell>
          <cell r="H1691">
            <v>0</v>
          </cell>
          <cell r="I1691" t="str">
            <v>Others</v>
          </cell>
          <cell r="J1691">
            <v>3</v>
          </cell>
          <cell r="K1691" t="str">
            <v>Others</v>
          </cell>
        </row>
        <row r="1692">
          <cell r="D1692">
            <v>293963</v>
          </cell>
          <cell r="E1692" t="str">
            <v>Alkaloids; of rye ergot and their derivatives, lysergic acid and its salts</v>
          </cell>
          <cell r="F1692">
            <v>0</v>
          </cell>
          <cell r="G1692">
            <v>0</v>
          </cell>
          <cell r="H1692">
            <v>0</v>
          </cell>
          <cell r="I1692" t="str">
            <v>Others</v>
          </cell>
          <cell r="J1692">
            <v>3</v>
          </cell>
          <cell r="K1692" t="str">
            <v>Others</v>
          </cell>
        </row>
        <row r="1693">
          <cell r="D1693">
            <v>293969</v>
          </cell>
          <cell r="E1693" t="str">
            <v>Alkaloids; of rye ergot and their derivatives, salts thereof, n.e.c. in item no. 2939.6</v>
          </cell>
          <cell r="F1693">
            <v>0</v>
          </cell>
          <cell r="G1693">
            <v>0</v>
          </cell>
          <cell r="H1693">
            <v>0</v>
          </cell>
          <cell r="I1693" t="str">
            <v>Others</v>
          </cell>
          <cell r="J1693">
            <v>3</v>
          </cell>
          <cell r="K1693" t="str">
            <v>Others</v>
          </cell>
        </row>
        <row r="1694">
          <cell r="D1694">
            <v>293972</v>
          </cell>
          <cell r="E1694" t="str">
            <v>Alkaloids; of vegetal origin, cocaine, ecgonine; salts, esters and other derivatives thereof</v>
          </cell>
          <cell r="F1694">
            <v>0</v>
          </cell>
          <cell r="G1694">
            <v>0</v>
          </cell>
          <cell r="H1694">
            <v>0</v>
          </cell>
          <cell r="I1694" t="str">
            <v>Others</v>
          </cell>
          <cell r="J1694">
            <v>3</v>
          </cell>
          <cell r="K1694" t="str">
            <v>Others</v>
          </cell>
        </row>
        <row r="1695">
          <cell r="D1695">
            <v>293979</v>
          </cell>
          <cell r="E1695" t="str">
            <v>Alkaloids; of vegetal origin, other than cocaine, ecgonine; salts, esters and other derivatives; n.e.c. in heading no. 2939</v>
          </cell>
          <cell r="F1695">
            <v>0</v>
          </cell>
          <cell r="G1695">
            <v>0</v>
          </cell>
          <cell r="H1695">
            <v>0</v>
          </cell>
          <cell r="I1695" t="str">
            <v>Others</v>
          </cell>
          <cell r="J1695">
            <v>3</v>
          </cell>
          <cell r="K1695" t="str">
            <v>Others</v>
          </cell>
        </row>
        <row r="1696">
          <cell r="D1696">
            <v>293980</v>
          </cell>
          <cell r="E1696" t="str">
            <v>Alkaloids; natural or reproduced by synthesis, and their salts, esters and other derivatives n.e.c. in heading no. 2939</v>
          </cell>
          <cell r="F1696">
            <v>0</v>
          </cell>
          <cell r="G1696">
            <v>0</v>
          </cell>
          <cell r="H1696">
            <v>0</v>
          </cell>
          <cell r="I1696" t="str">
            <v>Others</v>
          </cell>
          <cell r="J1696">
            <v>3</v>
          </cell>
          <cell r="K1696" t="str">
            <v>Others</v>
          </cell>
        </row>
        <row r="1697">
          <cell r="D1697">
            <v>294000</v>
          </cell>
          <cell r="E1697" t="str">
            <v>Sugars, chemically pure, other than sucrose, lactose, maltose, glucose and fructose; sugar ethers, sugar acetals and sugar esters, and their salts, other than the products of heading 29.37, 29.38, or 29.39</v>
          </cell>
          <cell r="F1697">
            <v>0</v>
          </cell>
          <cell r="G1697">
            <v>0</v>
          </cell>
          <cell r="H1697">
            <v>0</v>
          </cell>
          <cell r="I1697" t="str">
            <v>Others</v>
          </cell>
          <cell r="J1697">
            <v>3</v>
          </cell>
          <cell r="K1697" t="str">
            <v>Others</v>
          </cell>
        </row>
        <row r="1698">
          <cell r="D1698">
            <v>294110</v>
          </cell>
          <cell r="E1698" t="str">
            <v>Antibiotics; penicillins and their derivatives with a penicillanic acid structure; salts thereof</v>
          </cell>
          <cell r="F1698">
            <v>0</v>
          </cell>
          <cell r="G1698">
            <v>0</v>
          </cell>
          <cell r="H1698">
            <v>0</v>
          </cell>
          <cell r="I1698" t="str">
            <v>Others</v>
          </cell>
          <cell r="J1698">
            <v>3</v>
          </cell>
          <cell r="K1698" t="str">
            <v>Others</v>
          </cell>
        </row>
        <row r="1699">
          <cell r="D1699">
            <v>294120</v>
          </cell>
          <cell r="E1699" t="str">
            <v>Antibiotics; streptomycins and their derivatives; salts thereof</v>
          </cell>
          <cell r="F1699">
            <v>0</v>
          </cell>
          <cell r="G1699">
            <v>0</v>
          </cell>
          <cell r="H1699">
            <v>0</v>
          </cell>
          <cell r="I1699" t="str">
            <v>Others</v>
          </cell>
          <cell r="J1699">
            <v>3</v>
          </cell>
          <cell r="K1699" t="str">
            <v>Others</v>
          </cell>
        </row>
        <row r="1700">
          <cell r="D1700">
            <v>294130</v>
          </cell>
          <cell r="E1700" t="str">
            <v>Antibiotics; tetracyclines and their derivatives; salts thereof</v>
          </cell>
          <cell r="F1700">
            <v>0</v>
          </cell>
          <cell r="G1700">
            <v>0</v>
          </cell>
          <cell r="H1700">
            <v>0</v>
          </cell>
          <cell r="I1700" t="str">
            <v>Others</v>
          </cell>
          <cell r="J1700">
            <v>3</v>
          </cell>
          <cell r="K1700" t="str">
            <v>Others</v>
          </cell>
        </row>
        <row r="1701">
          <cell r="D1701">
            <v>294140</v>
          </cell>
          <cell r="E1701" t="str">
            <v>Antibiotics; chloramphenicol and its derivatives; salts thereof</v>
          </cell>
          <cell r="F1701">
            <v>0</v>
          </cell>
          <cell r="G1701">
            <v>0</v>
          </cell>
          <cell r="H1701">
            <v>0</v>
          </cell>
          <cell r="I1701" t="str">
            <v>Others</v>
          </cell>
          <cell r="J1701">
            <v>3</v>
          </cell>
          <cell r="K1701" t="str">
            <v>Others</v>
          </cell>
        </row>
        <row r="1702">
          <cell r="D1702">
            <v>294150</v>
          </cell>
          <cell r="E1702" t="str">
            <v>Antibiotics; erythromycin and its derivatives; salts thereof</v>
          </cell>
          <cell r="F1702">
            <v>0</v>
          </cell>
          <cell r="G1702">
            <v>0</v>
          </cell>
          <cell r="H1702">
            <v>0</v>
          </cell>
          <cell r="I1702" t="str">
            <v>Others</v>
          </cell>
          <cell r="J1702">
            <v>3</v>
          </cell>
          <cell r="K1702" t="str">
            <v>Others</v>
          </cell>
        </row>
        <row r="1703">
          <cell r="D1703">
            <v>294190</v>
          </cell>
          <cell r="E1703" t="str">
            <v>Antibiotics; n.e.c. in heading no. 2941</v>
          </cell>
          <cell r="F1703">
            <v>0</v>
          </cell>
          <cell r="G1703">
            <v>0</v>
          </cell>
          <cell r="H1703">
            <v>0</v>
          </cell>
          <cell r="I1703" t="str">
            <v>Others</v>
          </cell>
          <cell r="J1703">
            <v>3</v>
          </cell>
          <cell r="K1703" t="str">
            <v>Others</v>
          </cell>
        </row>
        <row r="1704">
          <cell r="D1704">
            <v>294200</v>
          </cell>
          <cell r="E1704" t="str">
            <v>Organic compounds; n.e.c. in chapter 29</v>
          </cell>
          <cell r="F1704">
            <v>0</v>
          </cell>
          <cell r="G1704">
            <v>0</v>
          </cell>
          <cell r="H1704">
            <v>0</v>
          </cell>
          <cell r="I1704" t="str">
            <v>Others</v>
          </cell>
          <cell r="J1704">
            <v>3</v>
          </cell>
          <cell r="K1704" t="str">
            <v>Others</v>
          </cell>
        </row>
        <row r="1705">
          <cell r="D1705">
            <v>300120</v>
          </cell>
          <cell r="E1705" t="str">
            <v>Glands and other organs; extracts of glands or other organs or of their secretions, for organo-therapeutic uses</v>
          </cell>
          <cell r="F1705">
            <v>0</v>
          </cell>
          <cell r="G1705">
            <v>0</v>
          </cell>
          <cell r="H1705">
            <v>0</v>
          </cell>
          <cell r="I1705" t="str">
            <v>Others</v>
          </cell>
          <cell r="J1705">
            <v>3</v>
          </cell>
          <cell r="K1705" t="str">
            <v>Others</v>
          </cell>
        </row>
        <row r="1706">
          <cell r="D1706">
            <v>300190</v>
          </cell>
          <cell r="E1706" t="str">
            <v>Glands and other organs; heparin and its salts; other human or animal substances prepared for therapeutic or prophylactic uses, n.e.c. in heading 3001</v>
          </cell>
          <cell r="F1706">
            <v>0</v>
          </cell>
          <cell r="G1706">
            <v>0</v>
          </cell>
          <cell r="H1706">
            <v>0</v>
          </cell>
          <cell r="I1706" t="str">
            <v>Others</v>
          </cell>
          <cell r="J1706">
            <v>3</v>
          </cell>
          <cell r="K1706" t="str">
            <v>Others</v>
          </cell>
        </row>
        <row r="1707">
          <cell r="D1707">
            <v>300212</v>
          </cell>
          <cell r="E1707" t="str">
            <v>Blood, human or animal, antisera, other blood fractions and immunological products; antisera and other blood fractions</v>
          </cell>
          <cell r="F1707">
            <v>0</v>
          </cell>
          <cell r="G1707">
            <v>0</v>
          </cell>
          <cell r="H1707">
            <v>0</v>
          </cell>
          <cell r="I1707" t="str">
            <v>Others</v>
          </cell>
          <cell r="J1707">
            <v>3</v>
          </cell>
          <cell r="K1707" t="str">
            <v>Others</v>
          </cell>
        </row>
        <row r="1708">
          <cell r="D1708">
            <v>300213</v>
          </cell>
          <cell r="E1708" t="str">
            <v>Blood, human or animal, antisera, other blood fractions and immunological products; immunological products, unmixed, not put up in measured doses or in forms or packings for retail sale</v>
          </cell>
          <cell r="F1708">
            <v>0</v>
          </cell>
          <cell r="G1708">
            <v>0</v>
          </cell>
          <cell r="H1708">
            <v>0</v>
          </cell>
          <cell r="I1708" t="str">
            <v>Others</v>
          </cell>
          <cell r="J1708">
            <v>3</v>
          </cell>
          <cell r="K1708" t="str">
            <v>Others</v>
          </cell>
        </row>
        <row r="1709">
          <cell r="D1709">
            <v>300214</v>
          </cell>
          <cell r="E1709" t="str">
            <v>Blood, human or animal, antisera, other blood fractions and immunological products; immunological products, mixed, put up in measured doses or in forms or packings for retail sale</v>
          </cell>
          <cell r="F1709">
            <v>0</v>
          </cell>
          <cell r="G1709">
            <v>0</v>
          </cell>
          <cell r="H1709">
            <v>0</v>
          </cell>
          <cell r="I1709" t="str">
            <v>Others</v>
          </cell>
          <cell r="J1709">
            <v>3</v>
          </cell>
          <cell r="K1709" t="str">
            <v>Others</v>
          </cell>
        </row>
        <row r="1710">
          <cell r="D1710">
            <v>300215</v>
          </cell>
          <cell r="E1710" t="str">
            <v>Blood, human or animal, antisera, other blood fractions and immunological products; immunological products, put up in measured doses or in forms or packings for retail sale</v>
          </cell>
          <cell r="F1710">
            <v>0</v>
          </cell>
          <cell r="G1710">
            <v>0</v>
          </cell>
          <cell r="H1710">
            <v>0</v>
          </cell>
          <cell r="I1710" t="str">
            <v>Others</v>
          </cell>
          <cell r="J1710">
            <v>3</v>
          </cell>
          <cell r="K1710" t="str">
            <v>Others</v>
          </cell>
        </row>
        <row r="1711">
          <cell r="D1711">
            <v>300241</v>
          </cell>
          <cell r="E1711" t="str">
            <v>Vaccines, toxins, cultures of micro-organisms (excluding yeasts) and similar products; for human medicine</v>
          </cell>
          <cell r="F1711">
            <v>0</v>
          </cell>
          <cell r="G1711">
            <v>0</v>
          </cell>
          <cell r="H1711">
            <v>0</v>
          </cell>
          <cell r="I1711" t="str">
            <v>Others</v>
          </cell>
          <cell r="J1711">
            <v>3</v>
          </cell>
          <cell r="K1711" t="str">
            <v>Others</v>
          </cell>
        </row>
        <row r="1712">
          <cell r="D1712">
            <v>300242</v>
          </cell>
          <cell r="E1712" t="str">
            <v>Vaccines, toxins, cultures of micro-organisms (excluding yeasts) and similar products; for veterinary medicine</v>
          </cell>
          <cell r="F1712">
            <v>0</v>
          </cell>
          <cell r="G1712">
            <v>0</v>
          </cell>
          <cell r="H1712">
            <v>0</v>
          </cell>
          <cell r="I1712" t="str">
            <v>Others</v>
          </cell>
          <cell r="J1712">
            <v>3</v>
          </cell>
          <cell r="K1712" t="str">
            <v>Others</v>
          </cell>
        </row>
        <row r="1713">
          <cell r="D1713">
            <v>300249</v>
          </cell>
          <cell r="E1713" t="str">
            <v>Toxins, cultures of micro-organisms (excluding yeasts) and similar products; n.e.c. in item 3002.3</v>
          </cell>
          <cell r="F1713">
            <v>0</v>
          </cell>
          <cell r="G1713">
            <v>0</v>
          </cell>
          <cell r="H1713">
            <v>0</v>
          </cell>
          <cell r="I1713" t="str">
            <v>Others</v>
          </cell>
          <cell r="J1713">
            <v>3</v>
          </cell>
          <cell r="K1713" t="str">
            <v>Others</v>
          </cell>
        </row>
        <row r="1714">
          <cell r="D1714">
            <v>300251</v>
          </cell>
          <cell r="E1714" t="str">
            <v>Cell cultures, whether or not modified; cell therapy products</v>
          </cell>
          <cell r="F1714">
            <v>0</v>
          </cell>
          <cell r="G1714">
            <v>0</v>
          </cell>
          <cell r="H1714">
            <v>0</v>
          </cell>
          <cell r="I1714" t="str">
            <v>Others</v>
          </cell>
          <cell r="J1714">
            <v>3</v>
          </cell>
          <cell r="K1714" t="str">
            <v>Others</v>
          </cell>
        </row>
        <row r="1715">
          <cell r="D1715">
            <v>300259</v>
          </cell>
          <cell r="E1715" t="str">
            <v>Cell cultures, whether or not modified; other cell cultures not including cell therapy products</v>
          </cell>
          <cell r="F1715">
            <v>0</v>
          </cell>
          <cell r="G1715">
            <v>0</v>
          </cell>
          <cell r="H1715">
            <v>0</v>
          </cell>
          <cell r="I1715" t="str">
            <v>Others</v>
          </cell>
          <cell r="J1715">
            <v>3</v>
          </cell>
          <cell r="K1715" t="str">
            <v>Others</v>
          </cell>
        </row>
        <row r="1716">
          <cell r="D1716">
            <v>300290</v>
          </cell>
          <cell r="E1716" t="str">
            <v>Toxins, cultures of micro-organisms (excluding yeasts) and similar products</v>
          </cell>
          <cell r="F1716">
            <v>0</v>
          </cell>
          <cell r="G1716">
            <v>0</v>
          </cell>
          <cell r="H1716">
            <v>0</v>
          </cell>
          <cell r="I1716" t="str">
            <v>Others</v>
          </cell>
          <cell r="J1716">
            <v>3</v>
          </cell>
          <cell r="K1716" t="str">
            <v>Others</v>
          </cell>
        </row>
        <row r="1717">
          <cell r="D1717">
            <v>300310</v>
          </cell>
          <cell r="E1717" t="str">
            <v>Medicaments; containing penicillins, streptomycins or their derivatives, for therapeutic or prophylactic uses, (not in measured doses, not packaged for retail sale)</v>
          </cell>
          <cell r="F1717">
            <v>0</v>
          </cell>
          <cell r="G1717">
            <v>0</v>
          </cell>
          <cell r="H1717">
            <v>0</v>
          </cell>
          <cell r="I1717" t="str">
            <v>Others</v>
          </cell>
          <cell r="J1717">
            <v>3</v>
          </cell>
          <cell r="K1717" t="str">
            <v>Others</v>
          </cell>
        </row>
        <row r="1718">
          <cell r="D1718">
            <v>300320</v>
          </cell>
          <cell r="E1718" t="str">
            <v>Medicaments; containing antibiotics other than penicillins, streptomycins and their derivatives, for therapeutic or prophylactic uses, (not in measured doses, not packaged for retail sale)</v>
          </cell>
          <cell r="F1718">
            <v>0</v>
          </cell>
          <cell r="G1718">
            <v>0</v>
          </cell>
          <cell r="H1718">
            <v>0</v>
          </cell>
          <cell r="I1718" t="str">
            <v>Others</v>
          </cell>
          <cell r="J1718">
            <v>3</v>
          </cell>
          <cell r="K1718" t="str">
            <v>Others</v>
          </cell>
        </row>
        <row r="1719">
          <cell r="D1719">
            <v>300331</v>
          </cell>
          <cell r="E1719" t="str">
            <v>Medicaments; containing insulin, for therapeutic or prophylactic uses, not packaged for retail sale</v>
          </cell>
          <cell r="F1719">
            <v>0</v>
          </cell>
          <cell r="G1719">
            <v>0</v>
          </cell>
          <cell r="H1719">
            <v>0</v>
          </cell>
          <cell r="I1719" t="str">
            <v>Others</v>
          </cell>
          <cell r="J1719">
            <v>3</v>
          </cell>
          <cell r="K1719" t="str">
            <v>Others</v>
          </cell>
        </row>
        <row r="1720">
          <cell r="D1720">
            <v>300339</v>
          </cell>
          <cell r="E1720" t="str">
            <v>Medicaments; containing hormones (excluding insulin), (but not containing antibiotics), for therapeutic or prophylactic uses, not packaged for retail sale</v>
          </cell>
          <cell r="F1720">
            <v>0</v>
          </cell>
          <cell r="G1720">
            <v>0</v>
          </cell>
          <cell r="H1720">
            <v>0</v>
          </cell>
          <cell r="I1720" t="str">
            <v>Others</v>
          </cell>
          <cell r="J1720">
            <v>3</v>
          </cell>
          <cell r="K1720" t="str">
            <v>Others</v>
          </cell>
        </row>
        <row r="1721">
          <cell r="D1721">
            <v>300341</v>
          </cell>
          <cell r="E1721" t="str">
            <v>Medicaments; containing alkaloids or their derivatives, containing ephedrine or its salts, for therapeutic or prophylactic uses, (not packaged for retail sale)</v>
          </cell>
          <cell r="F1721">
            <v>0</v>
          </cell>
          <cell r="G1721">
            <v>0</v>
          </cell>
          <cell r="H1721">
            <v>0</v>
          </cell>
          <cell r="I1721" t="str">
            <v>Others</v>
          </cell>
          <cell r="J1721">
            <v>3</v>
          </cell>
          <cell r="K1721" t="str">
            <v>Others</v>
          </cell>
        </row>
        <row r="1722">
          <cell r="D1722">
            <v>300342</v>
          </cell>
          <cell r="E1722" t="str">
            <v>Medicaments; containing alkaloids or their derivatives, containing pseudoephedrine (INN) or its salts, for therapeutic or prophylactic uses, (not packaged for retail sale)</v>
          </cell>
          <cell r="F1722">
            <v>0</v>
          </cell>
          <cell r="G1722">
            <v>0</v>
          </cell>
          <cell r="H1722">
            <v>0</v>
          </cell>
          <cell r="I1722" t="str">
            <v>Others</v>
          </cell>
          <cell r="J1722">
            <v>3</v>
          </cell>
          <cell r="K1722" t="str">
            <v>Others</v>
          </cell>
        </row>
        <row r="1723">
          <cell r="D1723">
            <v>300343</v>
          </cell>
          <cell r="E1723" t="str">
            <v>Medicaments; containing alkaloids or their derivatives, containing norephedrine or its salts, for therapeutic or prophylactic uses, (not packaged for retail sale)</v>
          </cell>
          <cell r="F1723">
            <v>0</v>
          </cell>
          <cell r="G1723">
            <v>0</v>
          </cell>
          <cell r="H1723">
            <v>0</v>
          </cell>
          <cell r="I1723" t="str">
            <v>Others</v>
          </cell>
          <cell r="J1723">
            <v>3</v>
          </cell>
          <cell r="K1723" t="str">
            <v>Others</v>
          </cell>
        </row>
        <row r="1724">
          <cell r="D1724">
            <v>300349</v>
          </cell>
          <cell r="E1724" t="str">
            <v>Medicaments; containing alkaloids or their derivatives; other than ephedrine, pseudoephedrine (INN) or norephedrine or their salts; for therapeutic or prophylactic uses, (not packaged for retail sale)</v>
          </cell>
          <cell r="F1724">
            <v>0</v>
          </cell>
          <cell r="G1724">
            <v>0</v>
          </cell>
          <cell r="H1724">
            <v>0</v>
          </cell>
          <cell r="I1724" t="str">
            <v>Others</v>
          </cell>
          <cell r="J1724">
            <v>3</v>
          </cell>
          <cell r="K1724" t="str">
            <v>Others</v>
          </cell>
        </row>
        <row r="1725">
          <cell r="D1725">
            <v>300360</v>
          </cell>
          <cell r="E1725" t="str">
            <v>Medicaments; containing antimalarial active principles described in subheading note 2 to this chapter, for therapeutic or prophylactic uses, (not packaged for retail sale)</v>
          </cell>
          <cell r="F1725">
            <v>0</v>
          </cell>
          <cell r="G1725">
            <v>0</v>
          </cell>
          <cell r="H1725">
            <v>0</v>
          </cell>
          <cell r="I1725" t="str">
            <v>Others</v>
          </cell>
          <cell r="J1725">
            <v>3</v>
          </cell>
          <cell r="K1725" t="str">
            <v>Others</v>
          </cell>
        </row>
        <row r="1726">
          <cell r="D1726">
            <v>300390</v>
          </cell>
          <cell r="E1726" t="str">
            <v>Medicaments; (not containing antibiotics, hormones, alkaloids or their derivatives), for therapeutic or prophylactic uses, (not packaged for retail sale)</v>
          </cell>
          <cell r="F1726">
            <v>0</v>
          </cell>
          <cell r="G1726">
            <v>0</v>
          </cell>
          <cell r="H1726">
            <v>0</v>
          </cell>
          <cell r="I1726" t="str">
            <v>Others</v>
          </cell>
          <cell r="J1726">
            <v>3</v>
          </cell>
          <cell r="K1726" t="str">
            <v>Others</v>
          </cell>
        </row>
        <row r="1727">
          <cell r="D1727">
            <v>300410</v>
          </cell>
          <cell r="E1727" t="str">
            <v>Medicaments; containing penicillins, streptomycins or their derivatives, for therapeutic or prophylactic uses, packaged for retail sale</v>
          </cell>
          <cell r="F1727">
            <v>0</v>
          </cell>
          <cell r="G1727">
            <v>0</v>
          </cell>
          <cell r="H1727">
            <v>0</v>
          </cell>
          <cell r="I1727" t="str">
            <v>Others</v>
          </cell>
          <cell r="J1727">
            <v>3</v>
          </cell>
          <cell r="K1727" t="str">
            <v>Others</v>
          </cell>
        </row>
        <row r="1728">
          <cell r="D1728">
            <v>300420</v>
          </cell>
          <cell r="E1728" t="str">
            <v>Medicaments; containing antibiotics (other than penicillins, streptomycins or their derivatives), for therapeutic or prophylactic uses, packaged for retail sale</v>
          </cell>
          <cell r="F1728">
            <v>0</v>
          </cell>
          <cell r="G1728">
            <v>0</v>
          </cell>
          <cell r="H1728">
            <v>0</v>
          </cell>
          <cell r="I1728" t="str">
            <v>Others</v>
          </cell>
          <cell r="J1728">
            <v>3</v>
          </cell>
          <cell r="K1728" t="str">
            <v>Others</v>
          </cell>
        </row>
        <row r="1729">
          <cell r="D1729">
            <v>300431</v>
          </cell>
          <cell r="E1729" t="str">
            <v>Medicaments; containing insulin, for therapeutic or prophylactic uses, packaged for retail sale</v>
          </cell>
          <cell r="F1729">
            <v>0</v>
          </cell>
          <cell r="G1729">
            <v>0</v>
          </cell>
          <cell r="H1729">
            <v>0</v>
          </cell>
          <cell r="I1729" t="str">
            <v>Others</v>
          </cell>
          <cell r="J1729">
            <v>3</v>
          </cell>
          <cell r="K1729" t="str">
            <v>Others</v>
          </cell>
        </row>
        <row r="1730">
          <cell r="D1730">
            <v>300432</v>
          </cell>
          <cell r="E1730" t="str">
            <v>Medicaments; containing corticosteroid hormones, their derivatives or structural analogues (but not containing antibiotics), for therapeutic or prophylactic uses, packaged for retail sale</v>
          </cell>
          <cell r="F1730">
            <v>0</v>
          </cell>
          <cell r="G1730">
            <v>0</v>
          </cell>
          <cell r="H1730">
            <v>0</v>
          </cell>
          <cell r="I1730" t="str">
            <v>Others</v>
          </cell>
          <cell r="J1730">
            <v>3</v>
          </cell>
          <cell r="K1730" t="str">
            <v>Others</v>
          </cell>
        </row>
        <row r="1731">
          <cell r="D1731">
            <v>300439</v>
          </cell>
          <cell r="E1731" t="str">
            <v>Medicaments; containing hormones (but not insulin), adrenal cortex hormones or antibiotics, for therapeutic or prophylactic uses, packaged for retail sale</v>
          </cell>
          <cell r="F1731">
            <v>0</v>
          </cell>
          <cell r="G1731">
            <v>0</v>
          </cell>
          <cell r="H1731">
            <v>0</v>
          </cell>
          <cell r="I1731" t="str">
            <v>Others</v>
          </cell>
          <cell r="J1731">
            <v>3</v>
          </cell>
          <cell r="K1731" t="str">
            <v>Others</v>
          </cell>
        </row>
        <row r="1732">
          <cell r="D1732">
            <v>300441</v>
          </cell>
          <cell r="E1732" t="str">
            <v>Medicaments; containing alkaloids or their derivatives, containing ephedrine or its salts, for therapeutic or prophylactic uses, packaged for retail sale</v>
          </cell>
          <cell r="F1732">
            <v>0</v>
          </cell>
          <cell r="G1732">
            <v>0</v>
          </cell>
          <cell r="H1732">
            <v>0</v>
          </cell>
          <cell r="I1732" t="str">
            <v>Others</v>
          </cell>
          <cell r="J1732">
            <v>3</v>
          </cell>
          <cell r="K1732" t="str">
            <v>Others</v>
          </cell>
        </row>
        <row r="1733">
          <cell r="D1733">
            <v>300442</v>
          </cell>
          <cell r="E1733" t="str">
            <v>Medicaments; containing alkaloids or their derivatives, containing pseudoephedrine (INN) or its salts, for therapeutic or prophylactic uses, packaged for retail sale</v>
          </cell>
          <cell r="F1733">
            <v>0</v>
          </cell>
          <cell r="G1733">
            <v>0</v>
          </cell>
          <cell r="H1733">
            <v>0</v>
          </cell>
          <cell r="I1733" t="str">
            <v>Others</v>
          </cell>
          <cell r="J1733">
            <v>3</v>
          </cell>
          <cell r="K1733" t="str">
            <v>Others</v>
          </cell>
        </row>
        <row r="1734">
          <cell r="D1734">
            <v>300443</v>
          </cell>
          <cell r="E1734" t="str">
            <v>Medicaments; containing alkaloids or their derivatives, containing norephedrine or its salts, for therapeutic or prophylactic uses, packaged for retail sale</v>
          </cell>
          <cell r="F1734">
            <v>0</v>
          </cell>
          <cell r="G1734">
            <v>0</v>
          </cell>
          <cell r="H1734">
            <v>0</v>
          </cell>
          <cell r="I1734" t="str">
            <v>Others</v>
          </cell>
          <cell r="J1734">
            <v>3</v>
          </cell>
          <cell r="K1734" t="str">
            <v>Others</v>
          </cell>
        </row>
        <row r="1735">
          <cell r="D1735">
            <v>300449</v>
          </cell>
          <cell r="E1735" t="str">
            <v>Medicaments; containing alkaloids or their derivatives; other than ephedrine, pseudoephedrine (INN) or norephedrine or their salts; for therapeutic or prophylactic uses, packaged for retail sale</v>
          </cell>
          <cell r="F1735">
            <v>0</v>
          </cell>
          <cell r="G1735">
            <v>0</v>
          </cell>
          <cell r="H1735">
            <v>0</v>
          </cell>
          <cell r="I1735" t="str">
            <v>Others</v>
          </cell>
          <cell r="J1735">
            <v>3</v>
          </cell>
          <cell r="K1735" t="str">
            <v>Others</v>
          </cell>
        </row>
        <row r="1736">
          <cell r="D1736">
            <v>300450</v>
          </cell>
          <cell r="E1736" t="str">
            <v>Medicaments; containing vitamins or their derivatives, for therapeutic or prophylactic use, packaged for retail sale</v>
          </cell>
          <cell r="F1736">
            <v>0</v>
          </cell>
          <cell r="G1736">
            <v>0</v>
          </cell>
          <cell r="H1736">
            <v>0</v>
          </cell>
          <cell r="I1736" t="str">
            <v>Others</v>
          </cell>
          <cell r="J1736">
            <v>3</v>
          </cell>
          <cell r="K1736" t="str">
            <v>Others</v>
          </cell>
        </row>
        <row r="1737">
          <cell r="D1737">
            <v>300460</v>
          </cell>
          <cell r="E1737" t="str">
            <v>Medicaments; containing antimalarial active principles described in Subheading Note 2 to this Chapter, for therapeutic or prophylactic uses, packaged for retail sale</v>
          </cell>
          <cell r="F1737">
            <v>0</v>
          </cell>
          <cell r="G1737">
            <v>0</v>
          </cell>
          <cell r="H1737">
            <v>0</v>
          </cell>
          <cell r="I1737" t="str">
            <v>Others</v>
          </cell>
          <cell r="J1737">
            <v>3</v>
          </cell>
          <cell r="K1737" t="str">
            <v>Others</v>
          </cell>
        </row>
        <row r="1738">
          <cell r="D1738">
            <v>300490</v>
          </cell>
          <cell r="E1738" t="str">
            <v>Medicaments; consisting of mixed or unmixed products n.e.c. in heading no. 3004, for therapeutic or prophylactic uses, packaged for retail sale</v>
          </cell>
          <cell r="F1738">
            <v>0</v>
          </cell>
          <cell r="G1738">
            <v>0</v>
          </cell>
          <cell r="H1738">
            <v>0</v>
          </cell>
          <cell r="I1738" t="str">
            <v>Others</v>
          </cell>
          <cell r="J1738">
            <v>3</v>
          </cell>
          <cell r="K1738" t="str">
            <v>Others</v>
          </cell>
        </row>
        <row r="1739">
          <cell r="D1739">
            <v>300510</v>
          </cell>
          <cell r="E1739" t="str">
            <v>Dressings, adhesive; and other articles having an adhesive layer, packed for retail sale for medical, surgical, dental or veterinary purposes</v>
          </cell>
          <cell r="F1739">
            <v>0</v>
          </cell>
          <cell r="G1739">
            <v>0</v>
          </cell>
          <cell r="H1739">
            <v>0</v>
          </cell>
          <cell r="I1739" t="str">
            <v>Others</v>
          </cell>
          <cell r="J1739">
            <v>3</v>
          </cell>
          <cell r="K1739" t="str">
            <v>Others</v>
          </cell>
        </row>
        <row r="1740">
          <cell r="D1740">
            <v>300590</v>
          </cell>
          <cell r="E1740" t="str">
            <v>Wadding, gauze, bandages and similar articles; (excluding adhesive dressings), impregnated or coated with pharmaceutical substances, packaged for retail sale</v>
          </cell>
          <cell r="F1740">
            <v>0</v>
          </cell>
          <cell r="G1740">
            <v>0</v>
          </cell>
          <cell r="H1740">
            <v>0</v>
          </cell>
          <cell r="I1740" t="str">
            <v>Others</v>
          </cell>
          <cell r="J1740">
            <v>3</v>
          </cell>
          <cell r="K1740" t="str">
            <v>Others</v>
          </cell>
        </row>
        <row r="1741">
          <cell r="D1741">
            <v>300610</v>
          </cell>
          <cell r="E1741" t="str">
            <v>Pharmaceutical goods; sterile surgical catgut, suture materials, tissue adhesives, laminaria, laminaria tents, absorbable surgical or dental haemostatics, and surgical or dental adhesion barriers</v>
          </cell>
          <cell r="F1741">
            <v>0</v>
          </cell>
          <cell r="G1741">
            <v>0</v>
          </cell>
          <cell r="H1741">
            <v>0</v>
          </cell>
          <cell r="I1741" t="str">
            <v>Others</v>
          </cell>
          <cell r="J1741">
            <v>3</v>
          </cell>
          <cell r="K1741" t="str">
            <v>Others</v>
          </cell>
        </row>
        <row r="1742">
          <cell r="D1742">
            <v>300630</v>
          </cell>
          <cell r="E1742" t="str">
            <v>Pharmaceutical goods; opacifying preparations for x-ray examinations, diagnostic reagents designed to be administered to the patient</v>
          </cell>
          <cell r="F1742">
            <v>0</v>
          </cell>
          <cell r="G1742">
            <v>0</v>
          </cell>
          <cell r="H1742">
            <v>0</v>
          </cell>
          <cell r="I1742" t="str">
            <v>Others</v>
          </cell>
          <cell r="J1742">
            <v>3</v>
          </cell>
          <cell r="K1742" t="str">
            <v>Others</v>
          </cell>
        </row>
        <row r="1743">
          <cell r="D1743">
            <v>300640</v>
          </cell>
          <cell r="E1743" t="str">
            <v>Pharmaceutical goods; dental cements and other dental fillings, bone reconstruction cements</v>
          </cell>
          <cell r="F1743">
            <v>0</v>
          </cell>
          <cell r="G1743">
            <v>0</v>
          </cell>
          <cell r="H1743">
            <v>0</v>
          </cell>
          <cell r="I1743" t="str">
            <v>Others</v>
          </cell>
          <cell r="J1743">
            <v>3</v>
          </cell>
          <cell r="K1743" t="str">
            <v>Others</v>
          </cell>
        </row>
        <row r="1744">
          <cell r="D1744">
            <v>300650</v>
          </cell>
          <cell r="E1744" t="str">
            <v>Pharmaceutical goods; first aid boxes and kits</v>
          </cell>
          <cell r="F1744">
            <v>0</v>
          </cell>
          <cell r="G1744">
            <v>0</v>
          </cell>
          <cell r="H1744">
            <v>0</v>
          </cell>
          <cell r="I1744" t="str">
            <v>Others</v>
          </cell>
          <cell r="J1744">
            <v>3</v>
          </cell>
          <cell r="K1744" t="str">
            <v>Others</v>
          </cell>
        </row>
        <row r="1745">
          <cell r="D1745">
            <v>300660</v>
          </cell>
          <cell r="E1745" t="str">
            <v>Pharmaceutical goods; chemical contraceptive preparations based on hormones, on other products of heading 2937 or on spermicides</v>
          </cell>
          <cell r="F1745">
            <v>0</v>
          </cell>
          <cell r="G1745">
            <v>0</v>
          </cell>
          <cell r="H1745">
            <v>0</v>
          </cell>
          <cell r="I1745" t="str">
            <v>Others</v>
          </cell>
          <cell r="J1745">
            <v>3</v>
          </cell>
          <cell r="K1745" t="str">
            <v>Others</v>
          </cell>
        </row>
        <row r="1746">
          <cell r="D1746">
            <v>300670</v>
          </cell>
          <cell r="E1746" t="str">
            <v>Pharmaceutical goods; Gel preparations designed to be used in human or veterinary medicine as a lubricant for parts of the body for surgical operations or physical examinations or as a coupling agent between the body and medical instruments</v>
          </cell>
          <cell r="F1746">
            <v>0</v>
          </cell>
          <cell r="G1746">
            <v>0</v>
          </cell>
          <cell r="H1746">
            <v>0</v>
          </cell>
          <cell r="I1746" t="str">
            <v>Others</v>
          </cell>
          <cell r="J1746">
            <v>3</v>
          </cell>
          <cell r="K1746" t="str">
            <v>Others</v>
          </cell>
        </row>
        <row r="1747">
          <cell r="D1747">
            <v>300691</v>
          </cell>
          <cell r="E1747" t="str">
            <v>Pharmaceutical goods; appliances identifiable for ostomy use</v>
          </cell>
          <cell r="F1747">
            <v>0</v>
          </cell>
          <cell r="G1747">
            <v>0</v>
          </cell>
          <cell r="H1747">
            <v>0</v>
          </cell>
          <cell r="I1747" t="str">
            <v>Others</v>
          </cell>
          <cell r="J1747">
            <v>3</v>
          </cell>
          <cell r="K1747" t="str">
            <v>Others</v>
          </cell>
        </row>
        <row r="1748">
          <cell r="D1748">
            <v>300692</v>
          </cell>
          <cell r="E1748" t="str">
            <v>Pharmaceutical goods; waste pharmaceuticals</v>
          </cell>
          <cell r="F1748">
            <v>0</v>
          </cell>
          <cell r="G1748">
            <v>0</v>
          </cell>
          <cell r="H1748">
            <v>0</v>
          </cell>
          <cell r="I1748" t="str">
            <v>Others</v>
          </cell>
          <cell r="J1748">
            <v>3</v>
          </cell>
          <cell r="K1748" t="str">
            <v>Others</v>
          </cell>
        </row>
        <row r="1749">
          <cell r="D1749">
            <v>300693</v>
          </cell>
          <cell r="E1749" t="str">
            <v>Pharmaceutical goods; placebos and blinded (or double-blinded) clinical trial kits for a recognised clinical trial, put up in measured doses</v>
          </cell>
          <cell r="F1749">
            <v>0</v>
          </cell>
          <cell r="G1749">
            <v>0</v>
          </cell>
          <cell r="H1749">
            <v>0</v>
          </cell>
          <cell r="I1749" t="str">
            <v>Others</v>
          </cell>
          <cell r="J1749">
            <v>3</v>
          </cell>
          <cell r="K1749" t="str">
            <v>Others</v>
          </cell>
        </row>
        <row r="1750">
          <cell r="D1750">
            <v>310100</v>
          </cell>
          <cell r="E1750" t="str">
            <v>Fertilizers, animal or vegetable; whether or not mixed together or chemically treated; fertilizers, produced by the mixing or chemical treatment of animal or vegetable products</v>
          </cell>
          <cell r="F1750">
            <v>0</v>
          </cell>
          <cell r="G1750">
            <v>0</v>
          </cell>
          <cell r="H1750">
            <v>0</v>
          </cell>
          <cell r="I1750" t="str">
            <v>Others</v>
          </cell>
          <cell r="J1750">
            <v>3</v>
          </cell>
          <cell r="K1750" t="str">
            <v>Others</v>
          </cell>
        </row>
        <row r="1751">
          <cell r="D1751">
            <v>310210</v>
          </cell>
          <cell r="E1751" t="str">
            <v>Fertilizers, mineral or chemical; nitrogenous, urea, whether or not in aqueous solution</v>
          </cell>
          <cell r="F1751">
            <v>0</v>
          </cell>
          <cell r="G1751">
            <v>0</v>
          </cell>
          <cell r="H1751">
            <v>0</v>
          </cell>
          <cell r="I1751" t="str">
            <v>Others</v>
          </cell>
          <cell r="J1751">
            <v>3</v>
          </cell>
          <cell r="K1751" t="str">
            <v>Others</v>
          </cell>
        </row>
        <row r="1752">
          <cell r="D1752">
            <v>310221</v>
          </cell>
          <cell r="E1752" t="str">
            <v>Fertilizers, mineral or chemical; nitrogenous, ammonium sulphate</v>
          </cell>
          <cell r="F1752">
            <v>0</v>
          </cell>
          <cell r="G1752">
            <v>0</v>
          </cell>
          <cell r="H1752">
            <v>0</v>
          </cell>
          <cell r="I1752" t="str">
            <v>Others</v>
          </cell>
          <cell r="J1752">
            <v>3</v>
          </cell>
          <cell r="K1752" t="str">
            <v>Others</v>
          </cell>
        </row>
        <row r="1753">
          <cell r="D1753">
            <v>310229</v>
          </cell>
          <cell r="E1753" t="str">
            <v>Fertilizers, mineral or chemical; nitrogenous, other than ammonium sulphate</v>
          </cell>
          <cell r="F1753">
            <v>0</v>
          </cell>
          <cell r="G1753">
            <v>0</v>
          </cell>
          <cell r="H1753">
            <v>0</v>
          </cell>
          <cell r="I1753" t="str">
            <v>Others</v>
          </cell>
          <cell r="J1753">
            <v>3</v>
          </cell>
          <cell r="K1753" t="str">
            <v>Others</v>
          </cell>
        </row>
        <row r="1754">
          <cell r="D1754">
            <v>310230</v>
          </cell>
          <cell r="E1754" t="str">
            <v>Fertilizers, mineral or chemical; nitrogenous, ammonium nitrate, whether or not in aqueous solution</v>
          </cell>
          <cell r="F1754">
            <v>0</v>
          </cell>
          <cell r="G1754">
            <v>0</v>
          </cell>
          <cell r="H1754">
            <v>0</v>
          </cell>
          <cell r="I1754" t="str">
            <v>Others</v>
          </cell>
          <cell r="J1754">
            <v>3</v>
          </cell>
          <cell r="K1754" t="str">
            <v>Others</v>
          </cell>
        </row>
        <row r="1755">
          <cell r="D1755">
            <v>310240</v>
          </cell>
          <cell r="E1755" t="str">
            <v>Fertilizers, mineral or chemical; ammonium nitrate with calcium carbonate or other inorganic non-fertilizing substances, mixtures thereof</v>
          </cell>
          <cell r="F1755">
            <v>0</v>
          </cell>
          <cell r="G1755">
            <v>0</v>
          </cell>
          <cell r="H1755">
            <v>0</v>
          </cell>
          <cell r="I1755" t="str">
            <v>Others</v>
          </cell>
          <cell r="J1755">
            <v>3</v>
          </cell>
          <cell r="K1755" t="str">
            <v>Others</v>
          </cell>
        </row>
        <row r="1756">
          <cell r="D1756">
            <v>310250</v>
          </cell>
          <cell r="E1756" t="str">
            <v>Fertilizers, mineral or chemical; nitrogenous, sodium nitrate</v>
          </cell>
          <cell r="F1756">
            <v>0</v>
          </cell>
          <cell r="G1756">
            <v>0</v>
          </cell>
          <cell r="H1756">
            <v>0</v>
          </cell>
          <cell r="I1756" t="str">
            <v>Others</v>
          </cell>
          <cell r="J1756">
            <v>3</v>
          </cell>
          <cell r="K1756" t="str">
            <v>Others</v>
          </cell>
        </row>
        <row r="1757">
          <cell r="D1757">
            <v>310260</v>
          </cell>
          <cell r="E1757" t="str">
            <v>Fertilizers, mineral or chemical; nitrogenous, double salts and mixtures of calcium nitrate and ammonium nitrate</v>
          </cell>
          <cell r="F1757">
            <v>0</v>
          </cell>
          <cell r="G1757">
            <v>0</v>
          </cell>
          <cell r="H1757">
            <v>0</v>
          </cell>
          <cell r="I1757" t="str">
            <v>Others</v>
          </cell>
          <cell r="J1757">
            <v>3</v>
          </cell>
          <cell r="K1757" t="str">
            <v>Others</v>
          </cell>
        </row>
        <row r="1758">
          <cell r="D1758">
            <v>310280</v>
          </cell>
          <cell r="E1758" t="str">
            <v>Fertilizers, mineral or chemical; nitrogenous, mixtures of urea and ammonium nitrate in aqueous or ammoniacal solution</v>
          </cell>
          <cell r="F1758">
            <v>0</v>
          </cell>
          <cell r="G1758">
            <v>0</v>
          </cell>
          <cell r="H1758">
            <v>0</v>
          </cell>
          <cell r="I1758" t="str">
            <v>Others</v>
          </cell>
          <cell r="J1758">
            <v>3</v>
          </cell>
          <cell r="K1758" t="str">
            <v>Others</v>
          </cell>
        </row>
        <row r="1759">
          <cell r="D1759">
            <v>310290</v>
          </cell>
          <cell r="E1759" t="str">
            <v>Fertilizers, mineral or chemical; nitrogenous, other kinds including mixtures not specified in the foregoing subheadings</v>
          </cell>
          <cell r="F1759">
            <v>0</v>
          </cell>
          <cell r="G1759">
            <v>0</v>
          </cell>
          <cell r="H1759">
            <v>0</v>
          </cell>
          <cell r="I1759" t="str">
            <v>Others</v>
          </cell>
          <cell r="J1759">
            <v>3</v>
          </cell>
          <cell r="K1759" t="str">
            <v>Others</v>
          </cell>
        </row>
        <row r="1760">
          <cell r="D1760">
            <v>310311</v>
          </cell>
          <cell r="E1760" t="str">
            <v>Fertilizers, mineral or chemical; phosphatic, superphosphates, containing by weight 35% or more of diphosphorus pentaoxide (P2O5)</v>
          </cell>
          <cell r="F1760">
            <v>0</v>
          </cell>
          <cell r="G1760">
            <v>0</v>
          </cell>
          <cell r="H1760">
            <v>0</v>
          </cell>
          <cell r="I1760" t="str">
            <v>Others</v>
          </cell>
          <cell r="J1760">
            <v>3</v>
          </cell>
          <cell r="K1760" t="str">
            <v>Others</v>
          </cell>
        </row>
        <row r="1761">
          <cell r="D1761">
            <v>310319</v>
          </cell>
          <cell r="E1761" t="str">
            <v>Fertilizers, mineral or chemical; phosphatic, superphosphates, other than containing by weight 35% or more of diphosphorus pentaoxide (P2O5)</v>
          </cell>
          <cell r="F1761">
            <v>0</v>
          </cell>
          <cell r="G1761">
            <v>0</v>
          </cell>
          <cell r="H1761">
            <v>0</v>
          </cell>
          <cell r="I1761" t="str">
            <v>Others</v>
          </cell>
          <cell r="J1761">
            <v>3</v>
          </cell>
          <cell r="K1761" t="str">
            <v>Others</v>
          </cell>
        </row>
        <row r="1762">
          <cell r="D1762">
            <v>310390</v>
          </cell>
          <cell r="E1762" t="str">
            <v>Fertilizers, mineral or chemical; phosphatic, n.e.c. in heading no. 3103</v>
          </cell>
          <cell r="F1762">
            <v>0</v>
          </cell>
          <cell r="G1762">
            <v>0</v>
          </cell>
          <cell r="H1762">
            <v>0</v>
          </cell>
          <cell r="I1762" t="str">
            <v>Others</v>
          </cell>
          <cell r="J1762">
            <v>3</v>
          </cell>
          <cell r="K1762" t="str">
            <v>Others</v>
          </cell>
        </row>
        <row r="1763">
          <cell r="D1763">
            <v>310420</v>
          </cell>
          <cell r="E1763" t="str">
            <v>Fertilizers, mineral or chemical; potassic, potassium chloride</v>
          </cell>
          <cell r="F1763">
            <v>0</v>
          </cell>
          <cell r="G1763">
            <v>0</v>
          </cell>
          <cell r="H1763">
            <v>0</v>
          </cell>
          <cell r="I1763" t="str">
            <v>Others</v>
          </cell>
          <cell r="J1763">
            <v>3</v>
          </cell>
          <cell r="K1763" t="str">
            <v>Others</v>
          </cell>
        </row>
        <row r="1764">
          <cell r="D1764">
            <v>310430</v>
          </cell>
          <cell r="E1764" t="str">
            <v>Fertilizers, mineral or chemical; potassic, potassium sulphate</v>
          </cell>
          <cell r="F1764">
            <v>0</v>
          </cell>
          <cell r="G1764">
            <v>0</v>
          </cell>
          <cell r="H1764">
            <v>0</v>
          </cell>
          <cell r="I1764" t="str">
            <v>Others</v>
          </cell>
          <cell r="J1764">
            <v>3</v>
          </cell>
          <cell r="K1764" t="str">
            <v>Others</v>
          </cell>
        </row>
        <row r="1765">
          <cell r="D1765">
            <v>310490</v>
          </cell>
          <cell r="E1765" t="str">
            <v>Fertilizers, mineral or chemical; potassic, n.e.c. in heading no. 3104</v>
          </cell>
          <cell r="F1765">
            <v>0</v>
          </cell>
          <cell r="G1765">
            <v>0</v>
          </cell>
          <cell r="H1765">
            <v>0</v>
          </cell>
          <cell r="I1765" t="str">
            <v>Others</v>
          </cell>
          <cell r="J1765">
            <v>3</v>
          </cell>
          <cell r="K1765" t="str">
            <v>Others</v>
          </cell>
        </row>
        <row r="1766">
          <cell r="D1766">
            <v>310510</v>
          </cell>
          <cell r="E1766" t="str">
            <v>Fertilizers, mineral or chemical; in tablets or similar forms or in packages of a gross weight not exceeding 10kg</v>
          </cell>
          <cell r="F1766">
            <v>0</v>
          </cell>
          <cell r="G1766">
            <v>0</v>
          </cell>
          <cell r="H1766">
            <v>0</v>
          </cell>
          <cell r="I1766" t="str">
            <v>Others</v>
          </cell>
          <cell r="J1766">
            <v>3</v>
          </cell>
          <cell r="K1766" t="str">
            <v>Others</v>
          </cell>
        </row>
        <row r="1767">
          <cell r="D1767">
            <v>310520</v>
          </cell>
          <cell r="E1767" t="str">
            <v>Fertilizers, mineral or chemical; containing the three fertilizing elements nitrogen, phosphorus and potassium</v>
          </cell>
          <cell r="F1767">
            <v>0</v>
          </cell>
          <cell r="G1767">
            <v>0</v>
          </cell>
          <cell r="H1767">
            <v>0</v>
          </cell>
          <cell r="I1767" t="str">
            <v>Others</v>
          </cell>
          <cell r="J1767">
            <v>3</v>
          </cell>
          <cell r="K1767" t="str">
            <v>Others</v>
          </cell>
        </row>
        <row r="1768">
          <cell r="D1768">
            <v>310530</v>
          </cell>
          <cell r="E1768" t="str">
            <v>Fertilizers, mineral or chemical; diammonium hydrogenorthophosphate (diammonium phosphate)</v>
          </cell>
          <cell r="F1768">
            <v>0</v>
          </cell>
          <cell r="G1768">
            <v>0</v>
          </cell>
          <cell r="H1768">
            <v>0</v>
          </cell>
          <cell r="I1768" t="str">
            <v>Others</v>
          </cell>
          <cell r="J1768">
            <v>3</v>
          </cell>
          <cell r="K1768" t="str">
            <v>Others</v>
          </cell>
        </row>
        <row r="1769">
          <cell r="D1769">
            <v>310540</v>
          </cell>
          <cell r="E1769" t="str">
            <v>Fertilizers, mineral or chemical; ammonium dihydrogenorthophosphate (monoammonium phosphate) and mixtures thereof with diammonium hydrogenorthophosphate (diammonium phosphate)</v>
          </cell>
          <cell r="F1769">
            <v>0</v>
          </cell>
          <cell r="G1769">
            <v>0</v>
          </cell>
          <cell r="H1769">
            <v>0</v>
          </cell>
          <cell r="I1769" t="str">
            <v>Others</v>
          </cell>
          <cell r="J1769">
            <v>3</v>
          </cell>
          <cell r="K1769" t="str">
            <v>Others</v>
          </cell>
        </row>
        <row r="1770">
          <cell r="D1770">
            <v>310551</v>
          </cell>
          <cell r="E1770" t="str">
            <v>Fertilizers, mineral or chemical; containing nitrates and phosphates</v>
          </cell>
          <cell r="F1770">
            <v>0</v>
          </cell>
          <cell r="G1770">
            <v>0</v>
          </cell>
          <cell r="H1770">
            <v>0</v>
          </cell>
          <cell r="I1770" t="str">
            <v>Others</v>
          </cell>
          <cell r="J1770">
            <v>3</v>
          </cell>
          <cell r="K1770" t="str">
            <v>Others</v>
          </cell>
        </row>
        <row r="1771">
          <cell r="D1771">
            <v>310559</v>
          </cell>
          <cell r="E1771" t="str">
            <v>Fertilizers, mineral or chemical; containing the two fertilizing elements nitrogen and phosphorus, other than nitrates and phosphates</v>
          </cell>
          <cell r="F1771">
            <v>0</v>
          </cell>
          <cell r="G1771">
            <v>0</v>
          </cell>
          <cell r="H1771">
            <v>0</v>
          </cell>
          <cell r="I1771" t="str">
            <v>Others</v>
          </cell>
          <cell r="J1771">
            <v>3</v>
          </cell>
          <cell r="K1771" t="str">
            <v>Others</v>
          </cell>
        </row>
        <row r="1772">
          <cell r="D1772">
            <v>310560</v>
          </cell>
          <cell r="E1772" t="str">
            <v>Fertilizers, mineral or chemical; containing the two fertilizing elements phosphorus and potassium</v>
          </cell>
          <cell r="F1772">
            <v>0</v>
          </cell>
          <cell r="G1772">
            <v>0</v>
          </cell>
          <cell r="H1772">
            <v>0</v>
          </cell>
          <cell r="I1772" t="str">
            <v>Others</v>
          </cell>
          <cell r="J1772">
            <v>3</v>
          </cell>
          <cell r="K1772" t="str">
            <v>Others</v>
          </cell>
        </row>
        <row r="1773">
          <cell r="D1773">
            <v>310590</v>
          </cell>
          <cell r="E1773" t="str">
            <v>Fertilizers, mineral or chemical; n.e.c. in heading no. 3105</v>
          </cell>
          <cell r="F1773">
            <v>0</v>
          </cell>
          <cell r="G1773">
            <v>0</v>
          </cell>
          <cell r="H1773">
            <v>0</v>
          </cell>
          <cell r="I1773" t="str">
            <v>Others</v>
          </cell>
          <cell r="J1773">
            <v>3</v>
          </cell>
          <cell r="K1773" t="str">
            <v>Others</v>
          </cell>
        </row>
        <row r="1774">
          <cell r="D1774">
            <v>320110</v>
          </cell>
          <cell r="E1774" t="str">
            <v>Tanning extracts of vegetable origin; quebracho extract</v>
          </cell>
          <cell r="F1774">
            <v>0</v>
          </cell>
          <cell r="G1774">
            <v>0</v>
          </cell>
          <cell r="H1774">
            <v>0</v>
          </cell>
          <cell r="I1774" t="str">
            <v>Others</v>
          </cell>
          <cell r="J1774">
            <v>3</v>
          </cell>
          <cell r="K1774" t="str">
            <v>Others</v>
          </cell>
        </row>
        <row r="1775">
          <cell r="D1775">
            <v>320120</v>
          </cell>
          <cell r="E1775" t="str">
            <v>Tanning extracts of vegetable origin; wattle extract</v>
          </cell>
          <cell r="F1775">
            <v>0</v>
          </cell>
          <cell r="G1775">
            <v>0</v>
          </cell>
          <cell r="H1775">
            <v>0</v>
          </cell>
          <cell r="I1775" t="str">
            <v>Others</v>
          </cell>
          <cell r="J1775">
            <v>3</v>
          </cell>
          <cell r="K1775" t="str">
            <v>Others</v>
          </cell>
        </row>
        <row r="1776">
          <cell r="D1776">
            <v>320190</v>
          </cell>
          <cell r="E1776" t="str">
            <v>Tanning extracts of vegetable origin; tannins and their salts, ethers, esters and other derivatives, (excluding quebracho or wattle extract)</v>
          </cell>
          <cell r="F1776">
            <v>0</v>
          </cell>
          <cell r="G1776">
            <v>0</v>
          </cell>
          <cell r="H1776">
            <v>0</v>
          </cell>
          <cell r="I1776" t="str">
            <v>Others</v>
          </cell>
          <cell r="J1776">
            <v>3</v>
          </cell>
          <cell r="K1776" t="str">
            <v>Others</v>
          </cell>
        </row>
        <row r="1777">
          <cell r="D1777">
            <v>320210</v>
          </cell>
          <cell r="E1777" t="str">
            <v>Tanning substances; synthetic organic tanning substances</v>
          </cell>
          <cell r="F1777">
            <v>0</v>
          </cell>
          <cell r="G1777">
            <v>0</v>
          </cell>
          <cell r="H1777">
            <v>0</v>
          </cell>
          <cell r="I1777" t="str">
            <v>Others</v>
          </cell>
          <cell r="J1777">
            <v>3</v>
          </cell>
          <cell r="K1777" t="str">
            <v>Others</v>
          </cell>
        </row>
        <row r="1778">
          <cell r="D1778">
            <v>320290</v>
          </cell>
          <cell r="E1778" t="str">
            <v>Tanning substances; inorganic tanning substances; tanning preparations, whether or not containing natural tanning substances; enzymatic preparations for pre- tanning</v>
          </cell>
          <cell r="F1778">
            <v>0</v>
          </cell>
          <cell r="G1778">
            <v>0</v>
          </cell>
          <cell r="H1778">
            <v>0</v>
          </cell>
          <cell r="I1778" t="str">
            <v>Others</v>
          </cell>
          <cell r="J1778">
            <v>3</v>
          </cell>
          <cell r="K1778" t="str">
            <v>Others</v>
          </cell>
        </row>
        <row r="1779">
          <cell r="D1779">
            <v>320300</v>
          </cell>
          <cell r="E1779" t="str">
            <v>Colouring matter of vegetable or animal origin, including dyeing extracts not animal black, whether or not chemically defined; preparations based on colouring matter of vegetable or animal origin</v>
          </cell>
          <cell r="F1779">
            <v>0</v>
          </cell>
          <cell r="G1779">
            <v>0</v>
          </cell>
          <cell r="H1779">
            <v>0</v>
          </cell>
          <cell r="I1779" t="str">
            <v>Others</v>
          </cell>
          <cell r="J1779">
            <v>3</v>
          </cell>
          <cell r="K1779" t="str">
            <v>Others</v>
          </cell>
        </row>
        <row r="1780">
          <cell r="D1780">
            <v>320411</v>
          </cell>
          <cell r="E1780" t="str">
            <v>Dyes; disperse dyes and preparations based thereon</v>
          </cell>
          <cell r="F1780">
            <v>0</v>
          </cell>
          <cell r="G1780">
            <v>0</v>
          </cell>
          <cell r="H1780">
            <v>0</v>
          </cell>
          <cell r="I1780" t="str">
            <v>Others</v>
          </cell>
          <cell r="J1780">
            <v>3</v>
          </cell>
          <cell r="K1780" t="str">
            <v>Others</v>
          </cell>
        </row>
        <row r="1781">
          <cell r="D1781">
            <v>320412</v>
          </cell>
          <cell r="E1781" t="str">
            <v>Dyes; acid, whether or not premetallised and preparations based thereon, mordant dyes and preparations based thereon</v>
          </cell>
          <cell r="F1781">
            <v>0</v>
          </cell>
          <cell r="G1781">
            <v>0</v>
          </cell>
          <cell r="H1781">
            <v>0</v>
          </cell>
          <cell r="I1781" t="str">
            <v>Others</v>
          </cell>
          <cell r="J1781">
            <v>3</v>
          </cell>
          <cell r="K1781" t="str">
            <v>Others</v>
          </cell>
        </row>
        <row r="1782">
          <cell r="D1782">
            <v>320413</v>
          </cell>
          <cell r="E1782" t="str">
            <v>Dyes; basic dyes and preparations based thereon</v>
          </cell>
          <cell r="F1782">
            <v>0</v>
          </cell>
          <cell r="G1782">
            <v>0</v>
          </cell>
          <cell r="H1782">
            <v>0</v>
          </cell>
          <cell r="I1782" t="str">
            <v>Others</v>
          </cell>
          <cell r="J1782">
            <v>3</v>
          </cell>
          <cell r="K1782" t="str">
            <v>Others</v>
          </cell>
        </row>
        <row r="1783">
          <cell r="D1783">
            <v>320414</v>
          </cell>
          <cell r="E1783" t="str">
            <v>Dyes; direct dyes and preparations based thereon</v>
          </cell>
          <cell r="F1783">
            <v>0</v>
          </cell>
          <cell r="G1783">
            <v>0</v>
          </cell>
          <cell r="H1783">
            <v>0</v>
          </cell>
          <cell r="I1783" t="str">
            <v>Others</v>
          </cell>
          <cell r="J1783">
            <v>3</v>
          </cell>
          <cell r="K1783" t="str">
            <v>Others</v>
          </cell>
        </row>
        <row r="1784">
          <cell r="D1784">
            <v>320415</v>
          </cell>
          <cell r="E1784" t="str">
            <v>Dyes; vat dyes (including those usable in that state as pigments) and preparations based thereon</v>
          </cell>
          <cell r="F1784">
            <v>0</v>
          </cell>
          <cell r="G1784">
            <v>0</v>
          </cell>
          <cell r="H1784">
            <v>0</v>
          </cell>
          <cell r="I1784" t="str">
            <v>Others</v>
          </cell>
          <cell r="J1784">
            <v>3</v>
          </cell>
          <cell r="K1784" t="str">
            <v>Others</v>
          </cell>
        </row>
        <row r="1785">
          <cell r="D1785">
            <v>320416</v>
          </cell>
          <cell r="E1785" t="str">
            <v>Dyes; reactive dyes and preparations based thereon</v>
          </cell>
          <cell r="F1785">
            <v>0</v>
          </cell>
          <cell r="G1785">
            <v>0</v>
          </cell>
          <cell r="H1785">
            <v>0</v>
          </cell>
          <cell r="I1785" t="str">
            <v>Others</v>
          </cell>
          <cell r="J1785">
            <v>3</v>
          </cell>
          <cell r="K1785" t="str">
            <v>Others</v>
          </cell>
        </row>
        <row r="1786">
          <cell r="D1786">
            <v>320417</v>
          </cell>
          <cell r="E1786" t="str">
            <v>Dyes; pigments and preparations based thereon</v>
          </cell>
          <cell r="F1786">
            <v>0</v>
          </cell>
          <cell r="G1786">
            <v>0</v>
          </cell>
          <cell r="H1786">
            <v>0</v>
          </cell>
          <cell r="I1786" t="str">
            <v>Others</v>
          </cell>
          <cell r="J1786">
            <v>3</v>
          </cell>
          <cell r="K1786" t="str">
            <v>Others</v>
          </cell>
        </row>
        <row r="1787">
          <cell r="D1787">
            <v>320418</v>
          </cell>
          <cell r="E1787" t="str">
            <v>Dyes; carotenoid colouring matters and preparations based thereon</v>
          </cell>
          <cell r="F1787">
            <v>0</v>
          </cell>
          <cell r="G1787">
            <v>0</v>
          </cell>
          <cell r="H1787">
            <v>0</v>
          </cell>
          <cell r="I1787" t="str">
            <v>Others</v>
          </cell>
          <cell r="J1787">
            <v>3</v>
          </cell>
          <cell r="K1787" t="str">
            <v>Others</v>
          </cell>
        </row>
        <row r="1788">
          <cell r="D1788">
            <v>320419</v>
          </cell>
          <cell r="E1788" t="str">
            <v>Dyes; n.e.c., including mixtures of colouring matter of two or more of those from item no. 3204.11 to 3204.19</v>
          </cell>
          <cell r="F1788" t="str">
            <v>Consumables</v>
          </cell>
          <cell r="G1788">
            <v>0</v>
          </cell>
          <cell r="H1788">
            <v>0</v>
          </cell>
          <cell r="I1788" t="str">
            <v>Others</v>
          </cell>
          <cell r="J1788">
            <v>2</v>
          </cell>
          <cell r="K1788" t="str">
            <v>Consumables - rc</v>
          </cell>
        </row>
        <row r="1789">
          <cell r="D1789">
            <v>320420</v>
          </cell>
          <cell r="E1789" t="str">
            <v>Dyes; synthetic organic products of a kind used as fluorescent brightening agents</v>
          </cell>
          <cell r="F1789">
            <v>0</v>
          </cell>
          <cell r="G1789">
            <v>0</v>
          </cell>
          <cell r="H1789">
            <v>0</v>
          </cell>
          <cell r="I1789" t="str">
            <v>Others</v>
          </cell>
          <cell r="J1789">
            <v>3</v>
          </cell>
          <cell r="K1789" t="str">
            <v>Others</v>
          </cell>
        </row>
        <row r="1790">
          <cell r="D1790">
            <v>320490</v>
          </cell>
          <cell r="E1790" t="str">
            <v>Dyes; synthetic organic products n.e.c. in heading no. 3204 (e.g. of a kind used as luminophores), whether or not chemically defined</v>
          </cell>
          <cell r="F1790">
            <v>0</v>
          </cell>
          <cell r="G1790">
            <v>0</v>
          </cell>
          <cell r="H1790">
            <v>0</v>
          </cell>
          <cell r="I1790" t="str">
            <v>Others</v>
          </cell>
          <cell r="J1790">
            <v>3</v>
          </cell>
          <cell r="K1790" t="str">
            <v>Others</v>
          </cell>
        </row>
        <row r="1791">
          <cell r="D1791">
            <v>320500</v>
          </cell>
          <cell r="E1791" t="str">
            <v>Colour lakes; preparations based on colour lakes as specified in note 3 to this chapter</v>
          </cell>
          <cell r="F1791">
            <v>0</v>
          </cell>
          <cell r="G1791">
            <v>0</v>
          </cell>
          <cell r="H1791">
            <v>0</v>
          </cell>
          <cell r="I1791" t="str">
            <v>Others</v>
          </cell>
          <cell r="J1791">
            <v>3</v>
          </cell>
          <cell r="K1791" t="str">
            <v>Others</v>
          </cell>
        </row>
        <row r="1792">
          <cell r="D1792">
            <v>320611</v>
          </cell>
          <cell r="E1792" t="str">
            <v>Colouring matter; pigments and preparations based on titanium dioxide, containing 80% or more by weight of titanium dioxide calculated on the dry matter</v>
          </cell>
          <cell r="F1792">
            <v>0</v>
          </cell>
          <cell r="G1792">
            <v>0</v>
          </cell>
          <cell r="H1792">
            <v>0</v>
          </cell>
          <cell r="I1792" t="str">
            <v>Others</v>
          </cell>
          <cell r="J1792">
            <v>3</v>
          </cell>
          <cell r="K1792" t="str">
            <v>Others</v>
          </cell>
        </row>
        <row r="1793">
          <cell r="D1793">
            <v>320619</v>
          </cell>
          <cell r="E1793" t="str">
            <v>Colouring matter; pigments and preparations based on titanium dioxide, containing less than 80% by weight of titanium dioxide calculated on the dry weight</v>
          </cell>
          <cell r="F1793">
            <v>0</v>
          </cell>
          <cell r="G1793">
            <v>0</v>
          </cell>
          <cell r="H1793">
            <v>0</v>
          </cell>
          <cell r="I1793" t="str">
            <v>Others</v>
          </cell>
          <cell r="J1793">
            <v>3</v>
          </cell>
          <cell r="K1793" t="str">
            <v>Others</v>
          </cell>
        </row>
        <row r="1794">
          <cell r="D1794">
            <v>320620</v>
          </cell>
          <cell r="E1794" t="str">
            <v>Colouring matter; pigments and preparations based on chromium compounds</v>
          </cell>
          <cell r="F1794">
            <v>0</v>
          </cell>
          <cell r="G1794">
            <v>0</v>
          </cell>
          <cell r="H1794">
            <v>0</v>
          </cell>
          <cell r="I1794" t="str">
            <v>Others</v>
          </cell>
          <cell r="J1794">
            <v>3</v>
          </cell>
          <cell r="K1794" t="str">
            <v>Others</v>
          </cell>
        </row>
        <row r="1795">
          <cell r="D1795">
            <v>320641</v>
          </cell>
          <cell r="E1795" t="str">
            <v>Colouring matter; ultramarine and preparations based thereon</v>
          </cell>
          <cell r="F1795">
            <v>0</v>
          </cell>
          <cell r="G1795">
            <v>0</v>
          </cell>
          <cell r="H1795">
            <v>0</v>
          </cell>
          <cell r="I1795" t="str">
            <v>Others</v>
          </cell>
          <cell r="J1795">
            <v>3</v>
          </cell>
          <cell r="K1795" t="str">
            <v>Others</v>
          </cell>
        </row>
        <row r="1796">
          <cell r="D1796">
            <v>320642</v>
          </cell>
          <cell r="E1796" t="str">
            <v>Colouring matter; lithopone and other pigments and preparations based on zinc sulphide</v>
          </cell>
          <cell r="F1796">
            <v>0</v>
          </cell>
          <cell r="G1796">
            <v>0</v>
          </cell>
          <cell r="H1796">
            <v>0</v>
          </cell>
          <cell r="I1796" t="str">
            <v>Others</v>
          </cell>
          <cell r="J1796">
            <v>3</v>
          </cell>
          <cell r="K1796" t="str">
            <v>Others</v>
          </cell>
        </row>
        <row r="1797">
          <cell r="D1797">
            <v>320649</v>
          </cell>
          <cell r="E1797" t="str">
            <v>Colouring matter; other preparations n.e.c. in item no. 3206.4</v>
          </cell>
          <cell r="F1797">
            <v>0</v>
          </cell>
          <cell r="G1797">
            <v>0</v>
          </cell>
          <cell r="H1797">
            <v>0</v>
          </cell>
          <cell r="I1797" t="str">
            <v>Others</v>
          </cell>
          <cell r="J1797">
            <v>3</v>
          </cell>
          <cell r="K1797" t="str">
            <v>Others</v>
          </cell>
        </row>
        <row r="1798">
          <cell r="D1798">
            <v>320650</v>
          </cell>
          <cell r="E1798" t="str">
            <v>Colouring matter; inorganic products of a kind used as luminophores</v>
          </cell>
          <cell r="F1798">
            <v>0</v>
          </cell>
          <cell r="G1798">
            <v>0</v>
          </cell>
          <cell r="H1798">
            <v>0</v>
          </cell>
          <cell r="I1798" t="str">
            <v>Others</v>
          </cell>
          <cell r="J1798">
            <v>3</v>
          </cell>
          <cell r="K1798" t="str">
            <v>Others</v>
          </cell>
        </row>
        <row r="1799">
          <cell r="D1799">
            <v>320710</v>
          </cell>
          <cell r="E1799" t="str">
            <v>Pigments; prepared pigments, opacifiers, colours and similar preparations</v>
          </cell>
          <cell r="F1799">
            <v>0</v>
          </cell>
          <cell r="G1799">
            <v>0</v>
          </cell>
          <cell r="H1799">
            <v>0</v>
          </cell>
          <cell r="I1799" t="str">
            <v>Others</v>
          </cell>
          <cell r="J1799">
            <v>3</v>
          </cell>
          <cell r="K1799" t="str">
            <v>Others</v>
          </cell>
        </row>
        <row r="1800">
          <cell r="D1800">
            <v>320720</v>
          </cell>
          <cell r="E1800" t="str">
            <v>Enamels and glazes; vitrifiable enamels and glazes, engobes (slips) and similar preparations</v>
          </cell>
          <cell r="F1800">
            <v>0</v>
          </cell>
          <cell r="G1800">
            <v>0</v>
          </cell>
          <cell r="H1800">
            <v>0</v>
          </cell>
          <cell r="I1800" t="str">
            <v>Others</v>
          </cell>
          <cell r="J1800">
            <v>3</v>
          </cell>
          <cell r="K1800" t="str">
            <v>Others</v>
          </cell>
        </row>
        <row r="1801">
          <cell r="D1801">
            <v>320730</v>
          </cell>
          <cell r="E1801" t="str">
            <v>Lustres; liquid lustres and similar preparations</v>
          </cell>
          <cell r="F1801">
            <v>0</v>
          </cell>
          <cell r="G1801">
            <v>0</v>
          </cell>
          <cell r="H1801">
            <v>0</v>
          </cell>
          <cell r="I1801" t="str">
            <v>Others</v>
          </cell>
          <cell r="J1801">
            <v>3</v>
          </cell>
          <cell r="K1801" t="str">
            <v>Others</v>
          </cell>
        </row>
        <row r="1802">
          <cell r="D1802">
            <v>320740</v>
          </cell>
          <cell r="E1802" t="str">
            <v>Glass; glass frit and other glass, in the form of powder, granules or flakes</v>
          </cell>
          <cell r="F1802">
            <v>0</v>
          </cell>
          <cell r="G1802">
            <v>0</v>
          </cell>
          <cell r="H1802">
            <v>0</v>
          </cell>
          <cell r="I1802" t="str">
            <v>Others</v>
          </cell>
          <cell r="J1802">
            <v>3</v>
          </cell>
          <cell r="K1802" t="str">
            <v>Others</v>
          </cell>
        </row>
        <row r="1803">
          <cell r="D1803">
            <v>320810</v>
          </cell>
          <cell r="E1803" t="str">
            <v>Paints and varnishes; based on polyesters, dispersed or dissolved in a non-aqueous medium</v>
          </cell>
          <cell r="F1803">
            <v>0</v>
          </cell>
          <cell r="G1803">
            <v>0</v>
          </cell>
          <cell r="H1803">
            <v>0</v>
          </cell>
          <cell r="I1803" t="str">
            <v>Others</v>
          </cell>
          <cell r="J1803">
            <v>3</v>
          </cell>
          <cell r="K1803" t="str">
            <v>Others</v>
          </cell>
        </row>
        <row r="1804">
          <cell r="D1804">
            <v>320820</v>
          </cell>
          <cell r="E1804" t="str">
            <v>Paints and varnishes; based on acrylic or vinyl polymers, dispersed or dissolved in a non-aqueous medium</v>
          </cell>
          <cell r="F1804" t="str">
            <v>Consumables</v>
          </cell>
          <cell r="G1804">
            <v>0</v>
          </cell>
          <cell r="H1804">
            <v>0</v>
          </cell>
          <cell r="I1804" t="str">
            <v>Others</v>
          </cell>
          <cell r="J1804">
            <v>2</v>
          </cell>
          <cell r="K1804" t="str">
            <v>Consumables - rc</v>
          </cell>
        </row>
        <row r="1805">
          <cell r="D1805">
            <v>320890</v>
          </cell>
          <cell r="E1805" t="str">
            <v>Paints and varnishes; based on polymers n.e.c. in heading no. 3208, dispersed or dissolved in a non-aqueous medium</v>
          </cell>
          <cell r="F1805" t="str">
            <v>Consumables</v>
          </cell>
          <cell r="G1805">
            <v>0</v>
          </cell>
          <cell r="H1805">
            <v>0</v>
          </cell>
          <cell r="I1805" t="str">
            <v>Others</v>
          </cell>
          <cell r="J1805">
            <v>2</v>
          </cell>
          <cell r="K1805" t="str">
            <v>Consumables - rc</v>
          </cell>
        </row>
        <row r="1806">
          <cell r="D1806">
            <v>320910</v>
          </cell>
          <cell r="E1806" t="str">
            <v>Paints and varnishes; based on acrylic or vinyl polymers, dispersed or dissolved in an aqueous medium</v>
          </cell>
          <cell r="F1806" t="str">
            <v>Consumables</v>
          </cell>
          <cell r="G1806">
            <v>0</v>
          </cell>
          <cell r="H1806">
            <v>0</v>
          </cell>
          <cell r="I1806" t="str">
            <v>Others</v>
          </cell>
          <cell r="J1806">
            <v>2</v>
          </cell>
          <cell r="K1806" t="str">
            <v>Consumables - rc</v>
          </cell>
        </row>
        <row r="1807">
          <cell r="D1807">
            <v>320990</v>
          </cell>
          <cell r="E1807" t="str">
            <v>Paints and varnishes; (based on polymers other than acrylic or vinyl), dispersed or dissolved in an aqueous medium</v>
          </cell>
          <cell r="F1807" t="str">
            <v>Consumables</v>
          </cell>
          <cell r="G1807">
            <v>0</v>
          </cell>
          <cell r="H1807">
            <v>0</v>
          </cell>
          <cell r="I1807" t="str">
            <v>Others</v>
          </cell>
          <cell r="J1807">
            <v>2</v>
          </cell>
          <cell r="K1807" t="str">
            <v>Consumables - rc</v>
          </cell>
        </row>
        <row r="1808">
          <cell r="D1808">
            <v>321000</v>
          </cell>
          <cell r="E1808" t="str">
            <v>Paints and varnishes; (including enamels, lacquers and distempers), prepared water pigments of a kind used for finishing leather</v>
          </cell>
          <cell r="F1808">
            <v>0</v>
          </cell>
          <cell r="G1808">
            <v>0</v>
          </cell>
          <cell r="H1808">
            <v>0</v>
          </cell>
          <cell r="I1808" t="str">
            <v>Others</v>
          </cell>
          <cell r="J1808">
            <v>3</v>
          </cell>
          <cell r="K1808" t="str">
            <v>Others</v>
          </cell>
        </row>
        <row r="1809">
          <cell r="D1809">
            <v>321100</v>
          </cell>
          <cell r="E1809" t="str">
            <v>Driers; prepared</v>
          </cell>
          <cell r="F1809">
            <v>0</v>
          </cell>
          <cell r="G1809">
            <v>0</v>
          </cell>
          <cell r="H1809">
            <v>0</v>
          </cell>
          <cell r="I1809" t="str">
            <v>Others</v>
          </cell>
          <cell r="J1809">
            <v>3</v>
          </cell>
          <cell r="K1809" t="str">
            <v>Others</v>
          </cell>
        </row>
        <row r="1810">
          <cell r="D1810">
            <v>321210</v>
          </cell>
          <cell r="E1810" t="str">
            <v>Pigments; of a kind used in the manufacture of paints, stamping foils</v>
          </cell>
          <cell r="F1810">
            <v>0</v>
          </cell>
          <cell r="G1810">
            <v>0</v>
          </cell>
          <cell r="H1810">
            <v>0</v>
          </cell>
          <cell r="I1810" t="str">
            <v>Others</v>
          </cell>
          <cell r="J1810">
            <v>3</v>
          </cell>
          <cell r="K1810" t="str">
            <v>Others</v>
          </cell>
        </row>
        <row r="1811">
          <cell r="D1811">
            <v>321290</v>
          </cell>
          <cell r="E1811" t="str">
            <v>Pigments; of a kind used in the manufacture of paints, other than stamping foils</v>
          </cell>
          <cell r="F1811">
            <v>0</v>
          </cell>
          <cell r="G1811">
            <v>0</v>
          </cell>
          <cell r="H1811">
            <v>0</v>
          </cell>
          <cell r="I1811" t="str">
            <v>Others</v>
          </cell>
          <cell r="J1811">
            <v>3</v>
          </cell>
          <cell r="K1811" t="str">
            <v>Others</v>
          </cell>
        </row>
        <row r="1812">
          <cell r="D1812">
            <v>321310</v>
          </cell>
          <cell r="E1812" t="str">
            <v>Colours; in sets, of a kind used by artists, students or signboard painters</v>
          </cell>
          <cell r="F1812">
            <v>0</v>
          </cell>
          <cell r="G1812">
            <v>0</v>
          </cell>
          <cell r="H1812">
            <v>0</v>
          </cell>
          <cell r="I1812" t="str">
            <v>Others</v>
          </cell>
          <cell r="J1812">
            <v>3</v>
          </cell>
          <cell r="K1812" t="str">
            <v>Others</v>
          </cell>
        </row>
        <row r="1813">
          <cell r="D1813">
            <v>321390</v>
          </cell>
          <cell r="E1813" t="str">
            <v>Colours; (other than in sets), of a kind used by artists, students or signboard painters</v>
          </cell>
          <cell r="F1813" t="str">
            <v>Consumables</v>
          </cell>
          <cell r="G1813">
            <v>0</v>
          </cell>
          <cell r="H1813">
            <v>0</v>
          </cell>
          <cell r="I1813" t="str">
            <v>Others</v>
          </cell>
          <cell r="J1813">
            <v>2</v>
          </cell>
          <cell r="K1813" t="str">
            <v>Consumables - rc</v>
          </cell>
        </row>
        <row r="1814">
          <cell r="D1814">
            <v>321410</v>
          </cell>
          <cell r="E1814" t="str">
            <v>Mastics; painters' fillings</v>
          </cell>
          <cell r="F1814">
            <v>0</v>
          </cell>
          <cell r="G1814">
            <v>0</v>
          </cell>
          <cell r="H1814">
            <v>0</v>
          </cell>
          <cell r="I1814" t="str">
            <v>Others</v>
          </cell>
          <cell r="J1814">
            <v>3</v>
          </cell>
          <cell r="K1814" t="str">
            <v>Others</v>
          </cell>
        </row>
        <row r="1815">
          <cell r="D1815">
            <v>321490</v>
          </cell>
          <cell r="E1815" t="str">
            <v>Mastics; n.e.c. in heading no. 3214</v>
          </cell>
          <cell r="F1815" t="str">
            <v>Others</v>
          </cell>
          <cell r="G1815">
            <v>0</v>
          </cell>
          <cell r="H1815">
            <v>0</v>
          </cell>
          <cell r="I1815" t="str">
            <v>Others</v>
          </cell>
          <cell r="J1815">
            <v>2</v>
          </cell>
          <cell r="K1815" t="str">
            <v>Others</v>
          </cell>
        </row>
        <row r="1816">
          <cell r="D1816">
            <v>321511</v>
          </cell>
          <cell r="E1816" t="str">
            <v>Ink; for printing, black, whether or not concentrated or solid</v>
          </cell>
          <cell r="F1816" t="str">
            <v>Consumables</v>
          </cell>
          <cell r="G1816">
            <v>0</v>
          </cell>
          <cell r="H1816">
            <v>0</v>
          </cell>
          <cell r="I1816" t="str">
            <v>Others</v>
          </cell>
          <cell r="J1816">
            <v>2</v>
          </cell>
          <cell r="K1816" t="str">
            <v>Consumables - rc</v>
          </cell>
        </row>
        <row r="1817">
          <cell r="D1817">
            <v>321519</v>
          </cell>
          <cell r="E1817" t="str">
            <v>Ink; for printing, other than black, whether or not concentrated or solid</v>
          </cell>
          <cell r="F1817" t="str">
            <v>Consumables</v>
          </cell>
          <cell r="G1817">
            <v>0</v>
          </cell>
          <cell r="H1817">
            <v>0</v>
          </cell>
          <cell r="I1817" t="str">
            <v>Others</v>
          </cell>
          <cell r="J1817">
            <v>2</v>
          </cell>
          <cell r="K1817" t="str">
            <v>Consumables - rc</v>
          </cell>
        </row>
        <row r="1818">
          <cell r="D1818">
            <v>321590</v>
          </cell>
          <cell r="E1818" t="str">
            <v>Ink; writing, drawing and other inks, n.e.c. in heading no. 3215, whether or not concentrated or solid</v>
          </cell>
          <cell r="F1818" t="str">
            <v>Consumables</v>
          </cell>
          <cell r="G1818">
            <v>0</v>
          </cell>
          <cell r="H1818">
            <v>0</v>
          </cell>
          <cell r="I1818" t="str">
            <v>Others</v>
          </cell>
          <cell r="J1818">
            <v>2</v>
          </cell>
          <cell r="K1818" t="str">
            <v>Consumables - rc</v>
          </cell>
        </row>
        <row r="1819">
          <cell r="D1819">
            <v>330112</v>
          </cell>
          <cell r="E1819" t="str">
            <v>Oils, essential; of orange (terpeneless or not), including concretes and absolutes</v>
          </cell>
          <cell r="F1819">
            <v>0</v>
          </cell>
          <cell r="G1819">
            <v>0</v>
          </cell>
          <cell r="H1819">
            <v>0</v>
          </cell>
          <cell r="I1819" t="str">
            <v>Others</v>
          </cell>
          <cell r="J1819">
            <v>3</v>
          </cell>
          <cell r="K1819" t="str">
            <v>Others</v>
          </cell>
        </row>
        <row r="1820">
          <cell r="D1820">
            <v>330113</v>
          </cell>
          <cell r="E1820" t="str">
            <v>Oils, essential; of lemon (terpeneless or not), including concretes and absolutes</v>
          </cell>
          <cell r="F1820">
            <v>0</v>
          </cell>
          <cell r="G1820">
            <v>0</v>
          </cell>
          <cell r="H1820">
            <v>0</v>
          </cell>
          <cell r="I1820" t="str">
            <v>Others</v>
          </cell>
          <cell r="J1820">
            <v>3</v>
          </cell>
          <cell r="K1820" t="str">
            <v>Others</v>
          </cell>
        </row>
        <row r="1821">
          <cell r="D1821">
            <v>330119</v>
          </cell>
          <cell r="E1821" t="str">
            <v>Oils, essential; of citrus fruits n.e.c. in heading no. 3301 (terpeneless or not), including concretes and absolutes</v>
          </cell>
          <cell r="F1821">
            <v>0</v>
          </cell>
          <cell r="G1821">
            <v>0</v>
          </cell>
          <cell r="H1821">
            <v>0</v>
          </cell>
          <cell r="I1821" t="str">
            <v>Others</v>
          </cell>
          <cell r="J1821">
            <v>3</v>
          </cell>
          <cell r="K1821" t="str">
            <v>Others</v>
          </cell>
        </row>
        <row r="1822">
          <cell r="D1822">
            <v>330124</v>
          </cell>
          <cell r="E1822" t="str">
            <v>Oils, essential; of peppermint (Mentha piperita), terpeneless or not, including concretes and absolutes</v>
          </cell>
          <cell r="F1822">
            <v>0</v>
          </cell>
          <cell r="G1822">
            <v>0</v>
          </cell>
          <cell r="H1822">
            <v>0</v>
          </cell>
          <cell r="I1822" t="str">
            <v>Others</v>
          </cell>
          <cell r="J1822">
            <v>3</v>
          </cell>
          <cell r="K1822" t="str">
            <v>Others</v>
          </cell>
        </row>
        <row r="1823">
          <cell r="D1823">
            <v>330125</v>
          </cell>
          <cell r="E1823" t="str">
            <v>Oils, essential; of mints (excluding peppermint), terpeneless or not, including concretes and absolutes</v>
          </cell>
          <cell r="F1823">
            <v>0</v>
          </cell>
          <cell r="G1823">
            <v>0</v>
          </cell>
          <cell r="H1823">
            <v>0</v>
          </cell>
          <cell r="I1823" t="str">
            <v>Others</v>
          </cell>
          <cell r="J1823">
            <v>3</v>
          </cell>
          <cell r="K1823" t="str">
            <v>Others</v>
          </cell>
        </row>
        <row r="1824">
          <cell r="D1824">
            <v>330129</v>
          </cell>
          <cell r="E1824" t="str">
            <v>Oils, essential; n.e.c. in heading no. 3301 (terpeneless or not), including concretes and absolutes</v>
          </cell>
          <cell r="F1824">
            <v>0</v>
          </cell>
          <cell r="G1824">
            <v>0</v>
          </cell>
          <cell r="H1824">
            <v>0</v>
          </cell>
          <cell r="I1824" t="str">
            <v>Others</v>
          </cell>
          <cell r="J1824">
            <v>3</v>
          </cell>
          <cell r="K1824" t="str">
            <v>Others</v>
          </cell>
        </row>
        <row r="1825">
          <cell r="D1825">
            <v>330130</v>
          </cell>
          <cell r="E1825" t="str">
            <v>Resinoids</v>
          </cell>
          <cell r="F1825">
            <v>0</v>
          </cell>
          <cell r="G1825">
            <v>0</v>
          </cell>
          <cell r="H1825">
            <v>0</v>
          </cell>
          <cell r="I1825" t="str">
            <v>Others</v>
          </cell>
          <cell r="J1825">
            <v>3</v>
          </cell>
          <cell r="K1825" t="str">
            <v>Others</v>
          </cell>
        </row>
        <row r="1826">
          <cell r="D1826">
            <v>330190</v>
          </cell>
          <cell r="E1826" t="str">
            <v>Oils, essential; concentrates in fats, fixed oils, waxes and the like, terpenic by-products, aqueous distillates and solutions, extracted oleoresins, n.e.c. in heading no. 3301</v>
          </cell>
          <cell r="F1826">
            <v>0</v>
          </cell>
          <cell r="G1826">
            <v>0</v>
          </cell>
          <cell r="H1826">
            <v>0</v>
          </cell>
          <cell r="I1826" t="str">
            <v>Others</v>
          </cell>
          <cell r="J1826">
            <v>3</v>
          </cell>
          <cell r="K1826" t="str">
            <v>Others</v>
          </cell>
        </row>
        <row r="1827">
          <cell r="D1827">
            <v>330210</v>
          </cell>
          <cell r="E1827" t="str">
            <v>Odoriferous substances and mixtures; of a kind used in the food or drink industries</v>
          </cell>
          <cell r="F1827">
            <v>0</v>
          </cell>
          <cell r="G1827">
            <v>0</v>
          </cell>
          <cell r="H1827">
            <v>0</v>
          </cell>
          <cell r="I1827" t="str">
            <v>Others</v>
          </cell>
          <cell r="J1827">
            <v>3</v>
          </cell>
          <cell r="K1827" t="str">
            <v>Others</v>
          </cell>
        </row>
        <row r="1828">
          <cell r="D1828">
            <v>330290</v>
          </cell>
          <cell r="E1828" t="str">
            <v>Odoriferous substances and mixtures; used as raw materials in industries other than the food or drink industries</v>
          </cell>
          <cell r="F1828">
            <v>0</v>
          </cell>
          <cell r="G1828">
            <v>0</v>
          </cell>
          <cell r="H1828">
            <v>0</v>
          </cell>
          <cell r="I1828" t="str">
            <v>Others</v>
          </cell>
          <cell r="J1828">
            <v>3</v>
          </cell>
          <cell r="K1828" t="str">
            <v>Others</v>
          </cell>
        </row>
        <row r="1829">
          <cell r="D1829">
            <v>330300</v>
          </cell>
          <cell r="E1829" t="str">
            <v>Perfumes and toilet waters</v>
          </cell>
          <cell r="F1829">
            <v>0</v>
          </cell>
          <cell r="G1829">
            <v>0</v>
          </cell>
          <cell r="H1829">
            <v>0</v>
          </cell>
          <cell r="I1829" t="str">
            <v>Others</v>
          </cell>
          <cell r="J1829">
            <v>3</v>
          </cell>
          <cell r="K1829" t="str">
            <v>Others</v>
          </cell>
        </row>
        <row r="1830">
          <cell r="D1830">
            <v>330410</v>
          </cell>
          <cell r="E1830" t="str">
            <v>Cosmetic and toilet preparations; lip make-up</v>
          </cell>
          <cell r="F1830">
            <v>0</v>
          </cell>
          <cell r="G1830">
            <v>0</v>
          </cell>
          <cell r="H1830">
            <v>0</v>
          </cell>
          <cell r="I1830" t="str">
            <v>Others</v>
          </cell>
          <cell r="J1830">
            <v>3</v>
          </cell>
          <cell r="K1830" t="str">
            <v>Others</v>
          </cell>
        </row>
        <row r="1831">
          <cell r="D1831">
            <v>330420</v>
          </cell>
          <cell r="E1831" t="str">
            <v>Cosmetic and toilet preparations; eye make-up</v>
          </cell>
          <cell r="F1831">
            <v>0</v>
          </cell>
          <cell r="G1831">
            <v>0</v>
          </cell>
          <cell r="H1831">
            <v>0</v>
          </cell>
          <cell r="I1831" t="str">
            <v>Others</v>
          </cell>
          <cell r="J1831">
            <v>3</v>
          </cell>
          <cell r="K1831" t="str">
            <v>Others</v>
          </cell>
        </row>
        <row r="1832">
          <cell r="D1832">
            <v>330430</v>
          </cell>
          <cell r="E1832" t="str">
            <v>Cosmetic and toilet preparations; manicure or pedicure preparations</v>
          </cell>
          <cell r="F1832">
            <v>0</v>
          </cell>
          <cell r="G1832">
            <v>0</v>
          </cell>
          <cell r="H1832">
            <v>0</v>
          </cell>
          <cell r="I1832" t="str">
            <v>Others</v>
          </cell>
          <cell r="J1832">
            <v>3</v>
          </cell>
          <cell r="K1832" t="str">
            <v>Others</v>
          </cell>
        </row>
        <row r="1833">
          <cell r="D1833">
            <v>330491</v>
          </cell>
          <cell r="E1833" t="str">
            <v>Cosmetic and toilet preparations; powders, whether or not compressed (excluding lip, eye, manicure or pedicure preparations)</v>
          </cell>
          <cell r="F1833">
            <v>0</v>
          </cell>
          <cell r="G1833">
            <v>0</v>
          </cell>
          <cell r="H1833">
            <v>0</v>
          </cell>
          <cell r="I1833" t="str">
            <v>Others</v>
          </cell>
          <cell r="J1833">
            <v>3</v>
          </cell>
          <cell r="K1833" t="str">
            <v>Others</v>
          </cell>
        </row>
        <row r="1834">
          <cell r="D1834">
            <v>330499</v>
          </cell>
          <cell r="E1834" t="str">
            <v>Cosmetic and toilet preparations; n.e.c. in heading no. 3304, for the care of the skin (excluding medicaments, including sunscreen or sun tan preparations)</v>
          </cell>
          <cell r="F1834" t="str">
            <v>Others</v>
          </cell>
          <cell r="G1834">
            <v>0</v>
          </cell>
          <cell r="H1834">
            <v>0</v>
          </cell>
          <cell r="I1834" t="str">
            <v>Others</v>
          </cell>
          <cell r="J1834">
            <v>2</v>
          </cell>
          <cell r="K1834" t="str">
            <v>Others</v>
          </cell>
        </row>
        <row r="1835">
          <cell r="D1835">
            <v>330510</v>
          </cell>
          <cell r="E1835" t="str">
            <v>Hair preparations; shampoos</v>
          </cell>
          <cell r="F1835">
            <v>0</v>
          </cell>
          <cell r="G1835">
            <v>0</v>
          </cell>
          <cell r="H1835">
            <v>0</v>
          </cell>
          <cell r="I1835" t="str">
            <v>Others</v>
          </cell>
          <cell r="J1835">
            <v>3</v>
          </cell>
          <cell r="K1835" t="str">
            <v>Others</v>
          </cell>
        </row>
        <row r="1836">
          <cell r="D1836">
            <v>330520</v>
          </cell>
          <cell r="E1836" t="str">
            <v>Hair preparations; for permanent waving or straightening</v>
          </cell>
          <cell r="F1836">
            <v>0</v>
          </cell>
          <cell r="G1836">
            <v>0</v>
          </cell>
          <cell r="H1836">
            <v>0</v>
          </cell>
          <cell r="I1836" t="str">
            <v>Others</v>
          </cell>
          <cell r="J1836">
            <v>3</v>
          </cell>
          <cell r="K1836" t="str">
            <v>Others</v>
          </cell>
        </row>
        <row r="1837">
          <cell r="D1837">
            <v>330530</v>
          </cell>
          <cell r="E1837" t="str">
            <v>Hair preparations; lacquers</v>
          </cell>
          <cell r="F1837">
            <v>0</v>
          </cell>
          <cell r="G1837">
            <v>0</v>
          </cell>
          <cell r="H1837">
            <v>0</v>
          </cell>
          <cell r="I1837" t="str">
            <v>Others</v>
          </cell>
          <cell r="J1837">
            <v>3</v>
          </cell>
          <cell r="K1837" t="str">
            <v>Others</v>
          </cell>
        </row>
        <row r="1838">
          <cell r="D1838">
            <v>330590</v>
          </cell>
          <cell r="E1838" t="str">
            <v>Hair preparations; n.e.c. in heading no. 3305</v>
          </cell>
          <cell r="F1838">
            <v>0</v>
          </cell>
          <cell r="G1838">
            <v>0</v>
          </cell>
          <cell r="H1838">
            <v>0</v>
          </cell>
          <cell r="I1838" t="str">
            <v>Others</v>
          </cell>
          <cell r="J1838">
            <v>3</v>
          </cell>
          <cell r="K1838" t="str">
            <v>Others</v>
          </cell>
        </row>
        <row r="1839">
          <cell r="D1839">
            <v>330610</v>
          </cell>
          <cell r="E1839" t="str">
            <v>Oral or dental hygiene preparations; dentifrices</v>
          </cell>
          <cell r="F1839">
            <v>0</v>
          </cell>
          <cell r="G1839">
            <v>0</v>
          </cell>
          <cell r="H1839">
            <v>0</v>
          </cell>
          <cell r="I1839" t="str">
            <v>Others</v>
          </cell>
          <cell r="J1839">
            <v>3</v>
          </cell>
          <cell r="K1839" t="str">
            <v>Others</v>
          </cell>
        </row>
        <row r="1840">
          <cell r="D1840">
            <v>330620</v>
          </cell>
          <cell r="E1840" t="str">
            <v>Oral or dental hygiene preparations; yarn used to clean between the teeth (dental floss)</v>
          </cell>
          <cell r="F1840">
            <v>0</v>
          </cell>
          <cell r="G1840">
            <v>0</v>
          </cell>
          <cell r="H1840">
            <v>0</v>
          </cell>
          <cell r="I1840" t="str">
            <v>Others</v>
          </cell>
          <cell r="J1840">
            <v>3</v>
          </cell>
          <cell r="K1840" t="str">
            <v>Others</v>
          </cell>
        </row>
        <row r="1841">
          <cell r="D1841">
            <v>330690</v>
          </cell>
          <cell r="E1841" t="str">
            <v>Oral or dental hygiene preparations; other than dentifrices</v>
          </cell>
          <cell r="F1841">
            <v>0</v>
          </cell>
          <cell r="G1841">
            <v>0</v>
          </cell>
          <cell r="H1841">
            <v>0</v>
          </cell>
          <cell r="I1841" t="str">
            <v>Others</v>
          </cell>
          <cell r="J1841">
            <v>3</v>
          </cell>
          <cell r="K1841" t="str">
            <v>Others</v>
          </cell>
        </row>
        <row r="1842">
          <cell r="D1842">
            <v>330710</v>
          </cell>
          <cell r="E1842" t="str">
            <v>Perfumery, cosmetic or toilet preparations; pre-shave, shaving or after-shave preparations</v>
          </cell>
          <cell r="F1842">
            <v>0</v>
          </cell>
          <cell r="G1842">
            <v>0</v>
          </cell>
          <cell r="H1842">
            <v>0</v>
          </cell>
          <cell r="I1842" t="str">
            <v>Others</v>
          </cell>
          <cell r="J1842">
            <v>3</v>
          </cell>
          <cell r="K1842" t="str">
            <v>Others</v>
          </cell>
        </row>
        <row r="1843">
          <cell r="D1843">
            <v>330720</v>
          </cell>
          <cell r="E1843" t="str">
            <v>Perfumery, cosmetic or toilet preparations; personal deodorants and antiperspirants</v>
          </cell>
          <cell r="F1843">
            <v>0</v>
          </cell>
          <cell r="G1843">
            <v>0</v>
          </cell>
          <cell r="H1843">
            <v>0</v>
          </cell>
          <cell r="I1843" t="str">
            <v>Others</v>
          </cell>
          <cell r="J1843">
            <v>3</v>
          </cell>
          <cell r="K1843" t="str">
            <v>Others</v>
          </cell>
        </row>
        <row r="1844">
          <cell r="D1844">
            <v>330730</v>
          </cell>
          <cell r="E1844" t="str">
            <v>Perfumery, cosmetic or toilet preparations; perfumed bath salts and other bath preparations</v>
          </cell>
          <cell r="F1844">
            <v>0</v>
          </cell>
          <cell r="G1844">
            <v>0</v>
          </cell>
          <cell r="H1844">
            <v>0</v>
          </cell>
          <cell r="I1844" t="str">
            <v>Others</v>
          </cell>
          <cell r="J1844">
            <v>3</v>
          </cell>
          <cell r="K1844" t="str">
            <v>Others</v>
          </cell>
        </row>
        <row r="1845">
          <cell r="D1845">
            <v>330741</v>
          </cell>
          <cell r="E1845" t="str">
            <v>Perfumes and deodorizers; perfuming or deodorizing preparations for rooms, agarbatti and other odoriferous preparations which operate by burning (including those used during religious rites)</v>
          </cell>
          <cell r="F1845">
            <v>0</v>
          </cell>
          <cell r="G1845">
            <v>0</v>
          </cell>
          <cell r="H1845">
            <v>0</v>
          </cell>
          <cell r="I1845" t="str">
            <v>Others</v>
          </cell>
          <cell r="J1845">
            <v>3</v>
          </cell>
          <cell r="K1845" t="str">
            <v>Others</v>
          </cell>
        </row>
        <row r="1846">
          <cell r="D1846">
            <v>330749</v>
          </cell>
          <cell r="E1846" t="str">
            <v>Perfumes and deodorizers; perfuming or deodorizing preparations for rooms, (excluding those which operate by burning)</v>
          </cell>
          <cell r="F1846" t="str">
            <v>Others</v>
          </cell>
          <cell r="G1846">
            <v>0</v>
          </cell>
          <cell r="H1846">
            <v>0</v>
          </cell>
          <cell r="I1846" t="str">
            <v>Others</v>
          </cell>
          <cell r="J1846">
            <v>2</v>
          </cell>
          <cell r="K1846" t="str">
            <v>Others</v>
          </cell>
        </row>
        <row r="1847">
          <cell r="D1847">
            <v>330790</v>
          </cell>
          <cell r="E1847" t="str">
            <v>Perfumes and deodorizers; perfuming or deodorizing preparations n.e.c. in heading no. 3307</v>
          </cell>
          <cell r="F1847">
            <v>0</v>
          </cell>
          <cell r="G1847">
            <v>0</v>
          </cell>
          <cell r="H1847">
            <v>0</v>
          </cell>
          <cell r="I1847" t="str">
            <v>Others</v>
          </cell>
          <cell r="J1847">
            <v>3</v>
          </cell>
          <cell r="K1847" t="str">
            <v>Others</v>
          </cell>
        </row>
        <row r="1848">
          <cell r="D1848">
            <v>340111</v>
          </cell>
          <cell r="E1848" t="str">
            <v>Soap and organic surface-active products; in the form of bars, cakes, moulded shapes, and paper, wadding, felt and nonwovens, impregnated, coated or covered with soap or detergent, for toilet use (including medicated products)</v>
          </cell>
          <cell r="F1848">
            <v>0</v>
          </cell>
          <cell r="G1848">
            <v>0</v>
          </cell>
          <cell r="H1848">
            <v>0</v>
          </cell>
          <cell r="I1848" t="str">
            <v>Others</v>
          </cell>
          <cell r="J1848">
            <v>3</v>
          </cell>
          <cell r="K1848" t="str">
            <v>Others</v>
          </cell>
        </row>
        <row r="1849">
          <cell r="D1849">
            <v>340119</v>
          </cell>
          <cell r="E1849" t="str">
            <v>Soap and organic surface-active products; in the form of bars, cakes, moulded shapes, and paper, wadding, felt and nonwovens, impregnated, coated or covered with soap or detergent, not for toilet use</v>
          </cell>
          <cell r="F1849" t="str">
            <v>Others</v>
          </cell>
          <cell r="G1849">
            <v>0</v>
          </cell>
          <cell r="H1849">
            <v>0</v>
          </cell>
          <cell r="I1849" t="str">
            <v>Others</v>
          </cell>
          <cell r="J1849">
            <v>2</v>
          </cell>
          <cell r="K1849" t="str">
            <v>Others</v>
          </cell>
        </row>
        <row r="1850">
          <cell r="D1850">
            <v>340120</v>
          </cell>
          <cell r="E1850" t="str">
            <v>Soap; in forms n.e.c. in item no. 3401.11</v>
          </cell>
          <cell r="F1850">
            <v>0</v>
          </cell>
          <cell r="G1850">
            <v>0</v>
          </cell>
          <cell r="H1850">
            <v>0</v>
          </cell>
          <cell r="I1850" t="str">
            <v>Others</v>
          </cell>
          <cell r="J1850">
            <v>3</v>
          </cell>
          <cell r="K1850" t="str">
            <v>Others</v>
          </cell>
        </row>
        <row r="1851">
          <cell r="D1851">
            <v>340130</v>
          </cell>
          <cell r="E1851" t="str">
            <v>Organic surface-active products and preparations for washing the skin, in the form of liquid or cream and put up for retail sale, whether or not containing soap</v>
          </cell>
          <cell r="F1851">
            <v>0</v>
          </cell>
          <cell r="G1851">
            <v>0</v>
          </cell>
          <cell r="H1851">
            <v>0</v>
          </cell>
          <cell r="I1851" t="str">
            <v>Others</v>
          </cell>
          <cell r="J1851">
            <v>3</v>
          </cell>
          <cell r="K1851" t="str">
            <v>Others</v>
          </cell>
        </row>
        <row r="1852">
          <cell r="D1852">
            <v>340231</v>
          </cell>
          <cell r="E1852" t="str">
            <v>Anionic organic surface-active agents (other than soap); linear alkylbenzene sulphonic acids and their salts, whether or not put up for retail sale</v>
          </cell>
          <cell r="F1852">
            <v>0</v>
          </cell>
          <cell r="G1852">
            <v>0</v>
          </cell>
          <cell r="H1852">
            <v>0</v>
          </cell>
          <cell r="I1852" t="str">
            <v>Others</v>
          </cell>
          <cell r="J1852">
            <v>3</v>
          </cell>
          <cell r="K1852" t="str">
            <v>Others</v>
          </cell>
        </row>
        <row r="1853">
          <cell r="D1853">
            <v>340239</v>
          </cell>
          <cell r="E1853" t="str">
            <v>Anionic organic surface-active agents (other than soap); other than linear alkylbenzene sulphonic acids and their salts, whether or not put up for retail sale</v>
          </cell>
          <cell r="F1853">
            <v>0</v>
          </cell>
          <cell r="G1853">
            <v>0</v>
          </cell>
          <cell r="H1853">
            <v>0</v>
          </cell>
          <cell r="I1853" t="str">
            <v>Others</v>
          </cell>
          <cell r="J1853">
            <v>3</v>
          </cell>
          <cell r="K1853" t="str">
            <v>Others</v>
          </cell>
        </row>
        <row r="1854">
          <cell r="D1854">
            <v>340241</v>
          </cell>
          <cell r="E1854" t="str">
            <v>Organic surface-active agents; cationic (other than soap), whether or not put up for retail sale</v>
          </cell>
          <cell r="F1854">
            <v>0</v>
          </cell>
          <cell r="G1854">
            <v>0</v>
          </cell>
          <cell r="H1854">
            <v>0</v>
          </cell>
          <cell r="I1854" t="str">
            <v>Others</v>
          </cell>
          <cell r="J1854">
            <v>3</v>
          </cell>
          <cell r="K1854" t="str">
            <v>Others</v>
          </cell>
        </row>
        <row r="1855">
          <cell r="D1855">
            <v>340242</v>
          </cell>
          <cell r="E1855" t="str">
            <v>Organic surface-active agents; non-ionic (other than soap), whether or not put up for retail sale</v>
          </cell>
          <cell r="F1855">
            <v>0</v>
          </cell>
          <cell r="G1855">
            <v>0</v>
          </cell>
          <cell r="H1855">
            <v>0</v>
          </cell>
          <cell r="I1855" t="str">
            <v>Others</v>
          </cell>
          <cell r="J1855">
            <v>3</v>
          </cell>
          <cell r="K1855" t="str">
            <v>Others</v>
          </cell>
        </row>
        <row r="1856">
          <cell r="D1856">
            <v>340249</v>
          </cell>
          <cell r="E1856" t="str">
            <v>Organic surface-active agents; whether or not put up for retail sale, n.e.c. in item no. 3402</v>
          </cell>
          <cell r="F1856">
            <v>0</v>
          </cell>
          <cell r="G1856">
            <v>0</v>
          </cell>
          <cell r="H1856">
            <v>0</v>
          </cell>
          <cell r="I1856" t="str">
            <v>Others</v>
          </cell>
          <cell r="J1856">
            <v>3</v>
          </cell>
          <cell r="K1856" t="str">
            <v>Others</v>
          </cell>
        </row>
        <row r="1857">
          <cell r="D1857">
            <v>340250</v>
          </cell>
          <cell r="E1857" t="str">
            <v>Washing and cleaning preparations; powders, flakes and granules, surface-active, whether or not containing soap (excluding those of heading no. 3401), put up for retail sale</v>
          </cell>
          <cell r="F1857">
            <v>0</v>
          </cell>
          <cell r="G1857">
            <v>0</v>
          </cell>
          <cell r="H1857">
            <v>0</v>
          </cell>
          <cell r="I1857" t="str">
            <v>Others</v>
          </cell>
          <cell r="J1857">
            <v>3</v>
          </cell>
          <cell r="K1857" t="str">
            <v>Others</v>
          </cell>
        </row>
        <row r="1858">
          <cell r="D1858">
            <v>340290</v>
          </cell>
          <cell r="E1858" t="str">
            <v>Washing and cleaning preparations; surface-active, whether or not containing soap (excluding those of heading no. 3401), including auxiliary washing preparations, not for retail sale</v>
          </cell>
          <cell r="F1858" t="str">
            <v>Others</v>
          </cell>
          <cell r="G1858">
            <v>0</v>
          </cell>
          <cell r="H1858">
            <v>0</v>
          </cell>
          <cell r="I1858" t="str">
            <v>Others</v>
          </cell>
          <cell r="J1858">
            <v>2</v>
          </cell>
          <cell r="K1858" t="str">
            <v>Others</v>
          </cell>
        </row>
        <row r="1859">
          <cell r="D1859">
            <v>340311</v>
          </cell>
          <cell r="E1859" t="str">
            <v>Lubricating preparations; for the treatment of textile and similar materials (leather, furskins etc), containing less than 70% (by weight) of petroleum oils or oils obtained from bituminous minerals</v>
          </cell>
          <cell r="F1859">
            <v>0</v>
          </cell>
          <cell r="G1859">
            <v>0</v>
          </cell>
          <cell r="H1859">
            <v>0</v>
          </cell>
          <cell r="I1859" t="str">
            <v>Others</v>
          </cell>
          <cell r="J1859">
            <v>3</v>
          </cell>
          <cell r="K1859" t="str">
            <v>Others</v>
          </cell>
        </row>
        <row r="1860">
          <cell r="D1860">
            <v>340319</v>
          </cell>
          <cell r="E1860" t="str">
            <v>Lubricating preparations; (other than for the treatment of textile and similar materials), containing less than 70% (by weight) of petroleum oils or oils obtained from bituminous minerals</v>
          </cell>
          <cell r="F1860" t="str">
            <v>Consumables</v>
          </cell>
          <cell r="G1860">
            <v>0</v>
          </cell>
          <cell r="H1860">
            <v>0</v>
          </cell>
          <cell r="I1860" t="str">
            <v>Others</v>
          </cell>
          <cell r="J1860">
            <v>2</v>
          </cell>
          <cell r="K1860" t="str">
            <v>Consumables</v>
          </cell>
        </row>
        <row r="1861">
          <cell r="D1861">
            <v>340391</v>
          </cell>
          <cell r="E1861" t="str">
            <v>Lubricating preparations; for the treatment of textile and similar materials (leather, furskins etc), (not containing petroleum oils or oils obtained from bituminous minerals)</v>
          </cell>
          <cell r="F1861" t="str">
            <v>Consumables</v>
          </cell>
          <cell r="G1861">
            <v>0</v>
          </cell>
          <cell r="H1861">
            <v>0</v>
          </cell>
          <cell r="I1861" t="str">
            <v>Others</v>
          </cell>
          <cell r="J1861">
            <v>2</v>
          </cell>
          <cell r="K1861" t="str">
            <v>Consumables - rc</v>
          </cell>
        </row>
        <row r="1862">
          <cell r="D1862">
            <v>340399</v>
          </cell>
          <cell r="E1862" t="str">
            <v>Lubricating preparations; other than for the treatment of textile and similar materials, not containing petroleum oils or oils obtained from bituminous minerals</v>
          </cell>
          <cell r="F1862" t="str">
            <v>Consumables</v>
          </cell>
          <cell r="G1862">
            <v>0</v>
          </cell>
          <cell r="H1862">
            <v>0</v>
          </cell>
          <cell r="I1862" t="str">
            <v>Others</v>
          </cell>
          <cell r="J1862">
            <v>2</v>
          </cell>
          <cell r="K1862" t="str">
            <v>Consumables - rc</v>
          </cell>
        </row>
        <row r="1863">
          <cell r="D1863">
            <v>340420</v>
          </cell>
          <cell r="E1863" t="str">
            <v>Waxes; artificial and prepared, of poly(oxyethylene) (polyethylene glycol)</v>
          </cell>
          <cell r="F1863">
            <v>0</v>
          </cell>
          <cell r="G1863">
            <v>0</v>
          </cell>
          <cell r="H1863">
            <v>0</v>
          </cell>
          <cell r="I1863" t="str">
            <v>Others</v>
          </cell>
          <cell r="J1863">
            <v>3</v>
          </cell>
          <cell r="K1863" t="str">
            <v>Others</v>
          </cell>
        </row>
        <row r="1864">
          <cell r="D1864">
            <v>340490</v>
          </cell>
          <cell r="E1864" t="str">
            <v>Waxes; artificial and prepared, other than of polyethylene glycol</v>
          </cell>
          <cell r="F1864">
            <v>0</v>
          </cell>
          <cell r="G1864">
            <v>0</v>
          </cell>
          <cell r="H1864">
            <v>0</v>
          </cell>
          <cell r="I1864" t="str">
            <v>Others</v>
          </cell>
          <cell r="J1864">
            <v>3</v>
          </cell>
          <cell r="K1864" t="str">
            <v>Others</v>
          </cell>
        </row>
        <row r="1865">
          <cell r="D1865">
            <v>340510</v>
          </cell>
          <cell r="E1865" t="str">
            <v>Polishes, creams and similar preparations; for footwear or leather, excluding waxes of heading no. 3404</v>
          </cell>
          <cell r="F1865">
            <v>0</v>
          </cell>
          <cell r="G1865">
            <v>0</v>
          </cell>
          <cell r="H1865">
            <v>0</v>
          </cell>
          <cell r="I1865" t="str">
            <v>Others</v>
          </cell>
          <cell r="J1865">
            <v>3</v>
          </cell>
          <cell r="K1865" t="str">
            <v>Others</v>
          </cell>
        </row>
        <row r="1866">
          <cell r="D1866">
            <v>340520</v>
          </cell>
          <cell r="E1866" t="str">
            <v>Polishes, creams and similar preparations; for the maintenance of wooden furniture, floors or other woodwork, excluding waxes of heading no. 3404</v>
          </cell>
          <cell r="F1866">
            <v>0</v>
          </cell>
          <cell r="G1866">
            <v>0</v>
          </cell>
          <cell r="H1866">
            <v>0</v>
          </cell>
          <cell r="I1866" t="str">
            <v>Others</v>
          </cell>
          <cell r="J1866">
            <v>3</v>
          </cell>
          <cell r="K1866" t="str">
            <v>Others</v>
          </cell>
        </row>
        <row r="1867">
          <cell r="D1867">
            <v>340530</v>
          </cell>
          <cell r="E1867" t="str">
            <v>Polishes, creams and similar preparations; for coachwork, other than metal polishes, excluding waxes of heading no. 3404</v>
          </cell>
          <cell r="F1867">
            <v>0</v>
          </cell>
          <cell r="G1867">
            <v>0</v>
          </cell>
          <cell r="H1867">
            <v>0</v>
          </cell>
          <cell r="I1867" t="str">
            <v>Others</v>
          </cell>
          <cell r="J1867">
            <v>3</v>
          </cell>
          <cell r="K1867" t="str">
            <v>Others</v>
          </cell>
        </row>
        <row r="1868">
          <cell r="D1868">
            <v>340540</v>
          </cell>
          <cell r="E1868" t="str">
            <v>Scouring pastes and powders and other scouring preparations; (whether or not in the form of paper, wadding, felt, nonwovens, cellular plastics, cellular rubber, impregnated, coated or covered)</v>
          </cell>
          <cell r="F1868">
            <v>0</v>
          </cell>
          <cell r="G1868">
            <v>0</v>
          </cell>
          <cell r="H1868">
            <v>0</v>
          </cell>
          <cell r="I1868" t="str">
            <v>Others</v>
          </cell>
          <cell r="J1868">
            <v>3</v>
          </cell>
          <cell r="K1868" t="str">
            <v>Others</v>
          </cell>
        </row>
        <row r="1869">
          <cell r="D1869">
            <v>340590</v>
          </cell>
          <cell r="E1869" t="str">
            <v>Polishes, creams and similar preparations; n.e.c. in heading no. 3405, excluding waxes of heading no. 3404</v>
          </cell>
          <cell r="F1869" t="str">
            <v>Consumables</v>
          </cell>
          <cell r="G1869">
            <v>0</v>
          </cell>
          <cell r="H1869">
            <v>0</v>
          </cell>
          <cell r="I1869" t="str">
            <v>Others</v>
          </cell>
          <cell r="J1869">
            <v>2</v>
          </cell>
          <cell r="K1869" t="str">
            <v>Consumables - rc</v>
          </cell>
        </row>
        <row r="1870">
          <cell r="D1870">
            <v>340600</v>
          </cell>
          <cell r="E1870" t="str">
            <v>Candles, tapers and the like</v>
          </cell>
          <cell r="F1870">
            <v>0</v>
          </cell>
          <cell r="G1870">
            <v>0</v>
          </cell>
          <cell r="H1870">
            <v>0</v>
          </cell>
          <cell r="I1870" t="str">
            <v>Others</v>
          </cell>
          <cell r="J1870">
            <v>3</v>
          </cell>
          <cell r="K1870" t="str">
            <v>Others</v>
          </cell>
        </row>
        <row r="1871">
          <cell r="D1871">
            <v>340700</v>
          </cell>
          <cell r="E1871" t="str">
            <v>Modelling pastes; preparations known as dental wax, put up in sets, in packings for retail sale or in plates, horseshoe shapes, sticks or similar forms, other preparations for use in dentistry</v>
          </cell>
          <cell r="F1871" t="str">
            <v>Consumables</v>
          </cell>
          <cell r="G1871">
            <v>0</v>
          </cell>
          <cell r="H1871">
            <v>0</v>
          </cell>
          <cell r="I1871" t="str">
            <v>Others</v>
          </cell>
          <cell r="J1871">
            <v>2</v>
          </cell>
          <cell r="K1871" t="str">
            <v>Consumables - rc</v>
          </cell>
        </row>
        <row r="1872">
          <cell r="D1872">
            <v>350110</v>
          </cell>
          <cell r="E1872" t="str">
            <v>Casein</v>
          </cell>
          <cell r="F1872">
            <v>0</v>
          </cell>
          <cell r="G1872">
            <v>0</v>
          </cell>
          <cell r="H1872">
            <v>0</v>
          </cell>
          <cell r="I1872" t="str">
            <v>Others</v>
          </cell>
          <cell r="J1872">
            <v>3</v>
          </cell>
          <cell r="K1872" t="str">
            <v>Others</v>
          </cell>
        </row>
        <row r="1873">
          <cell r="D1873">
            <v>350190</v>
          </cell>
          <cell r="E1873" t="str">
            <v>Caseinates and other casein derivatives; casein glues</v>
          </cell>
          <cell r="F1873">
            <v>0</v>
          </cell>
          <cell r="G1873">
            <v>0</v>
          </cell>
          <cell r="H1873">
            <v>0</v>
          </cell>
          <cell r="I1873" t="str">
            <v>Others</v>
          </cell>
          <cell r="J1873">
            <v>3</v>
          </cell>
          <cell r="K1873" t="str">
            <v>Others</v>
          </cell>
        </row>
        <row r="1874">
          <cell r="D1874">
            <v>350211</v>
          </cell>
          <cell r="E1874" t="str">
            <v>Albumins; egg albumin, dried</v>
          </cell>
          <cell r="F1874">
            <v>0</v>
          </cell>
          <cell r="G1874">
            <v>0</v>
          </cell>
          <cell r="H1874">
            <v>0</v>
          </cell>
          <cell r="I1874" t="str">
            <v>Others</v>
          </cell>
          <cell r="J1874">
            <v>3</v>
          </cell>
          <cell r="K1874" t="str">
            <v>Others</v>
          </cell>
        </row>
        <row r="1875">
          <cell r="D1875">
            <v>350219</v>
          </cell>
          <cell r="E1875" t="str">
            <v>Albumins; egg albumin, not dried</v>
          </cell>
          <cell r="F1875">
            <v>0</v>
          </cell>
          <cell r="G1875">
            <v>0</v>
          </cell>
          <cell r="H1875">
            <v>0</v>
          </cell>
          <cell r="I1875" t="str">
            <v>Others</v>
          </cell>
          <cell r="J1875">
            <v>3</v>
          </cell>
          <cell r="K1875" t="str">
            <v>Others</v>
          </cell>
        </row>
        <row r="1876">
          <cell r="D1876">
            <v>350220</v>
          </cell>
          <cell r="E1876" t="str">
            <v>Albumins; milk albumin, including concentrates of two or more whey proteins</v>
          </cell>
          <cell r="F1876">
            <v>0</v>
          </cell>
          <cell r="G1876">
            <v>0</v>
          </cell>
          <cell r="H1876">
            <v>0</v>
          </cell>
          <cell r="I1876" t="str">
            <v>Others</v>
          </cell>
          <cell r="J1876">
            <v>3</v>
          </cell>
          <cell r="K1876" t="str">
            <v>Others</v>
          </cell>
        </row>
        <row r="1877">
          <cell r="D1877">
            <v>350290</v>
          </cell>
          <cell r="E1877" t="str">
            <v>Albumins, albuminates and other albumin derivatives; other than egg or milk albumin, including concentrates of two or more whey proteins</v>
          </cell>
          <cell r="F1877">
            <v>0</v>
          </cell>
          <cell r="G1877">
            <v>0</v>
          </cell>
          <cell r="H1877">
            <v>0</v>
          </cell>
          <cell r="I1877" t="str">
            <v>Others</v>
          </cell>
          <cell r="J1877">
            <v>3</v>
          </cell>
          <cell r="K1877" t="str">
            <v>Others</v>
          </cell>
        </row>
        <row r="1878">
          <cell r="D1878">
            <v>350300</v>
          </cell>
          <cell r="E1878" t="str">
            <v>Gelatin (including gelatin in rectangular sheets, whether or not surface-worked or coloured) and gelatin derivatives; isinglass; other glues of animal origin, excluding casein glues of heading no. 3501</v>
          </cell>
          <cell r="F1878">
            <v>0</v>
          </cell>
          <cell r="G1878">
            <v>0</v>
          </cell>
          <cell r="H1878">
            <v>0</v>
          </cell>
          <cell r="I1878" t="str">
            <v>Others</v>
          </cell>
          <cell r="J1878">
            <v>3</v>
          </cell>
          <cell r="K1878" t="str">
            <v>Others</v>
          </cell>
        </row>
        <row r="1879">
          <cell r="D1879">
            <v>350400</v>
          </cell>
          <cell r="E1879" t="str">
            <v>Peptones and their derivatives; other protein substances and their derivatives n.e.c. or included, hide powder, whether or not chromed</v>
          </cell>
          <cell r="F1879">
            <v>0</v>
          </cell>
          <cell r="G1879">
            <v>0</v>
          </cell>
          <cell r="H1879">
            <v>0</v>
          </cell>
          <cell r="I1879" t="str">
            <v>Others</v>
          </cell>
          <cell r="J1879">
            <v>3</v>
          </cell>
          <cell r="K1879" t="str">
            <v>Others</v>
          </cell>
        </row>
        <row r="1880">
          <cell r="D1880">
            <v>350510</v>
          </cell>
          <cell r="E1880" t="str">
            <v>Dextrins and other modified starches</v>
          </cell>
          <cell r="F1880">
            <v>0</v>
          </cell>
          <cell r="G1880">
            <v>0</v>
          </cell>
          <cell r="H1880">
            <v>0</v>
          </cell>
          <cell r="I1880" t="str">
            <v>Others</v>
          </cell>
          <cell r="J1880">
            <v>3</v>
          </cell>
          <cell r="K1880" t="str">
            <v>Others</v>
          </cell>
        </row>
        <row r="1881">
          <cell r="D1881">
            <v>350520</v>
          </cell>
          <cell r="E1881" t="str">
            <v>Glues; based on starches, or on dextrins or other modified starches</v>
          </cell>
          <cell r="F1881">
            <v>0</v>
          </cell>
          <cell r="G1881">
            <v>0</v>
          </cell>
          <cell r="H1881">
            <v>0</v>
          </cell>
          <cell r="I1881" t="str">
            <v>Others</v>
          </cell>
          <cell r="J1881">
            <v>3</v>
          </cell>
          <cell r="K1881" t="str">
            <v>Others</v>
          </cell>
        </row>
        <row r="1882">
          <cell r="D1882">
            <v>350610</v>
          </cell>
          <cell r="E1882" t="str">
            <v>Glues or adhesives; prepared, products suitable for use as glues or adhesives, put up for retail sale as glues or adhesives, not exceeding a net weight of 1kg</v>
          </cell>
          <cell r="F1882" t="str">
            <v>Consumables</v>
          </cell>
          <cell r="G1882">
            <v>0</v>
          </cell>
          <cell r="H1882">
            <v>0</v>
          </cell>
          <cell r="I1882" t="str">
            <v>Others</v>
          </cell>
          <cell r="J1882">
            <v>2</v>
          </cell>
          <cell r="K1882" t="str">
            <v>Others</v>
          </cell>
        </row>
        <row r="1883">
          <cell r="D1883">
            <v>350691</v>
          </cell>
          <cell r="E1883" t="str">
            <v>Adhesives; prepared, based on polymers of heading 3901 to 3913 or on rubber</v>
          </cell>
          <cell r="F1883" t="str">
            <v>Consumables</v>
          </cell>
          <cell r="G1883">
            <v>0</v>
          </cell>
          <cell r="H1883">
            <v>0</v>
          </cell>
          <cell r="I1883" t="str">
            <v>Others</v>
          </cell>
          <cell r="J1883">
            <v>2</v>
          </cell>
          <cell r="K1883" t="str">
            <v>Consumables</v>
          </cell>
        </row>
        <row r="1884">
          <cell r="D1884">
            <v>350699</v>
          </cell>
          <cell r="E1884" t="str">
            <v>Glues and other adhesives; prepared, n.e.c. in heading no. 3506, not exceeding a net weight of 1kg</v>
          </cell>
          <cell r="F1884" t="str">
            <v>Consumables</v>
          </cell>
          <cell r="G1884">
            <v>0</v>
          </cell>
          <cell r="H1884">
            <v>0</v>
          </cell>
          <cell r="I1884" t="str">
            <v>Others</v>
          </cell>
          <cell r="J1884">
            <v>2</v>
          </cell>
          <cell r="K1884" t="str">
            <v>Consumables - rc</v>
          </cell>
        </row>
        <row r="1885">
          <cell r="D1885">
            <v>350710</v>
          </cell>
          <cell r="E1885" t="str">
            <v>Enzymes; rennet and concentrates thereof</v>
          </cell>
          <cell r="F1885">
            <v>0</v>
          </cell>
          <cell r="G1885">
            <v>0</v>
          </cell>
          <cell r="H1885">
            <v>0</v>
          </cell>
          <cell r="I1885" t="str">
            <v>Others</v>
          </cell>
          <cell r="J1885">
            <v>3</v>
          </cell>
          <cell r="K1885" t="str">
            <v>Others</v>
          </cell>
        </row>
        <row r="1886">
          <cell r="D1886">
            <v>350790</v>
          </cell>
          <cell r="E1886" t="str">
            <v>Enzymes and prepared enzymes; other than rennet and concentrates thereof</v>
          </cell>
          <cell r="F1886">
            <v>0</v>
          </cell>
          <cell r="G1886">
            <v>0</v>
          </cell>
          <cell r="H1886">
            <v>0</v>
          </cell>
          <cell r="I1886" t="str">
            <v>Others</v>
          </cell>
          <cell r="J1886">
            <v>3</v>
          </cell>
          <cell r="K1886" t="str">
            <v>Others</v>
          </cell>
        </row>
        <row r="1887">
          <cell r="D1887">
            <v>360100</v>
          </cell>
          <cell r="E1887" t="str">
            <v>Explosives; propellent powders</v>
          </cell>
          <cell r="F1887">
            <v>0</v>
          </cell>
          <cell r="G1887">
            <v>0</v>
          </cell>
          <cell r="H1887">
            <v>0</v>
          </cell>
          <cell r="I1887" t="str">
            <v>Others</v>
          </cell>
          <cell r="J1887">
            <v>3</v>
          </cell>
          <cell r="K1887" t="str">
            <v>Others</v>
          </cell>
        </row>
        <row r="1888">
          <cell r="D1888">
            <v>360200</v>
          </cell>
          <cell r="E1888" t="str">
            <v>Explosives, prepared; other than propellent powders</v>
          </cell>
          <cell r="F1888">
            <v>0</v>
          </cell>
          <cell r="G1888">
            <v>0</v>
          </cell>
          <cell r="H1888">
            <v>0</v>
          </cell>
          <cell r="I1888" t="str">
            <v>Others</v>
          </cell>
          <cell r="J1888">
            <v>3</v>
          </cell>
          <cell r="K1888" t="str">
            <v>Others</v>
          </cell>
        </row>
        <row r="1889">
          <cell r="D1889">
            <v>360310</v>
          </cell>
          <cell r="E1889" t="str">
            <v>Safety fuses</v>
          </cell>
          <cell r="F1889">
            <v>0</v>
          </cell>
          <cell r="G1889">
            <v>0</v>
          </cell>
          <cell r="H1889">
            <v>0</v>
          </cell>
          <cell r="I1889" t="str">
            <v>Others</v>
          </cell>
          <cell r="J1889">
            <v>3</v>
          </cell>
          <cell r="K1889" t="str">
            <v>Others</v>
          </cell>
        </row>
        <row r="1890">
          <cell r="D1890">
            <v>360320</v>
          </cell>
          <cell r="E1890" t="str">
            <v>Detonating cords</v>
          </cell>
          <cell r="F1890">
            <v>0</v>
          </cell>
          <cell r="G1890">
            <v>0</v>
          </cell>
          <cell r="H1890">
            <v>0</v>
          </cell>
          <cell r="I1890" t="str">
            <v>Others</v>
          </cell>
          <cell r="J1890">
            <v>3</v>
          </cell>
          <cell r="K1890" t="str">
            <v>Others</v>
          </cell>
        </row>
        <row r="1891">
          <cell r="D1891">
            <v>360330</v>
          </cell>
          <cell r="E1891" t="str">
            <v>Percussion caps</v>
          </cell>
          <cell r="F1891">
            <v>0</v>
          </cell>
          <cell r="G1891">
            <v>0</v>
          </cell>
          <cell r="H1891">
            <v>0</v>
          </cell>
          <cell r="I1891" t="str">
            <v>Others</v>
          </cell>
          <cell r="J1891">
            <v>3</v>
          </cell>
          <cell r="K1891" t="str">
            <v>Others</v>
          </cell>
        </row>
        <row r="1892">
          <cell r="D1892">
            <v>360340</v>
          </cell>
          <cell r="E1892" t="str">
            <v>Detonating caps</v>
          </cell>
          <cell r="F1892">
            <v>0</v>
          </cell>
          <cell r="G1892">
            <v>0</v>
          </cell>
          <cell r="H1892">
            <v>0</v>
          </cell>
          <cell r="I1892" t="str">
            <v>Others</v>
          </cell>
          <cell r="J1892">
            <v>3</v>
          </cell>
          <cell r="K1892" t="str">
            <v>Others</v>
          </cell>
        </row>
        <row r="1893">
          <cell r="D1893">
            <v>360350</v>
          </cell>
          <cell r="E1893" t="str">
            <v>Igniters</v>
          </cell>
          <cell r="F1893">
            <v>0</v>
          </cell>
          <cell r="G1893">
            <v>0</v>
          </cell>
          <cell r="H1893">
            <v>0</v>
          </cell>
          <cell r="I1893" t="str">
            <v>Others</v>
          </cell>
          <cell r="J1893">
            <v>3</v>
          </cell>
          <cell r="K1893" t="str">
            <v>Others</v>
          </cell>
        </row>
        <row r="1894">
          <cell r="D1894">
            <v>360360</v>
          </cell>
          <cell r="E1894" t="str">
            <v>Electric detonators</v>
          </cell>
          <cell r="F1894">
            <v>0</v>
          </cell>
          <cell r="G1894">
            <v>0</v>
          </cell>
          <cell r="H1894">
            <v>0</v>
          </cell>
          <cell r="I1894" t="str">
            <v>Others</v>
          </cell>
          <cell r="J1894">
            <v>3</v>
          </cell>
          <cell r="K1894" t="str">
            <v>Others</v>
          </cell>
        </row>
        <row r="1895">
          <cell r="D1895">
            <v>360410</v>
          </cell>
          <cell r="E1895" t="str">
            <v>Pyrotechnic products; fireworks</v>
          </cell>
          <cell r="F1895">
            <v>0</v>
          </cell>
          <cell r="G1895">
            <v>0</v>
          </cell>
          <cell r="H1895">
            <v>0</v>
          </cell>
          <cell r="I1895" t="str">
            <v>Others</v>
          </cell>
          <cell r="J1895">
            <v>3</v>
          </cell>
          <cell r="K1895" t="str">
            <v>Others</v>
          </cell>
        </row>
        <row r="1896">
          <cell r="D1896">
            <v>360490</v>
          </cell>
          <cell r="E1896" t="str">
            <v>Pyrotechnic products; signalling flares, rain rockets, fog signals and other pyrotechnic articles (excluding fireworks)</v>
          </cell>
          <cell r="F1896">
            <v>0</v>
          </cell>
          <cell r="G1896">
            <v>0</v>
          </cell>
          <cell r="H1896">
            <v>0</v>
          </cell>
          <cell r="I1896" t="str">
            <v>Others</v>
          </cell>
          <cell r="J1896">
            <v>3</v>
          </cell>
          <cell r="K1896" t="str">
            <v>Others</v>
          </cell>
        </row>
        <row r="1897">
          <cell r="D1897">
            <v>360500</v>
          </cell>
          <cell r="E1897" t="str">
            <v>Matches; other than pyrotechnic articles of heading no. 3604</v>
          </cell>
          <cell r="F1897">
            <v>0</v>
          </cell>
          <cell r="G1897">
            <v>0</v>
          </cell>
          <cell r="H1897">
            <v>0</v>
          </cell>
          <cell r="I1897" t="str">
            <v>Others</v>
          </cell>
          <cell r="J1897">
            <v>3</v>
          </cell>
          <cell r="K1897" t="str">
            <v>Others</v>
          </cell>
        </row>
        <row r="1898">
          <cell r="D1898">
            <v>360610</v>
          </cell>
          <cell r="E1898" t="str">
            <v>Fuels; liquid or liquefied-gas, in containers, of a kind used for filling or refilling cigarette or similar lighters and of a capacity not exceeding 300cm3</v>
          </cell>
          <cell r="F1898">
            <v>0</v>
          </cell>
          <cell r="G1898">
            <v>0</v>
          </cell>
          <cell r="H1898">
            <v>0</v>
          </cell>
          <cell r="I1898" t="str">
            <v>Others</v>
          </cell>
          <cell r="J1898">
            <v>3</v>
          </cell>
          <cell r="K1898" t="str">
            <v>Others</v>
          </cell>
        </row>
        <row r="1899">
          <cell r="D1899">
            <v>360690</v>
          </cell>
          <cell r="E1899" t="str">
            <v>Ferro-cerium and other pyrophoric alloys in all forms; articles of combustible materials n.e.c. in chapter 36</v>
          </cell>
          <cell r="F1899">
            <v>0</v>
          </cell>
          <cell r="G1899">
            <v>0</v>
          </cell>
          <cell r="H1899">
            <v>0</v>
          </cell>
          <cell r="I1899" t="str">
            <v>Others</v>
          </cell>
          <cell r="J1899">
            <v>3</v>
          </cell>
          <cell r="K1899" t="str">
            <v>Others</v>
          </cell>
        </row>
        <row r="1900">
          <cell r="D1900">
            <v>370110</v>
          </cell>
          <cell r="E1900" t="str">
            <v>Photographic plates and film; for x-ray, in the flat, sensitised, unexposed, of any material other than paper, paperboard or textiles</v>
          </cell>
          <cell r="F1900">
            <v>0</v>
          </cell>
          <cell r="G1900">
            <v>0</v>
          </cell>
          <cell r="H1900">
            <v>0</v>
          </cell>
          <cell r="I1900" t="str">
            <v>Others</v>
          </cell>
          <cell r="J1900">
            <v>3</v>
          </cell>
          <cell r="K1900" t="str">
            <v>Others</v>
          </cell>
        </row>
        <row r="1901">
          <cell r="D1901">
            <v>370120</v>
          </cell>
          <cell r="E1901" t="str">
            <v>Photographic plates and film; instant print film, in the flat, sensitised, unexposed, whether or not in packs</v>
          </cell>
          <cell r="F1901" t="str">
            <v>Consumables</v>
          </cell>
          <cell r="G1901">
            <v>0</v>
          </cell>
          <cell r="H1901">
            <v>0</v>
          </cell>
          <cell r="I1901" t="str">
            <v>Others</v>
          </cell>
          <cell r="J1901">
            <v>2</v>
          </cell>
          <cell r="K1901" t="str">
            <v>Consumables - rc</v>
          </cell>
        </row>
        <row r="1902">
          <cell r="D1902">
            <v>370130</v>
          </cell>
          <cell r="E1902" t="str">
            <v>Photographic plates and film; in the flat, sensitised, unexposed, with any side exceeding 225mm, of any materials other than paper, paperboard or textiles</v>
          </cell>
          <cell r="F1902">
            <v>0</v>
          </cell>
          <cell r="G1902">
            <v>0</v>
          </cell>
          <cell r="H1902">
            <v>0</v>
          </cell>
          <cell r="I1902" t="str">
            <v>Others</v>
          </cell>
          <cell r="J1902">
            <v>3</v>
          </cell>
          <cell r="K1902" t="str">
            <v>Others</v>
          </cell>
        </row>
        <row r="1903">
          <cell r="D1903">
            <v>370191</v>
          </cell>
          <cell r="E1903" t="str">
            <v>Photographic plates and film; for colour photography (polychrome), in the flat, sensitised, unexposed, with no side exceeding 255mm, of any material other than paper, paperboard or textiles</v>
          </cell>
          <cell r="F1903">
            <v>0</v>
          </cell>
          <cell r="G1903">
            <v>0</v>
          </cell>
          <cell r="H1903">
            <v>0</v>
          </cell>
          <cell r="I1903" t="str">
            <v>Others</v>
          </cell>
          <cell r="J1903">
            <v>3</v>
          </cell>
          <cell r="K1903" t="str">
            <v>Others</v>
          </cell>
        </row>
        <row r="1904">
          <cell r="D1904">
            <v>370199</v>
          </cell>
          <cell r="E1904" t="str">
            <v>Photographic plates and film; (for other than colour photography), in the flat, sensitised, unexposed, with no side exceeding 255mm, of any material other than paper, paperboard or textiles</v>
          </cell>
          <cell r="F1904">
            <v>0</v>
          </cell>
          <cell r="G1904">
            <v>0</v>
          </cell>
          <cell r="H1904">
            <v>0</v>
          </cell>
          <cell r="I1904" t="str">
            <v>Others</v>
          </cell>
          <cell r="J1904">
            <v>3</v>
          </cell>
          <cell r="K1904" t="str">
            <v>Others</v>
          </cell>
        </row>
        <row r="1905">
          <cell r="D1905">
            <v>370210</v>
          </cell>
          <cell r="E1905" t="str">
            <v>Photographic film; for x-rays, in rolls, sensitised and unexposed (other than of paper, paperboard or textiles)</v>
          </cell>
          <cell r="F1905">
            <v>0</v>
          </cell>
          <cell r="G1905">
            <v>0</v>
          </cell>
          <cell r="H1905">
            <v>0</v>
          </cell>
          <cell r="I1905" t="str">
            <v>Others</v>
          </cell>
          <cell r="J1905">
            <v>3</v>
          </cell>
          <cell r="K1905" t="str">
            <v>Others</v>
          </cell>
        </row>
        <row r="1906">
          <cell r="D1906">
            <v>370231</v>
          </cell>
          <cell r="E1906" t="str">
            <v>Photographic film; for colour photography (polychrome), in rolls, sensitised, unexposed, without sprocket holes, of a width not exceeding 105mm (other than of paper, paperboard or textiles)</v>
          </cell>
          <cell r="F1906">
            <v>0</v>
          </cell>
          <cell r="G1906">
            <v>0</v>
          </cell>
          <cell r="H1906">
            <v>0</v>
          </cell>
          <cell r="I1906" t="str">
            <v>Others</v>
          </cell>
          <cell r="J1906">
            <v>3</v>
          </cell>
          <cell r="K1906" t="str">
            <v>Others</v>
          </cell>
        </row>
        <row r="1907">
          <cell r="D1907">
            <v>370232</v>
          </cell>
          <cell r="E1907" t="str">
            <v>Photographic film; in rolls, with silver halide emulsion, sensitised, unexposed, without sprocket holes, of a width not exceeding 105mm (other than of paper, paperboard or textiles)</v>
          </cell>
          <cell r="F1907">
            <v>0</v>
          </cell>
          <cell r="G1907">
            <v>0</v>
          </cell>
          <cell r="H1907">
            <v>0</v>
          </cell>
          <cell r="I1907" t="str">
            <v>Others</v>
          </cell>
          <cell r="J1907">
            <v>3</v>
          </cell>
          <cell r="K1907" t="str">
            <v>Others</v>
          </cell>
        </row>
        <row r="1908">
          <cell r="D1908">
            <v>370239</v>
          </cell>
          <cell r="E1908" t="str">
            <v>Photographic film; in rolls, (other than with silver halide emulsion and for colour photography), sensitised, unexposed, without sprocket holes, of a width not exceeding 105mm (other than of paper, paperboard or textiles)</v>
          </cell>
          <cell r="F1908">
            <v>0</v>
          </cell>
          <cell r="G1908">
            <v>0</v>
          </cell>
          <cell r="H1908">
            <v>0</v>
          </cell>
          <cell r="I1908" t="str">
            <v>Others</v>
          </cell>
          <cell r="J1908">
            <v>3</v>
          </cell>
          <cell r="K1908" t="str">
            <v>Others</v>
          </cell>
        </row>
        <row r="1909">
          <cell r="D1909">
            <v>370241</v>
          </cell>
          <cell r="E1909" t="str">
            <v>Photographic film; for colour photography (polychrome), in rolls, sensitised, unexposed, without sprocket holes, of a width exceeding 610mm and of a length exceeding 200m (other than of paper, paperboard or textiles)</v>
          </cell>
          <cell r="F1909">
            <v>0</v>
          </cell>
          <cell r="G1909">
            <v>0</v>
          </cell>
          <cell r="H1909">
            <v>0</v>
          </cell>
          <cell r="I1909" t="str">
            <v>Others</v>
          </cell>
          <cell r="J1909">
            <v>3</v>
          </cell>
          <cell r="K1909" t="str">
            <v>Others</v>
          </cell>
        </row>
        <row r="1910">
          <cell r="D1910">
            <v>370242</v>
          </cell>
          <cell r="E1910" t="str">
            <v>Photographic film; in rolls, (other than for colour photography), sensitised, unexposed, without sprocket holes, of a width exceeding 610mm and of a length exceeding 200m (other than of paper, paperboard or textiles)</v>
          </cell>
          <cell r="F1910">
            <v>0</v>
          </cell>
          <cell r="G1910">
            <v>0</v>
          </cell>
          <cell r="H1910">
            <v>0</v>
          </cell>
          <cell r="I1910" t="str">
            <v>Others</v>
          </cell>
          <cell r="J1910">
            <v>3</v>
          </cell>
          <cell r="K1910" t="str">
            <v>Others</v>
          </cell>
        </row>
        <row r="1911">
          <cell r="D1911">
            <v>370243</v>
          </cell>
          <cell r="E1911" t="str">
            <v>Photographic film; in rolls, sensitised, unexposed, without sprocket holes, of a width exceeding 610mm and of a length not exceeding 200m (other than of paper, paperboard or textiles)</v>
          </cell>
          <cell r="F1911" t="str">
            <v>Consumables</v>
          </cell>
          <cell r="G1911">
            <v>0</v>
          </cell>
          <cell r="H1911">
            <v>0</v>
          </cell>
          <cell r="I1911" t="str">
            <v>Others</v>
          </cell>
          <cell r="J1911">
            <v>2</v>
          </cell>
          <cell r="K1911" t="str">
            <v>Consumables - rc</v>
          </cell>
        </row>
        <row r="1912">
          <cell r="D1912">
            <v>370244</v>
          </cell>
          <cell r="E1912" t="str">
            <v>Photographic film; in rolls, sensitised, unexposed, without sprocket holes, of a width exceeding 105mm but not exceeding 610mm (other than of paper, paperboard or textiles)</v>
          </cell>
          <cell r="F1912">
            <v>0</v>
          </cell>
          <cell r="G1912">
            <v>0</v>
          </cell>
          <cell r="H1912">
            <v>0</v>
          </cell>
          <cell r="I1912" t="str">
            <v>Others</v>
          </cell>
          <cell r="J1912">
            <v>3</v>
          </cell>
          <cell r="K1912" t="str">
            <v>Others</v>
          </cell>
        </row>
        <row r="1913">
          <cell r="D1913">
            <v>370252</v>
          </cell>
          <cell r="E1913" t="str">
            <v>Photographic film; for colour photography (polychrome), in rolls, sensitised, unexposed, of a width not exceeding 16mm (other than of paper, paperboard or textiles)</v>
          </cell>
          <cell r="F1913">
            <v>0</v>
          </cell>
          <cell r="G1913">
            <v>0</v>
          </cell>
          <cell r="H1913">
            <v>0</v>
          </cell>
          <cell r="I1913" t="str">
            <v>Others</v>
          </cell>
          <cell r="J1913">
            <v>3</v>
          </cell>
          <cell r="K1913" t="str">
            <v>Others</v>
          </cell>
        </row>
        <row r="1914">
          <cell r="D1914">
            <v>370253</v>
          </cell>
          <cell r="E1914" t="str">
            <v>Photographic film; for colour photography (polychrome) slides, in rolls, sensitised, unexposed, of a width exceeding 16mm but not exceeding 35mm and of a length not exceeding 30m (other than of paper, paperboard or textiles)</v>
          </cell>
          <cell r="F1914">
            <v>0</v>
          </cell>
          <cell r="G1914">
            <v>0</v>
          </cell>
          <cell r="H1914">
            <v>0</v>
          </cell>
          <cell r="I1914" t="str">
            <v>Others</v>
          </cell>
          <cell r="J1914">
            <v>3</v>
          </cell>
          <cell r="K1914" t="str">
            <v>Others</v>
          </cell>
        </row>
        <row r="1915">
          <cell r="D1915">
            <v>370254</v>
          </cell>
          <cell r="E1915" t="str">
            <v>Photographic film; for colour photography (polychrome), in rolls, sensitised, unexposed, of a width exceeding 16mm but not 35mm and of a length not exceeding 30m, excluding film for slides (other than of paper, paperboard or textiles)</v>
          </cell>
          <cell r="F1915">
            <v>0</v>
          </cell>
          <cell r="G1915">
            <v>0</v>
          </cell>
          <cell r="H1915">
            <v>0</v>
          </cell>
          <cell r="I1915" t="str">
            <v>Others</v>
          </cell>
          <cell r="J1915">
            <v>3</v>
          </cell>
          <cell r="K1915" t="str">
            <v>Others</v>
          </cell>
        </row>
        <row r="1916">
          <cell r="D1916">
            <v>370255</v>
          </cell>
          <cell r="E1916" t="str">
            <v>Photographic film; for colour photography (polychrome), in rolls, sensitised, unexposed, of a width exceeding 16mm but not 35mm and of a length exceeding 30m (other than of paper, paperboard or textiles)</v>
          </cell>
          <cell r="F1916">
            <v>0</v>
          </cell>
          <cell r="G1916">
            <v>0</v>
          </cell>
          <cell r="H1916">
            <v>0</v>
          </cell>
          <cell r="I1916" t="str">
            <v>Others</v>
          </cell>
          <cell r="J1916">
            <v>3</v>
          </cell>
          <cell r="K1916" t="str">
            <v>Others</v>
          </cell>
        </row>
        <row r="1917">
          <cell r="D1917">
            <v>370256</v>
          </cell>
          <cell r="E1917" t="str">
            <v>Photographic film; for colour photography (polychrome), in rolls, sensitised, unexposed, of a width exceeding 35mm (other than of paper, paperboard or textiles)</v>
          </cell>
          <cell r="F1917">
            <v>0</v>
          </cell>
          <cell r="G1917">
            <v>0</v>
          </cell>
          <cell r="H1917">
            <v>0</v>
          </cell>
          <cell r="I1917" t="str">
            <v>Others</v>
          </cell>
          <cell r="J1917">
            <v>3</v>
          </cell>
          <cell r="K1917" t="str">
            <v>Others</v>
          </cell>
        </row>
        <row r="1918">
          <cell r="D1918">
            <v>370296</v>
          </cell>
          <cell r="E1918" t="str">
            <v>Photographic film; other than for colour photography, in rolls, sensitised, unexposed, of a width not exceeding 35mm and of a length not exceeding 30m (other than of paper, paperboard or textiles)</v>
          </cell>
          <cell r="F1918">
            <v>0</v>
          </cell>
          <cell r="G1918">
            <v>0</v>
          </cell>
          <cell r="H1918">
            <v>0</v>
          </cell>
          <cell r="I1918" t="str">
            <v>Others</v>
          </cell>
          <cell r="J1918">
            <v>3</v>
          </cell>
          <cell r="K1918" t="str">
            <v>Others</v>
          </cell>
        </row>
        <row r="1919">
          <cell r="D1919">
            <v>370297</v>
          </cell>
          <cell r="E1919" t="str">
            <v>Photographic film; other than for colour photography, in rolls, sensitised, unexposed, of a width not exceeding 35mm and of a length exceeding 30m (other than paper, paperboard or textiles)</v>
          </cell>
          <cell r="F1919">
            <v>0</v>
          </cell>
          <cell r="G1919">
            <v>0</v>
          </cell>
          <cell r="H1919">
            <v>0</v>
          </cell>
          <cell r="I1919" t="str">
            <v>Others</v>
          </cell>
          <cell r="J1919">
            <v>3</v>
          </cell>
          <cell r="K1919" t="str">
            <v>Others</v>
          </cell>
        </row>
        <row r="1920">
          <cell r="D1920">
            <v>370298</v>
          </cell>
          <cell r="E1920" t="str">
            <v>Photographic film; other than for colour photography, in rolls, sensitised, unexposed, of a width exceeding 35mm (other than of paper, paperboard or textiles)</v>
          </cell>
          <cell r="F1920">
            <v>0</v>
          </cell>
          <cell r="G1920">
            <v>0</v>
          </cell>
          <cell r="H1920">
            <v>0</v>
          </cell>
          <cell r="I1920" t="str">
            <v>Others</v>
          </cell>
          <cell r="J1920">
            <v>3</v>
          </cell>
          <cell r="K1920" t="str">
            <v>Others</v>
          </cell>
        </row>
        <row r="1921">
          <cell r="D1921">
            <v>370310</v>
          </cell>
          <cell r="E1921" t="str">
            <v>Photographic paper, paperboard and textiles; in rolls, sensitised, unexposed, of a width exceeding 610mm</v>
          </cell>
          <cell r="F1921" t="str">
            <v>Consumables</v>
          </cell>
          <cell r="G1921">
            <v>0</v>
          </cell>
          <cell r="H1921">
            <v>0</v>
          </cell>
          <cell r="I1921" t="str">
            <v>Others</v>
          </cell>
          <cell r="J1921">
            <v>2</v>
          </cell>
          <cell r="K1921" t="str">
            <v>Consumables - rc</v>
          </cell>
        </row>
        <row r="1922">
          <cell r="D1922">
            <v>370320</v>
          </cell>
          <cell r="E1922" t="str">
            <v>Photographic paper, paperboard and textiles; for colour photography (polychrome), (other than in rolls of a width exceeding 610mm), sensitised, unexposed</v>
          </cell>
          <cell r="F1922" t="str">
            <v>Consumables</v>
          </cell>
          <cell r="G1922">
            <v>0</v>
          </cell>
          <cell r="H1922">
            <v>0</v>
          </cell>
          <cell r="I1922" t="str">
            <v>Others</v>
          </cell>
          <cell r="J1922">
            <v>2</v>
          </cell>
          <cell r="K1922" t="str">
            <v>Consumables - rc</v>
          </cell>
        </row>
        <row r="1923">
          <cell r="D1923">
            <v>370390</v>
          </cell>
          <cell r="E1923" t="str">
            <v>Photographic paper, paperboard and textiles; (for other than colour photography, other than in rolls of a width exceeding 610mm), sensitised, unexposed</v>
          </cell>
          <cell r="F1923" t="str">
            <v>Consumables</v>
          </cell>
          <cell r="G1923">
            <v>0</v>
          </cell>
          <cell r="H1923">
            <v>0</v>
          </cell>
          <cell r="I1923" t="str">
            <v>Others</v>
          </cell>
          <cell r="J1923">
            <v>2</v>
          </cell>
          <cell r="K1923" t="str">
            <v>Consumables - rc</v>
          </cell>
        </row>
        <row r="1924">
          <cell r="D1924">
            <v>370400</v>
          </cell>
          <cell r="E1924" t="str">
            <v>Photographic plates, film, paper, paperboard and textiles; exposed but not developed</v>
          </cell>
          <cell r="F1924">
            <v>0</v>
          </cell>
          <cell r="G1924">
            <v>0</v>
          </cell>
          <cell r="H1924">
            <v>0</v>
          </cell>
          <cell r="I1924" t="str">
            <v>Others</v>
          </cell>
          <cell r="J1924">
            <v>3</v>
          </cell>
          <cell r="K1924" t="str">
            <v>Others</v>
          </cell>
        </row>
        <row r="1925">
          <cell r="D1925">
            <v>370500</v>
          </cell>
          <cell r="E1925" t="str">
            <v>Photographic plates and film; exposed and developed, other than cinematographic film</v>
          </cell>
          <cell r="F1925" t="str">
            <v>Consumables</v>
          </cell>
          <cell r="G1925">
            <v>0</v>
          </cell>
          <cell r="H1925">
            <v>0</v>
          </cell>
          <cell r="I1925" t="str">
            <v>Others</v>
          </cell>
          <cell r="J1925">
            <v>2</v>
          </cell>
          <cell r="K1925" t="str">
            <v>Consumables - rc</v>
          </cell>
        </row>
        <row r="1926">
          <cell r="D1926">
            <v>370610</v>
          </cell>
          <cell r="E1926" t="str">
            <v>Cinematographic film; exposed and developed, whether or not incorporating sound track or consisting only of sound track, of a width of 35cm or more</v>
          </cell>
          <cell r="F1926">
            <v>0</v>
          </cell>
          <cell r="G1926">
            <v>0</v>
          </cell>
          <cell r="H1926">
            <v>0</v>
          </cell>
          <cell r="I1926" t="str">
            <v>Others</v>
          </cell>
          <cell r="J1926">
            <v>3</v>
          </cell>
          <cell r="K1926" t="str">
            <v>Others</v>
          </cell>
        </row>
        <row r="1927">
          <cell r="D1927">
            <v>370690</v>
          </cell>
          <cell r="E1927" t="str">
            <v>Cinematographic film; exposed and developed, whether or not incorporating a sound track or consisting only of sound track, of a width less than 35mm</v>
          </cell>
          <cell r="F1927">
            <v>0</v>
          </cell>
          <cell r="G1927">
            <v>0</v>
          </cell>
          <cell r="H1927">
            <v>0</v>
          </cell>
          <cell r="I1927" t="str">
            <v>Others</v>
          </cell>
          <cell r="J1927">
            <v>3</v>
          </cell>
          <cell r="K1927" t="str">
            <v>Others</v>
          </cell>
        </row>
        <row r="1928">
          <cell r="D1928">
            <v>370710</v>
          </cell>
          <cell r="E1928" t="str">
            <v>Photographic goods; sensitised emulsions, put up in measured portions or put up for retail sale in a form ready for use</v>
          </cell>
          <cell r="F1928">
            <v>0</v>
          </cell>
          <cell r="G1928">
            <v>0</v>
          </cell>
          <cell r="H1928">
            <v>0</v>
          </cell>
          <cell r="I1928" t="str">
            <v>Others</v>
          </cell>
          <cell r="J1928">
            <v>3</v>
          </cell>
          <cell r="K1928" t="str">
            <v>Others</v>
          </cell>
        </row>
        <row r="1929">
          <cell r="D1929">
            <v>370790</v>
          </cell>
          <cell r="E1929" t="str">
            <v>Photographic goods; chemical preparations other than sensitised emulsions, put up in measured portions or put up for retail sale in a form ready for use</v>
          </cell>
          <cell r="F1929">
            <v>0</v>
          </cell>
          <cell r="G1929">
            <v>0</v>
          </cell>
          <cell r="H1929">
            <v>0</v>
          </cell>
          <cell r="I1929" t="str">
            <v>Others</v>
          </cell>
          <cell r="J1929">
            <v>3</v>
          </cell>
          <cell r="K1929" t="str">
            <v>Others</v>
          </cell>
        </row>
        <row r="1930">
          <cell r="D1930">
            <v>380110</v>
          </cell>
          <cell r="E1930" t="str">
            <v>Graphite; artificial</v>
          </cell>
          <cell r="F1930">
            <v>0</v>
          </cell>
          <cell r="G1930">
            <v>0</v>
          </cell>
          <cell r="H1930">
            <v>0</v>
          </cell>
          <cell r="I1930" t="str">
            <v>Others</v>
          </cell>
          <cell r="J1930">
            <v>3</v>
          </cell>
          <cell r="K1930" t="str">
            <v>Others</v>
          </cell>
        </row>
        <row r="1931">
          <cell r="D1931">
            <v>380120</v>
          </cell>
          <cell r="E1931" t="str">
            <v>Graphite; colloidal or semi-colloidal</v>
          </cell>
          <cell r="F1931">
            <v>0</v>
          </cell>
          <cell r="G1931">
            <v>0</v>
          </cell>
          <cell r="H1931">
            <v>0</v>
          </cell>
          <cell r="I1931" t="str">
            <v>Others</v>
          </cell>
          <cell r="J1931">
            <v>3</v>
          </cell>
          <cell r="K1931" t="str">
            <v>Others</v>
          </cell>
        </row>
        <row r="1932">
          <cell r="D1932">
            <v>380130</v>
          </cell>
          <cell r="E1932" t="str">
            <v>Carbonaceous pastes; for electrodes and similar pastes for furnace linings</v>
          </cell>
          <cell r="F1932">
            <v>0</v>
          </cell>
          <cell r="G1932">
            <v>0</v>
          </cell>
          <cell r="H1932">
            <v>0</v>
          </cell>
          <cell r="I1932" t="str">
            <v>Others</v>
          </cell>
          <cell r="J1932">
            <v>3</v>
          </cell>
          <cell r="K1932" t="str">
            <v>Others</v>
          </cell>
        </row>
        <row r="1933">
          <cell r="D1933">
            <v>380190</v>
          </cell>
          <cell r="E1933" t="str">
            <v>Graphite or other carbon based preparations; in the form of pastes, blocks, plates or other semi-manufactures</v>
          </cell>
          <cell r="F1933" t="str">
            <v>Capital Goods</v>
          </cell>
          <cell r="G1933">
            <v>0</v>
          </cell>
          <cell r="H1933">
            <v>0</v>
          </cell>
          <cell r="I1933" t="str">
            <v>Others</v>
          </cell>
          <cell r="J1933">
            <v>2</v>
          </cell>
          <cell r="K1933" t="str">
            <v>Others</v>
          </cell>
        </row>
        <row r="1934">
          <cell r="D1934">
            <v>380210</v>
          </cell>
          <cell r="E1934" t="str">
            <v>Carbon; activated</v>
          </cell>
          <cell r="F1934">
            <v>0</v>
          </cell>
          <cell r="G1934">
            <v>0</v>
          </cell>
          <cell r="H1934">
            <v>0</v>
          </cell>
          <cell r="I1934" t="str">
            <v>Others</v>
          </cell>
          <cell r="J1934">
            <v>3</v>
          </cell>
          <cell r="K1934" t="str">
            <v>Others</v>
          </cell>
        </row>
        <row r="1935">
          <cell r="D1935">
            <v>380290</v>
          </cell>
          <cell r="E1935" t="str">
            <v>Chemical products; activated natural mineral products, animal black, including spent animal black</v>
          </cell>
          <cell r="F1935">
            <v>0</v>
          </cell>
          <cell r="G1935">
            <v>0</v>
          </cell>
          <cell r="H1935">
            <v>0</v>
          </cell>
          <cell r="I1935" t="str">
            <v>Others</v>
          </cell>
          <cell r="J1935">
            <v>3</v>
          </cell>
          <cell r="K1935" t="str">
            <v>Others</v>
          </cell>
        </row>
        <row r="1936">
          <cell r="D1936">
            <v>380300</v>
          </cell>
          <cell r="E1936" t="str">
            <v>Chemical products; tall oil, whether or not refined</v>
          </cell>
          <cell r="F1936">
            <v>0</v>
          </cell>
          <cell r="G1936">
            <v>0</v>
          </cell>
          <cell r="H1936">
            <v>0</v>
          </cell>
          <cell r="I1936" t="str">
            <v>Others</v>
          </cell>
          <cell r="J1936">
            <v>3</v>
          </cell>
          <cell r="K1936" t="str">
            <v>Others</v>
          </cell>
        </row>
        <row r="1937">
          <cell r="D1937">
            <v>380400</v>
          </cell>
          <cell r="E1937" t="str">
            <v>Lyes, residual; from the manufacture of wood pulp, whether or not concentrated, desugared or chemically treated, including lignin sulphonates but excluding tall oil of heading no. 3803</v>
          </cell>
          <cell r="F1937">
            <v>0</v>
          </cell>
          <cell r="G1937">
            <v>0</v>
          </cell>
          <cell r="H1937">
            <v>0</v>
          </cell>
          <cell r="I1937" t="str">
            <v>Others</v>
          </cell>
          <cell r="J1937">
            <v>3</v>
          </cell>
          <cell r="K1937" t="str">
            <v>Others</v>
          </cell>
        </row>
        <row r="1938">
          <cell r="D1938">
            <v>380510</v>
          </cell>
          <cell r="E1938" t="str">
            <v>Terpenic oils; gum, wood or sulphate turpentine oils</v>
          </cell>
          <cell r="F1938">
            <v>0</v>
          </cell>
          <cell r="G1938">
            <v>0</v>
          </cell>
          <cell r="H1938">
            <v>0</v>
          </cell>
          <cell r="I1938" t="str">
            <v>Others</v>
          </cell>
          <cell r="J1938">
            <v>3</v>
          </cell>
          <cell r="K1938" t="str">
            <v>Others</v>
          </cell>
        </row>
        <row r="1939">
          <cell r="D1939">
            <v>380590</v>
          </cell>
          <cell r="E1939" t="str">
            <v>Terpenic oils; produced by the treatment of coniferous woods, crude dipentene, sulphite turpentine and other crude para-cymene, n.e.c. in heading no. 3805</v>
          </cell>
          <cell r="F1939">
            <v>0</v>
          </cell>
          <cell r="G1939">
            <v>0</v>
          </cell>
          <cell r="H1939">
            <v>0</v>
          </cell>
          <cell r="I1939" t="str">
            <v>Others</v>
          </cell>
          <cell r="J1939">
            <v>3</v>
          </cell>
          <cell r="K1939" t="str">
            <v>Others</v>
          </cell>
        </row>
        <row r="1940">
          <cell r="D1940">
            <v>380610</v>
          </cell>
          <cell r="E1940" t="str">
            <v>Rosin and resin acids</v>
          </cell>
          <cell r="F1940">
            <v>0</v>
          </cell>
          <cell r="G1940">
            <v>0</v>
          </cell>
          <cell r="H1940">
            <v>0</v>
          </cell>
          <cell r="I1940" t="str">
            <v>Others</v>
          </cell>
          <cell r="J1940">
            <v>3</v>
          </cell>
          <cell r="K1940" t="str">
            <v>Others</v>
          </cell>
        </row>
        <row r="1941">
          <cell r="D1941">
            <v>380620</v>
          </cell>
          <cell r="E1941" t="str">
            <v>Rosin and resin; salts of rosin, of resin acids or of derivatives of rosin or resin acids, other than salts of rosin adducts</v>
          </cell>
          <cell r="F1941">
            <v>0</v>
          </cell>
          <cell r="G1941">
            <v>0</v>
          </cell>
          <cell r="H1941">
            <v>0</v>
          </cell>
          <cell r="I1941" t="str">
            <v>Others</v>
          </cell>
          <cell r="J1941">
            <v>3</v>
          </cell>
          <cell r="K1941" t="str">
            <v>Others</v>
          </cell>
        </row>
        <row r="1942">
          <cell r="D1942">
            <v>380630</v>
          </cell>
          <cell r="E1942" t="str">
            <v>Ester gums</v>
          </cell>
          <cell r="F1942">
            <v>0</v>
          </cell>
          <cell r="G1942">
            <v>0</v>
          </cell>
          <cell r="H1942">
            <v>0</v>
          </cell>
          <cell r="I1942" t="str">
            <v>Others</v>
          </cell>
          <cell r="J1942">
            <v>3</v>
          </cell>
          <cell r="K1942" t="str">
            <v>Others</v>
          </cell>
        </row>
        <row r="1943">
          <cell r="D1943">
            <v>380690</v>
          </cell>
          <cell r="E1943" t="str">
            <v>Rosin; spirit and oils, n.e.c. in heading no. 3806</v>
          </cell>
          <cell r="F1943">
            <v>0</v>
          </cell>
          <cell r="G1943">
            <v>0</v>
          </cell>
          <cell r="H1943">
            <v>0</v>
          </cell>
          <cell r="I1943" t="str">
            <v>Others</v>
          </cell>
          <cell r="J1943">
            <v>3</v>
          </cell>
          <cell r="K1943" t="str">
            <v>Others</v>
          </cell>
        </row>
        <row r="1944">
          <cell r="D1944">
            <v>380700</v>
          </cell>
          <cell r="E1944" t="str">
            <v>Wood tar; wood tar oils; wood creosote; wood naphtha; vegetable pitch; brewers' pitch and similar preparations based on rosin, resin acids or on vegetable pitch</v>
          </cell>
          <cell r="F1944">
            <v>0</v>
          </cell>
          <cell r="G1944">
            <v>0</v>
          </cell>
          <cell r="H1944">
            <v>0</v>
          </cell>
          <cell r="I1944" t="str">
            <v>Others</v>
          </cell>
          <cell r="J1944">
            <v>3</v>
          </cell>
          <cell r="K1944" t="str">
            <v>Others</v>
          </cell>
        </row>
        <row r="1945">
          <cell r="D1945">
            <v>380852</v>
          </cell>
          <cell r="E1945" t="str">
            <v>Insecticides and the like; containing goods specified in Subheading Note 1 to this Chapter; for retail sale or as preparations or articles; DDT (ISO) (clofenotane (INN)), in packings of 300g or less</v>
          </cell>
          <cell r="F1945">
            <v>0</v>
          </cell>
          <cell r="G1945">
            <v>0</v>
          </cell>
          <cell r="H1945">
            <v>0</v>
          </cell>
          <cell r="I1945" t="str">
            <v>Others</v>
          </cell>
          <cell r="J1945">
            <v>3</v>
          </cell>
          <cell r="K1945" t="str">
            <v>Others</v>
          </cell>
        </row>
        <row r="1946">
          <cell r="D1946">
            <v>380859</v>
          </cell>
          <cell r="E1946" t="str">
            <v>Insecticides, rodenticides, fungicides, disinfectants, herbicides and the like; containing goods specified in Subheading Note 1 to this Chapter; not DDT (ISO) (clofenotane (INN)), put up in forms or packings for retail sale or as preparations or articles</v>
          </cell>
          <cell r="F1946">
            <v>0</v>
          </cell>
          <cell r="G1946">
            <v>0</v>
          </cell>
          <cell r="H1946">
            <v>0</v>
          </cell>
          <cell r="I1946" t="str">
            <v>Others</v>
          </cell>
          <cell r="J1946">
            <v>3</v>
          </cell>
          <cell r="K1946" t="str">
            <v>Others</v>
          </cell>
        </row>
        <row r="1947">
          <cell r="D1947">
            <v>380861</v>
          </cell>
          <cell r="E1947" t="str">
            <v>Insecticides and the like; containing goods specified in Subheading Note 2 to this Chapter; in packings of a net weight content not exceeding 300g; for retail sale or as preparations or articles</v>
          </cell>
          <cell r="F1947">
            <v>0</v>
          </cell>
          <cell r="G1947">
            <v>0</v>
          </cell>
          <cell r="H1947">
            <v>0</v>
          </cell>
          <cell r="I1947" t="str">
            <v>Others</v>
          </cell>
          <cell r="J1947">
            <v>3</v>
          </cell>
          <cell r="K1947" t="str">
            <v>Others</v>
          </cell>
        </row>
        <row r="1948">
          <cell r="D1948">
            <v>380862</v>
          </cell>
          <cell r="E1948" t="str">
            <v>Insecticides; containing goods specified in Subheading Note 2 to this Chapter; put up in forms or packings for retail sale or as preparations or articles, in packings of a net weight content exceeding 300g but not exceeding 7.5kg</v>
          </cell>
          <cell r="F1948">
            <v>0</v>
          </cell>
          <cell r="G1948">
            <v>0</v>
          </cell>
          <cell r="H1948">
            <v>0</v>
          </cell>
          <cell r="I1948" t="str">
            <v>Others</v>
          </cell>
          <cell r="J1948">
            <v>3</v>
          </cell>
          <cell r="K1948" t="str">
            <v>Others</v>
          </cell>
        </row>
        <row r="1949">
          <cell r="D1949">
            <v>380869</v>
          </cell>
          <cell r="E1949" t="str">
            <v>Insecticides; containing goods named in Subheading Note 2 to this Chapter, put up in forms or packings for retail sale or as preparations or articles, in packings of a net weight content exceeding 7.5kg</v>
          </cell>
          <cell r="F1949">
            <v>0</v>
          </cell>
          <cell r="G1949">
            <v>0</v>
          </cell>
          <cell r="H1949">
            <v>0</v>
          </cell>
          <cell r="I1949" t="str">
            <v>Others</v>
          </cell>
          <cell r="J1949">
            <v>3</v>
          </cell>
          <cell r="K1949" t="str">
            <v>Others</v>
          </cell>
        </row>
        <row r="1950">
          <cell r="D1950">
            <v>380891</v>
          </cell>
          <cell r="E1950" t="str">
            <v>Insecticides; other than containing goods specified in Subheading Notes 1 &amp; 2 to this Chapter; put up in forms or packings for retail sale or as preparations or articles</v>
          </cell>
          <cell r="F1950">
            <v>0</v>
          </cell>
          <cell r="G1950">
            <v>0</v>
          </cell>
          <cell r="H1950">
            <v>0</v>
          </cell>
          <cell r="I1950" t="str">
            <v>Others</v>
          </cell>
          <cell r="J1950">
            <v>3</v>
          </cell>
          <cell r="K1950" t="str">
            <v>Others</v>
          </cell>
        </row>
        <row r="1951">
          <cell r="D1951">
            <v>380892</v>
          </cell>
          <cell r="E1951" t="str">
            <v>Fungicides; other than containing goods specified in Subheading Note 1 to this Chapter; put up in forms or packings for retail sale or as preparations or articles</v>
          </cell>
          <cell r="F1951">
            <v>0</v>
          </cell>
          <cell r="G1951">
            <v>0</v>
          </cell>
          <cell r="H1951">
            <v>0</v>
          </cell>
          <cell r="I1951" t="str">
            <v>Others</v>
          </cell>
          <cell r="J1951">
            <v>3</v>
          </cell>
          <cell r="K1951" t="str">
            <v>Others</v>
          </cell>
        </row>
        <row r="1952">
          <cell r="D1952">
            <v>380893</v>
          </cell>
          <cell r="E1952" t="str">
            <v>Herbicides, anti-sprouting products and plant-growth regulators; other than containing goods of Subheading Note 1 to this Chapter; put up in forms or packings for retail sale or as preparations or articles</v>
          </cell>
          <cell r="F1952">
            <v>0</v>
          </cell>
          <cell r="G1952">
            <v>0</v>
          </cell>
          <cell r="H1952">
            <v>0</v>
          </cell>
          <cell r="I1952" t="str">
            <v>Others</v>
          </cell>
          <cell r="J1952">
            <v>3</v>
          </cell>
          <cell r="K1952" t="str">
            <v>Others</v>
          </cell>
        </row>
        <row r="1953">
          <cell r="D1953">
            <v>380894</v>
          </cell>
          <cell r="E1953" t="str">
            <v>Disinfectants; other than containing goods specified in Subheading Note 1 in this Chapter; put up in forms or packings for retail sale or as preparations or articles</v>
          </cell>
          <cell r="F1953">
            <v>0</v>
          </cell>
          <cell r="G1953">
            <v>0</v>
          </cell>
          <cell r="H1953">
            <v>0</v>
          </cell>
          <cell r="I1953" t="str">
            <v>Others</v>
          </cell>
          <cell r="J1953">
            <v>3</v>
          </cell>
          <cell r="K1953" t="str">
            <v>Others</v>
          </cell>
        </row>
        <row r="1954">
          <cell r="D1954">
            <v>380899</v>
          </cell>
          <cell r="E1954" t="str">
            <v>Rodenticides and other similar products n.e.c. in heading no. 3808.9; other than containing goods specified in Subheading Note 1 in this Chapter, put up in forms or packings for retail sale or as preparations or articles</v>
          </cell>
          <cell r="F1954">
            <v>0</v>
          </cell>
          <cell r="G1954">
            <v>0</v>
          </cell>
          <cell r="H1954">
            <v>0</v>
          </cell>
          <cell r="I1954" t="str">
            <v>Others</v>
          </cell>
          <cell r="J1954">
            <v>3</v>
          </cell>
          <cell r="K1954" t="str">
            <v>Others</v>
          </cell>
        </row>
        <row r="1955">
          <cell r="D1955">
            <v>380910</v>
          </cell>
          <cell r="E1955" t="str">
            <v>Finishing agents and dye carriers; to accelerate dyeing or fixing of dye-stuffs, other products and preparations, used in textile, paper, leather etc industries, with basis of amylaceous substances, n.e.c.</v>
          </cell>
          <cell r="F1955">
            <v>0</v>
          </cell>
          <cell r="G1955">
            <v>0</v>
          </cell>
          <cell r="H1955">
            <v>0</v>
          </cell>
          <cell r="I1955" t="str">
            <v>Others</v>
          </cell>
          <cell r="J1955">
            <v>3</v>
          </cell>
          <cell r="K1955" t="str">
            <v>Others</v>
          </cell>
        </row>
        <row r="1956">
          <cell r="D1956">
            <v>380991</v>
          </cell>
          <cell r="E1956" t="str">
            <v>Finishing agents and dye carriers; to accelerate dyeing or fixing of dye-stuffs, other products and preparations, used in the textile industry (excluding those with a basis of amylaceous substances)</v>
          </cell>
          <cell r="F1956">
            <v>0</v>
          </cell>
          <cell r="G1956">
            <v>0</v>
          </cell>
          <cell r="H1956">
            <v>0</v>
          </cell>
          <cell r="I1956" t="str">
            <v>Others</v>
          </cell>
          <cell r="J1956">
            <v>3</v>
          </cell>
          <cell r="K1956" t="str">
            <v>Others</v>
          </cell>
        </row>
        <row r="1957">
          <cell r="D1957">
            <v>380992</v>
          </cell>
          <cell r="E1957" t="str">
            <v>Finishing agents and dye carriers; to accelerate dyeing or fixing of dye-stuffs, other products and preparations, used in the paper industry (excluding those with a basis of amylaceous substances)</v>
          </cell>
          <cell r="F1957">
            <v>0</v>
          </cell>
          <cell r="G1957">
            <v>0</v>
          </cell>
          <cell r="H1957">
            <v>0</v>
          </cell>
          <cell r="I1957" t="str">
            <v>Others</v>
          </cell>
          <cell r="J1957">
            <v>3</v>
          </cell>
          <cell r="K1957" t="str">
            <v>Others</v>
          </cell>
        </row>
        <row r="1958">
          <cell r="D1958">
            <v>380993</v>
          </cell>
          <cell r="E1958" t="str">
            <v>Finishing agents and dye carriers; to accelerate dyeing or fixing of dye-stuffs, other products and preparations, used in the leather or like (excluding paper and textile) industries, (excluding those with a basis of amylaceous substances)</v>
          </cell>
          <cell r="F1958">
            <v>0</v>
          </cell>
          <cell r="G1958">
            <v>0</v>
          </cell>
          <cell r="H1958">
            <v>0</v>
          </cell>
          <cell r="I1958" t="str">
            <v>Others</v>
          </cell>
          <cell r="J1958">
            <v>3</v>
          </cell>
          <cell r="K1958" t="str">
            <v>Others</v>
          </cell>
        </row>
        <row r="1959">
          <cell r="D1959">
            <v>381010</v>
          </cell>
          <cell r="E1959" t="str">
            <v>Pickling preparations for metal surfaces; soldering, brazing or welding powders and pastes consisting of metal and other materials</v>
          </cell>
          <cell r="F1959" t="str">
            <v>Consumables</v>
          </cell>
          <cell r="G1959">
            <v>0</v>
          </cell>
          <cell r="H1959">
            <v>0</v>
          </cell>
          <cell r="I1959" t="str">
            <v>Others</v>
          </cell>
          <cell r="J1959">
            <v>2</v>
          </cell>
          <cell r="K1959" t="str">
            <v>Consumables</v>
          </cell>
        </row>
        <row r="1960">
          <cell r="D1960">
            <v>381090</v>
          </cell>
          <cell r="E1960" t="str">
            <v>Fluxes and other auxiliary preparations; for soldering, brazing or welding, or preparations used as cores or coatings for welding electrodes or rods</v>
          </cell>
          <cell r="F1960" t="str">
            <v>Consumables</v>
          </cell>
          <cell r="G1960">
            <v>0</v>
          </cell>
          <cell r="H1960">
            <v>0</v>
          </cell>
          <cell r="I1960" t="str">
            <v>Others</v>
          </cell>
          <cell r="J1960">
            <v>2</v>
          </cell>
          <cell r="K1960" t="str">
            <v>Consumables</v>
          </cell>
        </row>
        <row r="1961">
          <cell r="D1961">
            <v>381111</v>
          </cell>
          <cell r="E1961" t="str">
            <v>Anti-knock preparations; based on lead compounds</v>
          </cell>
          <cell r="F1961">
            <v>0</v>
          </cell>
          <cell r="G1961">
            <v>0</v>
          </cell>
          <cell r="H1961">
            <v>0</v>
          </cell>
          <cell r="I1961" t="str">
            <v>Others</v>
          </cell>
          <cell r="J1961">
            <v>3</v>
          </cell>
          <cell r="K1961" t="str">
            <v>Others</v>
          </cell>
        </row>
        <row r="1962">
          <cell r="D1962">
            <v>381119</v>
          </cell>
          <cell r="E1962" t="str">
            <v>Anti-knock preparations; other than those based on lead compounds</v>
          </cell>
          <cell r="F1962">
            <v>0</v>
          </cell>
          <cell r="G1962">
            <v>0</v>
          </cell>
          <cell r="H1962">
            <v>0</v>
          </cell>
          <cell r="I1962" t="str">
            <v>Others</v>
          </cell>
          <cell r="J1962">
            <v>3</v>
          </cell>
          <cell r="K1962" t="str">
            <v>Others</v>
          </cell>
        </row>
        <row r="1963">
          <cell r="D1963">
            <v>381121</v>
          </cell>
          <cell r="E1963" t="str">
            <v>Lubricating oil additives; containing petroleum oils or oils obtained from bituminous minerals</v>
          </cell>
          <cell r="F1963">
            <v>0</v>
          </cell>
          <cell r="G1963">
            <v>0</v>
          </cell>
          <cell r="H1963">
            <v>0</v>
          </cell>
          <cell r="I1963" t="str">
            <v>Others</v>
          </cell>
          <cell r="J1963">
            <v>3</v>
          </cell>
          <cell r="K1963" t="str">
            <v>Others</v>
          </cell>
        </row>
        <row r="1964">
          <cell r="D1964">
            <v>381129</v>
          </cell>
          <cell r="E1964" t="str">
            <v>Lubricating oil additives; not containing petroleum oils or oils obtained from bituminous minerals</v>
          </cell>
          <cell r="F1964">
            <v>0</v>
          </cell>
          <cell r="G1964">
            <v>0</v>
          </cell>
          <cell r="H1964">
            <v>0</v>
          </cell>
          <cell r="I1964" t="str">
            <v>Others</v>
          </cell>
          <cell r="J1964">
            <v>3</v>
          </cell>
          <cell r="K1964" t="str">
            <v>Others</v>
          </cell>
        </row>
        <row r="1965">
          <cell r="D1965">
            <v>381190</v>
          </cell>
          <cell r="E1965" t="str">
            <v>Oxidation and gum inhibitors, viscosity improvers, anti-corrosive preparations, other prepared additives for mineral oils or liquids used as mineral oils (including gasoline), n.e.c. in heading no. 3811</v>
          </cell>
          <cell r="F1965">
            <v>0</v>
          </cell>
          <cell r="G1965">
            <v>0</v>
          </cell>
          <cell r="H1965">
            <v>0</v>
          </cell>
          <cell r="I1965" t="str">
            <v>Others</v>
          </cell>
          <cell r="J1965">
            <v>3</v>
          </cell>
          <cell r="K1965" t="str">
            <v>Others</v>
          </cell>
        </row>
        <row r="1966">
          <cell r="D1966">
            <v>381210</v>
          </cell>
          <cell r="E1966" t="str">
            <v>Rubber accelerators; prepared</v>
          </cell>
          <cell r="F1966">
            <v>0</v>
          </cell>
          <cell r="G1966">
            <v>0</v>
          </cell>
          <cell r="H1966">
            <v>0</v>
          </cell>
          <cell r="I1966" t="str">
            <v>Others</v>
          </cell>
          <cell r="J1966">
            <v>3</v>
          </cell>
          <cell r="K1966" t="str">
            <v>Others</v>
          </cell>
        </row>
        <row r="1967">
          <cell r="D1967">
            <v>381220</v>
          </cell>
          <cell r="E1967" t="str">
            <v>Plasticisers, compound; for rubber or plastics</v>
          </cell>
          <cell r="F1967">
            <v>0</v>
          </cell>
          <cell r="G1967">
            <v>0</v>
          </cell>
          <cell r="H1967">
            <v>0</v>
          </cell>
          <cell r="I1967" t="str">
            <v>Others</v>
          </cell>
          <cell r="J1967">
            <v>3</v>
          </cell>
          <cell r="K1967" t="str">
            <v>Others</v>
          </cell>
        </row>
        <row r="1968">
          <cell r="D1968">
            <v>381231</v>
          </cell>
          <cell r="E1968" t="str">
            <v>Anti-oxidising preparations and other compound stabilisers; for rubber or plastics, mixtures of oligomers of 2,2,4-trimethyl-1,2-dihydroquinoline (TMQ)</v>
          </cell>
          <cell r="F1968">
            <v>0</v>
          </cell>
          <cell r="G1968">
            <v>0</v>
          </cell>
          <cell r="H1968">
            <v>0</v>
          </cell>
          <cell r="I1968" t="str">
            <v>Others</v>
          </cell>
          <cell r="J1968">
            <v>3</v>
          </cell>
          <cell r="K1968" t="str">
            <v>Others</v>
          </cell>
        </row>
        <row r="1969">
          <cell r="D1969">
            <v>381239</v>
          </cell>
          <cell r="E1969" t="str">
            <v>Anti-oxidising preparations and other compound stabilisers; for rubber or plastics, other than mixtures of oligomers of 2,2,4-trimethyl-1,2-dihydroquinoline (TMQ)</v>
          </cell>
          <cell r="F1969">
            <v>0</v>
          </cell>
          <cell r="G1969">
            <v>0</v>
          </cell>
          <cell r="H1969">
            <v>0</v>
          </cell>
          <cell r="I1969" t="str">
            <v>Others</v>
          </cell>
          <cell r="J1969">
            <v>3</v>
          </cell>
          <cell r="K1969" t="str">
            <v>Others</v>
          </cell>
        </row>
        <row r="1970">
          <cell r="D1970">
            <v>381300</v>
          </cell>
          <cell r="E1970" t="str">
            <v>Fire-extinguishers; preparations and charges and charged fire-extinguishing grenades</v>
          </cell>
          <cell r="F1970">
            <v>0</v>
          </cell>
          <cell r="G1970">
            <v>0</v>
          </cell>
          <cell r="H1970">
            <v>0</v>
          </cell>
          <cell r="I1970" t="str">
            <v>Others</v>
          </cell>
          <cell r="J1970">
            <v>3</v>
          </cell>
          <cell r="K1970" t="str">
            <v>Others</v>
          </cell>
        </row>
        <row r="1971">
          <cell r="D1971">
            <v>381400</v>
          </cell>
          <cell r="E1971" t="str">
            <v>Solvents and thinners; organic composite solvents and thinners, n.e.c. or included, prepared paint or varnish removers</v>
          </cell>
          <cell r="F1971" t="str">
            <v>Consumables</v>
          </cell>
          <cell r="G1971">
            <v>0</v>
          </cell>
          <cell r="H1971">
            <v>0</v>
          </cell>
          <cell r="I1971" t="str">
            <v>Others</v>
          </cell>
          <cell r="J1971">
            <v>2</v>
          </cell>
          <cell r="K1971" t="str">
            <v>Consumables</v>
          </cell>
        </row>
        <row r="1972">
          <cell r="D1972">
            <v>381511</v>
          </cell>
          <cell r="E1972" t="str">
            <v>Catalysts, supported; reaction initiators, reaction accelerators and catalytic preparations, with nickel or nickel compounds as the active substance, n.e.c. or included</v>
          </cell>
          <cell r="F1972">
            <v>0</v>
          </cell>
          <cell r="G1972">
            <v>0</v>
          </cell>
          <cell r="H1972">
            <v>0</v>
          </cell>
          <cell r="I1972" t="str">
            <v>Others</v>
          </cell>
          <cell r="J1972">
            <v>3</v>
          </cell>
          <cell r="K1972" t="str">
            <v>Others</v>
          </cell>
        </row>
        <row r="1973">
          <cell r="D1973">
            <v>381512</v>
          </cell>
          <cell r="E1973" t="str">
            <v>Catalysts, supported; reaction initiators, reaction accelerators and catalytic preparations, with precious metal or precious metal compounds as the active substance, n.e.c. or included</v>
          </cell>
          <cell r="F1973">
            <v>0</v>
          </cell>
          <cell r="G1973">
            <v>0</v>
          </cell>
          <cell r="H1973">
            <v>0</v>
          </cell>
          <cell r="I1973" t="str">
            <v>Others</v>
          </cell>
          <cell r="J1973">
            <v>3</v>
          </cell>
          <cell r="K1973" t="str">
            <v>Others</v>
          </cell>
        </row>
        <row r="1974">
          <cell r="D1974">
            <v>381519</v>
          </cell>
          <cell r="E1974" t="str">
            <v>Catalysts, supported; reaction initiators, reaction accelerators and catalytic preparations, with an active substance other than nickel or precious metals or their compounds, n.e.c. or included</v>
          </cell>
          <cell r="F1974" t="str">
            <v>Consumables</v>
          </cell>
          <cell r="G1974">
            <v>0</v>
          </cell>
          <cell r="H1974">
            <v>0</v>
          </cell>
          <cell r="I1974" t="str">
            <v>Others</v>
          </cell>
          <cell r="J1974">
            <v>2</v>
          </cell>
          <cell r="K1974" t="str">
            <v>Consumables</v>
          </cell>
        </row>
        <row r="1975">
          <cell r="D1975">
            <v>381590</v>
          </cell>
          <cell r="E1975" t="str">
            <v>Reaction initiators, reaction accelerators and catalytic preparations, unsupported, n.e.c. or included</v>
          </cell>
          <cell r="F1975">
            <v>0</v>
          </cell>
          <cell r="G1975">
            <v>0</v>
          </cell>
          <cell r="H1975">
            <v>0</v>
          </cell>
          <cell r="I1975" t="str">
            <v>Others</v>
          </cell>
          <cell r="J1975">
            <v>3</v>
          </cell>
          <cell r="K1975" t="str">
            <v>Others</v>
          </cell>
        </row>
        <row r="1976">
          <cell r="D1976">
            <v>381600</v>
          </cell>
          <cell r="E1976" t="str">
            <v>Refractory cements, mortars, concretes and similar compositions, including dolomite ramming mix, other than products of heading 38.01</v>
          </cell>
          <cell r="F1976">
            <v>0</v>
          </cell>
          <cell r="G1976">
            <v>0</v>
          </cell>
          <cell r="H1976">
            <v>0</v>
          </cell>
          <cell r="I1976" t="str">
            <v>Others</v>
          </cell>
          <cell r="J1976">
            <v>3</v>
          </cell>
          <cell r="K1976" t="str">
            <v>Others</v>
          </cell>
        </row>
        <row r="1977">
          <cell r="D1977">
            <v>381700</v>
          </cell>
          <cell r="E1977" t="str">
            <v>Mixed alkylbenzenes and mixed alkylnaphthalenes, other than those of heading no. 2707 or 2902</v>
          </cell>
          <cell r="F1977">
            <v>0</v>
          </cell>
          <cell r="G1977">
            <v>0</v>
          </cell>
          <cell r="H1977">
            <v>0</v>
          </cell>
          <cell r="I1977" t="str">
            <v>Others</v>
          </cell>
          <cell r="J1977">
            <v>3</v>
          </cell>
          <cell r="K1977" t="str">
            <v>Others</v>
          </cell>
        </row>
        <row r="1978">
          <cell r="D1978">
            <v>381800</v>
          </cell>
          <cell r="E1978" t="str">
            <v>Chemical elements; doped for use in electronics, in the form of discs, wafers or similar forms; chemical compounds doped for use in electronics</v>
          </cell>
          <cell r="F1978">
            <v>0</v>
          </cell>
          <cell r="G1978">
            <v>0</v>
          </cell>
          <cell r="H1978">
            <v>0</v>
          </cell>
          <cell r="I1978" t="str">
            <v>Others</v>
          </cell>
          <cell r="J1978">
            <v>3</v>
          </cell>
          <cell r="K1978" t="str">
            <v>Others</v>
          </cell>
        </row>
        <row r="1979">
          <cell r="D1979">
            <v>381900</v>
          </cell>
          <cell r="E1979" t="str">
            <v>Hydraulic fluids; for brakes and other prepared liquids for hydraulic transmission, not containing or containing less than 70% by weight of petroleum oils or oils obtained from bituminous minerals</v>
          </cell>
          <cell r="F1979">
            <v>0</v>
          </cell>
          <cell r="G1979">
            <v>0</v>
          </cell>
          <cell r="H1979">
            <v>0</v>
          </cell>
          <cell r="I1979" t="str">
            <v>Others</v>
          </cell>
          <cell r="J1979">
            <v>3</v>
          </cell>
          <cell r="K1979" t="str">
            <v>Others</v>
          </cell>
        </row>
        <row r="1980">
          <cell r="D1980">
            <v>382000</v>
          </cell>
          <cell r="E1980" t="str">
            <v>Anti-freezing preparations and prepared de-icing fluids</v>
          </cell>
          <cell r="F1980" t="str">
            <v>Consumables</v>
          </cell>
          <cell r="G1980">
            <v>0</v>
          </cell>
          <cell r="H1980">
            <v>0</v>
          </cell>
          <cell r="I1980" t="str">
            <v>Others</v>
          </cell>
          <cell r="J1980">
            <v>2</v>
          </cell>
          <cell r="K1980" t="str">
            <v>Consumables</v>
          </cell>
        </row>
        <row r="1981">
          <cell r="D1981">
            <v>382100</v>
          </cell>
          <cell r="E1981" t="str">
            <v>Prepared culture media for the development or maintenance of micro-organisms (including viruses and the like) or of plant, human or animal cells</v>
          </cell>
          <cell r="F1981">
            <v>0</v>
          </cell>
          <cell r="G1981">
            <v>0</v>
          </cell>
          <cell r="H1981">
            <v>0</v>
          </cell>
          <cell r="I1981" t="str">
            <v>Others</v>
          </cell>
          <cell r="J1981">
            <v>3</v>
          </cell>
          <cell r="K1981" t="str">
            <v>Others</v>
          </cell>
        </row>
        <row r="1982">
          <cell r="D1982">
            <v>382200</v>
          </cell>
          <cell r="E1982" t="e">
            <v>#VALUE!</v>
          </cell>
          <cell r="F1982" t="str">
            <v>Capital Goods</v>
          </cell>
          <cell r="G1982">
            <v>0</v>
          </cell>
          <cell r="H1982">
            <v>0</v>
          </cell>
          <cell r="I1982">
            <v>0</v>
          </cell>
          <cell r="J1982">
            <v>3</v>
          </cell>
          <cell r="K1982" t="str">
            <v>Capital Goods - rc</v>
          </cell>
        </row>
        <row r="1983">
          <cell r="D1983">
            <v>382211</v>
          </cell>
          <cell r="E1983" t="str">
            <v>Reagents; diagnostic or laboratory reagents on a backing, prepared diagnostic or laboratory reagents whether or not on a backing, whether or not put up in the form of kits; for malaria</v>
          </cell>
          <cell r="F1983">
            <v>0</v>
          </cell>
          <cell r="G1983">
            <v>0</v>
          </cell>
          <cell r="H1983">
            <v>0</v>
          </cell>
          <cell r="I1983" t="str">
            <v>Others</v>
          </cell>
          <cell r="J1983">
            <v>3</v>
          </cell>
          <cell r="K1983" t="str">
            <v>Others</v>
          </cell>
        </row>
        <row r="1984">
          <cell r="D1984">
            <v>382212</v>
          </cell>
          <cell r="E1984" t="str">
            <v>Reagents; diagnostic or laboratory reagents on a backing, prepared diagnostic or laboratory reagents whether or not on a backing, whether or not put up in the form of kits; for zika and other diseases transmitted by mosquitoes of the genus Aedes</v>
          </cell>
          <cell r="F1984">
            <v>0</v>
          </cell>
          <cell r="G1984">
            <v>0</v>
          </cell>
          <cell r="H1984">
            <v>0</v>
          </cell>
          <cell r="I1984" t="str">
            <v>Others</v>
          </cell>
          <cell r="J1984">
            <v>3</v>
          </cell>
          <cell r="K1984" t="str">
            <v>Others</v>
          </cell>
        </row>
        <row r="1985">
          <cell r="D1985">
            <v>382213</v>
          </cell>
          <cell r="E1985" t="str">
            <v>Reagents; diagnostic or laboratory reagents on a backing, prepared diagnostic or laboratory reagents whether or not on a backing, whether or not put up in the form of kits; for blood grouping</v>
          </cell>
          <cell r="F1985">
            <v>0</v>
          </cell>
          <cell r="G1985">
            <v>0</v>
          </cell>
          <cell r="H1985">
            <v>0</v>
          </cell>
          <cell r="I1985" t="str">
            <v>Others</v>
          </cell>
          <cell r="J1985">
            <v>3</v>
          </cell>
          <cell r="K1985" t="str">
            <v>Others</v>
          </cell>
        </row>
        <row r="1986">
          <cell r="D1986">
            <v>382219</v>
          </cell>
          <cell r="E1986" t="str">
            <v>Reagents; diagnostic or laboratory reagents on a backing, prepared diagnostic or laboratory reagents whether or not on a backing, whether or not put up in the form of kits; n.e.c.in item 3822.1</v>
          </cell>
          <cell r="F1986">
            <v>0</v>
          </cell>
          <cell r="G1986">
            <v>0</v>
          </cell>
          <cell r="H1986">
            <v>0</v>
          </cell>
          <cell r="I1986" t="str">
            <v>Others</v>
          </cell>
          <cell r="J1986">
            <v>3</v>
          </cell>
          <cell r="K1986" t="str">
            <v>Others</v>
          </cell>
        </row>
        <row r="1987">
          <cell r="D1987">
            <v>382290</v>
          </cell>
          <cell r="E1987" t="str">
            <v>Reagents; diagnostic or laboratory reagents on a backing, prepared diagnostic or laboratory reagents whether or not on a backing, or put up in the form of kits, other than those of heading 30.06; certified reference materials, n.e.c. in heading 3822</v>
          </cell>
          <cell r="F1987">
            <v>0</v>
          </cell>
          <cell r="G1987">
            <v>0</v>
          </cell>
          <cell r="H1987">
            <v>0</v>
          </cell>
          <cell r="I1987" t="str">
            <v>Others</v>
          </cell>
          <cell r="J1987">
            <v>3</v>
          </cell>
          <cell r="K1987" t="str">
            <v>Others</v>
          </cell>
        </row>
        <row r="1988">
          <cell r="D1988">
            <v>382311</v>
          </cell>
          <cell r="E1988" t="str">
            <v>Industrial monocarboxylic fatty acids, acid oils from refining; stearic acid</v>
          </cell>
          <cell r="F1988">
            <v>0</v>
          </cell>
          <cell r="G1988">
            <v>0</v>
          </cell>
          <cell r="H1988">
            <v>0</v>
          </cell>
          <cell r="I1988" t="str">
            <v>Others</v>
          </cell>
          <cell r="J1988">
            <v>3</v>
          </cell>
          <cell r="K1988" t="str">
            <v>Others</v>
          </cell>
        </row>
        <row r="1989">
          <cell r="D1989">
            <v>382312</v>
          </cell>
          <cell r="E1989" t="str">
            <v>Industrial monocarboxylic fatty acids, acid oils from refining; oleic acid</v>
          </cell>
          <cell r="F1989">
            <v>0</v>
          </cell>
          <cell r="G1989">
            <v>0</v>
          </cell>
          <cell r="H1989">
            <v>0</v>
          </cell>
          <cell r="I1989" t="str">
            <v>Others</v>
          </cell>
          <cell r="J1989">
            <v>3</v>
          </cell>
          <cell r="K1989" t="str">
            <v>Others</v>
          </cell>
        </row>
        <row r="1990">
          <cell r="D1990">
            <v>382313</v>
          </cell>
          <cell r="E1990" t="str">
            <v>Industrial monocarboxylic fatty acids, acid oils from refining; tall oil fatty acids</v>
          </cell>
          <cell r="F1990">
            <v>0</v>
          </cell>
          <cell r="G1990">
            <v>0</v>
          </cell>
          <cell r="H1990">
            <v>0</v>
          </cell>
          <cell r="I1990" t="str">
            <v>Others</v>
          </cell>
          <cell r="J1990">
            <v>3</v>
          </cell>
          <cell r="K1990" t="str">
            <v>Others</v>
          </cell>
        </row>
        <row r="1991">
          <cell r="D1991">
            <v>382319</v>
          </cell>
          <cell r="E1991" t="str">
            <v>Industrial monocarboxylic fatty acids; acid oils from refining; (other than stearic acid, oleic acid or tall oil fatty acids)</v>
          </cell>
          <cell r="F1991">
            <v>0</v>
          </cell>
          <cell r="G1991">
            <v>0</v>
          </cell>
          <cell r="H1991">
            <v>0</v>
          </cell>
          <cell r="I1991" t="str">
            <v>Others</v>
          </cell>
          <cell r="J1991">
            <v>3</v>
          </cell>
          <cell r="K1991" t="str">
            <v>Others</v>
          </cell>
        </row>
        <row r="1992">
          <cell r="D1992">
            <v>382370</v>
          </cell>
          <cell r="E1992" t="str">
            <v>Industrial fatty alcohols</v>
          </cell>
          <cell r="F1992">
            <v>0</v>
          </cell>
          <cell r="G1992">
            <v>0</v>
          </cell>
          <cell r="H1992">
            <v>0</v>
          </cell>
          <cell r="I1992" t="str">
            <v>Others</v>
          </cell>
          <cell r="J1992">
            <v>3</v>
          </cell>
          <cell r="K1992" t="str">
            <v>Others</v>
          </cell>
        </row>
        <row r="1993">
          <cell r="D1993">
            <v>382410</v>
          </cell>
          <cell r="E1993" t="str">
            <v>Binders, prepared; for foundry moulds or cores</v>
          </cell>
          <cell r="F1993">
            <v>0</v>
          </cell>
          <cell r="G1993">
            <v>0</v>
          </cell>
          <cell r="H1993">
            <v>0</v>
          </cell>
          <cell r="I1993" t="str">
            <v>Others</v>
          </cell>
          <cell r="J1993">
            <v>3</v>
          </cell>
          <cell r="K1993" t="str">
            <v>Parts &amp; Accessories - rc</v>
          </cell>
        </row>
        <row r="1994">
          <cell r="D1994">
            <v>382430</v>
          </cell>
          <cell r="E1994" t="str">
            <v>Metal carbides, non-agglomerated; mixed together or with metallic binders</v>
          </cell>
          <cell r="F1994">
            <v>0</v>
          </cell>
          <cell r="G1994">
            <v>0</v>
          </cell>
          <cell r="H1994">
            <v>0</v>
          </cell>
          <cell r="I1994" t="str">
            <v>Others</v>
          </cell>
          <cell r="J1994">
            <v>3</v>
          </cell>
          <cell r="K1994" t="str">
            <v>Others</v>
          </cell>
        </row>
        <row r="1995">
          <cell r="D1995">
            <v>382440</v>
          </cell>
          <cell r="E1995" t="str">
            <v>Cements, mortars or concretes; their prepared additives</v>
          </cell>
          <cell r="F1995" t="str">
            <v>Consumables</v>
          </cell>
          <cell r="G1995">
            <v>0</v>
          </cell>
          <cell r="H1995">
            <v>0</v>
          </cell>
          <cell r="I1995" t="str">
            <v>Others</v>
          </cell>
          <cell r="J1995">
            <v>2</v>
          </cell>
          <cell r="K1995" t="str">
            <v>Consumables - rc</v>
          </cell>
        </row>
        <row r="1996">
          <cell r="D1996">
            <v>382450</v>
          </cell>
          <cell r="E1996" t="str">
            <v>Mortars and concretes; non-refractory</v>
          </cell>
          <cell r="F1996">
            <v>0</v>
          </cell>
          <cell r="G1996">
            <v>0</v>
          </cell>
          <cell r="H1996">
            <v>0</v>
          </cell>
          <cell r="I1996" t="str">
            <v>Others</v>
          </cell>
          <cell r="J1996">
            <v>3</v>
          </cell>
          <cell r="K1996" t="str">
            <v>Others</v>
          </cell>
        </row>
        <row r="1997">
          <cell r="D1997">
            <v>382460</v>
          </cell>
          <cell r="E1997" t="str">
            <v>Sorbitol; other than that of subheading no. 2905.44</v>
          </cell>
          <cell r="F1997">
            <v>0</v>
          </cell>
          <cell r="G1997">
            <v>0</v>
          </cell>
          <cell r="H1997">
            <v>0</v>
          </cell>
          <cell r="I1997" t="str">
            <v>Others</v>
          </cell>
          <cell r="J1997">
            <v>3</v>
          </cell>
          <cell r="K1997" t="str">
            <v>Others</v>
          </cell>
        </row>
        <row r="1998">
          <cell r="D1998">
            <v>382481</v>
          </cell>
          <cell r="E1998" t="str">
            <v>Chemical products, mixtures and preparations; containing goods specified in Subheading Note 3 to this Chapter; containing oxirane (ethylene oxide)</v>
          </cell>
          <cell r="F1998">
            <v>0</v>
          </cell>
          <cell r="G1998">
            <v>0</v>
          </cell>
          <cell r="H1998">
            <v>0</v>
          </cell>
          <cell r="I1998" t="str">
            <v>Others</v>
          </cell>
          <cell r="J1998">
            <v>3</v>
          </cell>
          <cell r="K1998" t="str">
            <v>Others</v>
          </cell>
        </row>
        <row r="1999">
          <cell r="D1999">
            <v>382482</v>
          </cell>
          <cell r="E1999" t="str">
            <v>Chemical products, mixtures and preparations; containing goods specified in Subheading Note 3 to this Chapter; containing polychlorinated biphenyls (PCBs), polychlorinated terphenyls (PCTs) or polybrominated biphenyls (PBBs)</v>
          </cell>
          <cell r="F1999">
            <v>0</v>
          </cell>
          <cell r="G1999">
            <v>0</v>
          </cell>
          <cell r="H1999">
            <v>0</v>
          </cell>
          <cell r="I1999" t="str">
            <v>Others</v>
          </cell>
          <cell r="J1999">
            <v>3</v>
          </cell>
          <cell r="K1999" t="str">
            <v>Others</v>
          </cell>
        </row>
        <row r="2000">
          <cell r="D2000">
            <v>382483</v>
          </cell>
          <cell r="E2000" t="str">
            <v>Chemical products, mixtures and preparations; containing goods specified in Subheading Note 3 to this Chapter; containing tris(2,3-dibromopropyl) phosphate</v>
          </cell>
          <cell r="F2000">
            <v>0</v>
          </cell>
          <cell r="G2000">
            <v>0</v>
          </cell>
          <cell r="H2000">
            <v>0</v>
          </cell>
          <cell r="I2000" t="str">
            <v>Others</v>
          </cell>
          <cell r="J2000">
            <v>3</v>
          </cell>
          <cell r="K2000" t="str">
            <v>Others</v>
          </cell>
        </row>
        <row r="2001">
          <cell r="D2001">
            <v>382484</v>
          </cell>
          <cell r="E2001" t="str">
            <v>Chemical products, mixtures and preparations; containing aldrin, camphechlor (toxaphene), chlordane, chlordecone, DDT (chlorfenotane, 1,1,1-trichloro-2,2-bis(p-chlorophenyl)ethane), dieldrin, endosulfan, endrin, heptachlor or mirex</v>
          </cell>
          <cell r="F2001">
            <v>0</v>
          </cell>
          <cell r="G2001">
            <v>0</v>
          </cell>
          <cell r="H2001">
            <v>0</v>
          </cell>
          <cell r="I2001" t="str">
            <v>Others</v>
          </cell>
          <cell r="J2001">
            <v>3</v>
          </cell>
          <cell r="K2001" t="str">
            <v>Others</v>
          </cell>
        </row>
        <row r="2002">
          <cell r="D2002">
            <v>382485</v>
          </cell>
          <cell r="E2002" t="str">
            <v>Chemical products, mixtures and preparations; containing goods specified in Subheading Note 3 to this Chapter; containing 1,2,3,4,5,6-hexachlorocyclohexane (HCH (ISO)), including lindane (ISO, INN)</v>
          </cell>
          <cell r="F2002">
            <v>0</v>
          </cell>
          <cell r="G2002">
            <v>0</v>
          </cell>
          <cell r="H2002">
            <v>0</v>
          </cell>
          <cell r="I2002" t="str">
            <v>Others</v>
          </cell>
          <cell r="J2002">
            <v>3</v>
          </cell>
          <cell r="K2002" t="str">
            <v>Others</v>
          </cell>
        </row>
        <row r="2003">
          <cell r="D2003">
            <v>382486</v>
          </cell>
          <cell r="E2003" t="str">
            <v>Chemical products, mixtures and preparations; containing goods specified in Subheading Note 3 to this Chapter; containing pentachlorobenzene (ISO) or hexachlorobenzene (ISO)</v>
          </cell>
          <cell r="F2003">
            <v>0</v>
          </cell>
          <cell r="G2003">
            <v>0</v>
          </cell>
          <cell r="H2003">
            <v>0</v>
          </cell>
          <cell r="I2003" t="str">
            <v>Others</v>
          </cell>
          <cell r="J2003">
            <v>3</v>
          </cell>
          <cell r="K2003" t="str">
            <v>Others</v>
          </cell>
        </row>
        <row r="2004">
          <cell r="D2004">
            <v>382487</v>
          </cell>
          <cell r="E2004" t="str">
            <v>Chemical products, mixtures and preparations; containing goods specified in Subheading Note 3 to this Chapter; containing perfluorooctane sulphonic acid, its salts, perfluorooctane sulphonamides, or perfluorooctane sulphonyl fluoride</v>
          </cell>
          <cell r="F2004">
            <v>0</v>
          </cell>
          <cell r="G2004">
            <v>0</v>
          </cell>
          <cell r="H2004">
            <v>0</v>
          </cell>
          <cell r="I2004" t="str">
            <v>Others</v>
          </cell>
          <cell r="J2004">
            <v>3</v>
          </cell>
          <cell r="K2004" t="str">
            <v>Others</v>
          </cell>
        </row>
        <row r="2005">
          <cell r="D2005">
            <v>382488</v>
          </cell>
          <cell r="E2005" t="str">
            <v>Chemical products, mixtures and preparations; containing goods specified in Subheading Note 3 to this Chapter; containing tetra-, penta-, hexa-, hepta- or octabromodiphenyl ethers</v>
          </cell>
          <cell r="F2005">
            <v>0</v>
          </cell>
          <cell r="G2005">
            <v>0</v>
          </cell>
          <cell r="H2005">
            <v>0</v>
          </cell>
          <cell r="I2005" t="str">
            <v>Others</v>
          </cell>
          <cell r="J2005">
            <v>3</v>
          </cell>
          <cell r="K2005" t="str">
            <v>Others</v>
          </cell>
        </row>
        <row r="2006">
          <cell r="D2006">
            <v>382489</v>
          </cell>
          <cell r="E2006" t="str">
            <v>Chemical products, mixtures and preparations; containing goods specified in Subheading Note 3 to this Chapter; containing short-chain chlorinated paraffins</v>
          </cell>
          <cell r="F2006">
            <v>0</v>
          </cell>
          <cell r="G2006">
            <v>0</v>
          </cell>
          <cell r="H2006">
            <v>0</v>
          </cell>
          <cell r="I2006" t="str">
            <v>Others</v>
          </cell>
          <cell r="J2006">
            <v>3</v>
          </cell>
          <cell r="K2006" t="str">
            <v>Others</v>
          </cell>
        </row>
        <row r="2007">
          <cell r="D2007">
            <v>382491</v>
          </cell>
          <cell r="E2007" t="str">
            <v>Chemical products, mixtures and preparations; consisting mainly of (5-ethyl-2-methyl-2-oxido-1,3,2-dioxaphosphinan-5-yl)methyl methyl methylphosphonate and bis[(5-ethyl-2-methyl-2-oxido-1,3,2-dioxaphosphinan-5-yl)methyl] methylphosphonate</v>
          </cell>
          <cell r="F2007">
            <v>0</v>
          </cell>
          <cell r="G2007">
            <v>0</v>
          </cell>
          <cell r="H2007">
            <v>0</v>
          </cell>
          <cell r="I2007" t="str">
            <v>Others</v>
          </cell>
          <cell r="J2007">
            <v>3</v>
          </cell>
          <cell r="K2007" t="str">
            <v>Others</v>
          </cell>
        </row>
        <row r="2008">
          <cell r="D2008">
            <v>382492</v>
          </cell>
          <cell r="E2008" t="str">
            <v>Chemical products, mixtures and preparations; polyglycol esters of methylphosphonic acid</v>
          </cell>
          <cell r="F2008">
            <v>0</v>
          </cell>
          <cell r="G2008">
            <v>0</v>
          </cell>
          <cell r="H2008">
            <v>0</v>
          </cell>
          <cell r="I2008" t="str">
            <v>Others</v>
          </cell>
          <cell r="J2008">
            <v>3</v>
          </cell>
          <cell r="K2008" t="str">
            <v>Others</v>
          </cell>
        </row>
        <row r="2009">
          <cell r="D2009">
            <v>382499</v>
          </cell>
          <cell r="E2009" t="str">
            <v>Chemical products, mixtures and preparations; n.e.c. heading 3824</v>
          </cell>
          <cell r="F2009" t="str">
            <v>Consumables</v>
          </cell>
          <cell r="G2009">
            <v>0</v>
          </cell>
          <cell r="H2009">
            <v>0</v>
          </cell>
          <cell r="I2009" t="str">
            <v>Others</v>
          </cell>
          <cell r="J2009">
            <v>2</v>
          </cell>
          <cell r="K2009" t="str">
            <v>Consumables</v>
          </cell>
        </row>
        <row r="2010">
          <cell r="D2010">
            <v>382510</v>
          </cell>
          <cell r="E2010" t="str">
            <v>Residual products of the chemical or allied industries, not elsewhere specified or included; municipal waste</v>
          </cell>
          <cell r="F2010">
            <v>0</v>
          </cell>
          <cell r="G2010">
            <v>0</v>
          </cell>
          <cell r="H2010">
            <v>0</v>
          </cell>
          <cell r="I2010" t="str">
            <v>Others</v>
          </cell>
          <cell r="J2010">
            <v>3</v>
          </cell>
          <cell r="K2010" t="str">
            <v>Others</v>
          </cell>
        </row>
        <row r="2011">
          <cell r="D2011">
            <v>382520</v>
          </cell>
          <cell r="E2011" t="str">
            <v>Residual products of the chemical or allied industries, not elsewhere specified or included; sewage sludge</v>
          </cell>
          <cell r="F2011">
            <v>0</v>
          </cell>
          <cell r="G2011">
            <v>0</v>
          </cell>
          <cell r="H2011">
            <v>0</v>
          </cell>
          <cell r="I2011" t="str">
            <v>Others</v>
          </cell>
          <cell r="J2011">
            <v>3</v>
          </cell>
          <cell r="K2011" t="str">
            <v>Others</v>
          </cell>
        </row>
        <row r="2012">
          <cell r="D2012">
            <v>382530</v>
          </cell>
          <cell r="E2012" t="str">
            <v>Residual products of the chemical or allied industries, not elsewhere specified or included; clinical waste</v>
          </cell>
          <cell r="F2012">
            <v>0</v>
          </cell>
          <cell r="G2012">
            <v>0</v>
          </cell>
          <cell r="H2012">
            <v>0</v>
          </cell>
          <cell r="I2012" t="str">
            <v>Others</v>
          </cell>
          <cell r="J2012">
            <v>3</v>
          </cell>
          <cell r="K2012" t="str">
            <v>Others</v>
          </cell>
        </row>
        <row r="2013">
          <cell r="D2013">
            <v>382541</v>
          </cell>
          <cell r="E2013" t="str">
            <v>Residual products of the chemical or allied industries, not elsewhere specified or included; halogenated waste organic solvents</v>
          </cell>
          <cell r="F2013">
            <v>0</v>
          </cell>
          <cell r="G2013">
            <v>0</v>
          </cell>
          <cell r="H2013">
            <v>0</v>
          </cell>
          <cell r="I2013" t="str">
            <v>Others</v>
          </cell>
          <cell r="J2013">
            <v>3</v>
          </cell>
          <cell r="K2013" t="str">
            <v>Others</v>
          </cell>
        </row>
        <row r="2014">
          <cell r="D2014">
            <v>382549</v>
          </cell>
          <cell r="E2014" t="str">
            <v>Residual products of the chemical or allied industries, not elsewhere specified or included; waste organic solvents, other than halogenated</v>
          </cell>
          <cell r="F2014">
            <v>0</v>
          </cell>
          <cell r="G2014">
            <v>0</v>
          </cell>
          <cell r="H2014">
            <v>0</v>
          </cell>
          <cell r="I2014" t="str">
            <v>Others</v>
          </cell>
          <cell r="J2014">
            <v>3</v>
          </cell>
          <cell r="K2014" t="str">
            <v>Others</v>
          </cell>
        </row>
        <row r="2015">
          <cell r="D2015">
            <v>382550</v>
          </cell>
          <cell r="E2015" t="str">
            <v>Residual products of chemical or allied industries, not elsewhere specified or included; wastes of metal pickling liquors, hydraulic fluids, brake fluids and anti-freeze fluids</v>
          </cell>
          <cell r="F2015">
            <v>0</v>
          </cell>
          <cell r="G2015">
            <v>0</v>
          </cell>
          <cell r="H2015">
            <v>0</v>
          </cell>
          <cell r="I2015" t="str">
            <v>Others</v>
          </cell>
          <cell r="J2015">
            <v>3</v>
          </cell>
          <cell r="K2015" t="str">
            <v>Others</v>
          </cell>
        </row>
        <row r="2016">
          <cell r="D2016">
            <v>382561</v>
          </cell>
          <cell r="E2016" t="str">
            <v>Residual products of the chemical or allied industries, not elsewhere specified or included; (other than sewage sludge, municipal waste or waste covered in 27.10); other wastes n.e.c. in 3825; those mainly containing organic constituents</v>
          </cell>
          <cell r="F2016">
            <v>0</v>
          </cell>
          <cell r="G2016">
            <v>0</v>
          </cell>
          <cell r="H2016">
            <v>0</v>
          </cell>
          <cell r="I2016" t="str">
            <v>Others</v>
          </cell>
          <cell r="J2016">
            <v>3</v>
          </cell>
          <cell r="K2016" t="str">
            <v>Others</v>
          </cell>
        </row>
        <row r="2017">
          <cell r="D2017">
            <v>382569</v>
          </cell>
          <cell r="E2017" t="str">
            <v>Residual products of the chemical or allied industries, not elsewhere specified or included; (other than sewage sludge, municipal waste or waste covered by 27.10); other wastes n.e.c. in 3825; except those mainly containing organic constituents</v>
          </cell>
          <cell r="F2017">
            <v>0</v>
          </cell>
          <cell r="G2017">
            <v>0</v>
          </cell>
          <cell r="H2017">
            <v>0</v>
          </cell>
          <cell r="I2017" t="str">
            <v>Others</v>
          </cell>
          <cell r="J2017">
            <v>3</v>
          </cell>
          <cell r="K2017" t="str">
            <v>Others</v>
          </cell>
        </row>
        <row r="2018">
          <cell r="D2018">
            <v>382590</v>
          </cell>
          <cell r="E2018" t="str">
            <v>Residual products of the chemical or allied industries, not elsewhere specified or included; n.e.c. in 3825 or 27.10</v>
          </cell>
          <cell r="F2018">
            <v>0</v>
          </cell>
          <cell r="G2018">
            <v>0</v>
          </cell>
          <cell r="H2018">
            <v>0</v>
          </cell>
          <cell r="I2018" t="str">
            <v>Others</v>
          </cell>
          <cell r="J2018">
            <v>3</v>
          </cell>
          <cell r="K2018" t="str">
            <v>Others</v>
          </cell>
        </row>
        <row r="2019">
          <cell r="D2019">
            <v>382600</v>
          </cell>
          <cell r="E2019" t="str">
            <v>Biodiesel and mixtures thereof; not containing or containing less than 70% by weight of petroleum oils or oils obtained from bituminous minerals</v>
          </cell>
          <cell r="F2019">
            <v>0</v>
          </cell>
          <cell r="G2019">
            <v>0</v>
          </cell>
          <cell r="H2019">
            <v>0</v>
          </cell>
          <cell r="I2019" t="str">
            <v>Others</v>
          </cell>
          <cell r="J2019">
            <v>3</v>
          </cell>
          <cell r="K2019" t="str">
            <v>Others</v>
          </cell>
        </row>
        <row r="2020">
          <cell r="D2020">
            <v>382711</v>
          </cell>
          <cell r="E2020" t="str">
            <v>Mixtures containing halogenated derivatives of methane, ethane or propane, not elsewhere specified or included; containing chlorofluorocarbons (CFCs), whether or not containing hydrochlorofluorocarbons (HCFCs), perfluorocarbons (PFCs) or hydrofluorocarbon</v>
          </cell>
          <cell r="F2020">
            <v>0</v>
          </cell>
          <cell r="G2020">
            <v>0</v>
          </cell>
          <cell r="H2020">
            <v>0</v>
          </cell>
          <cell r="I2020" t="str">
            <v>Others</v>
          </cell>
          <cell r="J2020">
            <v>3</v>
          </cell>
          <cell r="K2020" t="str">
            <v>Others</v>
          </cell>
        </row>
        <row r="2021">
          <cell r="D2021">
            <v>382712</v>
          </cell>
          <cell r="E2021" t="str">
            <v>Mixtures containing halogenated derivatives of methane, ethane or propane, not elsewhere specified or included; containing hydrobromofluorocarbons (HBFCs)</v>
          </cell>
          <cell r="F2021">
            <v>0</v>
          </cell>
          <cell r="G2021">
            <v>0</v>
          </cell>
          <cell r="H2021">
            <v>0</v>
          </cell>
          <cell r="I2021" t="str">
            <v>Others</v>
          </cell>
          <cell r="J2021">
            <v>3</v>
          </cell>
          <cell r="K2021" t="str">
            <v>Others</v>
          </cell>
        </row>
        <row r="2022">
          <cell r="D2022">
            <v>382713</v>
          </cell>
          <cell r="E2022" t="str">
            <v>Mixtures containing halogenated derivatives of methane, ethane or propane, not elsewhere specified or included; containing carbon tetrachloride</v>
          </cell>
          <cell r="F2022">
            <v>0</v>
          </cell>
          <cell r="G2022">
            <v>0</v>
          </cell>
          <cell r="H2022">
            <v>0</v>
          </cell>
          <cell r="I2022" t="str">
            <v>Others</v>
          </cell>
          <cell r="J2022">
            <v>3</v>
          </cell>
          <cell r="K2022" t="str">
            <v>Others</v>
          </cell>
        </row>
        <row r="2023">
          <cell r="D2023">
            <v>382714</v>
          </cell>
          <cell r="E2023" t="str">
            <v>Mixtures containing halogenated derivatives of methane, ethane or propane, not elsewhere specified or included; containing 1,1,1-trichloroethane (methyl chloroform)</v>
          </cell>
          <cell r="F2023">
            <v>0</v>
          </cell>
          <cell r="G2023">
            <v>0</v>
          </cell>
          <cell r="H2023">
            <v>0</v>
          </cell>
          <cell r="I2023" t="str">
            <v>Others</v>
          </cell>
          <cell r="J2023">
            <v>3</v>
          </cell>
          <cell r="K2023" t="str">
            <v>Others</v>
          </cell>
        </row>
        <row r="2024">
          <cell r="D2024">
            <v>382720</v>
          </cell>
          <cell r="E2024" t="str">
            <v>Mixtures containing halogenated derivatives of methane, ethane or propane, not elsewhere specified or included; containing bromochlorodifluoromethane (Halon-1211), bromotrifluoromethane (Halon-1301) or dibromotetrafluoroethanes (Halon-2402)</v>
          </cell>
          <cell r="F2024">
            <v>0</v>
          </cell>
          <cell r="G2024">
            <v>0</v>
          </cell>
          <cell r="H2024">
            <v>0</v>
          </cell>
          <cell r="I2024" t="str">
            <v>Others</v>
          </cell>
          <cell r="J2024">
            <v>3</v>
          </cell>
          <cell r="K2024" t="str">
            <v>Others</v>
          </cell>
        </row>
        <row r="2025">
          <cell r="D2025">
            <v>382731</v>
          </cell>
          <cell r="E2025" t="str">
            <v>Mixtures containing halogenated derivatives of methane, ethane or propane; containing hydrochlorofluorocarbons (HCFCs), perfluorocarbons (PFCs) or hydrofluorocarbons (HFCs) or not, but not containing chlorofluorocarbons (CFCs); containing substances of su</v>
          </cell>
          <cell r="F2025">
            <v>0</v>
          </cell>
          <cell r="G2025">
            <v>0</v>
          </cell>
          <cell r="H2025">
            <v>0</v>
          </cell>
          <cell r="I2025" t="str">
            <v>Others</v>
          </cell>
          <cell r="J2025">
            <v>3</v>
          </cell>
          <cell r="K2025" t="str">
            <v>Others</v>
          </cell>
        </row>
        <row r="2026">
          <cell r="D2026">
            <v>382732</v>
          </cell>
          <cell r="E2026" t="str">
            <v>Mixtures containing halogenated methane, ethane, propane; containing hydrochlorofluorocarbons (HCFCs), perfluorocarbons (PFCs) or hydrofluorocarbons (HFCs) or not, not chlorofluorocarbons (CFCs); containing substances of subheadings 2903.71 to 2903.75</v>
          </cell>
          <cell r="F2026">
            <v>0</v>
          </cell>
          <cell r="G2026">
            <v>0</v>
          </cell>
          <cell r="H2026">
            <v>0</v>
          </cell>
          <cell r="I2026" t="str">
            <v>Others</v>
          </cell>
          <cell r="J2026">
            <v>3</v>
          </cell>
          <cell r="K2026" t="str">
            <v>Others</v>
          </cell>
        </row>
        <row r="2027">
          <cell r="D2027">
            <v>382739</v>
          </cell>
          <cell r="E2027" t="str">
            <v>Mixtures containing halogenated methane, ethane, or propane; containing hydrochlorofluorocarbons (HCFCs), perfluorocarbons (PFCs) or hydrofluorocarbons (HFCs) or not, but not chlorofluorocarbons (CFCs); n.e.c. in subheading 3827.3</v>
          </cell>
          <cell r="F2027">
            <v>0</v>
          </cell>
          <cell r="G2027">
            <v>0</v>
          </cell>
          <cell r="H2027">
            <v>0</v>
          </cell>
          <cell r="I2027" t="str">
            <v>Others</v>
          </cell>
          <cell r="J2027">
            <v>3</v>
          </cell>
          <cell r="K2027" t="str">
            <v>Others</v>
          </cell>
        </row>
        <row r="2028">
          <cell r="D2028">
            <v>382740</v>
          </cell>
          <cell r="E2028" t="str">
            <v>Mixtures containing halogenated derivatives of methane, ethane or propane; containing hydrochlorofluorocarbons (HCFCs), perfluorocarbons (PFCs) or hydrofluorocarbons (HFCs) or not, but not containing chlorofluorocarbons (CFCs); containing bromomethane (me</v>
          </cell>
          <cell r="F2028">
            <v>0</v>
          </cell>
          <cell r="G2028">
            <v>0</v>
          </cell>
          <cell r="H2028">
            <v>0</v>
          </cell>
          <cell r="I2028" t="str">
            <v>Others</v>
          </cell>
          <cell r="J2028">
            <v>3</v>
          </cell>
          <cell r="K2028" t="str">
            <v>Others</v>
          </cell>
        </row>
        <row r="2029">
          <cell r="D2029">
            <v>382751</v>
          </cell>
          <cell r="E2029" t="str">
            <v>Mixtures containing halogenated derivatives of methane, ethane or propane; containing trifluoromethan (HFC-23) or perfluorocarbons (PFCs) but not containing chlorofluorocarbons (CFCs) or hydrochlorofluorocarbons (HCFCs); containing trifluoromethane (HFC-2</v>
          </cell>
          <cell r="F2029">
            <v>0</v>
          </cell>
          <cell r="G2029">
            <v>0</v>
          </cell>
          <cell r="H2029">
            <v>0</v>
          </cell>
          <cell r="I2029" t="str">
            <v>Others</v>
          </cell>
          <cell r="J2029">
            <v>3</v>
          </cell>
          <cell r="K2029" t="str">
            <v>Others</v>
          </cell>
        </row>
        <row r="2030">
          <cell r="D2030">
            <v>382759</v>
          </cell>
          <cell r="E2030" t="str">
            <v>Mixtures containing halogenated derivatives of methane, ethane or propane; containing trifluoromethan (HFC-23) or perfluorocarbons (PFCs) not containing chlorofluorocarbons (CFCs) or hydrochlorofluorocarbons (HCFCs); other mixtures n.e.c. in subheading 38</v>
          </cell>
          <cell r="F2030">
            <v>0</v>
          </cell>
          <cell r="G2030">
            <v>0</v>
          </cell>
          <cell r="H2030">
            <v>0</v>
          </cell>
          <cell r="I2030" t="str">
            <v>Others</v>
          </cell>
          <cell r="J2030">
            <v>3</v>
          </cell>
          <cell r="K2030" t="str">
            <v>Others</v>
          </cell>
        </row>
        <row r="2031">
          <cell r="D2031">
            <v>382761</v>
          </cell>
          <cell r="E2031" t="str">
            <v>Mixtures containing halogenated derivatives of methane, ethane or propane; containing other hydrofluorocarbons (HFCs) but not containing chlorofluorocarbons (CFCs) or hydrochlorofluorocarbons (HCFCs); containing 15% or more by mass of 1,1,1-trifluoroethan</v>
          </cell>
          <cell r="F2031">
            <v>0</v>
          </cell>
          <cell r="G2031">
            <v>0</v>
          </cell>
          <cell r="H2031">
            <v>0</v>
          </cell>
          <cell r="I2031" t="str">
            <v>Others</v>
          </cell>
          <cell r="J2031">
            <v>3</v>
          </cell>
          <cell r="K2031" t="str">
            <v>Others</v>
          </cell>
        </row>
        <row r="2032">
          <cell r="D2032">
            <v>382762</v>
          </cell>
          <cell r="E2032" t="str">
            <v xml:space="preserve">Mixtures containing halogenated derivatives of methane, ethane or propane; containing other hydrofluorocarbons (HFCs) but not containing chlorofluorocarbons (CFCs) or hydrochlorofluorocarbons (HCFCs); other mixtures, not included in the subheading above, </v>
          </cell>
          <cell r="F2032">
            <v>0</v>
          </cell>
          <cell r="G2032">
            <v>0</v>
          </cell>
          <cell r="H2032">
            <v>0</v>
          </cell>
          <cell r="I2032" t="str">
            <v>Others</v>
          </cell>
          <cell r="J2032">
            <v>3</v>
          </cell>
          <cell r="K2032" t="str">
            <v>Others</v>
          </cell>
        </row>
        <row r="2033">
          <cell r="D2033">
            <v>382763</v>
          </cell>
          <cell r="E2033" t="str">
            <v xml:space="preserve">Mixtures containing halogenated derivatives of methane, ethane or propane; containing other hydrofluorocarbons (HFCs) but not containing chlorofluorocarbons (CFCs) or hydrochlorofluorocarbons (HCFCs); other mixtures not included in the subheadings above, </v>
          </cell>
          <cell r="F2033">
            <v>0</v>
          </cell>
          <cell r="G2033">
            <v>0</v>
          </cell>
          <cell r="H2033">
            <v>0</v>
          </cell>
          <cell r="I2033" t="str">
            <v>Others</v>
          </cell>
          <cell r="J2033">
            <v>3</v>
          </cell>
          <cell r="K2033" t="str">
            <v>Others</v>
          </cell>
        </row>
        <row r="2034">
          <cell r="D2034">
            <v>382764</v>
          </cell>
          <cell r="E2034" t="str">
            <v>Mixtures containing halogenated derivatives of methane, ethane or propane; containing other hydrofluorocarbons (HFCs) but not containing chlorofluorocarbons (CFCs) or hydrochlorofluorocarbons (HCFCs); other mixtures, not included in the subheadings above,</v>
          </cell>
          <cell r="F2034">
            <v>0</v>
          </cell>
          <cell r="G2034">
            <v>0</v>
          </cell>
          <cell r="H2034">
            <v>0</v>
          </cell>
          <cell r="I2034" t="str">
            <v>Others</v>
          </cell>
          <cell r="J2034">
            <v>3</v>
          </cell>
          <cell r="K2034" t="str">
            <v>Others</v>
          </cell>
        </row>
        <row r="2035">
          <cell r="D2035">
            <v>382765</v>
          </cell>
          <cell r="E2035" t="str">
            <v>Mixtures containing halogenated derivatives of methane, ethane or propane; containing other hydrofluorocarbons (HFCs) but not containing chlorofluorocarbons (CFCs) or hydrochlorofluorocarbons (HCFCs); other mixtures, not included in the subheadings above,</v>
          </cell>
          <cell r="F2035">
            <v>0</v>
          </cell>
          <cell r="G2035">
            <v>0</v>
          </cell>
          <cell r="H2035">
            <v>0</v>
          </cell>
          <cell r="I2035" t="str">
            <v>Others</v>
          </cell>
          <cell r="J2035">
            <v>3</v>
          </cell>
          <cell r="K2035" t="str">
            <v>Others</v>
          </cell>
        </row>
        <row r="2036">
          <cell r="D2036">
            <v>382768</v>
          </cell>
          <cell r="E2036" t="str">
            <v>Mixtures containing halogenated derivatives of methane, ethane or propane; containing other hydrofluorocarbons (HFCs) but not containing chlorofluorocarbons (CFCs) or hydrochlorofluorocarbons (HCFCs); other mixtures, not included in the subheadings above,</v>
          </cell>
          <cell r="F2036">
            <v>0</v>
          </cell>
          <cell r="G2036">
            <v>0</v>
          </cell>
          <cell r="H2036">
            <v>0</v>
          </cell>
          <cell r="I2036" t="str">
            <v>Others</v>
          </cell>
          <cell r="J2036">
            <v>3</v>
          </cell>
          <cell r="K2036" t="str">
            <v>Others</v>
          </cell>
        </row>
        <row r="2037">
          <cell r="D2037">
            <v>382769</v>
          </cell>
          <cell r="E2037" t="str">
            <v xml:space="preserve">Mixtures containing halogenated derivatives of methane, ethane or propane; containing other hydrofluorocarbons (HFCs) but not containing chlorofluorocarbons (CFCs) or hydrochlorofluorocarbons (HCFCs); n.e.c. in items no. 3827.5 and 3827.6, not containing </v>
          </cell>
          <cell r="F2037">
            <v>0</v>
          </cell>
          <cell r="G2037">
            <v>0</v>
          </cell>
          <cell r="H2037">
            <v>0</v>
          </cell>
          <cell r="I2037" t="str">
            <v>Others</v>
          </cell>
          <cell r="J2037">
            <v>3</v>
          </cell>
          <cell r="K2037" t="str">
            <v>Others</v>
          </cell>
        </row>
        <row r="2038">
          <cell r="D2038">
            <v>382790</v>
          </cell>
          <cell r="E2038" t="str">
            <v>Mixtures containing halogenated derivatives of methane, ethane or propane; n.e.c. in subheading no 3827</v>
          </cell>
          <cell r="F2038">
            <v>0</v>
          </cell>
          <cell r="G2038">
            <v>0</v>
          </cell>
          <cell r="H2038">
            <v>0</v>
          </cell>
          <cell r="I2038" t="str">
            <v>Others</v>
          </cell>
          <cell r="J2038">
            <v>3</v>
          </cell>
          <cell r="K2038" t="str">
            <v>Others</v>
          </cell>
        </row>
        <row r="2039">
          <cell r="D2039">
            <v>390110</v>
          </cell>
          <cell r="E2039" t="str">
            <v>Ethylene polymers; in primary forms, polyethylene having a specific gravity of less than 0.94</v>
          </cell>
          <cell r="F2039">
            <v>0</v>
          </cell>
          <cell r="G2039">
            <v>0</v>
          </cell>
          <cell r="H2039">
            <v>0</v>
          </cell>
          <cell r="I2039" t="str">
            <v>Others</v>
          </cell>
          <cell r="J2039">
            <v>3</v>
          </cell>
          <cell r="K2039" t="str">
            <v>Others</v>
          </cell>
        </row>
        <row r="2040">
          <cell r="D2040">
            <v>390120</v>
          </cell>
          <cell r="E2040" t="str">
            <v>Ethylene polymers; in primary forms, polyethylene having a specific gravity of 0.94 or more</v>
          </cell>
          <cell r="F2040">
            <v>0</v>
          </cell>
          <cell r="G2040">
            <v>0</v>
          </cell>
          <cell r="H2040">
            <v>0</v>
          </cell>
          <cell r="I2040" t="str">
            <v>Others</v>
          </cell>
          <cell r="J2040">
            <v>3</v>
          </cell>
          <cell r="K2040" t="str">
            <v>Others</v>
          </cell>
        </row>
        <row r="2041">
          <cell r="D2041">
            <v>390130</v>
          </cell>
          <cell r="E2041" t="str">
            <v>Ethylene polymers; in primary forms, ethylene-vinyl acetate copolymers</v>
          </cell>
          <cell r="F2041">
            <v>0</v>
          </cell>
          <cell r="G2041">
            <v>0</v>
          </cell>
          <cell r="H2041">
            <v>0</v>
          </cell>
          <cell r="I2041" t="str">
            <v>Others</v>
          </cell>
          <cell r="J2041">
            <v>3</v>
          </cell>
          <cell r="K2041" t="str">
            <v>Others</v>
          </cell>
        </row>
        <row r="2042">
          <cell r="D2042">
            <v>390140</v>
          </cell>
          <cell r="E2042" t="str">
            <v>Ethylene polymers; in primary forms, ethylene-alpha-olefin copolymers, having a specific gravity of less than 0.94</v>
          </cell>
          <cell r="F2042">
            <v>0</v>
          </cell>
          <cell r="G2042">
            <v>0</v>
          </cell>
          <cell r="H2042">
            <v>0</v>
          </cell>
          <cell r="I2042" t="str">
            <v>Others</v>
          </cell>
          <cell r="J2042">
            <v>3</v>
          </cell>
          <cell r="K2042" t="str">
            <v>Others</v>
          </cell>
        </row>
        <row r="2043">
          <cell r="D2043">
            <v>390190</v>
          </cell>
          <cell r="E2043" t="str">
            <v>Ethylene polymers; in primary forms, n.e.c. in heading no. 3901</v>
          </cell>
          <cell r="F2043">
            <v>0</v>
          </cell>
          <cell r="G2043">
            <v>0</v>
          </cell>
          <cell r="H2043">
            <v>0</v>
          </cell>
          <cell r="I2043" t="str">
            <v>Others</v>
          </cell>
          <cell r="J2043">
            <v>3</v>
          </cell>
          <cell r="K2043" t="str">
            <v>Others</v>
          </cell>
        </row>
        <row r="2044">
          <cell r="D2044">
            <v>390210</v>
          </cell>
          <cell r="E2044" t="str">
            <v>Propylene, other olefin polymers; polypropylene in primary forms</v>
          </cell>
          <cell r="F2044" t="str">
            <v>Consumables</v>
          </cell>
          <cell r="G2044">
            <v>0</v>
          </cell>
          <cell r="H2044">
            <v>0</v>
          </cell>
          <cell r="I2044" t="str">
            <v>Others</v>
          </cell>
          <cell r="J2044">
            <v>2</v>
          </cell>
          <cell r="K2044" t="str">
            <v>Consumables - rc</v>
          </cell>
        </row>
        <row r="2045">
          <cell r="D2045">
            <v>390220</v>
          </cell>
          <cell r="E2045" t="str">
            <v>Propylene, other olefin polymers; polyisobutylene in primary forms</v>
          </cell>
          <cell r="F2045">
            <v>0</v>
          </cell>
          <cell r="G2045">
            <v>0</v>
          </cell>
          <cell r="H2045">
            <v>0</v>
          </cell>
          <cell r="I2045" t="str">
            <v>Others</v>
          </cell>
          <cell r="J2045">
            <v>3</v>
          </cell>
          <cell r="K2045" t="str">
            <v>Others</v>
          </cell>
        </row>
        <row r="2046">
          <cell r="D2046">
            <v>390230</v>
          </cell>
          <cell r="E2046" t="str">
            <v>Propylene, other olefin polymers; propylene copolymers in primary forms</v>
          </cell>
          <cell r="F2046" t="str">
            <v>Consumables</v>
          </cell>
          <cell r="G2046">
            <v>0</v>
          </cell>
          <cell r="H2046">
            <v>0</v>
          </cell>
          <cell r="I2046" t="str">
            <v>Others</v>
          </cell>
          <cell r="J2046">
            <v>2</v>
          </cell>
          <cell r="K2046" t="str">
            <v>Consumables - rc</v>
          </cell>
        </row>
        <row r="2047">
          <cell r="D2047">
            <v>390290</v>
          </cell>
          <cell r="E2047" t="str">
            <v>Propylene, other olefin polymers; n.e.c. in heading no. 3902, in primary forms</v>
          </cell>
          <cell r="F2047">
            <v>0</v>
          </cell>
          <cell r="G2047">
            <v>0</v>
          </cell>
          <cell r="H2047">
            <v>0</v>
          </cell>
          <cell r="I2047" t="str">
            <v>Others</v>
          </cell>
          <cell r="J2047">
            <v>3</v>
          </cell>
          <cell r="K2047" t="str">
            <v>Others</v>
          </cell>
        </row>
        <row r="2048">
          <cell r="D2048">
            <v>390311</v>
          </cell>
          <cell r="E2048" t="str">
            <v>Styrene polymers; expansible polystyrene, in primary forms</v>
          </cell>
          <cell r="F2048">
            <v>0</v>
          </cell>
          <cell r="G2048">
            <v>0</v>
          </cell>
          <cell r="H2048">
            <v>0</v>
          </cell>
          <cell r="I2048" t="str">
            <v>Others</v>
          </cell>
          <cell r="J2048">
            <v>3</v>
          </cell>
          <cell r="K2048" t="str">
            <v>Others</v>
          </cell>
        </row>
        <row r="2049">
          <cell r="D2049">
            <v>390319</v>
          </cell>
          <cell r="E2049" t="str">
            <v>Styrene polymers; (other than expansible polystyrene), in primary forms</v>
          </cell>
          <cell r="F2049">
            <v>0</v>
          </cell>
          <cell r="G2049">
            <v>0</v>
          </cell>
          <cell r="H2049">
            <v>0</v>
          </cell>
          <cell r="I2049" t="str">
            <v>Others</v>
          </cell>
          <cell r="J2049">
            <v>3</v>
          </cell>
          <cell r="K2049" t="str">
            <v>Others</v>
          </cell>
        </row>
        <row r="2050">
          <cell r="D2050">
            <v>390320</v>
          </cell>
          <cell r="E2050" t="str">
            <v>Styrene polymers; styrene-acrylonitrile (SAN) copolymers, in primary forms</v>
          </cell>
          <cell r="F2050">
            <v>0</v>
          </cell>
          <cell r="G2050">
            <v>0</v>
          </cell>
          <cell r="H2050">
            <v>0</v>
          </cell>
          <cell r="I2050" t="str">
            <v>Others</v>
          </cell>
          <cell r="J2050">
            <v>3</v>
          </cell>
          <cell r="K2050" t="str">
            <v>Others</v>
          </cell>
        </row>
        <row r="2051">
          <cell r="D2051">
            <v>390330</v>
          </cell>
          <cell r="E2051" t="str">
            <v>Styrene polymers; acrylonitrile-butadiene-styrene (ABS) copolymers, in primary forms</v>
          </cell>
          <cell r="F2051" t="str">
            <v>Consumables</v>
          </cell>
          <cell r="G2051">
            <v>0</v>
          </cell>
          <cell r="H2051">
            <v>0</v>
          </cell>
          <cell r="I2051" t="str">
            <v>Others</v>
          </cell>
          <cell r="J2051">
            <v>2</v>
          </cell>
          <cell r="K2051" t="str">
            <v>Consumables</v>
          </cell>
        </row>
        <row r="2052">
          <cell r="D2052">
            <v>390390</v>
          </cell>
          <cell r="E2052" t="str">
            <v>Styrene polymers; in primary forms, n.e.c. in heading no. 3903</v>
          </cell>
          <cell r="F2052">
            <v>0</v>
          </cell>
          <cell r="G2052">
            <v>0</v>
          </cell>
          <cell r="H2052">
            <v>0</v>
          </cell>
          <cell r="I2052" t="str">
            <v>Others</v>
          </cell>
          <cell r="J2052">
            <v>3</v>
          </cell>
          <cell r="K2052" t="str">
            <v>Others</v>
          </cell>
        </row>
        <row r="2053">
          <cell r="D2053">
            <v>390410</v>
          </cell>
          <cell r="E2053" t="str">
            <v>Vinyl chloride, other halogenated olefin polymers; poly(vinyl chloride), not mixed with any other substances, in primary forms</v>
          </cell>
          <cell r="F2053">
            <v>0</v>
          </cell>
          <cell r="G2053">
            <v>0</v>
          </cell>
          <cell r="H2053">
            <v>0</v>
          </cell>
          <cell r="I2053" t="str">
            <v>Others</v>
          </cell>
          <cell r="J2053">
            <v>3</v>
          </cell>
          <cell r="K2053" t="str">
            <v>Others</v>
          </cell>
        </row>
        <row r="2054">
          <cell r="D2054">
            <v>390421</v>
          </cell>
          <cell r="E2054" t="str">
            <v>Vinyl chloride, other halogenated olefin polymers; non-plasticised poly(vinyl chloride), in primary forms, mixed with other substances</v>
          </cell>
          <cell r="F2054" t="str">
            <v>Consumables</v>
          </cell>
          <cell r="G2054">
            <v>0</v>
          </cell>
          <cell r="H2054">
            <v>0</v>
          </cell>
          <cell r="I2054" t="str">
            <v>Others</v>
          </cell>
          <cell r="J2054">
            <v>2</v>
          </cell>
          <cell r="K2054" t="str">
            <v>Consumables - rc</v>
          </cell>
        </row>
        <row r="2055">
          <cell r="D2055">
            <v>390422</v>
          </cell>
          <cell r="E2055" t="str">
            <v>Vinyl chloride, other halogenated olefin polymers; plasticised poly(vinyl chloride), in primary forms, mixed with other substances</v>
          </cell>
          <cell r="F2055" t="str">
            <v>Consumables</v>
          </cell>
          <cell r="G2055">
            <v>0</v>
          </cell>
          <cell r="H2055">
            <v>0</v>
          </cell>
          <cell r="I2055" t="str">
            <v>Others</v>
          </cell>
          <cell r="J2055">
            <v>2</v>
          </cell>
          <cell r="K2055" t="str">
            <v>Consumables - rc</v>
          </cell>
        </row>
        <row r="2056">
          <cell r="D2056">
            <v>390430</v>
          </cell>
          <cell r="E2056" t="str">
            <v>Vinyl chloride, other halogenated olefin polymers; vinyl chloride-vinyl acetate copolymers, in primary forms</v>
          </cell>
          <cell r="F2056">
            <v>0</v>
          </cell>
          <cell r="G2056">
            <v>0</v>
          </cell>
          <cell r="H2056">
            <v>0</v>
          </cell>
          <cell r="I2056" t="str">
            <v>Others</v>
          </cell>
          <cell r="J2056">
            <v>3</v>
          </cell>
          <cell r="K2056" t="str">
            <v>Others</v>
          </cell>
        </row>
        <row r="2057">
          <cell r="D2057">
            <v>390440</v>
          </cell>
          <cell r="E2057" t="str">
            <v>Vinyl chloride, other halogenated olefin polymers; vinyl chloride copolymers, in primary forms n.e.c. in heading no. 3904</v>
          </cell>
          <cell r="F2057">
            <v>0</v>
          </cell>
          <cell r="G2057">
            <v>0</v>
          </cell>
          <cell r="H2057">
            <v>0</v>
          </cell>
          <cell r="I2057" t="str">
            <v>Others</v>
          </cell>
          <cell r="J2057">
            <v>3</v>
          </cell>
          <cell r="K2057" t="str">
            <v>Others</v>
          </cell>
        </row>
        <row r="2058">
          <cell r="D2058">
            <v>390450</v>
          </cell>
          <cell r="E2058" t="str">
            <v>Vinyl chloride, other halogenated olefin polymers; vinylidene chloride polymers, in primary forms</v>
          </cell>
          <cell r="F2058">
            <v>0</v>
          </cell>
          <cell r="G2058">
            <v>0</v>
          </cell>
          <cell r="H2058">
            <v>0</v>
          </cell>
          <cell r="I2058" t="str">
            <v>Others</v>
          </cell>
          <cell r="J2058">
            <v>3</v>
          </cell>
          <cell r="K2058" t="str">
            <v>Others</v>
          </cell>
        </row>
        <row r="2059">
          <cell r="D2059">
            <v>390461</v>
          </cell>
          <cell r="E2059" t="str">
            <v>Halogenated olefin polymers; fluoro-polymers, polytetrafluoroethylene, in primary forms</v>
          </cell>
          <cell r="F2059">
            <v>0</v>
          </cell>
          <cell r="G2059">
            <v>0</v>
          </cell>
          <cell r="H2059">
            <v>0</v>
          </cell>
          <cell r="I2059" t="str">
            <v>Others</v>
          </cell>
          <cell r="J2059">
            <v>3</v>
          </cell>
          <cell r="K2059" t="str">
            <v>Others</v>
          </cell>
        </row>
        <row r="2060">
          <cell r="D2060">
            <v>390469</v>
          </cell>
          <cell r="E2060" t="str">
            <v>Halogenated olefin polymers; fluoro-polymers (other than polytetrafluoroethylene), in primary forms</v>
          </cell>
          <cell r="F2060">
            <v>0</v>
          </cell>
          <cell r="G2060">
            <v>0</v>
          </cell>
          <cell r="H2060">
            <v>0</v>
          </cell>
          <cell r="I2060" t="str">
            <v>Others</v>
          </cell>
          <cell r="J2060">
            <v>3</v>
          </cell>
          <cell r="K2060" t="str">
            <v>Others</v>
          </cell>
        </row>
        <row r="2061">
          <cell r="D2061">
            <v>390490</v>
          </cell>
          <cell r="E2061" t="str">
            <v>Vinyl chloride, other halogenated olefin polymers; n.e.c. in heading no. 3904</v>
          </cell>
          <cell r="F2061">
            <v>0</v>
          </cell>
          <cell r="G2061">
            <v>0</v>
          </cell>
          <cell r="H2061">
            <v>0</v>
          </cell>
          <cell r="I2061" t="str">
            <v>Others</v>
          </cell>
          <cell r="J2061">
            <v>3</v>
          </cell>
          <cell r="K2061" t="str">
            <v>Others</v>
          </cell>
        </row>
        <row r="2062">
          <cell r="D2062">
            <v>390512</v>
          </cell>
          <cell r="E2062" t="str">
            <v>Poly(vinyl acetate); in aqueous dispersion, in primary forms</v>
          </cell>
          <cell r="F2062">
            <v>0</v>
          </cell>
          <cell r="G2062">
            <v>0</v>
          </cell>
          <cell r="H2062">
            <v>0</v>
          </cell>
          <cell r="I2062" t="str">
            <v>Others</v>
          </cell>
          <cell r="J2062">
            <v>3</v>
          </cell>
          <cell r="K2062" t="str">
            <v>Others</v>
          </cell>
        </row>
        <row r="2063">
          <cell r="D2063">
            <v>390519</v>
          </cell>
          <cell r="E2063" t="str">
            <v>Poly(vinyl acetate); (other than in aqueous dispersion), in primary forms</v>
          </cell>
          <cell r="F2063">
            <v>0</v>
          </cell>
          <cell r="G2063">
            <v>0</v>
          </cell>
          <cell r="H2063">
            <v>0</v>
          </cell>
          <cell r="I2063" t="str">
            <v>Others</v>
          </cell>
          <cell r="J2063">
            <v>3</v>
          </cell>
          <cell r="K2063" t="str">
            <v>Others</v>
          </cell>
        </row>
        <row r="2064">
          <cell r="D2064">
            <v>390521</v>
          </cell>
          <cell r="E2064" t="str">
            <v>Vinyl acetate copolymers; in aqueous dispersion, in primary forms</v>
          </cell>
          <cell r="F2064">
            <v>0</v>
          </cell>
          <cell r="G2064">
            <v>0</v>
          </cell>
          <cell r="H2064">
            <v>0</v>
          </cell>
          <cell r="I2064" t="str">
            <v>Others</v>
          </cell>
          <cell r="J2064">
            <v>3</v>
          </cell>
          <cell r="K2064" t="str">
            <v>Others</v>
          </cell>
        </row>
        <row r="2065">
          <cell r="D2065">
            <v>390529</v>
          </cell>
          <cell r="E2065" t="str">
            <v>Vinyl acetate copolymers; (other than in aqueous dispersion), in primary forms</v>
          </cell>
          <cell r="F2065">
            <v>0</v>
          </cell>
          <cell r="G2065">
            <v>0</v>
          </cell>
          <cell r="H2065">
            <v>0</v>
          </cell>
          <cell r="I2065" t="str">
            <v>Others</v>
          </cell>
          <cell r="J2065">
            <v>3</v>
          </cell>
          <cell r="K2065" t="str">
            <v>Others</v>
          </cell>
        </row>
        <row r="2066">
          <cell r="D2066">
            <v>390530</v>
          </cell>
          <cell r="E2066" t="str">
            <v>Poly(vinyl alcohol); whether or not containing unhydrolysed acetate groups</v>
          </cell>
          <cell r="F2066">
            <v>0</v>
          </cell>
          <cell r="G2066">
            <v>0</v>
          </cell>
          <cell r="H2066">
            <v>0</v>
          </cell>
          <cell r="I2066" t="str">
            <v>Others</v>
          </cell>
          <cell r="J2066">
            <v>3</v>
          </cell>
          <cell r="K2066" t="str">
            <v>Others</v>
          </cell>
        </row>
        <row r="2067">
          <cell r="D2067">
            <v>390591</v>
          </cell>
          <cell r="E2067" t="str">
            <v>Vinyl acetate, vinyl ester polymers, vinyl polymers; n.e.c. in heading no. 3905, in primary forms, copolymers</v>
          </cell>
          <cell r="F2067">
            <v>0</v>
          </cell>
          <cell r="G2067">
            <v>0</v>
          </cell>
          <cell r="H2067">
            <v>0</v>
          </cell>
          <cell r="I2067" t="str">
            <v>Others</v>
          </cell>
          <cell r="J2067">
            <v>3</v>
          </cell>
          <cell r="K2067" t="str">
            <v>Others</v>
          </cell>
        </row>
        <row r="2068">
          <cell r="D2068">
            <v>390599</v>
          </cell>
          <cell r="E2068" t="str">
            <v>Vinyl acetate, vinyl ester polymers, vinyl polymers; n.e.c. in heading no. 3905, in primary forms, other than copolymers</v>
          </cell>
          <cell r="F2068">
            <v>0</v>
          </cell>
          <cell r="G2068">
            <v>0</v>
          </cell>
          <cell r="H2068">
            <v>0</v>
          </cell>
          <cell r="I2068" t="str">
            <v>Others</v>
          </cell>
          <cell r="J2068">
            <v>3</v>
          </cell>
          <cell r="K2068" t="str">
            <v>Others</v>
          </cell>
        </row>
        <row r="2069">
          <cell r="D2069">
            <v>390610</v>
          </cell>
          <cell r="E2069" t="str">
            <v>Acrylic polymers; poly(methyl methacrylate), in primary forms</v>
          </cell>
          <cell r="F2069" t="str">
            <v>Consumables</v>
          </cell>
          <cell r="G2069">
            <v>0</v>
          </cell>
          <cell r="H2069">
            <v>0</v>
          </cell>
          <cell r="I2069" t="str">
            <v>Others</v>
          </cell>
          <cell r="J2069">
            <v>2</v>
          </cell>
          <cell r="K2069" t="str">
            <v>Consumables - rc</v>
          </cell>
        </row>
        <row r="2070">
          <cell r="D2070">
            <v>390690</v>
          </cell>
          <cell r="E2070" t="str">
            <v>Acrylic polymers; (other than polymethyl methacrylate), in primary forms</v>
          </cell>
          <cell r="F2070" t="str">
            <v>Consumables</v>
          </cell>
          <cell r="G2070">
            <v>0</v>
          </cell>
          <cell r="H2070">
            <v>0</v>
          </cell>
          <cell r="I2070" t="str">
            <v>Others</v>
          </cell>
          <cell r="J2070">
            <v>2</v>
          </cell>
          <cell r="K2070" t="str">
            <v>Consumables - rc</v>
          </cell>
        </row>
        <row r="2071">
          <cell r="D2071">
            <v>390710</v>
          </cell>
          <cell r="E2071" t="str">
            <v>Polyacetals; in primary forms</v>
          </cell>
          <cell r="F2071">
            <v>0</v>
          </cell>
          <cell r="G2071">
            <v>0</v>
          </cell>
          <cell r="H2071">
            <v>0</v>
          </cell>
          <cell r="I2071" t="str">
            <v>Others</v>
          </cell>
          <cell r="J2071">
            <v>3</v>
          </cell>
          <cell r="K2071" t="str">
            <v>Others</v>
          </cell>
        </row>
        <row r="2072">
          <cell r="D2072">
            <v>390721</v>
          </cell>
          <cell r="E2072" t="str">
            <v>Polyethers other than polyacetals; in primary forms, bis(polyoxyethylene) methylphosphonate</v>
          </cell>
          <cell r="F2072">
            <v>0</v>
          </cell>
          <cell r="G2072">
            <v>0</v>
          </cell>
          <cell r="H2072">
            <v>0</v>
          </cell>
          <cell r="I2072" t="str">
            <v>Others</v>
          </cell>
          <cell r="J2072">
            <v>3</v>
          </cell>
          <cell r="K2072" t="str">
            <v>Others</v>
          </cell>
        </row>
        <row r="2073">
          <cell r="D2073">
            <v>390729</v>
          </cell>
          <cell r="E2073" t="str">
            <v>Polyethers other than polyacetals, and bis(polyoxyethylene) methylphosphonate; in primary forms</v>
          </cell>
          <cell r="F2073">
            <v>0</v>
          </cell>
          <cell r="G2073">
            <v>0</v>
          </cell>
          <cell r="H2073">
            <v>0</v>
          </cell>
          <cell r="I2073" t="str">
            <v>Others</v>
          </cell>
          <cell r="J2073">
            <v>3</v>
          </cell>
          <cell r="K2073" t="str">
            <v>Others</v>
          </cell>
        </row>
        <row r="2074">
          <cell r="D2074">
            <v>390730</v>
          </cell>
          <cell r="E2074" t="str">
            <v>Epoxide resins; in primary forms</v>
          </cell>
          <cell r="F2074" t="str">
            <v>Consumables</v>
          </cell>
          <cell r="G2074">
            <v>0</v>
          </cell>
          <cell r="H2074">
            <v>0</v>
          </cell>
          <cell r="I2074" t="str">
            <v>Others</v>
          </cell>
          <cell r="J2074">
            <v>2</v>
          </cell>
          <cell r="K2074" t="str">
            <v>Consumables - rc</v>
          </cell>
        </row>
        <row r="2075">
          <cell r="D2075">
            <v>390740</v>
          </cell>
          <cell r="E2075" t="str">
            <v>Polycarbonates; in primary forms</v>
          </cell>
          <cell r="F2075" t="str">
            <v>Consumables</v>
          </cell>
          <cell r="G2075">
            <v>0</v>
          </cell>
          <cell r="H2075">
            <v>0</v>
          </cell>
          <cell r="I2075" t="str">
            <v>Others</v>
          </cell>
          <cell r="J2075">
            <v>2</v>
          </cell>
          <cell r="K2075" t="str">
            <v>Consumables - rc</v>
          </cell>
        </row>
        <row r="2076">
          <cell r="D2076">
            <v>390750</v>
          </cell>
          <cell r="E2076" t="str">
            <v>Alkyd resins; in primary forms</v>
          </cell>
          <cell r="F2076">
            <v>0</v>
          </cell>
          <cell r="G2076">
            <v>0</v>
          </cell>
          <cell r="H2076">
            <v>0</v>
          </cell>
          <cell r="I2076" t="str">
            <v>Others</v>
          </cell>
          <cell r="J2076">
            <v>3</v>
          </cell>
          <cell r="K2076" t="str">
            <v>Others</v>
          </cell>
        </row>
        <row r="2077">
          <cell r="D2077">
            <v>390761</v>
          </cell>
          <cell r="E2077" t="str">
            <v>Poly(ethylene terephthalate); in primary forms, having a viscosity of 78ml/g or higher</v>
          </cell>
          <cell r="F2077">
            <v>0</v>
          </cell>
          <cell r="G2077">
            <v>0</v>
          </cell>
          <cell r="H2077">
            <v>0</v>
          </cell>
          <cell r="I2077" t="str">
            <v>Others</v>
          </cell>
          <cell r="J2077">
            <v>3</v>
          </cell>
          <cell r="K2077" t="str">
            <v>Others</v>
          </cell>
        </row>
        <row r="2078">
          <cell r="D2078">
            <v>390769</v>
          </cell>
          <cell r="E2078" t="str">
            <v>Poly(ethylene terephthalate); in primary forms, having a viscosity of less than 78ml/g</v>
          </cell>
          <cell r="F2078">
            <v>0</v>
          </cell>
          <cell r="G2078">
            <v>0</v>
          </cell>
          <cell r="H2078">
            <v>0</v>
          </cell>
          <cell r="I2078" t="str">
            <v>Others</v>
          </cell>
          <cell r="J2078">
            <v>3</v>
          </cell>
          <cell r="K2078" t="str">
            <v>Others</v>
          </cell>
        </row>
        <row r="2079">
          <cell r="D2079">
            <v>390770</v>
          </cell>
          <cell r="E2079" t="str">
            <v>Poly(lactic acid); in primary forms</v>
          </cell>
          <cell r="F2079">
            <v>0</v>
          </cell>
          <cell r="G2079">
            <v>0</v>
          </cell>
          <cell r="H2079">
            <v>0</v>
          </cell>
          <cell r="I2079" t="str">
            <v>Others</v>
          </cell>
          <cell r="J2079">
            <v>3</v>
          </cell>
          <cell r="K2079" t="str">
            <v>Others</v>
          </cell>
        </row>
        <row r="2080">
          <cell r="D2080">
            <v>390791</v>
          </cell>
          <cell r="E2080" t="str">
            <v>Polyesters; n.e.c. in heading no. 3907, unsaturated, in primary forms</v>
          </cell>
          <cell r="F2080" t="str">
            <v>Consumables</v>
          </cell>
          <cell r="G2080">
            <v>0</v>
          </cell>
          <cell r="H2080">
            <v>0</v>
          </cell>
          <cell r="I2080" t="str">
            <v>Others</v>
          </cell>
          <cell r="J2080">
            <v>2</v>
          </cell>
          <cell r="K2080" t="str">
            <v>Consumables - rc</v>
          </cell>
        </row>
        <row r="2081">
          <cell r="D2081">
            <v>390799</v>
          </cell>
          <cell r="E2081" t="str">
            <v>Polyesters; n.e.c. in heading no. 3907, saturated, in primary forms</v>
          </cell>
          <cell r="F2081" t="str">
            <v>Consumables</v>
          </cell>
          <cell r="G2081">
            <v>0</v>
          </cell>
          <cell r="H2081">
            <v>0</v>
          </cell>
          <cell r="I2081" t="str">
            <v>Others</v>
          </cell>
          <cell r="J2081">
            <v>2</v>
          </cell>
          <cell r="K2081" t="str">
            <v>Consumables - rc</v>
          </cell>
        </row>
        <row r="2082">
          <cell r="D2082">
            <v>390810</v>
          </cell>
          <cell r="E2082" t="str">
            <v>Polyamides; polyamide-6, -11, -12, -6,6, -6,9, -6,10 or -6,12, in primary forms</v>
          </cell>
          <cell r="F2082">
            <v>0</v>
          </cell>
          <cell r="G2082">
            <v>0</v>
          </cell>
          <cell r="H2082">
            <v>0</v>
          </cell>
          <cell r="I2082" t="str">
            <v>Others</v>
          </cell>
          <cell r="J2082">
            <v>3</v>
          </cell>
          <cell r="K2082" t="str">
            <v>Others</v>
          </cell>
        </row>
        <row r="2083">
          <cell r="D2083">
            <v>390890</v>
          </cell>
          <cell r="E2083" t="str">
            <v>Polyamides; n.e.c. in heading no. 3908, in primary forms</v>
          </cell>
          <cell r="F2083">
            <v>0</v>
          </cell>
          <cell r="G2083">
            <v>0</v>
          </cell>
          <cell r="H2083">
            <v>0</v>
          </cell>
          <cell r="I2083" t="str">
            <v>Others</v>
          </cell>
          <cell r="J2083">
            <v>3</v>
          </cell>
          <cell r="K2083" t="str">
            <v>Others</v>
          </cell>
        </row>
        <row r="2084">
          <cell r="D2084">
            <v>390910</v>
          </cell>
          <cell r="E2084" t="str">
            <v>Amino-resins; urea and thiourea resins, in primary forms</v>
          </cell>
          <cell r="F2084">
            <v>0</v>
          </cell>
          <cell r="G2084">
            <v>0</v>
          </cell>
          <cell r="H2084">
            <v>0</v>
          </cell>
          <cell r="I2084" t="str">
            <v>Others</v>
          </cell>
          <cell r="J2084">
            <v>3</v>
          </cell>
          <cell r="K2084" t="str">
            <v>Others</v>
          </cell>
        </row>
        <row r="2085">
          <cell r="D2085">
            <v>390920</v>
          </cell>
          <cell r="E2085" t="str">
            <v>Amino-resins; melamine resins, in primary forms</v>
          </cell>
          <cell r="F2085">
            <v>0</v>
          </cell>
          <cell r="G2085">
            <v>0</v>
          </cell>
          <cell r="H2085">
            <v>0</v>
          </cell>
          <cell r="I2085" t="str">
            <v>Others</v>
          </cell>
          <cell r="J2085">
            <v>3</v>
          </cell>
          <cell r="K2085" t="str">
            <v>Others</v>
          </cell>
        </row>
        <row r="2086">
          <cell r="D2086">
            <v>390931</v>
          </cell>
          <cell r="E2086" t="str">
            <v>Amino-resins; n.e.c. in heading no. 3909, in primary forms, poly(methylene phenyl isocyanate) (Crude MDI, polymeric MDI)</v>
          </cell>
          <cell r="F2086">
            <v>0</v>
          </cell>
          <cell r="G2086">
            <v>0</v>
          </cell>
          <cell r="H2086">
            <v>0</v>
          </cell>
          <cell r="I2086" t="str">
            <v>Others</v>
          </cell>
          <cell r="J2086">
            <v>3</v>
          </cell>
          <cell r="K2086" t="str">
            <v>Others</v>
          </cell>
        </row>
        <row r="2087">
          <cell r="D2087">
            <v>390939</v>
          </cell>
          <cell r="E2087" t="str">
            <v>Amino-resins; n.e.c. in heading no. 3909, in primary forms, other than poly(methylene phenyl isocyanate) (Crude MDI, polymeric MDI)</v>
          </cell>
          <cell r="F2087">
            <v>0</v>
          </cell>
          <cell r="G2087">
            <v>0</v>
          </cell>
          <cell r="H2087">
            <v>0</v>
          </cell>
          <cell r="I2087" t="str">
            <v>Others</v>
          </cell>
          <cell r="J2087">
            <v>3</v>
          </cell>
          <cell r="K2087" t="str">
            <v>Others</v>
          </cell>
        </row>
        <row r="2088">
          <cell r="D2088">
            <v>390940</v>
          </cell>
          <cell r="E2088" t="str">
            <v>Phenolic resins; in primary forms</v>
          </cell>
          <cell r="F2088">
            <v>0</v>
          </cell>
          <cell r="G2088">
            <v>0</v>
          </cell>
          <cell r="H2088">
            <v>0</v>
          </cell>
          <cell r="I2088" t="str">
            <v>Others</v>
          </cell>
          <cell r="J2088">
            <v>3</v>
          </cell>
          <cell r="K2088" t="str">
            <v>Others</v>
          </cell>
        </row>
        <row r="2089">
          <cell r="D2089">
            <v>390950</v>
          </cell>
          <cell r="E2089" t="str">
            <v>Polyurethanes; in primary forms</v>
          </cell>
          <cell r="F2089">
            <v>0</v>
          </cell>
          <cell r="G2089">
            <v>0</v>
          </cell>
          <cell r="H2089">
            <v>0</v>
          </cell>
          <cell r="I2089" t="str">
            <v>Others</v>
          </cell>
          <cell r="J2089">
            <v>3</v>
          </cell>
          <cell r="K2089" t="str">
            <v>Others</v>
          </cell>
        </row>
        <row r="2090">
          <cell r="D2090">
            <v>391000</v>
          </cell>
          <cell r="E2090" t="str">
            <v>Silicones; in primary forms</v>
          </cell>
          <cell r="F2090" t="str">
            <v>Consumables</v>
          </cell>
          <cell r="G2090">
            <v>0</v>
          </cell>
          <cell r="H2090">
            <v>0</v>
          </cell>
          <cell r="I2090" t="str">
            <v>Others</v>
          </cell>
          <cell r="J2090">
            <v>2</v>
          </cell>
          <cell r="K2090" t="str">
            <v>Consumables - rc</v>
          </cell>
        </row>
        <row r="2091">
          <cell r="D2091">
            <v>391110</v>
          </cell>
          <cell r="E2091" t="str">
            <v>Petroleum resins, coumarone, indene or coumarone-indene resins and polyterpenes; in primary forms</v>
          </cell>
          <cell r="F2091">
            <v>0</v>
          </cell>
          <cell r="G2091">
            <v>0</v>
          </cell>
          <cell r="H2091">
            <v>0</v>
          </cell>
          <cell r="I2091" t="str">
            <v>Others</v>
          </cell>
          <cell r="J2091">
            <v>3</v>
          </cell>
          <cell r="K2091" t="str">
            <v>Others</v>
          </cell>
        </row>
        <row r="2092">
          <cell r="D2092">
            <v>391120</v>
          </cell>
          <cell r="E2092" t="str">
            <v>Petroleum resins, poly(1,3-phenylene methylphosphonate), in primary forms</v>
          </cell>
          <cell r="F2092">
            <v>0</v>
          </cell>
          <cell r="G2092">
            <v>0</v>
          </cell>
          <cell r="H2092">
            <v>0</v>
          </cell>
          <cell r="I2092" t="str">
            <v>Others</v>
          </cell>
          <cell r="J2092">
            <v>3</v>
          </cell>
          <cell r="K2092" t="str">
            <v>Others</v>
          </cell>
        </row>
        <row r="2093">
          <cell r="D2093">
            <v>391190</v>
          </cell>
          <cell r="E2093" t="str">
            <v>Polysulphides, polysulphones and similar products of chemical synthesis n.e.c. in chapter 39; in primary forms</v>
          </cell>
          <cell r="F2093">
            <v>0</v>
          </cell>
          <cell r="G2093">
            <v>0</v>
          </cell>
          <cell r="H2093">
            <v>0</v>
          </cell>
          <cell r="I2093" t="str">
            <v>Others</v>
          </cell>
          <cell r="J2093">
            <v>3</v>
          </cell>
          <cell r="K2093" t="str">
            <v>Others</v>
          </cell>
        </row>
        <row r="2094">
          <cell r="D2094">
            <v>391211</v>
          </cell>
          <cell r="E2094" t="str">
            <v>Cellulose acetates; non-plasticised, in primary forms</v>
          </cell>
          <cell r="F2094">
            <v>0</v>
          </cell>
          <cell r="G2094">
            <v>0</v>
          </cell>
          <cell r="H2094">
            <v>0</v>
          </cell>
          <cell r="I2094" t="str">
            <v>Others</v>
          </cell>
          <cell r="J2094">
            <v>3</v>
          </cell>
          <cell r="K2094" t="str">
            <v>Others</v>
          </cell>
        </row>
        <row r="2095">
          <cell r="D2095">
            <v>391212</v>
          </cell>
          <cell r="E2095" t="str">
            <v>Cellulose acetates; plasticised, in primary forms</v>
          </cell>
          <cell r="F2095">
            <v>0</v>
          </cell>
          <cell r="G2095">
            <v>0</v>
          </cell>
          <cell r="H2095">
            <v>0</v>
          </cell>
          <cell r="I2095" t="str">
            <v>Others</v>
          </cell>
          <cell r="J2095">
            <v>3</v>
          </cell>
          <cell r="K2095" t="str">
            <v>Others</v>
          </cell>
        </row>
        <row r="2096">
          <cell r="D2096">
            <v>391220</v>
          </cell>
          <cell r="E2096" t="str">
            <v>Cellulose nitrates (including collodions); in primary forms</v>
          </cell>
          <cell r="F2096">
            <v>0</v>
          </cell>
          <cell r="G2096">
            <v>0</v>
          </cell>
          <cell r="H2096">
            <v>0</v>
          </cell>
          <cell r="I2096" t="str">
            <v>Others</v>
          </cell>
          <cell r="J2096">
            <v>3</v>
          </cell>
          <cell r="K2096" t="str">
            <v>Others</v>
          </cell>
        </row>
        <row r="2097">
          <cell r="D2097">
            <v>391231</v>
          </cell>
          <cell r="E2097" t="str">
            <v>Cellulose ethers; carboxymethylcellulose and its salts, in primary forms</v>
          </cell>
          <cell r="F2097">
            <v>0</v>
          </cell>
          <cell r="G2097">
            <v>0</v>
          </cell>
          <cell r="H2097">
            <v>0</v>
          </cell>
          <cell r="I2097" t="str">
            <v>Others</v>
          </cell>
          <cell r="J2097">
            <v>3</v>
          </cell>
          <cell r="K2097" t="str">
            <v>Others</v>
          </cell>
        </row>
        <row r="2098">
          <cell r="D2098">
            <v>391239</v>
          </cell>
          <cell r="E2098" t="str">
            <v>Cellulose ethers; (other than carboxymethylcellulose and its salts), in primary forms</v>
          </cell>
          <cell r="F2098">
            <v>0</v>
          </cell>
          <cell r="G2098">
            <v>0</v>
          </cell>
          <cell r="H2098">
            <v>0</v>
          </cell>
          <cell r="I2098" t="str">
            <v>Others</v>
          </cell>
          <cell r="J2098">
            <v>3</v>
          </cell>
          <cell r="K2098" t="str">
            <v>Others</v>
          </cell>
        </row>
        <row r="2099">
          <cell r="D2099">
            <v>391290</v>
          </cell>
          <cell r="E2099" t="str">
            <v>Cellulose and its chemical derivatives; n.e.c. in item no. 3912, in primary forms</v>
          </cell>
          <cell r="F2099">
            <v>0</v>
          </cell>
          <cell r="G2099">
            <v>0</v>
          </cell>
          <cell r="H2099">
            <v>0</v>
          </cell>
          <cell r="I2099" t="str">
            <v>Others</v>
          </cell>
          <cell r="J2099">
            <v>3</v>
          </cell>
          <cell r="K2099" t="str">
            <v>Others</v>
          </cell>
        </row>
        <row r="2100">
          <cell r="D2100">
            <v>391310</v>
          </cell>
          <cell r="E2100" t="str">
            <v>Polymers, natural; alginic acid, its salts and esters, in primary forms</v>
          </cell>
          <cell r="F2100">
            <v>0</v>
          </cell>
          <cell r="G2100">
            <v>0</v>
          </cell>
          <cell r="H2100">
            <v>0</v>
          </cell>
          <cell r="I2100" t="str">
            <v>Others</v>
          </cell>
          <cell r="J2100">
            <v>3</v>
          </cell>
          <cell r="K2100" t="str">
            <v>Others</v>
          </cell>
        </row>
        <row r="2101">
          <cell r="D2101">
            <v>391390</v>
          </cell>
          <cell r="E2101" t="str">
            <v>Polymers, natural and modified natural; in primary forms (excluding alginic acid, its salts and esters)</v>
          </cell>
          <cell r="F2101">
            <v>0</v>
          </cell>
          <cell r="G2101">
            <v>0</v>
          </cell>
          <cell r="H2101">
            <v>0</v>
          </cell>
          <cell r="I2101" t="str">
            <v>Others</v>
          </cell>
          <cell r="J2101">
            <v>3</v>
          </cell>
          <cell r="K2101" t="str">
            <v>Others</v>
          </cell>
        </row>
        <row r="2102">
          <cell r="D2102">
            <v>391400</v>
          </cell>
          <cell r="E2102" t="str">
            <v>Ion-exchangers; based on polymers of heading no. 3901 to 3913, in primary forms</v>
          </cell>
          <cell r="F2102">
            <v>0</v>
          </cell>
          <cell r="G2102">
            <v>0</v>
          </cell>
          <cell r="H2102">
            <v>0</v>
          </cell>
          <cell r="I2102" t="str">
            <v>Others</v>
          </cell>
          <cell r="J2102">
            <v>3</v>
          </cell>
          <cell r="K2102" t="str">
            <v>Others</v>
          </cell>
        </row>
        <row r="2103">
          <cell r="D2103">
            <v>391510</v>
          </cell>
          <cell r="E2103" t="str">
            <v>Ethylene polymers; waste, parings and scrap</v>
          </cell>
          <cell r="F2103">
            <v>0</v>
          </cell>
          <cell r="G2103">
            <v>0</v>
          </cell>
          <cell r="H2103">
            <v>0</v>
          </cell>
          <cell r="I2103" t="str">
            <v>Others</v>
          </cell>
          <cell r="J2103">
            <v>3</v>
          </cell>
          <cell r="K2103" t="str">
            <v>Others</v>
          </cell>
        </row>
        <row r="2104">
          <cell r="D2104">
            <v>391520</v>
          </cell>
          <cell r="E2104" t="str">
            <v>Styrene polymers; waste, parings and scrap</v>
          </cell>
          <cell r="F2104">
            <v>0</v>
          </cell>
          <cell r="G2104">
            <v>0</v>
          </cell>
          <cell r="H2104">
            <v>0</v>
          </cell>
          <cell r="I2104" t="str">
            <v>Others</v>
          </cell>
          <cell r="J2104">
            <v>3</v>
          </cell>
          <cell r="K2104" t="str">
            <v>Others</v>
          </cell>
        </row>
        <row r="2105">
          <cell r="D2105">
            <v>391530</v>
          </cell>
          <cell r="E2105" t="str">
            <v>Vinyl chloride polymers; waste, parings and scrap</v>
          </cell>
          <cell r="F2105">
            <v>0</v>
          </cell>
          <cell r="G2105">
            <v>0</v>
          </cell>
          <cell r="H2105">
            <v>0</v>
          </cell>
          <cell r="I2105" t="str">
            <v>Others</v>
          </cell>
          <cell r="J2105">
            <v>3</v>
          </cell>
          <cell r="K2105" t="str">
            <v>Others</v>
          </cell>
        </row>
        <row r="2106">
          <cell r="D2106">
            <v>391590</v>
          </cell>
          <cell r="E2106" t="str">
            <v>Plastics n.e.c. in heading no. 3915; waste, parings and scrap</v>
          </cell>
          <cell r="F2106">
            <v>0</v>
          </cell>
          <cell r="G2106">
            <v>0</v>
          </cell>
          <cell r="H2106">
            <v>0</v>
          </cell>
          <cell r="I2106" t="str">
            <v>Others</v>
          </cell>
          <cell r="J2106">
            <v>3</v>
          </cell>
          <cell r="K2106" t="str">
            <v>Others</v>
          </cell>
        </row>
        <row r="2107">
          <cell r="D2107">
            <v>391610</v>
          </cell>
          <cell r="E2107" t="str">
            <v>Ethylene polymers; monofilament, of which any cross-sectional dimension exceeds 1mm, rods, sticks and profile shapes, whether or not surface-worked but not otherwise worked</v>
          </cell>
          <cell r="F2107">
            <v>0</v>
          </cell>
          <cell r="G2107">
            <v>0</v>
          </cell>
          <cell r="H2107">
            <v>0</v>
          </cell>
          <cell r="I2107" t="str">
            <v>Others</v>
          </cell>
          <cell r="J2107">
            <v>3</v>
          </cell>
          <cell r="K2107" t="str">
            <v>Others</v>
          </cell>
        </row>
        <row r="2108">
          <cell r="D2108">
            <v>391620</v>
          </cell>
          <cell r="E2108" t="str">
            <v>Vinyl chloride polymers; monofilament, of which any cross-sectional dimension exceeds 1mm, rods, sticks and profile shapes, whether or not surface-worked but not otherwise worked</v>
          </cell>
          <cell r="F2108">
            <v>0</v>
          </cell>
          <cell r="G2108">
            <v>0</v>
          </cell>
          <cell r="H2108">
            <v>0</v>
          </cell>
          <cell r="I2108" t="str">
            <v>Others</v>
          </cell>
          <cell r="J2108">
            <v>3</v>
          </cell>
          <cell r="K2108" t="str">
            <v>Others</v>
          </cell>
        </row>
        <row r="2109">
          <cell r="D2109">
            <v>391690</v>
          </cell>
          <cell r="E2109" t="str">
            <v>Plastics; monofilament, of plastics n.e.c. in heading no. 3916, cross-sectional dimension exceeds 1mm, rods, sticks and profile shapes, whether or not surface-worked but not otherwise worked</v>
          </cell>
          <cell r="F2109" t="str">
            <v>Consumables</v>
          </cell>
          <cell r="G2109">
            <v>0</v>
          </cell>
          <cell r="H2109">
            <v>0</v>
          </cell>
          <cell r="I2109" t="str">
            <v>Others</v>
          </cell>
          <cell r="J2109">
            <v>2</v>
          </cell>
          <cell r="K2109" t="str">
            <v>Consumables - rc</v>
          </cell>
        </row>
        <row r="2110">
          <cell r="D2110">
            <v>391710</v>
          </cell>
          <cell r="E2110" t="str">
            <v>Plastics; artificial guts (sausage casings) of hardened protein or of cellulosic materials</v>
          </cell>
          <cell r="F2110">
            <v>0</v>
          </cell>
          <cell r="G2110">
            <v>0</v>
          </cell>
          <cell r="H2110">
            <v>0</v>
          </cell>
          <cell r="I2110" t="str">
            <v>Others</v>
          </cell>
          <cell r="J2110">
            <v>3</v>
          </cell>
          <cell r="K2110" t="str">
            <v>Others</v>
          </cell>
        </row>
        <row r="2111">
          <cell r="D2111">
            <v>848180</v>
          </cell>
          <cell r="E2111" t="str">
            <v>Taps, cocks, valves and similar appliances; for pipes, boiler shells, tanks, vats or the like, including thermostatically controlled valves</v>
          </cell>
          <cell r="F2111" t="str">
            <v>Capital Goods</v>
          </cell>
          <cell r="G2111">
            <v>0</v>
          </cell>
          <cell r="H2111" t="str">
            <v>Parts &amp; Accessories</v>
          </cell>
          <cell r="I2111" t="str">
            <v>Parts &amp; Accessories</v>
          </cell>
          <cell r="J2111">
            <v>1</v>
          </cell>
          <cell r="K2111" t="str">
            <v>Parts &amp; Accessories</v>
          </cell>
        </row>
        <row r="2112">
          <cell r="D2112">
            <v>391722</v>
          </cell>
          <cell r="E2112" t="str">
            <v>Plastics; tubes, pipes and hoses thereof, rigid, of polymers of propylene</v>
          </cell>
          <cell r="F2112">
            <v>0</v>
          </cell>
          <cell r="G2112">
            <v>0</v>
          </cell>
          <cell r="H2112">
            <v>0</v>
          </cell>
          <cell r="I2112" t="str">
            <v>Others</v>
          </cell>
          <cell r="J2112">
            <v>3</v>
          </cell>
          <cell r="K2112" t="str">
            <v>Others</v>
          </cell>
        </row>
        <row r="2113">
          <cell r="D2113">
            <v>853690</v>
          </cell>
          <cell r="E2113" t="str">
            <v>Electrical apparatus; n.e.c. in heading no. 8536, for switching or protecting electrical circuits, for a voltage not exceeding 1000 volts</v>
          </cell>
          <cell r="F2113" t="str">
            <v>Capital Goods</v>
          </cell>
          <cell r="G2113">
            <v>0</v>
          </cell>
          <cell r="H2113">
            <v>0</v>
          </cell>
          <cell r="I2113" t="str">
            <v>Capital Goods</v>
          </cell>
          <cell r="J2113">
            <v>2</v>
          </cell>
          <cell r="K2113" t="str">
            <v>Parts &amp; Accessories</v>
          </cell>
        </row>
        <row r="2114">
          <cell r="D2114">
            <v>853710</v>
          </cell>
          <cell r="E2114" t="str">
            <v>Boards, panels, consoles, desks and other bases; for electric control or the distribution of electricity, (other than switching apparatus of heading no. 8517), for a voltage not exceeding 1000 volts</v>
          </cell>
          <cell r="F2114" t="str">
            <v>Parts &amp; Accessories</v>
          </cell>
          <cell r="G2114">
            <v>0</v>
          </cell>
          <cell r="H2114">
            <v>0</v>
          </cell>
          <cell r="I2114" t="str">
            <v>Parts &amp; Accessories</v>
          </cell>
          <cell r="J2114">
            <v>2</v>
          </cell>
          <cell r="K2114" t="str">
            <v>Parts &amp; Accessories</v>
          </cell>
        </row>
        <row r="2115">
          <cell r="D2115">
            <v>853890</v>
          </cell>
          <cell r="E2115" t="str">
            <v>Electrical apparatus; parts suitable for use solely or principally with the apparatus of heading no. 8535, 8536 or 8537</v>
          </cell>
          <cell r="F2115" t="str">
            <v>Parts &amp; Accessories</v>
          </cell>
          <cell r="G2115">
            <v>0</v>
          </cell>
          <cell r="H2115">
            <v>0</v>
          </cell>
          <cell r="I2115" t="str">
            <v>Parts &amp; Accessories</v>
          </cell>
          <cell r="J2115">
            <v>2</v>
          </cell>
          <cell r="K2115" t="str">
            <v>Parts &amp; Accessories</v>
          </cell>
        </row>
        <row r="2116">
          <cell r="D2116">
            <v>841480</v>
          </cell>
          <cell r="E2116" t="str">
            <v>Pumps and compressors; for air, vacuum or gas, n.e.c. in heading no. 8414</v>
          </cell>
          <cell r="F2116" t="str">
            <v>Capital Goods</v>
          </cell>
          <cell r="G2116">
            <v>0</v>
          </cell>
          <cell r="H2116" t="str">
            <v>Capital Goods</v>
          </cell>
          <cell r="I2116" t="str">
            <v>Capital Goods</v>
          </cell>
          <cell r="J2116">
            <v>1</v>
          </cell>
          <cell r="K2116" t="str">
            <v>Parts &amp; Accessories</v>
          </cell>
        </row>
        <row r="2117">
          <cell r="D2117">
            <v>843149</v>
          </cell>
          <cell r="E2117" t="str">
            <v>Machinery; parts of machines handling earth, minerals or ores and n.e.c. in heading no. 8431</v>
          </cell>
          <cell r="F2117" t="str">
            <v>Parts &amp; Accessories</v>
          </cell>
          <cell r="G2117">
            <v>0</v>
          </cell>
          <cell r="H2117" t="str">
            <v>Parts &amp; Accessories</v>
          </cell>
          <cell r="I2117" t="str">
            <v>Parts &amp; Accessories</v>
          </cell>
          <cell r="J2117">
            <v>1</v>
          </cell>
          <cell r="K2117" t="str">
            <v>Parts &amp; Accessories</v>
          </cell>
        </row>
        <row r="2118">
          <cell r="D2118">
            <v>854129</v>
          </cell>
          <cell r="E2118" t="str">
            <v>Electrical apparatus; transistors, (other than photosensitive), with a dissipation rate of 1W or more</v>
          </cell>
          <cell r="F2118" t="str">
            <v>Parts &amp; Accessories</v>
          </cell>
          <cell r="G2118">
            <v>0</v>
          </cell>
          <cell r="H2118">
            <v>0</v>
          </cell>
          <cell r="I2118" t="str">
            <v>Parts &amp; Accessories</v>
          </cell>
          <cell r="J2118">
            <v>2</v>
          </cell>
          <cell r="K2118" t="str">
            <v>Parts &amp; Accessories</v>
          </cell>
        </row>
        <row r="2119">
          <cell r="D2119">
            <v>841490</v>
          </cell>
          <cell r="E2119" t="str">
            <v>Pumps and compressors; parts, of air or vacuum pumps, air or other gas compressors and fans, ventilating or recycling hoods incorporating a fan</v>
          </cell>
          <cell r="F2119" t="str">
            <v>Parts &amp; Accessories</v>
          </cell>
          <cell r="G2119">
            <v>0</v>
          </cell>
          <cell r="H2119" t="str">
            <v>Parts &amp; Accessories</v>
          </cell>
          <cell r="I2119" t="str">
            <v>Parts &amp; Accessories</v>
          </cell>
          <cell r="J2119">
            <v>1</v>
          </cell>
          <cell r="K2119" t="str">
            <v>Parts &amp; Accessories</v>
          </cell>
        </row>
        <row r="2120">
          <cell r="D2120">
            <v>391810</v>
          </cell>
          <cell r="E2120" t="str">
            <v>Floor, wall or ceiling coverings; of polymers of vinyl chloride, whether or not self-adhesive, in rolls or in the form of tiles</v>
          </cell>
          <cell r="F2120">
            <v>0</v>
          </cell>
          <cell r="G2120">
            <v>0</v>
          </cell>
          <cell r="H2120">
            <v>0</v>
          </cell>
          <cell r="I2120" t="str">
            <v>Others</v>
          </cell>
          <cell r="J2120">
            <v>3</v>
          </cell>
          <cell r="K2120" t="str">
            <v>Others</v>
          </cell>
        </row>
        <row r="2121">
          <cell r="D2121">
            <v>391890</v>
          </cell>
          <cell r="E2121" t="str">
            <v>Floor, wall or ceiling coverings; of plastics (excluding polymers of vinyl chloride), whether or not self-adhesive, in rolls or in the form of tiles</v>
          </cell>
          <cell r="F2121" t="str">
            <v>Others</v>
          </cell>
          <cell r="G2121">
            <v>0</v>
          </cell>
          <cell r="H2121">
            <v>0</v>
          </cell>
          <cell r="I2121" t="str">
            <v>Others</v>
          </cell>
          <cell r="J2121">
            <v>2</v>
          </cell>
          <cell r="K2121" t="str">
            <v>Others</v>
          </cell>
        </row>
        <row r="2122">
          <cell r="D2122">
            <v>391910</v>
          </cell>
          <cell r="E2122" t="str">
            <v>Plastics; plates, sheets, film, foil, tape, strip, other flat shapes thereof, self-adhesive, in rolls of a width not exceeding 20cm</v>
          </cell>
          <cell r="F2122" t="str">
            <v>Consumables</v>
          </cell>
          <cell r="G2122">
            <v>0</v>
          </cell>
          <cell r="H2122">
            <v>0</v>
          </cell>
          <cell r="I2122" t="str">
            <v>Others</v>
          </cell>
          <cell r="J2122">
            <v>2</v>
          </cell>
          <cell r="K2122" t="str">
            <v>Consumables - rc</v>
          </cell>
        </row>
        <row r="2123">
          <cell r="D2123">
            <v>391990</v>
          </cell>
          <cell r="E2123" t="str">
            <v>Plastics; plates, sheets, film, foil, tape, strip, other flat shapes thereof, self-adhesive, other than in rolls of a width not exceeding 20cm</v>
          </cell>
          <cell r="F2123" t="str">
            <v>Consumables</v>
          </cell>
          <cell r="G2123">
            <v>0</v>
          </cell>
          <cell r="H2123">
            <v>0</v>
          </cell>
          <cell r="I2123" t="str">
            <v>Others</v>
          </cell>
          <cell r="J2123">
            <v>2</v>
          </cell>
          <cell r="K2123" t="str">
            <v>Consumables - rc</v>
          </cell>
        </row>
        <row r="2124">
          <cell r="D2124">
            <v>392010</v>
          </cell>
          <cell r="E2124" t="str">
            <v>Plastics; plates, sheets, film, foil and strip (not self-adhesive), of polymers of ethylene, non-cellular and not reinforced, laminated, supported or similarly combined with other materials</v>
          </cell>
          <cell r="F2124" t="str">
            <v>Consumables</v>
          </cell>
          <cell r="G2124">
            <v>0</v>
          </cell>
          <cell r="H2124">
            <v>0</v>
          </cell>
          <cell r="I2124" t="str">
            <v>Others</v>
          </cell>
          <cell r="J2124">
            <v>2</v>
          </cell>
          <cell r="K2124" t="str">
            <v>Consumables - rc</v>
          </cell>
        </row>
        <row r="2125">
          <cell r="D2125">
            <v>392020</v>
          </cell>
          <cell r="E2125" t="str">
            <v>Plastics; of polymers of propylene, plates, sheets, film, foil and strip (not self-adhesive), non-cellular and not reinforced, laminated, supported or similarly combined with other materials</v>
          </cell>
          <cell r="F2125" t="str">
            <v>Consumables</v>
          </cell>
          <cell r="G2125">
            <v>0</v>
          </cell>
          <cell r="H2125">
            <v>0</v>
          </cell>
          <cell r="I2125" t="str">
            <v>Others</v>
          </cell>
          <cell r="J2125">
            <v>2</v>
          </cell>
          <cell r="K2125" t="str">
            <v>Consumables - rc</v>
          </cell>
        </row>
        <row r="2126">
          <cell r="D2126">
            <v>392030</v>
          </cell>
          <cell r="E2126" t="str">
            <v>Plastics; of polymers of styrene, plates, sheets, film, foil and strip (not self-adhesive), non-cellular and not reinforced, laminated, supported or similarly combined with other materials</v>
          </cell>
          <cell r="F2126">
            <v>0</v>
          </cell>
          <cell r="G2126">
            <v>0</v>
          </cell>
          <cell r="H2126">
            <v>0</v>
          </cell>
          <cell r="I2126" t="str">
            <v>Others</v>
          </cell>
          <cell r="J2126">
            <v>3</v>
          </cell>
          <cell r="K2126" t="str">
            <v>Others</v>
          </cell>
        </row>
        <row r="2127">
          <cell r="D2127">
            <v>392043</v>
          </cell>
          <cell r="E2127" t="str">
            <v>Plastics; polymers of vinyl chloride, containing by weight not less than 6% of plasticisers; plates, sheets, film, foil and strip (not self-adhesive), non-cellular and not reinforced, laminated, supported or similarly combined with other materials</v>
          </cell>
          <cell r="F2127">
            <v>0</v>
          </cell>
          <cell r="G2127">
            <v>0</v>
          </cell>
          <cell r="H2127">
            <v>0</v>
          </cell>
          <cell r="I2127" t="str">
            <v>Others</v>
          </cell>
          <cell r="J2127">
            <v>3</v>
          </cell>
          <cell r="K2127" t="str">
            <v>Others</v>
          </cell>
        </row>
        <row r="2128">
          <cell r="D2128">
            <v>392049</v>
          </cell>
          <cell r="E2128" t="str">
            <v>Plastics; polymers of vinyl chloride, containing by weight, less than 6% of plasticisers; plates, sheets, film, foil and strip (not self-adhesive), non-cellular and not reinforced, laminated, supported or similarly combined with other materials</v>
          </cell>
          <cell r="F2128" t="str">
            <v>Consumables</v>
          </cell>
          <cell r="G2128">
            <v>0</v>
          </cell>
          <cell r="H2128">
            <v>0</v>
          </cell>
          <cell r="I2128" t="str">
            <v>Others</v>
          </cell>
          <cell r="J2128">
            <v>2</v>
          </cell>
          <cell r="K2128" t="str">
            <v>Consumables - rc</v>
          </cell>
        </row>
        <row r="2129">
          <cell r="D2129">
            <v>392051</v>
          </cell>
          <cell r="E2129" t="str">
            <v>Plastics; of acrylic polymers, polymethyl methacrylate, plates, sheets, film, foil and strip (not self-adhesive), non-cellular and not reinforced, laminated, supported or similarly combined with other materials</v>
          </cell>
          <cell r="F2129" t="str">
            <v>Consumables</v>
          </cell>
          <cell r="G2129">
            <v>0</v>
          </cell>
          <cell r="H2129">
            <v>0</v>
          </cell>
          <cell r="I2129" t="str">
            <v>Others</v>
          </cell>
          <cell r="J2129">
            <v>2</v>
          </cell>
          <cell r="K2129" t="str">
            <v>Consumables - rc</v>
          </cell>
        </row>
        <row r="2130">
          <cell r="D2130">
            <v>392059</v>
          </cell>
          <cell r="E2130" t="str">
            <v>Plastics; of acrylic polymers (excluding polymethyl methacrylate), plates, sheets, film, foil and strip (not self-adhesive), non-cellular and not reinforced, laminated, supported or similarly combined with other materials</v>
          </cell>
          <cell r="F2130">
            <v>0</v>
          </cell>
          <cell r="G2130">
            <v>0</v>
          </cell>
          <cell r="H2130">
            <v>0</v>
          </cell>
          <cell r="I2130" t="str">
            <v>Others</v>
          </cell>
          <cell r="J2130">
            <v>3</v>
          </cell>
          <cell r="K2130" t="str">
            <v>Others</v>
          </cell>
        </row>
        <row r="2131">
          <cell r="D2131">
            <v>392061</v>
          </cell>
          <cell r="E2131" t="str">
            <v>Plastics; plates, sheets, film, foil and strip (not self-adhesive), of polycarbonates, non-cellular and not reinforced, laminated, supported or similarly combined with other materials</v>
          </cell>
          <cell r="F2131" t="str">
            <v>Consumables</v>
          </cell>
          <cell r="G2131">
            <v>0</v>
          </cell>
          <cell r="H2131">
            <v>0</v>
          </cell>
          <cell r="I2131" t="str">
            <v>Others</v>
          </cell>
          <cell r="J2131">
            <v>2</v>
          </cell>
          <cell r="K2131" t="str">
            <v>Consumables - rc</v>
          </cell>
        </row>
        <row r="2132">
          <cell r="D2132">
            <v>392062</v>
          </cell>
          <cell r="E2132" t="str">
            <v>Plastics; plates, sheets, film, foil and strip (not self-adhesive), of poly(ethylene terephthalate), non-cellular and not reinforced, laminated, supported or similarly combined with other materials</v>
          </cell>
          <cell r="F2132" t="str">
            <v>Consumables</v>
          </cell>
          <cell r="G2132">
            <v>0</v>
          </cell>
          <cell r="H2132">
            <v>0</v>
          </cell>
          <cell r="I2132" t="str">
            <v>Others</v>
          </cell>
          <cell r="J2132">
            <v>2</v>
          </cell>
          <cell r="K2132" t="str">
            <v>Consumables - rc</v>
          </cell>
        </row>
        <row r="2133">
          <cell r="D2133">
            <v>392063</v>
          </cell>
          <cell r="E2133" t="str">
            <v>Plastics; plates, sheets, film, foil and strip (not self-adhesive), of unsaturated polyesters, non-cellular and not reinforced, laminated, supported or similarly combined with other materials</v>
          </cell>
          <cell r="F2133">
            <v>0</v>
          </cell>
          <cell r="G2133">
            <v>0</v>
          </cell>
          <cell r="H2133">
            <v>0</v>
          </cell>
          <cell r="I2133" t="str">
            <v>Others</v>
          </cell>
          <cell r="J2133">
            <v>3</v>
          </cell>
          <cell r="K2133" t="str">
            <v>Others</v>
          </cell>
        </row>
        <row r="2134">
          <cell r="D2134">
            <v>392069</v>
          </cell>
          <cell r="E2134" t="str">
            <v>Plastics; plates, sheets, film, foil and strip (not self-adhesive), of polyesters n.e.c. in heading no. 3920, non-cellular and not reinforced, laminated, supported or similarly combined with other materials</v>
          </cell>
          <cell r="F2134">
            <v>0</v>
          </cell>
          <cell r="G2134">
            <v>0</v>
          </cell>
          <cell r="H2134">
            <v>0</v>
          </cell>
          <cell r="I2134" t="str">
            <v>Others</v>
          </cell>
          <cell r="J2134">
            <v>3</v>
          </cell>
          <cell r="K2134" t="str">
            <v>Others</v>
          </cell>
        </row>
        <row r="2135">
          <cell r="D2135">
            <v>392071</v>
          </cell>
          <cell r="E2135" t="str">
            <v>Plastics; plates, sheets, film, foil and strip (not self-adhesive), of regenerated cellulose; non-cellular and not reinforced, laminated, supported or similarly combined with other materials</v>
          </cell>
          <cell r="F2135" t="str">
            <v>Consumables</v>
          </cell>
          <cell r="G2135">
            <v>0</v>
          </cell>
          <cell r="H2135">
            <v>0</v>
          </cell>
          <cell r="I2135" t="str">
            <v>Others</v>
          </cell>
          <cell r="J2135">
            <v>2</v>
          </cell>
          <cell r="K2135" t="str">
            <v>Consumables - rc</v>
          </cell>
        </row>
        <row r="2136">
          <cell r="D2136">
            <v>392073</v>
          </cell>
          <cell r="E2136" t="str">
            <v>Plastics; plates, sheets, film, foil and strip (not self-adhesive), of cellulose acetate, non-cellular and not reinforced, laminated, supported or similarly combined with other materials</v>
          </cell>
          <cell r="F2136">
            <v>0</v>
          </cell>
          <cell r="G2136">
            <v>0</v>
          </cell>
          <cell r="H2136">
            <v>0</v>
          </cell>
          <cell r="I2136" t="str">
            <v>Others</v>
          </cell>
          <cell r="J2136">
            <v>3</v>
          </cell>
          <cell r="K2136" t="str">
            <v>Others</v>
          </cell>
        </row>
        <row r="2137">
          <cell r="D2137">
            <v>392079</v>
          </cell>
          <cell r="E2137" t="str">
            <v>Plastics; plates, sheets, film, foil and strip (not self-adhesive), of cellulose derivatives n.e.c. in heading no. 3920, non-cellular and not reinforced, laminated, supported or similarly combined with other materials</v>
          </cell>
          <cell r="F2137">
            <v>0</v>
          </cell>
          <cell r="G2137">
            <v>0</v>
          </cell>
          <cell r="H2137">
            <v>0</v>
          </cell>
          <cell r="I2137" t="str">
            <v>Others</v>
          </cell>
          <cell r="J2137">
            <v>3</v>
          </cell>
          <cell r="K2137" t="str">
            <v>Others</v>
          </cell>
        </row>
        <row r="2138">
          <cell r="D2138">
            <v>392091</v>
          </cell>
          <cell r="E2138" t="str">
            <v>Plastics; plates, sheets, film, foil and strip (not self-adhesive), of poly(vinyl butyral), non-cellular and not reinforced, laminated, supported or similarly combined with other materials</v>
          </cell>
          <cell r="F2138">
            <v>0</v>
          </cell>
          <cell r="G2138">
            <v>0</v>
          </cell>
          <cell r="H2138">
            <v>0</v>
          </cell>
          <cell r="I2138" t="str">
            <v>Others</v>
          </cell>
          <cell r="J2138">
            <v>3</v>
          </cell>
          <cell r="K2138" t="str">
            <v>Others</v>
          </cell>
        </row>
        <row r="2139">
          <cell r="D2139">
            <v>392092</v>
          </cell>
          <cell r="E2139" t="str">
            <v>Plastics; plates, sheets, film, foil and strip (not self-adhesive), of polyamides, non-cellular and not reinforced, laminated, supported or similarly combined with other materials</v>
          </cell>
          <cell r="F2139" t="str">
            <v>Consumables</v>
          </cell>
          <cell r="G2139">
            <v>0</v>
          </cell>
          <cell r="H2139">
            <v>0</v>
          </cell>
          <cell r="I2139" t="str">
            <v>Others</v>
          </cell>
          <cell r="J2139">
            <v>2</v>
          </cell>
          <cell r="K2139" t="str">
            <v>Consumables - rc</v>
          </cell>
        </row>
        <row r="2140">
          <cell r="D2140">
            <v>392093</v>
          </cell>
          <cell r="E2140" t="str">
            <v>Plastics; plates, sheets, film, foil and strip (not self-adhesive), of amino-resins, non-cellular and not reinforced, laminated, supported or similarly combined with other materials</v>
          </cell>
          <cell r="F2140">
            <v>0</v>
          </cell>
          <cell r="G2140">
            <v>0</v>
          </cell>
          <cell r="H2140">
            <v>0</v>
          </cell>
          <cell r="I2140" t="str">
            <v>Others</v>
          </cell>
          <cell r="J2140">
            <v>3</v>
          </cell>
          <cell r="K2140" t="str">
            <v>Others</v>
          </cell>
        </row>
        <row r="2141">
          <cell r="D2141">
            <v>392094</v>
          </cell>
          <cell r="E2141" t="str">
            <v>Plastics; plates, sheets, film, foil and strip (not self-adhesive), of phenolic resins, non-cellular and not reinforced, laminated, supported or similarly combined with other materials</v>
          </cell>
          <cell r="F2141" t="str">
            <v>Consumables</v>
          </cell>
          <cell r="G2141">
            <v>0</v>
          </cell>
          <cell r="H2141">
            <v>0</v>
          </cell>
          <cell r="I2141" t="str">
            <v>Others</v>
          </cell>
          <cell r="J2141">
            <v>2</v>
          </cell>
          <cell r="K2141" t="str">
            <v>Consumables - rc</v>
          </cell>
        </row>
        <row r="2142">
          <cell r="D2142">
            <v>392099</v>
          </cell>
          <cell r="E2142" t="str">
            <v>Plastics; plates, sheets, film, foil and strip (not self-adhesive), of plastics n.e.c. in heading no. 3920, non-cellular and not reinforced, laminated, supported or similarly combined with other materials</v>
          </cell>
          <cell r="F2142" t="str">
            <v>Consumables</v>
          </cell>
          <cell r="G2142">
            <v>0</v>
          </cell>
          <cell r="H2142">
            <v>0</v>
          </cell>
          <cell r="I2142" t="str">
            <v>Others</v>
          </cell>
          <cell r="J2142">
            <v>2</v>
          </cell>
          <cell r="K2142" t="str">
            <v>Consumables - rc</v>
          </cell>
        </row>
        <row r="2143">
          <cell r="D2143">
            <v>392111</v>
          </cell>
          <cell r="E2143" t="str">
            <v>Plastics; plates, sheets, film, foil and strip, of polymers of styrene, cellular</v>
          </cell>
          <cell r="F2143" t="str">
            <v>Consumables</v>
          </cell>
          <cell r="G2143">
            <v>0</v>
          </cell>
          <cell r="H2143">
            <v>0</v>
          </cell>
          <cell r="I2143" t="str">
            <v>Others</v>
          </cell>
          <cell r="J2143">
            <v>2</v>
          </cell>
          <cell r="K2143" t="str">
            <v>Consumables - rc</v>
          </cell>
        </row>
        <row r="2144">
          <cell r="D2144">
            <v>392112</v>
          </cell>
          <cell r="E2144" t="str">
            <v>Plastics; plates, sheets, film, foil and strip, of polymers of vinyl chloride, cellular</v>
          </cell>
          <cell r="F2144" t="str">
            <v>Consumables</v>
          </cell>
          <cell r="G2144">
            <v>0</v>
          </cell>
          <cell r="H2144">
            <v>0</v>
          </cell>
          <cell r="I2144" t="str">
            <v>Others</v>
          </cell>
          <cell r="J2144">
            <v>2</v>
          </cell>
          <cell r="K2144" t="str">
            <v>Consumables - rc</v>
          </cell>
        </row>
        <row r="2145">
          <cell r="D2145">
            <v>392113</v>
          </cell>
          <cell r="E2145" t="str">
            <v>Plastics; plates, sheets, film, foil and strip, of polyurethanes, cellular</v>
          </cell>
          <cell r="F2145" t="str">
            <v>Consumables</v>
          </cell>
          <cell r="G2145">
            <v>0</v>
          </cell>
          <cell r="H2145">
            <v>0</v>
          </cell>
          <cell r="I2145" t="str">
            <v>Others</v>
          </cell>
          <cell r="J2145">
            <v>2</v>
          </cell>
          <cell r="K2145" t="str">
            <v>Consumables - rc</v>
          </cell>
        </row>
        <row r="2146">
          <cell r="D2146">
            <v>392114</v>
          </cell>
          <cell r="E2146" t="str">
            <v>Plastics; plates, sheets, film, foil and strip, of regenerated cellulose, cellular</v>
          </cell>
          <cell r="F2146">
            <v>0</v>
          </cell>
          <cell r="G2146">
            <v>0</v>
          </cell>
          <cell r="H2146">
            <v>0</v>
          </cell>
          <cell r="I2146" t="str">
            <v>Others</v>
          </cell>
          <cell r="J2146">
            <v>3</v>
          </cell>
          <cell r="K2146" t="str">
            <v>Others</v>
          </cell>
        </row>
        <row r="2147">
          <cell r="D2147">
            <v>392119</v>
          </cell>
          <cell r="E2147" t="str">
            <v>Plastics; plates, sheets, film, foil and strip, of plastics n.e.c. in heading no. 3921, cellular</v>
          </cell>
          <cell r="F2147" t="str">
            <v>Consumables</v>
          </cell>
          <cell r="G2147">
            <v>0</v>
          </cell>
          <cell r="H2147">
            <v>0</v>
          </cell>
          <cell r="I2147" t="str">
            <v>Others</v>
          </cell>
          <cell r="J2147">
            <v>2</v>
          </cell>
          <cell r="K2147" t="str">
            <v>Consumables - rc</v>
          </cell>
        </row>
        <row r="2148">
          <cell r="D2148">
            <v>392190</v>
          </cell>
          <cell r="E2148" t="str">
            <v>Plastics; plates, sheets, film, foil and strip, other than cellular</v>
          </cell>
          <cell r="F2148" t="str">
            <v>Consumables</v>
          </cell>
          <cell r="G2148">
            <v>0</v>
          </cell>
          <cell r="H2148">
            <v>0</v>
          </cell>
          <cell r="I2148" t="str">
            <v>Others</v>
          </cell>
          <cell r="J2148">
            <v>2</v>
          </cell>
          <cell r="K2148" t="str">
            <v>Consumables - rc</v>
          </cell>
        </row>
        <row r="2149">
          <cell r="D2149">
            <v>392210</v>
          </cell>
          <cell r="E2149" t="str">
            <v>Plastics; baths, shower-baths, sinks and wash-basins</v>
          </cell>
          <cell r="F2149">
            <v>0</v>
          </cell>
          <cell r="G2149">
            <v>0</v>
          </cell>
          <cell r="H2149">
            <v>0</v>
          </cell>
          <cell r="I2149" t="str">
            <v>Others</v>
          </cell>
          <cell r="J2149">
            <v>3</v>
          </cell>
          <cell r="K2149" t="str">
            <v>Others</v>
          </cell>
        </row>
        <row r="2150">
          <cell r="D2150">
            <v>392220</v>
          </cell>
          <cell r="E2150" t="str">
            <v>Plastics; lavatory seats and covers</v>
          </cell>
          <cell r="F2150">
            <v>0</v>
          </cell>
          <cell r="G2150">
            <v>0</v>
          </cell>
          <cell r="H2150">
            <v>0</v>
          </cell>
          <cell r="I2150" t="str">
            <v>Others</v>
          </cell>
          <cell r="J2150">
            <v>3</v>
          </cell>
          <cell r="K2150" t="str">
            <v>Others</v>
          </cell>
        </row>
        <row r="2151">
          <cell r="D2151">
            <v>392290</v>
          </cell>
          <cell r="E2151" t="str">
            <v>Plastics; bidets, lavatory pans, flushing cisterns and similar sanitary ware n.e.c. in heading no. 3922</v>
          </cell>
          <cell r="F2151">
            <v>0</v>
          </cell>
          <cell r="G2151">
            <v>0</v>
          </cell>
          <cell r="H2151">
            <v>0</v>
          </cell>
          <cell r="I2151" t="str">
            <v>Others</v>
          </cell>
          <cell r="J2151">
            <v>3</v>
          </cell>
          <cell r="K2151" t="str">
            <v>Others</v>
          </cell>
        </row>
        <row r="2152">
          <cell r="D2152">
            <v>392310</v>
          </cell>
          <cell r="E2152" t="str">
            <v>Plastics; boxes, cases, crates and similar articles for the conveyance or packing of goods</v>
          </cell>
          <cell r="F2152" t="str">
            <v>Capital Goods</v>
          </cell>
          <cell r="G2152">
            <v>0</v>
          </cell>
          <cell r="H2152">
            <v>0</v>
          </cell>
          <cell r="I2152" t="str">
            <v>Others</v>
          </cell>
          <cell r="J2152">
            <v>2</v>
          </cell>
          <cell r="K2152" t="str">
            <v>Others</v>
          </cell>
        </row>
        <row r="2153">
          <cell r="D2153">
            <v>392321</v>
          </cell>
          <cell r="E2153" t="str">
            <v>Ethylene polymers; sacks and bags (including cones), for the conveyance or packing of goods</v>
          </cell>
          <cell r="F2153" t="str">
            <v>Consumables</v>
          </cell>
          <cell r="G2153">
            <v>0</v>
          </cell>
          <cell r="H2153">
            <v>0</v>
          </cell>
          <cell r="I2153" t="str">
            <v>Others</v>
          </cell>
          <cell r="J2153">
            <v>2</v>
          </cell>
          <cell r="K2153" t="str">
            <v>Consumables - rc</v>
          </cell>
        </row>
        <row r="2154">
          <cell r="D2154">
            <v>392329</v>
          </cell>
          <cell r="E2154" t="str">
            <v>Plastics; sacks and bags (including cones), for the conveyance or packing of goods, of plastics other than ethylene polymers</v>
          </cell>
          <cell r="F2154" t="str">
            <v>Consumables</v>
          </cell>
          <cell r="G2154">
            <v>0</v>
          </cell>
          <cell r="H2154">
            <v>0</v>
          </cell>
          <cell r="I2154" t="str">
            <v>Others</v>
          </cell>
          <cell r="J2154">
            <v>2</v>
          </cell>
          <cell r="K2154" t="str">
            <v>Consumables</v>
          </cell>
        </row>
        <row r="2155">
          <cell r="D2155">
            <v>392330</v>
          </cell>
          <cell r="E2155" t="str">
            <v>Plastics; carboys, bottles, flasks and similar articles, for the conveyance or packing of goods</v>
          </cell>
          <cell r="F2155" t="str">
            <v>Consumables</v>
          </cell>
          <cell r="G2155">
            <v>0</v>
          </cell>
          <cell r="H2155">
            <v>0</v>
          </cell>
          <cell r="I2155" t="str">
            <v>Others</v>
          </cell>
          <cell r="J2155">
            <v>2</v>
          </cell>
          <cell r="K2155" t="str">
            <v>Consumables - rc</v>
          </cell>
        </row>
        <row r="2156">
          <cell r="D2156">
            <v>392340</v>
          </cell>
          <cell r="E2156" t="str">
            <v>Plastics; spools, cops, bobbins and similar supports, for the conveyance or packing of goods</v>
          </cell>
          <cell r="F2156" t="str">
            <v>Consumables</v>
          </cell>
          <cell r="G2156">
            <v>0</v>
          </cell>
          <cell r="H2156">
            <v>0</v>
          </cell>
          <cell r="I2156" t="str">
            <v>Others</v>
          </cell>
          <cell r="J2156">
            <v>2</v>
          </cell>
          <cell r="K2156" t="str">
            <v>Consumables - rc</v>
          </cell>
        </row>
        <row r="2157">
          <cell r="D2157">
            <v>392350</v>
          </cell>
          <cell r="E2157" t="str">
            <v>Plastics; stoppers, lids, caps and other closures, for the conveyance or packing of goods</v>
          </cell>
          <cell r="F2157" t="str">
            <v>Consumables</v>
          </cell>
          <cell r="G2157">
            <v>0</v>
          </cell>
          <cell r="H2157">
            <v>0</v>
          </cell>
          <cell r="I2157" t="str">
            <v>Others</v>
          </cell>
          <cell r="J2157">
            <v>2</v>
          </cell>
          <cell r="K2157" t="str">
            <v>Consumables - rc</v>
          </cell>
        </row>
        <row r="2158">
          <cell r="D2158">
            <v>392390</v>
          </cell>
          <cell r="E2158" t="str">
            <v>Plastics; articles for the conveyance or packing of goods n.e.c. in heading no. 3923</v>
          </cell>
          <cell r="F2158" t="str">
            <v>Capital Goods</v>
          </cell>
          <cell r="G2158">
            <v>0</v>
          </cell>
          <cell r="H2158">
            <v>0</v>
          </cell>
          <cell r="I2158" t="str">
            <v>Others</v>
          </cell>
          <cell r="J2158">
            <v>2</v>
          </cell>
          <cell r="K2158" t="str">
            <v>Consumables - rc</v>
          </cell>
        </row>
        <row r="2159">
          <cell r="D2159">
            <v>392410</v>
          </cell>
          <cell r="E2159" t="str">
            <v>Plastics; tableware and kitchenware</v>
          </cell>
          <cell r="F2159" t="str">
            <v>Others</v>
          </cell>
          <cell r="G2159">
            <v>0</v>
          </cell>
          <cell r="H2159">
            <v>0</v>
          </cell>
          <cell r="I2159" t="str">
            <v>Others</v>
          </cell>
          <cell r="J2159">
            <v>2</v>
          </cell>
          <cell r="K2159" t="str">
            <v>Others</v>
          </cell>
        </row>
        <row r="2160">
          <cell r="D2160">
            <v>392490</v>
          </cell>
          <cell r="E2160" t="str">
            <v>Plastics; household articles and hygienic or toilet articles</v>
          </cell>
          <cell r="F2160" t="str">
            <v>Others</v>
          </cell>
          <cell r="G2160">
            <v>0</v>
          </cell>
          <cell r="H2160">
            <v>0</v>
          </cell>
          <cell r="I2160" t="str">
            <v>Others</v>
          </cell>
          <cell r="J2160">
            <v>2</v>
          </cell>
          <cell r="K2160" t="str">
            <v>Others</v>
          </cell>
        </row>
        <row r="2161">
          <cell r="D2161">
            <v>392510</v>
          </cell>
          <cell r="E2161" t="str">
            <v>Plastics; builders' ware, reservoirs, tanks, vats and similar containers of a capacity exceeding 300 litres</v>
          </cell>
          <cell r="F2161">
            <v>0</v>
          </cell>
          <cell r="G2161">
            <v>0</v>
          </cell>
          <cell r="H2161">
            <v>0</v>
          </cell>
          <cell r="I2161" t="str">
            <v>Others</v>
          </cell>
          <cell r="J2161">
            <v>3</v>
          </cell>
          <cell r="K2161" t="str">
            <v>Others</v>
          </cell>
        </row>
        <row r="2162">
          <cell r="D2162">
            <v>392520</v>
          </cell>
          <cell r="E2162" t="str">
            <v>Plastics; builders' ware, doors, windows and their frames and thresholds for doors</v>
          </cell>
          <cell r="F2162">
            <v>0</v>
          </cell>
          <cell r="G2162">
            <v>0</v>
          </cell>
          <cell r="H2162">
            <v>0</v>
          </cell>
          <cell r="I2162" t="str">
            <v>Others</v>
          </cell>
          <cell r="J2162">
            <v>3</v>
          </cell>
          <cell r="K2162" t="str">
            <v>Others</v>
          </cell>
        </row>
        <row r="2163">
          <cell r="D2163">
            <v>392530</v>
          </cell>
          <cell r="E2163" t="str">
            <v>Plastics; builders' ware, shutters, blinds (including venetian blinds) and similar articles and parts thereof</v>
          </cell>
          <cell r="F2163">
            <v>0</v>
          </cell>
          <cell r="G2163">
            <v>0</v>
          </cell>
          <cell r="H2163">
            <v>0</v>
          </cell>
          <cell r="I2163" t="str">
            <v>Others</v>
          </cell>
          <cell r="J2163">
            <v>3</v>
          </cell>
          <cell r="K2163" t="str">
            <v>Others</v>
          </cell>
        </row>
        <row r="2164">
          <cell r="D2164">
            <v>392590</v>
          </cell>
          <cell r="E2164" t="str">
            <v>Plastics; builders' ware, n.e.c. or included in heading no. 3925</v>
          </cell>
          <cell r="F2164" t="str">
            <v>Others</v>
          </cell>
          <cell r="G2164">
            <v>0</v>
          </cell>
          <cell r="H2164">
            <v>0</v>
          </cell>
          <cell r="I2164" t="str">
            <v>Others</v>
          </cell>
          <cell r="J2164">
            <v>2</v>
          </cell>
          <cell r="K2164" t="str">
            <v>Others</v>
          </cell>
        </row>
        <row r="2165">
          <cell r="D2165">
            <v>392610</v>
          </cell>
          <cell r="E2165" t="str">
            <v>Plastics; office or school supplies</v>
          </cell>
          <cell r="F2165" t="str">
            <v>Consumables</v>
          </cell>
          <cell r="G2165">
            <v>0</v>
          </cell>
          <cell r="H2165">
            <v>0</v>
          </cell>
          <cell r="I2165" t="str">
            <v>Others</v>
          </cell>
          <cell r="J2165">
            <v>2</v>
          </cell>
          <cell r="K2165" t="str">
            <v>Consumables - rc</v>
          </cell>
        </row>
        <row r="2166">
          <cell r="D2166">
            <v>392620</v>
          </cell>
          <cell r="E2166" t="str">
            <v>Plastics; articles of apparel and clothing accessories (including gloves, mittens and mitts)</v>
          </cell>
          <cell r="F2166" t="str">
            <v>Consumables</v>
          </cell>
          <cell r="G2166">
            <v>0</v>
          </cell>
          <cell r="H2166">
            <v>0</v>
          </cell>
          <cell r="I2166" t="str">
            <v>Others</v>
          </cell>
          <cell r="J2166">
            <v>2</v>
          </cell>
          <cell r="K2166" t="str">
            <v>Consumables - rc</v>
          </cell>
        </row>
        <row r="2167">
          <cell r="D2167">
            <v>392630</v>
          </cell>
          <cell r="E2167" t="str">
            <v>Plastics; fittings for furniture, coachwork or the like</v>
          </cell>
          <cell r="F2167" t="str">
            <v>Consumables</v>
          </cell>
          <cell r="G2167">
            <v>0</v>
          </cell>
          <cell r="H2167">
            <v>0</v>
          </cell>
          <cell r="I2167" t="str">
            <v>Others</v>
          </cell>
          <cell r="J2167">
            <v>2</v>
          </cell>
          <cell r="K2167" t="str">
            <v>Consumables - rc</v>
          </cell>
        </row>
        <row r="2168">
          <cell r="D2168">
            <v>392640</v>
          </cell>
          <cell r="E2168" t="str">
            <v>Plastics; statuettes and other ornamental articles</v>
          </cell>
          <cell r="F2168">
            <v>0</v>
          </cell>
          <cell r="G2168">
            <v>0</v>
          </cell>
          <cell r="H2168">
            <v>0</v>
          </cell>
          <cell r="I2168" t="str">
            <v>Others</v>
          </cell>
          <cell r="J2168">
            <v>3</v>
          </cell>
          <cell r="K2168" t="str">
            <v>Others</v>
          </cell>
        </row>
        <row r="2169">
          <cell r="D2169">
            <v>392690</v>
          </cell>
          <cell r="E2169" t="str">
            <v>Plastics; other articles n.e.c. in chapter 39</v>
          </cell>
          <cell r="F2169" t="str">
            <v>Others</v>
          </cell>
          <cell r="G2169">
            <v>0</v>
          </cell>
          <cell r="H2169">
            <v>0</v>
          </cell>
          <cell r="I2169" t="str">
            <v>Others</v>
          </cell>
          <cell r="J2169">
            <v>2</v>
          </cell>
          <cell r="K2169" t="str">
            <v>Consumables - rc</v>
          </cell>
        </row>
        <row r="2170">
          <cell r="D2170">
            <v>400110</v>
          </cell>
          <cell r="E2170" t="str">
            <v>Rubber; natural rubber latex, whether or not pre-vulcanised, in primary forms or in plates, sheets or strip</v>
          </cell>
          <cell r="F2170">
            <v>0</v>
          </cell>
          <cell r="G2170">
            <v>0</v>
          </cell>
          <cell r="H2170">
            <v>0</v>
          </cell>
          <cell r="I2170" t="str">
            <v>Others</v>
          </cell>
          <cell r="J2170">
            <v>3</v>
          </cell>
          <cell r="K2170" t="str">
            <v>Others</v>
          </cell>
        </row>
        <row r="2171">
          <cell r="D2171">
            <v>400121</v>
          </cell>
          <cell r="E2171" t="str">
            <v>Rubber; natural (excluding latex), in smoked sheets</v>
          </cell>
          <cell r="F2171">
            <v>0</v>
          </cell>
          <cell r="G2171">
            <v>0</v>
          </cell>
          <cell r="H2171">
            <v>0</v>
          </cell>
          <cell r="I2171" t="str">
            <v>Others</v>
          </cell>
          <cell r="J2171">
            <v>3</v>
          </cell>
          <cell r="K2171" t="str">
            <v>Others</v>
          </cell>
        </row>
        <row r="2172">
          <cell r="D2172">
            <v>400122</v>
          </cell>
          <cell r="E2172" t="str">
            <v>Rubber; technically specified natural rubber (TSNR), in primary forms or in plates, sheets or strip (excluding latex and smoked sheets)</v>
          </cell>
          <cell r="F2172">
            <v>0</v>
          </cell>
          <cell r="G2172">
            <v>0</v>
          </cell>
          <cell r="H2172">
            <v>0</v>
          </cell>
          <cell r="I2172" t="str">
            <v>Others</v>
          </cell>
          <cell r="J2172">
            <v>3</v>
          </cell>
          <cell r="K2172" t="str">
            <v>Others</v>
          </cell>
        </row>
        <row r="2173">
          <cell r="D2173">
            <v>400129</v>
          </cell>
          <cell r="E2173" t="str">
            <v>Rubber; natural (excluding latex, technically specified natural rubber and smoked sheets), in primary forms or in plates, sheets or strip</v>
          </cell>
          <cell r="F2173">
            <v>0</v>
          </cell>
          <cell r="G2173">
            <v>0</v>
          </cell>
          <cell r="H2173">
            <v>0</v>
          </cell>
          <cell r="I2173" t="str">
            <v>Others</v>
          </cell>
          <cell r="J2173">
            <v>3</v>
          </cell>
          <cell r="K2173" t="str">
            <v>Others</v>
          </cell>
        </row>
        <row r="2174">
          <cell r="D2174">
            <v>400130</v>
          </cell>
          <cell r="E2174" t="str">
            <v>Balata, gutta-percha, guayule, chicle and similar natural gums; in primary forms or in plates, sheets or strip</v>
          </cell>
          <cell r="F2174">
            <v>0</v>
          </cell>
          <cell r="G2174">
            <v>0</v>
          </cell>
          <cell r="H2174">
            <v>0</v>
          </cell>
          <cell r="I2174" t="str">
            <v>Others</v>
          </cell>
          <cell r="J2174">
            <v>3</v>
          </cell>
          <cell r="K2174" t="str">
            <v>Others</v>
          </cell>
        </row>
        <row r="2175">
          <cell r="D2175">
            <v>400211</v>
          </cell>
          <cell r="E2175" t="str">
            <v>Rubber; synthetic, styrene-butadiene rubber (SBR) and carboxylated styrene-butadiene rubber (XSBR) latex, in primary forms or in plates, sheets or strip</v>
          </cell>
          <cell r="F2175">
            <v>0</v>
          </cell>
          <cell r="G2175">
            <v>0</v>
          </cell>
          <cell r="H2175">
            <v>0</v>
          </cell>
          <cell r="I2175" t="str">
            <v>Others</v>
          </cell>
          <cell r="J2175">
            <v>3</v>
          </cell>
          <cell r="K2175" t="str">
            <v>Others</v>
          </cell>
        </row>
        <row r="2176">
          <cell r="D2176">
            <v>400219</v>
          </cell>
          <cell r="E2176" t="str">
            <v>Rubber; synthetic, styrene-butadiene rubber (SBR) and carboxylated styrene-butadiene rubber (XSBR), (other than latex), in primary forms or in plates, sheets or strip</v>
          </cell>
          <cell r="F2176" t="str">
            <v>Consumables</v>
          </cell>
          <cell r="G2176">
            <v>0</v>
          </cell>
          <cell r="H2176">
            <v>0</v>
          </cell>
          <cell r="I2176" t="str">
            <v>Others</v>
          </cell>
          <cell r="J2176">
            <v>2</v>
          </cell>
          <cell r="K2176" t="str">
            <v>Consumables</v>
          </cell>
        </row>
        <row r="2177">
          <cell r="D2177">
            <v>400220</v>
          </cell>
          <cell r="E2177" t="str">
            <v>Rubber; synthetic, butadiene rubber (BR), in primary forms or in plates, sheets or strip</v>
          </cell>
          <cell r="F2177">
            <v>0</v>
          </cell>
          <cell r="G2177">
            <v>0</v>
          </cell>
          <cell r="H2177">
            <v>0</v>
          </cell>
          <cell r="I2177" t="str">
            <v>Others</v>
          </cell>
          <cell r="J2177">
            <v>3</v>
          </cell>
          <cell r="K2177" t="str">
            <v>Others</v>
          </cell>
        </row>
        <row r="2178">
          <cell r="D2178">
            <v>400231</v>
          </cell>
          <cell r="E2178" t="str">
            <v>Rubber; synthetic, isobutene-isoprene (butyl) rubber (IIR), in primary forms or in plates, sheets or strip</v>
          </cell>
          <cell r="F2178">
            <v>0</v>
          </cell>
          <cell r="G2178">
            <v>0</v>
          </cell>
          <cell r="H2178">
            <v>0</v>
          </cell>
          <cell r="I2178" t="str">
            <v>Others</v>
          </cell>
          <cell r="J2178">
            <v>3</v>
          </cell>
          <cell r="K2178" t="str">
            <v>Others</v>
          </cell>
        </row>
        <row r="2179">
          <cell r="D2179">
            <v>400239</v>
          </cell>
          <cell r="E2179" t="str">
            <v>Rubber; synthetic, halo-isobutene-isoprene rubber (CIIR or BIIR), in primary forms or in plates, sheets or strip</v>
          </cell>
          <cell r="F2179">
            <v>0</v>
          </cell>
          <cell r="G2179">
            <v>0</v>
          </cell>
          <cell r="H2179">
            <v>0</v>
          </cell>
          <cell r="I2179" t="str">
            <v>Others</v>
          </cell>
          <cell r="J2179">
            <v>3</v>
          </cell>
          <cell r="K2179" t="str">
            <v>Others</v>
          </cell>
        </row>
        <row r="2180">
          <cell r="D2180">
            <v>400241</v>
          </cell>
          <cell r="E2180" t="str">
            <v>Rubber; synthetic, chloroprene (chlorobutadiene) rubber (CR), latex, in primary forms or in plates, sheets or strip</v>
          </cell>
          <cell r="F2180">
            <v>0</v>
          </cell>
          <cell r="G2180">
            <v>0</v>
          </cell>
          <cell r="H2180">
            <v>0</v>
          </cell>
          <cell r="I2180" t="str">
            <v>Others</v>
          </cell>
          <cell r="J2180">
            <v>3</v>
          </cell>
          <cell r="K2180" t="str">
            <v>Others</v>
          </cell>
        </row>
        <row r="2181">
          <cell r="D2181">
            <v>400249</v>
          </cell>
          <cell r="E2181" t="str">
            <v>Rubber; synthetic, chloroprene (chlorobutadiene) rubber (CR), (other than latex), in primary forms or in plates, sheets or strip</v>
          </cell>
          <cell r="F2181">
            <v>0</v>
          </cell>
          <cell r="G2181">
            <v>0</v>
          </cell>
          <cell r="H2181">
            <v>0</v>
          </cell>
          <cell r="I2181" t="str">
            <v>Others</v>
          </cell>
          <cell r="J2181">
            <v>3</v>
          </cell>
          <cell r="K2181" t="str">
            <v>Others</v>
          </cell>
        </row>
        <row r="2182">
          <cell r="D2182">
            <v>400251</v>
          </cell>
          <cell r="E2182" t="str">
            <v>Rubber; synthetic, acrylonitrile-butadiene rubber (NBR), latex, in primary forms or in plates, sheets or strip</v>
          </cell>
          <cell r="F2182">
            <v>0</v>
          </cell>
          <cell r="G2182">
            <v>0</v>
          </cell>
          <cell r="H2182">
            <v>0</v>
          </cell>
          <cell r="I2182" t="str">
            <v>Others</v>
          </cell>
          <cell r="J2182">
            <v>3</v>
          </cell>
          <cell r="K2182" t="str">
            <v>Others</v>
          </cell>
        </row>
        <row r="2183">
          <cell r="D2183">
            <v>400259</v>
          </cell>
          <cell r="E2183" t="str">
            <v>Rubber; synthetic, acrylonitrile-butadiene rubber (NBR), (other than latex), in primary forms or in plates, sheets or strip</v>
          </cell>
          <cell r="F2183">
            <v>0</v>
          </cell>
          <cell r="G2183">
            <v>0</v>
          </cell>
          <cell r="H2183">
            <v>0</v>
          </cell>
          <cell r="I2183" t="str">
            <v>Others</v>
          </cell>
          <cell r="J2183">
            <v>3</v>
          </cell>
          <cell r="K2183" t="str">
            <v>Others</v>
          </cell>
        </row>
        <row r="2184">
          <cell r="D2184">
            <v>400260</v>
          </cell>
          <cell r="E2184" t="str">
            <v>Rubber; synthetic, isoprene rubber (IR), in primary forms or in plates, sheets or strip</v>
          </cell>
          <cell r="F2184">
            <v>0</v>
          </cell>
          <cell r="G2184">
            <v>0</v>
          </cell>
          <cell r="H2184">
            <v>0</v>
          </cell>
          <cell r="I2184" t="str">
            <v>Others</v>
          </cell>
          <cell r="J2184">
            <v>3</v>
          </cell>
          <cell r="K2184" t="str">
            <v>Others</v>
          </cell>
        </row>
        <row r="2185">
          <cell r="D2185">
            <v>400270</v>
          </cell>
          <cell r="E2185" t="str">
            <v>Rubber; synthetic, ethylene-propylene-non-conjugated diene rubber (EPDM), in primary forms or in plates, sheets or strip</v>
          </cell>
          <cell r="F2185">
            <v>0</v>
          </cell>
          <cell r="G2185">
            <v>0</v>
          </cell>
          <cell r="H2185">
            <v>0</v>
          </cell>
          <cell r="I2185" t="str">
            <v>Others</v>
          </cell>
          <cell r="J2185">
            <v>3</v>
          </cell>
          <cell r="K2185" t="str">
            <v>Others</v>
          </cell>
        </row>
        <row r="2186">
          <cell r="D2186">
            <v>400280</v>
          </cell>
          <cell r="E2186" t="str">
            <v>Rubber; mixtures of natural and synthetic rubbers of heading no. 4001 and 4002, in primary forms or in plates, sheets or strip</v>
          </cell>
          <cell r="F2186">
            <v>0</v>
          </cell>
          <cell r="G2186">
            <v>0</v>
          </cell>
          <cell r="H2186">
            <v>0</v>
          </cell>
          <cell r="I2186" t="str">
            <v>Others</v>
          </cell>
          <cell r="J2186">
            <v>3</v>
          </cell>
          <cell r="K2186" t="str">
            <v>Others</v>
          </cell>
        </row>
        <row r="2187">
          <cell r="D2187">
            <v>400291</v>
          </cell>
          <cell r="E2187" t="str">
            <v>Rubber; synthetic, n.e.c. in heading 4002, latex, in primary forms or in plates, sheets or strip</v>
          </cell>
          <cell r="F2187">
            <v>0</v>
          </cell>
          <cell r="G2187">
            <v>0</v>
          </cell>
          <cell r="H2187">
            <v>0</v>
          </cell>
          <cell r="I2187" t="str">
            <v>Others</v>
          </cell>
          <cell r="J2187">
            <v>3</v>
          </cell>
          <cell r="K2187" t="str">
            <v>Others</v>
          </cell>
        </row>
        <row r="2188">
          <cell r="D2188">
            <v>400299</v>
          </cell>
          <cell r="E2188" t="str">
            <v>Rubber; synthetic, n.e.c. in heading 4002, (other than latex), in primary forms or in plates, sheets or strip</v>
          </cell>
          <cell r="F2188">
            <v>0</v>
          </cell>
          <cell r="G2188">
            <v>0</v>
          </cell>
          <cell r="H2188">
            <v>0</v>
          </cell>
          <cell r="I2188" t="str">
            <v>Others</v>
          </cell>
          <cell r="J2188">
            <v>3</v>
          </cell>
          <cell r="K2188" t="str">
            <v>Others</v>
          </cell>
        </row>
        <row r="2189">
          <cell r="D2189">
            <v>400300</v>
          </cell>
          <cell r="E2189" t="str">
            <v>Rubber; reclaimed rubber, in primary forms or in plates, sheets or strip</v>
          </cell>
          <cell r="F2189">
            <v>0</v>
          </cell>
          <cell r="G2189">
            <v>0</v>
          </cell>
          <cell r="H2189">
            <v>0</v>
          </cell>
          <cell r="I2189" t="str">
            <v>Others</v>
          </cell>
          <cell r="J2189">
            <v>3</v>
          </cell>
          <cell r="K2189" t="str">
            <v>Others</v>
          </cell>
        </row>
        <row r="2190">
          <cell r="D2190">
            <v>400400</v>
          </cell>
          <cell r="E2190" t="str">
            <v>Rubber; waste, parings and scrap of rubber (other than hard rubber) and powders and granules obtained therefrom</v>
          </cell>
          <cell r="F2190">
            <v>0</v>
          </cell>
          <cell r="G2190">
            <v>0</v>
          </cell>
          <cell r="H2190">
            <v>0</v>
          </cell>
          <cell r="I2190" t="str">
            <v>Others</v>
          </cell>
          <cell r="J2190">
            <v>3</v>
          </cell>
          <cell r="K2190" t="str">
            <v>Others</v>
          </cell>
        </row>
        <row r="2191">
          <cell r="D2191">
            <v>400510</v>
          </cell>
          <cell r="E2191" t="str">
            <v>Rubber; unvulcanised, compounded with carbon black or silica, in primary forms or in plates, sheets or strip</v>
          </cell>
          <cell r="F2191">
            <v>0</v>
          </cell>
          <cell r="G2191">
            <v>0</v>
          </cell>
          <cell r="H2191">
            <v>0</v>
          </cell>
          <cell r="I2191" t="str">
            <v>Others</v>
          </cell>
          <cell r="J2191">
            <v>3</v>
          </cell>
          <cell r="K2191" t="str">
            <v>Others</v>
          </cell>
        </row>
        <row r="2192">
          <cell r="D2192">
            <v>400520</v>
          </cell>
          <cell r="E2192" t="str">
            <v>Rubber; unvulcanised, compounded, solutions and dispersions other than those of item no. 4005.10</v>
          </cell>
          <cell r="F2192">
            <v>0</v>
          </cell>
          <cell r="G2192">
            <v>0</v>
          </cell>
          <cell r="H2192">
            <v>0</v>
          </cell>
          <cell r="I2192" t="str">
            <v>Others</v>
          </cell>
          <cell r="J2192">
            <v>3</v>
          </cell>
          <cell r="K2192" t="str">
            <v>Others</v>
          </cell>
        </row>
        <row r="2193">
          <cell r="D2193">
            <v>400591</v>
          </cell>
          <cell r="E2193" t="str">
            <v>Rubber; unvulcanised, (compounded other than with carbon black or silica), in plates, sheets and strip</v>
          </cell>
          <cell r="F2193">
            <v>0</v>
          </cell>
          <cell r="G2193">
            <v>0</v>
          </cell>
          <cell r="H2193">
            <v>0</v>
          </cell>
          <cell r="I2193" t="str">
            <v>Others</v>
          </cell>
          <cell r="J2193">
            <v>3</v>
          </cell>
          <cell r="K2193" t="str">
            <v>Others</v>
          </cell>
        </row>
        <row r="2194">
          <cell r="D2194">
            <v>400599</v>
          </cell>
          <cell r="E2194" t="str">
            <v>Rubber; unvulcanised, (compounded other than with carbon black or silica), in primary forms, (other than plates, sheets, strip, solutions or dispersions)</v>
          </cell>
          <cell r="F2194">
            <v>0</v>
          </cell>
          <cell r="G2194">
            <v>0</v>
          </cell>
          <cell r="H2194">
            <v>0</v>
          </cell>
          <cell r="I2194" t="str">
            <v>Others</v>
          </cell>
          <cell r="J2194">
            <v>3</v>
          </cell>
          <cell r="K2194" t="str">
            <v>Others</v>
          </cell>
        </row>
        <row r="2195">
          <cell r="D2195">
            <v>400610</v>
          </cell>
          <cell r="E2195" t="str">
            <v>Rubber; unvulcanised, camel-back strips for retreading rubber tyres</v>
          </cell>
          <cell r="F2195">
            <v>0</v>
          </cell>
          <cell r="G2195">
            <v>0</v>
          </cell>
          <cell r="H2195">
            <v>0</v>
          </cell>
          <cell r="I2195" t="str">
            <v>Others</v>
          </cell>
          <cell r="J2195">
            <v>3</v>
          </cell>
          <cell r="K2195" t="str">
            <v>Others</v>
          </cell>
        </row>
        <row r="2196">
          <cell r="D2196">
            <v>400690</v>
          </cell>
          <cell r="E2196" t="str">
            <v>Rubber; unvulcanised, other than camel back strips for retreading rubber tyres</v>
          </cell>
          <cell r="F2196" t="str">
            <v>Consumables</v>
          </cell>
          <cell r="G2196">
            <v>0</v>
          </cell>
          <cell r="H2196">
            <v>0</v>
          </cell>
          <cell r="I2196" t="str">
            <v>Others</v>
          </cell>
          <cell r="J2196">
            <v>2</v>
          </cell>
          <cell r="K2196" t="str">
            <v>Consumables - rc</v>
          </cell>
        </row>
        <row r="2197">
          <cell r="D2197">
            <v>400700</v>
          </cell>
          <cell r="E2197" t="str">
            <v>Rubber; vulcanised, thread and cord</v>
          </cell>
          <cell r="F2197">
            <v>0</v>
          </cell>
          <cell r="G2197">
            <v>0</v>
          </cell>
          <cell r="H2197">
            <v>0</v>
          </cell>
          <cell r="I2197" t="str">
            <v>Others</v>
          </cell>
          <cell r="J2197">
            <v>3</v>
          </cell>
          <cell r="K2197" t="str">
            <v>Others</v>
          </cell>
        </row>
        <row r="2198">
          <cell r="D2198">
            <v>400811</v>
          </cell>
          <cell r="E2198" t="str">
            <v>Rubber; vulcanised (other than hard rubber), in plates, sheets and strip of cellular rubber</v>
          </cell>
          <cell r="F2198" t="str">
            <v>Consumables</v>
          </cell>
          <cell r="G2198">
            <v>0</v>
          </cell>
          <cell r="H2198">
            <v>0</v>
          </cell>
          <cell r="I2198" t="str">
            <v>Others</v>
          </cell>
          <cell r="J2198">
            <v>2</v>
          </cell>
          <cell r="K2198" t="str">
            <v>Consumables - rc</v>
          </cell>
        </row>
        <row r="2199">
          <cell r="D2199">
            <v>400819</v>
          </cell>
          <cell r="E2199" t="str">
            <v>Rubber; vulcanised (other than hard rubber), cellular rubber, (other than in plates, sheets or strip)</v>
          </cell>
          <cell r="F2199">
            <v>0</v>
          </cell>
          <cell r="G2199">
            <v>0</v>
          </cell>
          <cell r="H2199">
            <v>0</v>
          </cell>
          <cell r="I2199" t="str">
            <v>Others</v>
          </cell>
          <cell r="J2199">
            <v>3</v>
          </cell>
          <cell r="K2199" t="str">
            <v>Others</v>
          </cell>
        </row>
        <row r="2200">
          <cell r="D2200">
            <v>400821</v>
          </cell>
          <cell r="E2200" t="str">
            <v>Rubber; vulcanised (other than hard rubber), in plates, sheets and strip, of non-cellular rubber</v>
          </cell>
          <cell r="F2200" t="str">
            <v>Consumables</v>
          </cell>
          <cell r="G2200">
            <v>0</v>
          </cell>
          <cell r="H2200">
            <v>0</v>
          </cell>
          <cell r="I2200" t="str">
            <v>Others</v>
          </cell>
          <cell r="J2200">
            <v>2</v>
          </cell>
          <cell r="K2200" t="str">
            <v>Consumables - rc</v>
          </cell>
        </row>
        <row r="2201">
          <cell r="D2201">
            <v>400829</v>
          </cell>
          <cell r="E2201" t="str">
            <v>Rubber; vulcanised (other than hard rubber), non-cellular rubber, in forms other than plates, sheets or strip</v>
          </cell>
          <cell r="F2201" t="str">
            <v>Consumables</v>
          </cell>
          <cell r="G2201">
            <v>0</v>
          </cell>
          <cell r="H2201">
            <v>0</v>
          </cell>
          <cell r="I2201" t="str">
            <v>Others</v>
          </cell>
          <cell r="J2201">
            <v>2</v>
          </cell>
          <cell r="K2201" t="str">
            <v>Consumables - rc</v>
          </cell>
        </row>
        <row r="2202">
          <cell r="D2202">
            <v>400911</v>
          </cell>
          <cell r="E2202" t="str">
            <v>Rubber; vulcanised (other than hard rubber), tubing, piping and hoses, not reinforced or otherwise combined with other materials, without fittings</v>
          </cell>
          <cell r="F2202" t="str">
            <v>Capital Goods</v>
          </cell>
          <cell r="G2202">
            <v>0</v>
          </cell>
          <cell r="H2202">
            <v>0</v>
          </cell>
          <cell r="I2202" t="str">
            <v>Others</v>
          </cell>
          <cell r="J2202">
            <v>2</v>
          </cell>
          <cell r="K2202" t="str">
            <v>Capital Goods - rc</v>
          </cell>
        </row>
        <row r="2203">
          <cell r="D2203">
            <v>400912</v>
          </cell>
          <cell r="E2203" t="str">
            <v>Rubber; vulcanised (other than hard rubber), tubing, piping and hoses, not reinforced or otherwise combined with other materials, with fittings</v>
          </cell>
          <cell r="F2203" t="str">
            <v>Capital Goods</v>
          </cell>
          <cell r="G2203">
            <v>0</v>
          </cell>
          <cell r="H2203">
            <v>0</v>
          </cell>
          <cell r="I2203" t="str">
            <v>Others</v>
          </cell>
          <cell r="J2203">
            <v>2</v>
          </cell>
          <cell r="K2203" t="str">
            <v>Capital Goods - rc</v>
          </cell>
        </row>
        <row r="2204">
          <cell r="D2204">
            <v>400921</v>
          </cell>
          <cell r="E2204" t="str">
            <v>Rubber; vulcanised (other than hard rubber), tubing, piping and hoses, reinforced or otherwise combined only with metal, without fittings</v>
          </cell>
          <cell r="F2204">
            <v>0</v>
          </cell>
          <cell r="G2204">
            <v>0</v>
          </cell>
          <cell r="H2204">
            <v>0</v>
          </cell>
          <cell r="I2204" t="str">
            <v>Others</v>
          </cell>
          <cell r="J2204">
            <v>3</v>
          </cell>
          <cell r="K2204" t="str">
            <v>Others</v>
          </cell>
        </row>
        <row r="2205">
          <cell r="D2205">
            <v>400922</v>
          </cell>
          <cell r="E2205" t="str">
            <v>Rubber; vulcanised (other than hard rubber), tubing, piping and hoses, reinforced or otherwise combined only with metal, with fittings</v>
          </cell>
          <cell r="F2205" t="str">
            <v>Capital Goods</v>
          </cell>
          <cell r="G2205">
            <v>0</v>
          </cell>
          <cell r="H2205">
            <v>0</v>
          </cell>
          <cell r="I2205" t="str">
            <v>Others</v>
          </cell>
          <cell r="J2205">
            <v>2</v>
          </cell>
          <cell r="K2205" t="str">
            <v>Capital Goods - rc</v>
          </cell>
        </row>
        <row r="2206">
          <cell r="D2206">
            <v>400931</v>
          </cell>
          <cell r="E2206" t="str">
            <v>Rubber; vulcanised (other than hard rubber), tubing, piping and hoses, reinforced or otherwise combined only with textile materials, without fittings</v>
          </cell>
          <cell r="F2206" t="str">
            <v>Capital Goods</v>
          </cell>
          <cell r="G2206">
            <v>0</v>
          </cell>
          <cell r="H2206">
            <v>0</v>
          </cell>
          <cell r="I2206" t="str">
            <v>Others</v>
          </cell>
          <cell r="J2206">
            <v>2</v>
          </cell>
          <cell r="K2206" t="str">
            <v>Capital Goods - rc</v>
          </cell>
        </row>
        <row r="2207">
          <cell r="D2207">
            <v>400932</v>
          </cell>
          <cell r="E2207" t="str">
            <v>Rubber; vulcanised (other than hard rubber), tubing, piping and hoses, reinforced or otherwise combined only with textile materials, with fittings</v>
          </cell>
          <cell r="F2207">
            <v>0</v>
          </cell>
          <cell r="G2207">
            <v>0</v>
          </cell>
          <cell r="H2207">
            <v>0</v>
          </cell>
          <cell r="I2207" t="str">
            <v>Others</v>
          </cell>
          <cell r="J2207">
            <v>3</v>
          </cell>
          <cell r="K2207" t="str">
            <v>Others</v>
          </cell>
        </row>
        <row r="2208">
          <cell r="D2208">
            <v>400941</v>
          </cell>
          <cell r="E2208" t="str">
            <v>Rubber; vulcanised (other than hard rubber), tubing, piping and hoses, reinforced or otherwise combined with materials other than metal or textiles, without fittings</v>
          </cell>
          <cell r="F2208" t="str">
            <v>Capital Goods</v>
          </cell>
          <cell r="G2208">
            <v>0</v>
          </cell>
          <cell r="H2208">
            <v>0</v>
          </cell>
          <cell r="I2208" t="str">
            <v>Others</v>
          </cell>
          <cell r="J2208">
            <v>2</v>
          </cell>
          <cell r="K2208" t="str">
            <v>Capital Goods - rc</v>
          </cell>
        </row>
        <row r="2209">
          <cell r="D2209">
            <v>400942</v>
          </cell>
          <cell r="E2209" t="str">
            <v>Rubber; vulcanised (other than hard rubber), tubing, piping and hoses, reinforced or otherwise combined with materials other than metal or textiles, with fittings</v>
          </cell>
          <cell r="F2209" t="str">
            <v>Capital Goods</v>
          </cell>
          <cell r="G2209">
            <v>0</v>
          </cell>
          <cell r="H2209">
            <v>0</v>
          </cell>
          <cell r="I2209" t="str">
            <v>Others</v>
          </cell>
          <cell r="J2209">
            <v>2</v>
          </cell>
          <cell r="K2209" t="str">
            <v>Capital Goods - rc</v>
          </cell>
        </row>
        <row r="2210">
          <cell r="D2210">
            <v>850300</v>
          </cell>
          <cell r="E2210" t="str">
            <v>Electric motors and generators; parts suitable for use solely or principally with the machines of heading no. 8501 or 8502</v>
          </cell>
          <cell r="F2210" t="str">
            <v>Parts &amp; Accessories</v>
          </cell>
          <cell r="G2210">
            <v>0</v>
          </cell>
          <cell r="H2210" t="str">
            <v>Parts &amp; Accessories</v>
          </cell>
          <cell r="I2210" t="str">
            <v>Parts &amp; Accessories</v>
          </cell>
          <cell r="J2210">
            <v>1</v>
          </cell>
          <cell r="K2210" t="str">
            <v>Parts &amp; Accessories</v>
          </cell>
        </row>
        <row r="2211">
          <cell r="D2211">
            <v>401012</v>
          </cell>
          <cell r="E2211" t="str">
            <v>Rubber; vulcanised, conveyor belts or belting, reinforced only with textile materials</v>
          </cell>
          <cell r="F2211" t="str">
            <v>Consumables</v>
          </cell>
          <cell r="G2211">
            <v>0</v>
          </cell>
          <cell r="H2211">
            <v>0</v>
          </cell>
          <cell r="I2211" t="str">
            <v>Parts &amp; Accessories</v>
          </cell>
          <cell r="J2211">
            <v>2</v>
          </cell>
          <cell r="K2211" t="str">
            <v>Consumables</v>
          </cell>
        </row>
        <row r="2212">
          <cell r="D2212">
            <v>850490</v>
          </cell>
          <cell r="E2212" t="str">
            <v>Electrical transformers, static converters and inductors; parts thereof</v>
          </cell>
          <cell r="F2212" t="str">
            <v>Parts &amp; Accessories</v>
          </cell>
          <cell r="G2212">
            <v>0</v>
          </cell>
          <cell r="H2212">
            <v>0</v>
          </cell>
          <cell r="I2212" t="str">
            <v>Parts &amp; Accessories</v>
          </cell>
          <cell r="J2212">
            <v>2</v>
          </cell>
          <cell r="K2212" t="str">
            <v>Parts &amp; Accessories</v>
          </cell>
        </row>
        <row r="2213">
          <cell r="D2213">
            <v>401031</v>
          </cell>
          <cell r="E2213" t="str">
            <v>Rubber; vulcanised, endless transmission belts of trapezoidal cross-section (V-belts), V-ribbed, of an outside circumference exceeding 60cm but not exceeding 180 cm</v>
          </cell>
          <cell r="F2213" t="str">
            <v>Consumables</v>
          </cell>
          <cell r="G2213">
            <v>0</v>
          </cell>
          <cell r="H2213">
            <v>0</v>
          </cell>
          <cell r="I2213" t="str">
            <v>Parts &amp; Accessories</v>
          </cell>
          <cell r="J2213">
            <v>2</v>
          </cell>
          <cell r="K2213" t="str">
            <v>Consumables</v>
          </cell>
        </row>
        <row r="2214">
          <cell r="D2214">
            <v>848340</v>
          </cell>
          <cell r="E2214" t="str">
            <v>Gears and gearing; (not toothed wheels, chain sprockets and other transmission elements presented separately); ball or roller screws; gear boxes and other speed changers, including torque converters</v>
          </cell>
          <cell r="F2214" t="str">
            <v>Capital Goods</v>
          </cell>
          <cell r="G2214">
            <v>0</v>
          </cell>
          <cell r="H2214" t="str">
            <v>Parts &amp; Accessories</v>
          </cell>
          <cell r="I2214" t="str">
            <v>Parts &amp; Accessories</v>
          </cell>
          <cell r="J2214">
            <v>1</v>
          </cell>
          <cell r="K2214" t="str">
            <v>Parts &amp; Accessories</v>
          </cell>
        </row>
        <row r="2215">
          <cell r="D2215">
            <v>853229</v>
          </cell>
          <cell r="E2215" t="str">
            <v>Electrical capacitors; fixed, n.e.c. in heading no. 8532</v>
          </cell>
          <cell r="F2215" t="str">
            <v>Capital Goods</v>
          </cell>
          <cell r="G2215">
            <v>0</v>
          </cell>
          <cell r="H2215" t="str">
            <v>Capital Goods</v>
          </cell>
          <cell r="I2215" t="str">
            <v>Capital Goods</v>
          </cell>
          <cell r="J2215">
            <v>1</v>
          </cell>
          <cell r="K2215" t="str">
            <v>Parts &amp; Accessories</v>
          </cell>
        </row>
        <row r="2216">
          <cell r="D2216">
            <v>847990</v>
          </cell>
          <cell r="E2216" t="str">
            <v>Machines and mechanical appliances; parts, of those having individual functions</v>
          </cell>
          <cell r="F2216" t="str">
            <v>Parts &amp; Accessories</v>
          </cell>
          <cell r="G2216">
            <v>0</v>
          </cell>
          <cell r="H2216" t="str">
            <v>Parts &amp; Accessories</v>
          </cell>
          <cell r="I2216" t="str">
            <v>Parts &amp; Accessories</v>
          </cell>
          <cell r="J2216">
            <v>1</v>
          </cell>
          <cell r="K2216" t="str">
            <v>Parts &amp; Accessories</v>
          </cell>
        </row>
        <row r="2217">
          <cell r="D2217">
            <v>401035</v>
          </cell>
          <cell r="E2217" t="str">
            <v>Rubber; vulcanised, endless synchronous belts, of an outside circumference exceeding 60 cm but not exceeding 150 cm</v>
          </cell>
          <cell r="F2217" t="str">
            <v>Consumables</v>
          </cell>
          <cell r="G2217">
            <v>0</v>
          </cell>
          <cell r="H2217">
            <v>0</v>
          </cell>
          <cell r="I2217" t="str">
            <v>Parts &amp; Accessories</v>
          </cell>
          <cell r="J2217">
            <v>2</v>
          </cell>
          <cell r="K2217" t="str">
            <v>Consumables - rc</v>
          </cell>
        </row>
        <row r="2218">
          <cell r="D2218">
            <v>848210</v>
          </cell>
          <cell r="E2218" t="str">
            <v>Ball bearings</v>
          </cell>
          <cell r="F2218" t="str">
            <v>Capital Goods</v>
          </cell>
          <cell r="G2218">
            <v>0</v>
          </cell>
          <cell r="H2218" t="str">
            <v>Parts &amp; Accessories</v>
          </cell>
          <cell r="I2218" t="str">
            <v>Parts &amp; Accessories</v>
          </cell>
          <cell r="J2218">
            <v>1</v>
          </cell>
          <cell r="K2218" t="str">
            <v>Parts &amp; Accessories</v>
          </cell>
        </row>
        <row r="2219">
          <cell r="D2219">
            <v>401039</v>
          </cell>
          <cell r="E2219" t="str">
            <v>Rubber; vulcanised, conveyor or transmission belts or belting, n.e.c. in heading no. 4010</v>
          </cell>
          <cell r="F2219" t="str">
            <v>Parts &amp; Accessories</v>
          </cell>
          <cell r="G2219">
            <v>0</v>
          </cell>
          <cell r="H2219">
            <v>0</v>
          </cell>
          <cell r="I2219" t="str">
            <v>Parts &amp; Accessories</v>
          </cell>
          <cell r="J2219">
            <v>2</v>
          </cell>
          <cell r="K2219" t="str">
            <v>Consumables</v>
          </cell>
        </row>
        <row r="2220">
          <cell r="D2220">
            <v>401110</v>
          </cell>
          <cell r="E2220" t="str">
            <v>Rubber; new pneumatic tyres, of a kind used on motor cars (including station wagons and racing cars)</v>
          </cell>
          <cell r="F2220">
            <v>0</v>
          </cell>
          <cell r="G2220">
            <v>0</v>
          </cell>
          <cell r="H2220">
            <v>0</v>
          </cell>
          <cell r="I2220" t="str">
            <v>Parts &amp; Accessories</v>
          </cell>
          <cell r="J2220">
            <v>3</v>
          </cell>
          <cell r="K2220" t="str">
            <v>Parts &amp; Accessories - rc</v>
          </cell>
        </row>
        <row r="2221">
          <cell r="D2221">
            <v>401120</v>
          </cell>
          <cell r="E2221" t="str">
            <v>Rubber; new pneumatic tyres, of a kind used on buses or lorries</v>
          </cell>
          <cell r="F2221">
            <v>0</v>
          </cell>
          <cell r="G2221">
            <v>0</v>
          </cell>
          <cell r="H2221">
            <v>0</v>
          </cell>
          <cell r="I2221" t="str">
            <v>Parts &amp; Accessories</v>
          </cell>
          <cell r="J2221">
            <v>3</v>
          </cell>
          <cell r="K2221" t="str">
            <v>Parts &amp; Accessories - rc</v>
          </cell>
        </row>
        <row r="2222">
          <cell r="D2222">
            <v>401130</v>
          </cell>
          <cell r="E2222" t="str">
            <v>Rubber; new pneumatic tyres, of a kind used on aircraft</v>
          </cell>
          <cell r="F2222">
            <v>0</v>
          </cell>
          <cell r="G2222">
            <v>0</v>
          </cell>
          <cell r="H2222">
            <v>0</v>
          </cell>
          <cell r="I2222" t="str">
            <v>Parts &amp; Accessories</v>
          </cell>
          <cell r="J2222">
            <v>3</v>
          </cell>
          <cell r="K2222" t="str">
            <v>Parts &amp; Accessories - rc</v>
          </cell>
        </row>
        <row r="2223">
          <cell r="D2223">
            <v>731815</v>
          </cell>
          <cell r="E2223" t="str">
            <v>Iron or steel; threaded screws and bolts n.e.c. in item no. 7318.1, whether or not with their nuts or washers</v>
          </cell>
          <cell r="F2223" t="str">
            <v>Consumables</v>
          </cell>
          <cell r="G2223">
            <v>0</v>
          </cell>
          <cell r="H2223">
            <v>0</v>
          </cell>
          <cell r="I2223" t="str">
            <v>Others</v>
          </cell>
          <cell r="J2223">
            <v>2</v>
          </cell>
          <cell r="K2223" t="str">
            <v>Parts &amp; Accessories</v>
          </cell>
        </row>
        <row r="2224">
          <cell r="D2224">
            <v>401150</v>
          </cell>
          <cell r="E2224" t="str">
            <v>Rubber; new pneumatic tyres, of a kind used on bicycles</v>
          </cell>
          <cell r="F2224">
            <v>0</v>
          </cell>
          <cell r="G2224">
            <v>0</v>
          </cell>
          <cell r="H2224">
            <v>0</v>
          </cell>
          <cell r="I2224" t="str">
            <v>Parts &amp; Accessories</v>
          </cell>
          <cell r="J2224">
            <v>3</v>
          </cell>
          <cell r="K2224" t="str">
            <v>Parts &amp; Accessories - rc</v>
          </cell>
        </row>
        <row r="2225">
          <cell r="D2225">
            <v>401170</v>
          </cell>
          <cell r="E2225" t="str">
            <v>Rubber; new pneumatic tyres, of a kind used on agricultural or forestry vehicles and machines</v>
          </cell>
          <cell r="F2225">
            <v>0</v>
          </cell>
          <cell r="G2225">
            <v>0</v>
          </cell>
          <cell r="H2225">
            <v>0</v>
          </cell>
          <cell r="I2225" t="str">
            <v>Parts &amp; Accessories</v>
          </cell>
          <cell r="J2225">
            <v>3</v>
          </cell>
          <cell r="K2225" t="str">
            <v>Parts &amp; Accessories - rc</v>
          </cell>
        </row>
        <row r="2226">
          <cell r="D2226">
            <v>401180</v>
          </cell>
          <cell r="E2226" t="str">
            <v>Rubber; new pneumatic tyres, of a kind used on construction, mining or industrial handling vehicles and machines</v>
          </cell>
          <cell r="F2226">
            <v>0</v>
          </cell>
          <cell r="G2226">
            <v>0</v>
          </cell>
          <cell r="H2226">
            <v>0</v>
          </cell>
          <cell r="I2226" t="str">
            <v>Parts &amp; Accessories</v>
          </cell>
          <cell r="J2226">
            <v>3</v>
          </cell>
          <cell r="K2226" t="str">
            <v>Parts &amp; Accessories - rc</v>
          </cell>
        </row>
        <row r="2227">
          <cell r="D2227">
            <v>401190</v>
          </cell>
          <cell r="E2227" t="str">
            <v>Rubber; new pneumatic tyres, of a kind used on light commercial vehicles</v>
          </cell>
          <cell r="F2227">
            <v>0</v>
          </cell>
          <cell r="G2227">
            <v>0</v>
          </cell>
          <cell r="H2227">
            <v>0</v>
          </cell>
          <cell r="I2227" t="str">
            <v>Parts &amp; Accessories</v>
          </cell>
          <cell r="J2227">
            <v>3</v>
          </cell>
          <cell r="K2227" t="str">
            <v>Parts &amp; Accessories - rc</v>
          </cell>
        </row>
        <row r="2228">
          <cell r="D2228">
            <v>842199</v>
          </cell>
          <cell r="E2228" t="str">
            <v>Machinery; parts for filtering or purifying liquids or gases</v>
          </cell>
          <cell r="F2228" t="str">
            <v>Parts &amp; Accessories</v>
          </cell>
          <cell r="G2228">
            <v>0</v>
          </cell>
          <cell r="H2228" t="str">
            <v>Parts &amp; Accessories</v>
          </cell>
          <cell r="I2228" t="str">
            <v>Parts &amp; Accessories</v>
          </cell>
          <cell r="J2228">
            <v>1</v>
          </cell>
          <cell r="K2228" t="str">
            <v>Parts &amp; Accessories</v>
          </cell>
        </row>
        <row r="2229">
          <cell r="D2229">
            <v>401212</v>
          </cell>
          <cell r="E2229" t="str">
            <v>Retreaded tyres; of a kind used on motor buses or lorries</v>
          </cell>
          <cell r="F2229">
            <v>0</v>
          </cell>
          <cell r="G2229">
            <v>0</v>
          </cell>
          <cell r="H2229">
            <v>0</v>
          </cell>
          <cell r="I2229" t="str">
            <v>Parts &amp; Accessories</v>
          </cell>
          <cell r="J2229">
            <v>3</v>
          </cell>
          <cell r="K2229" t="str">
            <v>Parts &amp; Accessories - rc</v>
          </cell>
        </row>
        <row r="2230">
          <cell r="D2230">
            <v>853669</v>
          </cell>
          <cell r="E2230" t="str">
            <v>Electrical apparatus; plugs and sockets, for a voltage not exceeding 1000 volts</v>
          </cell>
          <cell r="F2230" t="str">
            <v>Capital Goods</v>
          </cell>
          <cell r="G2230">
            <v>0</v>
          </cell>
          <cell r="H2230" t="str">
            <v>Parts &amp; Accessories</v>
          </cell>
          <cell r="I2230" t="str">
            <v>Parts &amp; Accessories</v>
          </cell>
          <cell r="J2230">
            <v>1</v>
          </cell>
          <cell r="K2230" t="str">
            <v>Parts &amp; Accessories</v>
          </cell>
        </row>
        <row r="2231">
          <cell r="D2231">
            <v>850450</v>
          </cell>
          <cell r="E2231" t="str">
            <v>Electrical inductors; n.e.c. in heading no. 8504</v>
          </cell>
          <cell r="F2231" t="str">
            <v>Capital Goods</v>
          </cell>
          <cell r="G2231">
            <v>0</v>
          </cell>
          <cell r="H2231">
            <v>0</v>
          </cell>
          <cell r="I2231" t="str">
            <v>Capital Goods</v>
          </cell>
          <cell r="J2231">
            <v>2</v>
          </cell>
          <cell r="K2231" t="str">
            <v>Parts &amp; Accessories</v>
          </cell>
        </row>
        <row r="2232">
          <cell r="D2232">
            <v>401220</v>
          </cell>
          <cell r="E2232" t="str">
            <v>Rubber; used pneumatic tyres</v>
          </cell>
          <cell r="F2232">
            <v>0</v>
          </cell>
          <cell r="G2232">
            <v>0</v>
          </cell>
          <cell r="H2232">
            <v>0</v>
          </cell>
          <cell r="I2232" t="str">
            <v>Parts &amp; Accessories</v>
          </cell>
          <cell r="J2232">
            <v>3</v>
          </cell>
          <cell r="K2232" t="str">
            <v>Parts &amp; Accessories - rc</v>
          </cell>
        </row>
        <row r="2233">
          <cell r="D2233">
            <v>401290</v>
          </cell>
          <cell r="E2233" t="str">
            <v>Rubber; tyres n.e.c. in heading no. 4012</v>
          </cell>
          <cell r="F2233">
            <v>0</v>
          </cell>
          <cell r="G2233">
            <v>0</v>
          </cell>
          <cell r="H2233">
            <v>0</v>
          </cell>
          <cell r="I2233" t="str">
            <v>Parts &amp; Accessories</v>
          </cell>
          <cell r="J2233">
            <v>3</v>
          </cell>
          <cell r="K2233" t="str">
            <v>Parts &amp; Accessories - rc</v>
          </cell>
        </row>
        <row r="2234">
          <cell r="D2234">
            <v>401310</v>
          </cell>
          <cell r="E2234" t="str">
            <v>Rubber; inner tubes, of a kind used on motorcars (including station wagons and racing cars), buses and lorries</v>
          </cell>
          <cell r="F2234">
            <v>0</v>
          </cell>
          <cell r="G2234">
            <v>0</v>
          </cell>
          <cell r="H2234">
            <v>0</v>
          </cell>
          <cell r="I2234" t="str">
            <v>Parts &amp; Accessories</v>
          </cell>
          <cell r="J2234">
            <v>3</v>
          </cell>
          <cell r="K2234" t="str">
            <v>Parts &amp; Accessories - rc</v>
          </cell>
        </row>
        <row r="2235">
          <cell r="D2235">
            <v>401320</v>
          </cell>
          <cell r="E2235" t="str">
            <v>Rubber; inner tubes, of a kind used on bicycles</v>
          </cell>
          <cell r="F2235">
            <v>0</v>
          </cell>
          <cell r="G2235">
            <v>0</v>
          </cell>
          <cell r="H2235">
            <v>0</v>
          </cell>
          <cell r="I2235" t="str">
            <v>Parts &amp; Accessories</v>
          </cell>
          <cell r="J2235">
            <v>3</v>
          </cell>
          <cell r="K2235" t="str">
            <v>Parts &amp; Accessories - rc</v>
          </cell>
        </row>
        <row r="2236">
          <cell r="D2236">
            <v>401390</v>
          </cell>
          <cell r="E2236" t="str">
            <v>Rubber; inner tubes, n.e.c. in heading no. 4013</v>
          </cell>
          <cell r="F2236">
            <v>0</v>
          </cell>
          <cell r="G2236">
            <v>0</v>
          </cell>
          <cell r="H2236">
            <v>0</v>
          </cell>
          <cell r="I2236" t="str">
            <v>Parts &amp; Accessories</v>
          </cell>
          <cell r="J2236">
            <v>3</v>
          </cell>
          <cell r="K2236" t="str">
            <v>Parts &amp; Accessories - rc</v>
          </cell>
        </row>
        <row r="2237">
          <cell r="D2237">
            <v>401410</v>
          </cell>
          <cell r="E2237" t="str">
            <v>Rubber; vulcanised (other than hard rubber), sheath contraceptives</v>
          </cell>
          <cell r="F2237">
            <v>0</v>
          </cell>
          <cell r="G2237">
            <v>0</v>
          </cell>
          <cell r="H2237">
            <v>0</v>
          </cell>
          <cell r="I2237" t="str">
            <v>Others</v>
          </cell>
          <cell r="J2237">
            <v>3</v>
          </cell>
          <cell r="K2237" t="str">
            <v>Others</v>
          </cell>
        </row>
        <row r="2238">
          <cell r="D2238">
            <v>401490</v>
          </cell>
          <cell r="E2238" t="str">
            <v>Rubber; vulcanised (other than hard rubber), hygienic or pharmaceutical articles (excluding sheath contraceptives), with or without fittings of hard rubber</v>
          </cell>
          <cell r="F2238">
            <v>0</v>
          </cell>
          <cell r="G2238">
            <v>0</v>
          </cell>
          <cell r="H2238">
            <v>0</v>
          </cell>
          <cell r="I2238" t="str">
            <v>Others</v>
          </cell>
          <cell r="J2238">
            <v>3</v>
          </cell>
          <cell r="K2238" t="str">
            <v>Others</v>
          </cell>
        </row>
        <row r="2239">
          <cell r="D2239">
            <v>401512</v>
          </cell>
          <cell r="E2239" t="str">
            <v>Rubber; vulcanised (other than hard rubber), gloves, of a kind used for medical, surgical, dental or veterinary purposes</v>
          </cell>
          <cell r="F2239">
            <v>0</v>
          </cell>
          <cell r="G2239">
            <v>0</v>
          </cell>
          <cell r="H2239">
            <v>0</v>
          </cell>
          <cell r="I2239" t="str">
            <v>Others</v>
          </cell>
          <cell r="J2239">
            <v>3</v>
          </cell>
          <cell r="K2239" t="str">
            <v>Others</v>
          </cell>
        </row>
        <row r="2240">
          <cell r="D2240">
            <v>401519</v>
          </cell>
          <cell r="E2240" t="str">
            <v>Rubber; vulcanised (other than hard rubber), gloves, mittens and mitts other than surgical gloves</v>
          </cell>
          <cell r="F2240" t="str">
            <v>Consumables</v>
          </cell>
          <cell r="G2240">
            <v>0</v>
          </cell>
          <cell r="H2240">
            <v>0</v>
          </cell>
          <cell r="I2240" t="str">
            <v>Others</v>
          </cell>
          <cell r="J2240">
            <v>2</v>
          </cell>
          <cell r="K2240" t="str">
            <v>Consumables</v>
          </cell>
        </row>
        <row r="2241">
          <cell r="D2241">
            <v>401590</v>
          </cell>
          <cell r="E2241" t="str">
            <v>Rubber; vulcanised (other than hard rubber), articles of apparel and clothing accessories (other than gloves, mittens and mitts)</v>
          </cell>
          <cell r="F2241" t="str">
            <v>Consumables</v>
          </cell>
          <cell r="G2241">
            <v>0</v>
          </cell>
          <cell r="H2241">
            <v>0</v>
          </cell>
          <cell r="I2241" t="str">
            <v>Others</v>
          </cell>
          <cell r="J2241">
            <v>2</v>
          </cell>
          <cell r="K2241" t="str">
            <v>Consumables - rc</v>
          </cell>
        </row>
        <row r="2242">
          <cell r="D2242">
            <v>401610</v>
          </cell>
          <cell r="E2242" t="str">
            <v>Rubber; vulcanised (other than hard rubber), moulded rubber mats and mats of non-rectangular shape made by cutting from the piece, of cellular rubber</v>
          </cell>
          <cell r="F2242" t="str">
            <v>Consumables</v>
          </cell>
          <cell r="G2242">
            <v>0</v>
          </cell>
          <cell r="H2242">
            <v>0</v>
          </cell>
          <cell r="I2242" t="str">
            <v>Others</v>
          </cell>
          <cell r="J2242">
            <v>2</v>
          </cell>
          <cell r="K2242" t="str">
            <v>Capital Goods - rc</v>
          </cell>
        </row>
        <row r="2243">
          <cell r="D2243">
            <v>401691</v>
          </cell>
          <cell r="E2243" t="str">
            <v>Rubber; vulcanised (other than hard rubber), floor coverings and mats, of non-cellular rubber</v>
          </cell>
          <cell r="F2243" t="str">
            <v>Consumables</v>
          </cell>
          <cell r="G2243">
            <v>0</v>
          </cell>
          <cell r="H2243">
            <v>0</v>
          </cell>
          <cell r="I2243" t="str">
            <v>Others</v>
          </cell>
          <cell r="J2243">
            <v>2</v>
          </cell>
          <cell r="K2243" t="str">
            <v>Consumables - rc</v>
          </cell>
        </row>
        <row r="2244">
          <cell r="D2244">
            <v>401692</v>
          </cell>
          <cell r="E2244" t="str">
            <v>Rubber; vulcanised (other than hard rubber), erasers, of non-cellular rubber</v>
          </cell>
          <cell r="F2244">
            <v>0</v>
          </cell>
          <cell r="G2244">
            <v>0</v>
          </cell>
          <cell r="H2244">
            <v>0</v>
          </cell>
          <cell r="I2244" t="str">
            <v>Others</v>
          </cell>
          <cell r="J2244">
            <v>3</v>
          </cell>
          <cell r="K2244" t="str">
            <v>Others</v>
          </cell>
        </row>
        <row r="2245">
          <cell r="D2245">
            <v>401693</v>
          </cell>
          <cell r="E2245" t="str">
            <v>Rubber; vulcanised (other than hard rubber), gaskets, washers and other seals, of non-cellular rubber</v>
          </cell>
          <cell r="F2245" t="str">
            <v>Consumables</v>
          </cell>
          <cell r="G2245">
            <v>0</v>
          </cell>
          <cell r="H2245">
            <v>0</v>
          </cell>
          <cell r="I2245" t="str">
            <v>Others</v>
          </cell>
          <cell r="J2245">
            <v>2</v>
          </cell>
          <cell r="K2245" t="str">
            <v>Parts &amp; Accessories</v>
          </cell>
        </row>
        <row r="2246">
          <cell r="D2246">
            <v>401694</v>
          </cell>
          <cell r="E2246" t="str">
            <v>Rubber; vulcanised (other than hard rubber), boat or dock fenders, whether or not inflatable, of non-cellular rubber</v>
          </cell>
          <cell r="F2246">
            <v>0</v>
          </cell>
          <cell r="G2246">
            <v>0</v>
          </cell>
          <cell r="H2246">
            <v>0</v>
          </cell>
          <cell r="I2246" t="str">
            <v>Others</v>
          </cell>
          <cell r="J2246">
            <v>3</v>
          </cell>
          <cell r="K2246" t="str">
            <v>Others</v>
          </cell>
        </row>
        <row r="2247">
          <cell r="D2247">
            <v>401695</v>
          </cell>
          <cell r="E2247" t="str">
            <v>Rubber; vulcanised (other than hard rubber), inflatable articles (other than boat or dock fenders), of non-cellular rubber</v>
          </cell>
          <cell r="F2247">
            <v>0</v>
          </cell>
          <cell r="G2247">
            <v>0</v>
          </cell>
          <cell r="H2247">
            <v>0</v>
          </cell>
          <cell r="I2247" t="str">
            <v>Others</v>
          </cell>
          <cell r="J2247">
            <v>3</v>
          </cell>
          <cell r="K2247" t="str">
            <v>Others</v>
          </cell>
        </row>
        <row r="2248">
          <cell r="D2248">
            <v>401699</v>
          </cell>
          <cell r="E2248" t="str">
            <v>Rubber; vulcanised (other than hard rubber), articles n.e.c. in heading no. 4016, of non-cellular rubber</v>
          </cell>
          <cell r="F2248" t="str">
            <v>Consumables</v>
          </cell>
          <cell r="G2248">
            <v>0</v>
          </cell>
          <cell r="H2248">
            <v>0</v>
          </cell>
          <cell r="I2248" t="str">
            <v>Others</v>
          </cell>
          <cell r="J2248">
            <v>2</v>
          </cell>
          <cell r="K2248" t="str">
            <v>Consumables - rc</v>
          </cell>
        </row>
        <row r="2249">
          <cell r="D2249">
            <v>401700</v>
          </cell>
          <cell r="E2249" t="str">
            <v>Rubber; ebonite and other hard rubbers in all forms, including waste and scrap, and articles of hard rubber</v>
          </cell>
          <cell r="F2249" t="str">
            <v>Consumables</v>
          </cell>
          <cell r="G2249">
            <v>0</v>
          </cell>
          <cell r="H2249">
            <v>0</v>
          </cell>
          <cell r="I2249" t="str">
            <v>Others</v>
          </cell>
          <cell r="J2249">
            <v>2</v>
          </cell>
          <cell r="K2249" t="str">
            <v>Consumables - rc</v>
          </cell>
        </row>
        <row r="2250">
          <cell r="D2250">
            <v>410120</v>
          </cell>
          <cell r="E2250" t="str">
            <v>Raw hides and skins; whole, unsplit, of bovine or equine animals, of a weight per skin not exceeding 8kg when simply dried, 10kg when dry-salted or 16kg when fresh, wet-salted or otherwise preserved</v>
          </cell>
          <cell r="F2250">
            <v>0</v>
          </cell>
          <cell r="G2250">
            <v>0</v>
          </cell>
          <cell r="H2250">
            <v>0</v>
          </cell>
          <cell r="I2250" t="str">
            <v>Others</v>
          </cell>
          <cell r="J2250">
            <v>3</v>
          </cell>
          <cell r="K2250" t="str">
            <v>Others</v>
          </cell>
        </row>
        <row r="2251">
          <cell r="D2251">
            <v>410150</v>
          </cell>
          <cell r="E2251" t="str">
            <v>Hides and skins; raw, whole, of bovine or equine animals, of a weight per skin exceeding 16 kg</v>
          </cell>
          <cell r="F2251">
            <v>0</v>
          </cell>
          <cell r="G2251">
            <v>0</v>
          </cell>
          <cell r="H2251">
            <v>0</v>
          </cell>
          <cell r="I2251" t="str">
            <v>Others</v>
          </cell>
          <cell r="J2251">
            <v>3</v>
          </cell>
          <cell r="K2251" t="str">
            <v>Others</v>
          </cell>
        </row>
        <row r="2252">
          <cell r="D2252">
            <v>410190</v>
          </cell>
          <cell r="E2252" t="str">
            <v>Hides and skins; other than whole, but including butts, bends and bellies, of bovine (including. buffalo) and equine animals, fresh, salted or preserved, but not tanned, parchment dressed or further prepared, whether or not dehaired or split</v>
          </cell>
          <cell r="F2252">
            <v>0</v>
          </cell>
          <cell r="G2252">
            <v>0</v>
          </cell>
          <cell r="H2252">
            <v>0</v>
          </cell>
          <cell r="I2252" t="str">
            <v>Others</v>
          </cell>
          <cell r="J2252">
            <v>3</v>
          </cell>
          <cell r="K2252" t="str">
            <v>Others</v>
          </cell>
        </row>
        <row r="2253">
          <cell r="D2253">
            <v>410210</v>
          </cell>
          <cell r="E2253" t="str">
            <v>Skins; raw, of sheep or lambs, fresh, or salted, dried, limed, pickled or otherwise preserved, (but not tanned, parchment-dressed or further prepared), with wool on</v>
          </cell>
          <cell r="F2253">
            <v>0</v>
          </cell>
          <cell r="G2253">
            <v>0</v>
          </cell>
          <cell r="H2253">
            <v>0</v>
          </cell>
          <cell r="I2253" t="str">
            <v>Others</v>
          </cell>
          <cell r="J2253">
            <v>3</v>
          </cell>
          <cell r="K2253" t="str">
            <v>Others</v>
          </cell>
        </row>
        <row r="2254">
          <cell r="D2254">
            <v>410221</v>
          </cell>
          <cell r="E2254" t="str">
            <v>Skins; raw, of sheep or lambs, pickled (but not tanned, parchment-dressed or further preserved), without wool on</v>
          </cell>
          <cell r="F2254">
            <v>0</v>
          </cell>
          <cell r="G2254">
            <v>0</v>
          </cell>
          <cell r="H2254">
            <v>0</v>
          </cell>
          <cell r="I2254" t="str">
            <v>Others</v>
          </cell>
          <cell r="J2254">
            <v>3</v>
          </cell>
          <cell r="K2254" t="str">
            <v>Others</v>
          </cell>
        </row>
        <row r="2255">
          <cell r="D2255">
            <v>410229</v>
          </cell>
          <cell r="E2255" t="str">
            <v>Hides and skins; raw, of animals n.e.c. in this chapter, fresh, salted, dried, limed, pickled or otherwise preserved, (but not tanned, parchment-dressed or further prepared), whether or not dehaired or split</v>
          </cell>
          <cell r="F2255">
            <v>0</v>
          </cell>
          <cell r="G2255">
            <v>0</v>
          </cell>
          <cell r="H2255">
            <v>0</v>
          </cell>
          <cell r="I2255" t="str">
            <v>Others</v>
          </cell>
          <cell r="J2255">
            <v>3</v>
          </cell>
          <cell r="K2255" t="str">
            <v>Others</v>
          </cell>
        </row>
        <row r="2256">
          <cell r="D2256">
            <v>410320</v>
          </cell>
          <cell r="E2256" t="str">
            <v>Hides and skins; raw, of reptiles (fresh or salted, dried, limed, pickled or otherwise preserved, but not tanned, parchment-dressed or further prepared), whether or not dehaired or split</v>
          </cell>
          <cell r="F2256">
            <v>0</v>
          </cell>
          <cell r="G2256">
            <v>0</v>
          </cell>
          <cell r="H2256">
            <v>0</v>
          </cell>
          <cell r="I2256" t="str">
            <v>Others</v>
          </cell>
          <cell r="J2256">
            <v>3</v>
          </cell>
          <cell r="K2256" t="str">
            <v>Others</v>
          </cell>
        </row>
        <row r="2257">
          <cell r="D2257">
            <v>410330</v>
          </cell>
          <cell r="E2257" t="str">
            <v>Hides and skins; raw, of swine, (fresh or salted, dried, limed, pickled or otherwise preserved, but not tanned, parchment-dressed or further prepared), whether or not dehaired or split</v>
          </cell>
          <cell r="F2257">
            <v>0</v>
          </cell>
          <cell r="G2257">
            <v>0</v>
          </cell>
          <cell r="H2257">
            <v>0</v>
          </cell>
          <cell r="I2257" t="str">
            <v>Others</v>
          </cell>
          <cell r="J2257">
            <v>3</v>
          </cell>
          <cell r="K2257" t="str">
            <v>Others</v>
          </cell>
        </row>
        <row r="2258">
          <cell r="D2258">
            <v>410390</v>
          </cell>
          <cell r="E2258" t="str">
            <v>Hides and skins; raw, of animals n.e.c. in this chapter, fresh, salted, dried, limed, pickled or otherwise preserved, (but not tanned, parchment-dressed or further prepared), whether or not dehaired or split</v>
          </cell>
          <cell r="F2258">
            <v>0</v>
          </cell>
          <cell r="G2258">
            <v>0</v>
          </cell>
          <cell r="H2258">
            <v>0</v>
          </cell>
          <cell r="I2258" t="str">
            <v>Others</v>
          </cell>
          <cell r="J2258">
            <v>3</v>
          </cell>
          <cell r="K2258" t="str">
            <v>Others</v>
          </cell>
        </row>
        <row r="2259">
          <cell r="D2259">
            <v>410411</v>
          </cell>
          <cell r="E2259" t="str">
            <v>Tanned or crust hides and skins; without hair on, bovine or equine, in the wet state (including wet-blue), full grains, unsplit; grain splits</v>
          </cell>
          <cell r="F2259">
            <v>0</v>
          </cell>
          <cell r="G2259">
            <v>0</v>
          </cell>
          <cell r="H2259">
            <v>0</v>
          </cell>
          <cell r="I2259" t="str">
            <v>Others</v>
          </cell>
          <cell r="J2259">
            <v>3</v>
          </cell>
          <cell r="K2259" t="str">
            <v>Others</v>
          </cell>
        </row>
        <row r="2260">
          <cell r="D2260">
            <v>410419</v>
          </cell>
          <cell r="E2260" t="str">
            <v>Tanned or crust hides and skins; bovine or equine, without hair on, in the wet state (including wet-blue), excluding full grains, unsplit; grain splits</v>
          </cell>
          <cell r="F2260">
            <v>0</v>
          </cell>
          <cell r="G2260">
            <v>0</v>
          </cell>
          <cell r="H2260">
            <v>0</v>
          </cell>
          <cell r="I2260" t="str">
            <v>Others</v>
          </cell>
          <cell r="J2260">
            <v>3</v>
          </cell>
          <cell r="K2260" t="str">
            <v>Others</v>
          </cell>
        </row>
        <row r="2261">
          <cell r="D2261">
            <v>410441</v>
          </cell>
          <cell r="E2261" t="str">
            <v>Tanned or crust hides and skins; bovine or equine, without hair on, in the dry state (crust), full grains, unsplit; grain splits</v>
          </cell>
          <cell r="F2261">
            <v>0</v>
          </cell>
          <cell r="G2261">
            <v>0</v>
          </cell>
          <cell r="H2261">
            <v>0</v>
          </cell>
          <cell r="I2261" t="str">
            <v>Others</v>
          </cell>
          <cell r="J2261">
            <v>3</v>
          </cell>
          <cell r="K2261" t="str">
            <v>Others</v>
          </cell>
        </row>
        <row r="2262">
          <cell r="D2262">
            <v>410449</v>
          </cell>
          <cell r="E2262" t="str">
            <v>Tanned or crust hides and skins; bovine or equine, without hair on, in the dry state (crust), (other than full grains, unsplit; grain splits)</v>
          </cell>
          <cell r="F2262">
            <v>0</v>
          </cell>
          <cell r="G2262">
            <v>0</v>
          </cell>
          <cell r="H2262">
            <v>0</v>
          </cell>
          <cell r="I2262" t="str">
            <v>Others</v>
          </cell>
          <cell r="J2262">
            <v>3</v>
          </cell>
          <cell r="K2262" t="str">
            <v>Others</v>
          </cell>
        </row>
        <row r="2263">
          <cell r="D2263">
            <v>410510</v>
          </cell>
          <cell r="E2263" t="str">
            <v>Tanned or crust skins of sheep or lambs, without wool on, whether or not split, but not further prepared, in the wet state (including wet-blue)</v>
          </cell>
          <cell r="F2263">
            <v>0</v>
          </cell>
          <cell r="G2263">
            <v>0</v>
          </cell>
          <cell r="H2263">
            <v>0</v>
          </cell>
          <cell r="I2263" t="str">
            <v>Others</v>
          </cell>
          <cell r="J2263">
            <v>3</v>
          </cell>
          <cell r="K2263" t="str">
            <v>Others</v>
          </cell>
        </row>
        <row r="2264">
          <cell r="D2264">
            <v>410530</v>
          </cell>
          <cell r="E2264" t="str">
            <v>Tanned or crust skins; of sheep or lambs, without wool on, whether or not split, but not further prepared, in the dry state (crust)</v>
          </cell>
          <cell r="F2264">
            <v>0</v>
          </cell>
          <cell r="G2264">
            <v>0</v>
          </cell>
          <cell r="H2264">
            <v>0</v>
          </cell>
          <cell r="I2264" t="str">
            <v>Others</v>
          </cell>
          <cell r="J2264">
            <v>3</v>
          </cell>
          <cell r="K2264" t="str">
            <v>Others</v>
          </cell>
        </row>
        <row r="2265">
          <cell r="D2265">
            <v>410621</v>
          </cell>
          <cell r="E2265" t="str">
            <v>Tanned or crust hides and skins; of goats or kids, without wool or hair on, whether or not split, but not further prepared, in the wet state (including wet-blue)</v>
          </cell>
          <cell r="F2265">
            <v>0</v>
          </cell>
          <cell r="G2265">
            <v>0</v>
          </cell>
          <cell r="H2265">
            <v>0</v>
          </cell>
          <cell r="I2265" t="str">
            <v>Others</v>
          </cell>
          <cell r="J2265">
            <v>3</v>
          </cell>
          <cell r="K2265" t="str">
            <v>Others</v>
          </cell>
        </row>
        <row r="2266">
          <cell r="D2266">
            <v>410622</v>
          </cell>
          <cell r="E2266" t="str">
            <v>Tanned or crust hides and skins; of goats or kids, without hair on, whether or not split, but not further prepared, in the dry state (crust)</v>
          </cell>
          <cell r="F2266">
            <v>0</v>
          </cell>
          <cell r="G2266">
            <v>0</v>
          </cell>
          <cell r="H2266">
            <v>0</v>
          </cell>
          <cell r="I2266" t="str">
            <v>Others</v>
          </cell>
          <cell r="J2266">
            <v>3</v>
          </cell>
          <cell r="K2266" t="str">
            <v>Others</v>
          </cell>
        </row>
        <row r="2267">
          <cell r="D2267">
            <v>410631</v>
          </cell>
          <cell r="E2267" t="str">
            <v>Tanned or crust hides and skins; of swine, without hair on, whether or not split, but not further prepared, in the wet state (including wet-blue)</v>
          </cell>
          <cell r="F2267">
            <v>0</v>
          </cell>
          <cell r="G2267">
            <v>0</v>
          </cell>
          <cell r="H2267">
            <v>0</v>
          </cell>
          <cell r="I2267" t="str">
            <v>Others</v>
          </cell>
          <cell r="J2267">
            <v>3</v>
          </cell>
          <cell r="K2267" t="str">
            <v>Others</v>
          </cell>
        </row>
        <row r="2268">
          <cell r="D2268">
            <v>410632</v>
          </cell>
          <cell r="E2268" t="str">
            <v>Tanned or crust hides and skins; of swine, without hair on, whether or not split, but not further prepared, in the dry state (crust)</v>
          </cell>
          <cell r="F2268">
            <v>0</v>
          </cell>
          <cell r="G2268">
            <v>0</v>
          </cell>
          <cell r="H2268">
            <v>0</v>
          </cell>
          <cell r="I2268" t="str">
            <v>Others</v>
          </cell>
          <cell r="J2268">
            <v>3</v>
          </cell>
          <cell r="K2268" t="str">
            <v>Others</v>
          </cell>
        </row>
        <row r="2269">
          <cell r="D2269">
            <v>410640</v>
          </cell>
          <cell r="E2269" t="str">
            <v>Tanned or crust hides and skins; of reptiles, whether or not split, but not further prepared</v>
          </cell>
          <cell r="F2269">
            <v>0</v>
          </cell>
          <cell r="G2269">
            <v>0</v>
          </cell>
          <cell r="H2269">
            <v>0</v>
          </cell>
          <cell r="I2269" t="str">
            <v>Others</v>
          </cell>
          <cell r="J2269">
            <v>3</v>
          </cell>
          <cell r="K2269" t="str">
            <v>Others</v>
          </cell>
        </row>
        <row r="2270">
          <cell r="D2270">
            <v>410691</v>
          </cell>
          <cell r="E2270" t="str">
            <v>Tanned or crust hides and skins; of animals other than equine, ovine, bovine, goats or kids, swine and reptiles, without wool or hair on, whether or not split, but not further prepared, in the wet state (including wet-blue)</v>
          </cell>
          <cell r="F2270">
            <v>0</v>
          </cell>
          <cell r="G2270">
            <v>0</v>
          </cell>
          <cell r="H2270">
            <v>0</v>
          </cell>
          <cell r="I2270" t="str">
            <v>Others</v>
          </cell>
          <cell r="J2270">
            <v>3</v>
          </cell>
          <cell r="K2270" t="str">
            <v>Others</v>
          </cell>
        </row>
        <row r="2271">
          <cell r="D2271">
            <v>410692</v>
          </cell>
          <cell r="E2271" t="str">
            <v>Tanned or crust hides and skins; of animals other than equine, ovine, bovine, goats or kids, swine and reptiles, without wool or hair on, whether or not split, but not further prepared, in the dry state (crust)</v>
          </cell>
          <cell r="F2271">
            <v>0</v>
          </cell>
          <cell r="G2271">
            <v>0</v>
          </cell>
          <cell r="H2271">
            <v>0</v>
          </cell>
          <cell r="I2271" t="str">
            <v>Others</v>
          </cell>
          <cell r="J2271">
            <v>3</v>
          </cell>
          <cell r="K2271" t="str">
            <v>Others</v>
          </cell>
        </row>
        <row r="2272">
          <cell r="D2272">
            <v>410711</v>
          </cell>
          <cell r="E2272" t="str">
            <v>Leather; further prepared after tanning or crusting, including parchment-dressed leather, of bovine (including buffalo) or equine animals, without hair on, other than leather of heading 41.14, whole hides and skins, full grain, unsplit</v>
          </cell>
          <cell r="F2272">
            <v>0</v>
          </cell>
          <cell r="G2272">
            <v>0</v>
          </cell>
          <cell r="H2272">
            <v>0</v>
          </cell>
          <cell r="I2272" t="str">
            <v>Others</v>
          </cell>
          <cell r="J2272">
            <v>3</v>
          </cell>
          <cell r="K2272" t="str">
            <v>Others</v>
          </cell>
        </row>
        <row r="2273">
          <cell r="D2273">
            <v>410712</v>
          </cell>
          <cell r="E2273" t="str">
            <v>Leather; further prepared after tanning or crusting, including parchment-dressed leather, of bovine (including buffalo) or equine animals, without hair on, other than leather of heading 41.14, whole hides and skins, grain splits</v>
          </cell>
          <cell r="F2273">
            <v>0</v>
          </cell>
          <cell r="G2273">
            <v>0</v>
          </cell>
          <cell r="H2273">
            <v>0</v>
          </cell>
          <cell r="I2273" t="str">
            <v>Others</v>
          </cell>
          <cell r="J2273">
            <v>3</v>
          </cell>
          <cell r="K2273" t="str">
            <v>Others</v>
          </cell>
        </row>
        <row r="2274">
          <cell r="D2274">
            <v>410719</v>
          </cell>
          <cell r="E2274" t="str">
            <v>Leather; further prepared after tanning or crusting, including parchment-dressed, of bovine (including buffalo) or equine animals, without hair on, split or not, other than leather of heading 41.14, (other than grain splits and full grains, unsplit)</v>
          </cell>
          <cell r="F2274">
            <v>0</v>
          </cell>
          <cell r="G2274">
            <v>0</v>
          </cell>
          <cell r="H2274">
            <v>0</v>
          </cell>
          <cell r="I2274" t="str">
            <v>Others</v>
          </cell>
          <cell r="J2274">
            <v>3</v>
          </cell>
          <cell r="K2274" t="str">
            <v>Others</v>
          </cell>
        </row>
        <row r="2275">
          <cell r="D2275">
            <v>410791</v>
          </cell>
          <cell r="E2275" t="str">
            <v>Leather; further prepared after tanning or crusting, including parchment-dressed, of bovine (including buffalo) or equine animals, without hair on, other than leather of heading 41.14, not whole hides and skins, but including sides, full grain, unsplit</v>
          </cell>
          <cell r="F2275">
            <v>0</v>
          </cell>
          <cell r="G2275">
            <v>0</v>
          </cell>
          <cell r="H2275">
            <v>0</v>
          </cell>
          <cell r="I2275" t="str">
            <v>Others</v>
          </cell>
          <cell r="J2275">
            <v>3</v>
          </cell>
          <cell r="K2275" t="str">
            <v>Others</v>
          </cell>
        </row>
        <row r="2276">
          <cell r="D2276">
            <v>410792</v>
          </cell>
          <cell r="E2276" t="str">
            <v>Leather; further prepared after tanning or crusting, including parchment-dressed, of bovine (including buffalo) or equine animals, without hair on, other than leather of heading 41.14, not whole hides and skins, but including sides, grain splits</v>
          </cell>
          <cell r="F2276">
            <v>0</v>
          </cell>
          <cell r="G2276">
            <v>0</v>
          </cell>
          <cell r="H2276">
            <v>0</v>
          </cell>
          <cell r="I2276" t="str">
            <v>Others</v>
          </cell>
          <cell r="J2276">
            <v>3</v>
          </cell>
          <cell r="K2276" t="str">
            <v>Others</v>
          </cell>
        </row>
        <row r="2277">
          <cell r="D2277">
            <v>410799</v>
          </cell>
          <cell r="E2277" t="str">
            <v>Leather; further prepared after tanning or crusting, incl. parchment-dressed, of bovine (including buffalo) or equine animals, no hair, excluding leather of heading 41.14, and whole hides and skins, and sides, (full grains, unsplit and grain splits)</v>
          </cell>
          <cell r="F2277">
            <v>0</v>
          </cell>
          <cell r="G2277">
            <v>0</v>
          </cell>
          <cell r="H2277">
            <v>0</v>
          </cell>
          <cell r="I2277" t="str">
            <v>Others</v>
          </cell>
          <cell r="J2277">
            <v>3</v>
          </cell>
          <cell r="K2277" t="str">
            <v>Others</v>
          </cell>
        </row>
        <row r="2278">
          <cell r="D2278">
            <v>411200</v>
          </cell>
          <cell r="E2278" t="str">
            <v>Leather; further prepared after tanning or crusting, including parchment dressed leather, of sheep or lamb, without wool on, whether or not split, other than leather of heading 41.14</v>
          </cell>
          <cell r="F2278">
            <v>0</v>
          </cell>
          <cell r="G2278">
            <v>0</v>
          </cell>
          <cell r="H2278">
            <v>0</v>
          </cell>
          <cell r="I2278" t="str">
            <v>Others</v>
          </cell>
          <cell r="J2278">
            <v>3</v>
          </cell>
          <cell r="K2278" t="str">
            <v>Others</v>
          </cell>
        </row>
        <row r="2279">
          <cell r="D2279">
            <v>411310</v>
          </cell>
          <cell r="E2279" t="str">
            <v>Leather; further prepared after tanning or crusting, including parchment-dressed leather, without hair on, whether or not split, other than leather of heading 41.14, of goats and kids</v>
          </cell>
          <cell r="F2279">
            <v>0</v>
          </cell>
          <cell r="G2279">
            <v>0</v>
          </cell>
          <cell r="H2279">
            <v>0</v>
          </cell>
          <cell r="I2279" t="str">
            <v>Others</v>
          </cell>
          <cell r="J2279">
            <v>3</v>
          </cell>
          <cell r="K2279" t="str">
            <v>Others</v>
          </cell>
        </row>
        <row r="2280">
          <cell r="D2280">
            <v>411320</v>
          </cell>
          <cell r="E2280" t="str">
            <v>Leather; further prepared after tanning or crusting, including parchment-dressed leather, without hair on, whether or not split, other than leather of heading 41.14, of swine</v>
          </cell>
          <cell r="F2280">
            <v>0</v>
          </cell>
          <cell r="G2280">
            <v>0</v>
          </cell>
          <cell r="H2280">
            <v>0</v>
          </cell>
          <cell r="I2280" t="str">
            <v>Others</v>
          </cell>
          <cell r="J2280">
            <v>3</v>
          </cell>
          <cell r="K2280" t="str">
            <v>Others</v>
          </cell>
        </row>
        <row r="2281">
          <cell r="D2281">
            <v>411330</v>
          </cell>
          <cell r="E2281" t="str">
            <v>Leather; further prepared after tanning or crusting, including parchment-dressed leather, of reptiles, whether or not split, other than leather of heading 41.14</v>
          </cell>
          <cell r="F2281">
            <v>0</v>
          </cell>
          <cell r="G2281">
            <v>0</v>
          </cell>
          <cell r="H2281">
            <v>0</v>
          </cell>
          <cell r="I2281" t="str">
            <v>Others</v>
          </cell>
          <cell r="J2281">
            <v>3</v>
          </cell>
          <cell r="K2281" t="str">
            <v>Others</v>
          </cell>
        </row>
        <row r="2282">
          <cell r="D2282">
            <v>411390</v>
          </cell>
          <cell r="E2282" t="str">
            <v>Leather; further prepared after tanning or crusting, including parchment-dressed leather, of animals (other than sheep and lambs, goats and kids, swine and reptiles), without wool or hair on, whether or not split, other than leather of heading 41.14</v>
          </cell>
          <cell r="F2282">
            <v>0</v>
          </cell>
          <cell r="G2282">
            <v>0</v>
          </cell>
          <cell r="H2282">
            <v>0</v>
          </cell>
          <cell r="I2282" t="str">
            <v>Others</v>
          </cell>
          <cell r="J2282">
            <v>3</v>
          </cell>
          <cell r="K2282" t="str">
            <v>Others</v>
          </cell>
        </row>
        <row r="2283">
          <cell r="D2283">
            <v>411410</v>
          </cell>
          <cell r="E2283" t="str">
            <v>Leather; chamois (including combination chamois)</v>
          </cell>
          <cell r="F2283">
            <v>0</v>
          </cell>
          <cell r="G2283">
            <v>0</v>
          </cell>
          <cell r="H2283">
            <v>0</v>
          </cell>
          <cell r="I2283" t="str">
            <v>Others</v>
          </cell>
          <cell r="J2283">
            <v>3</v>
          </cell>
          <cell r="K2283" t="str">
            <v>Others</v>
          </cell>
        </row>
        <row r="2284">
          <cell r="D2284">
            <v>411420</v>
          </cell>
          <cell r="E2284" t="str">
            <v>Leather; patent leather and laminated patent leather; metallised leather</v>
          </cell>
          <cell r="F2284">
            <v>0</v>
          </cell>
          <cell r="G2284">
            <v>0</v>
          </cell>
          <cell r="H2284">
            <v>0</v>
          </cell>
          <cell r="I2284" t="str">
            <v>Others</v>
          </cell>
          <cell r="J2284">
            <v>3</v>
          </cell>
          <cell r="K2284" t="str">
            <v>Others</v>
          </cell>
        </row>
        <row r="2285">
          <cell r="D2285">
            <v>411510</v>
          </cell>
          <cell r="E2285" t="str">
            <v>Leather; composition leather with a basis of leather or leather fibre, in slabs, sheets or strip, whether or not in rolls</v>
          </cell>
          <cell r="F2285">
            <v>0</v>
          </cell>
          <cell r="G2285">
            <v>0</v>
          </cell>
          <cell r="H2285">
            <v>0</v>
          </cell>
          <cell r="I2285" t="str">
            <v>Others</v>
          </cell>
          <cell r="J2285">
            <v>3</v>
          </cell>
          <cell r="K2285" t="str">
            <v>Others</v>
          </cell>
        </row>
        <row r="2286">
          <cell r="D2286">
            <v>411520</v>
          </cell>
          <cell r="E2286" t="str">
            <v>Leather; parings and other waste, of leather or composition leather; not suitable for the manufacture of leather articles; leather dust, powder and flour</v>
          </cell>
          <cell r="F2286">
            <v>0</v>
          </cell>
          <cell r="G2286">
            <v>0</v>
          </cell>
          <cell r="H2286">
            <v>0</v>
          </cell>
          <cell r="I2286" t="str">
            <v>Others</v>
          </cell>
          <cell r="J2286">
            <v>3</v>
          </cell>
          <cell r="K2286" t="str">
            <v>Others</v>
          </cell>
        </row>
        <row r="2287">
          <cell r="D2287">
            <v>420100</v>
          </cell>
          <cell r="E2287" t="str">
            <v>Saddlery and harness; for any animal (including traces, leads, knee pads, muzzles, saddle cloths, saddle bags, dog coats and the like), of any materials</v>
          </cell>
          <cell r="F2287" t="str">
            <v>Capital Goods</v>
          </cell>
          <cell r="G2287">
            <v>0</v>
          </cell>
          <cell r="H2287">
            <v>0</v>
          </cell>
          <cell r="I2287" t="str">
            <v>Others</v>
          </cell>
          <cell r="J2287">
            <v>2</v>
          </cell>
          <cell r="K2287" t="str">
            <v>Capital Goods - rc</v>
          </cell>
        </row>
        <row r="2288">
          <cell r="D2288">
            <v>420211</v>
          </cell>
          <cell r="E2288" t="str">
            <v>Cases and containers; trunks, suit-cases, vanity-cases, executive-cases, brief-cases, school satchels and similar containers, with outer surface of leather or of composition leather</v>
          </cell>
          <cell r="F2288">
            <v>0</v>
          </cell>
          <cell r="G2288">
            <v>0</v>
          </cell>
          <cell r="H2288">
            <v>0</v>
          </cell>
          <cell r="I2288" t="str">
            <v>Others</v>
          </cell>
          <cell r="J2288">
            <v>3</v>
          </cell>
          <cell r="K2288" t="str">
            <v>Others</v>
          </cell>
        </row>
        <row r="2289">
          <cell r="D2289">
            <v>420212</v>
          </cell>
          <cell r="E2289" t="str">
            <v>Cases and containers; trunks, suit-cases, vanity-cases, executive-cases, brief-cases, school satchels and similar containers, with outer surface of plastics or of textile materials</v>
          </cell>
          <cell r="F2289">
            <v>0</v>
          </cell>
          <cell r="G2289">
            <v>0</v>
          </cell>
          <cell r="H2289">
            <v>0</v>
          </cell>
          <cell r="I2289" t="str">
            <v>Others</v>
          </cell>
          <cell r="J2289">
            <v>3</v>
          </cell>
          <cell r="K2289" t="str">
            <v>Others</v>
          </cell>
        </row>
        <row r="2290">
          <cell r="D2290">
            <v>420219</v>
          </cell>
          <cell r="E2290" t="str">
            <v>Cases and containers; trunks, suit-cases, vanity-cases, executive-cases, brief-cases, school satchels and similar containers, of vulcanised fibre or of paperboard, or wholly or mainly covered with such materials or with paper</v>
          </cell>
          <cell r="F2290">
            <v>0</v>
          </cell>
          <cell r="G2290">
            <v>0</v>
          </cell>
          <cell r="H2290">
            <v>0</v>
          </cell>
          <cell r="I2290" t="str">
            <v>Others</v>
          </cell>
          <cell r="J2290">
            <v>3</v>
          </cell>
          <cell r="K2290" t="str">
            <v>Others</v>
          </cell>
        </row>
        <row r="2291">
          <cell r="D2291">
            <v>420221</v>
          </cell>
          <cell r="E2291" t="str">
            <v>Cases and containers; handbags (whether or not with shoulder strap and including those without handle), with outer surface of leather or of composition leather</v>
          </cell>
          <cell r="F2291">
            <v>0</v>
          </cell>
          <cell r="G2291">
            <v>0</v>
          </cell>
          <cell r="H2291">
            <v>0</v>
          </cell>
          <cell r="I2291" t="str">
            <v>Others</v>
          </cell>
          <cell r="J2291">
            <v>3</v>
          </cell>
          <cell r="K2291" t="str">
            <v>Others</v>
          </cell>
        </row>
        <row r="2292">
          <cell r="D2292">
            <v>420222</v>
          </cell>
          <cell r="E2292" t="str">
            <v>Cases and containers; handbags (whether or not with shoulder strap and including those without handle), with outer surface of sheeting of plastics or of textile materials</v>
          </cell>
          <cell r="F2292">
            <v>0</v>
          </cell>
          <cell r="G2292">
            <v>0</v>
          </cell>
          <cell r="H2292">
            <v>0</v>
          </cell>
          <cell r="I2292" t="str">
            <v>Others</v>
          </cell>
          <cell r="J2292">
            <v>3</v>
          </cell>
          <cell r="K2292" t="str">
            <v>Others</v>
          </cell>
        </row>
        <row r="2293">
          <cell r="D2293">
            <v>420229</v>
          </cell>
          <cell r="E2293" t="str">
            <v>Cases and containers; handbags (whether or not with shoulder strap and including those without handle), of vulcanised fibre or of paperboard, or wholly or mainly covered with such materials or with paper</v>
          </cell>
          <cell r="F2293" t="str">
            <v>Capital Goods</v>
          </cell>
          <cell r="G2293">
            <v>0</v>
          </cell>
          <cell r="H2293">
            <v>0</v>
          </cell>
          <cell r="I2293" t="str">
            <v>Others</v>
          </cell>
          <cell r="J2293">
            <v>2</v>
          </cell>
          <cell r="K2293" t="str">
            <v>Capital Goods - rc</v>
          </cell>
        </row>
        <row r="2294">
          <cell r="D2294">
            <v>420231</v>
          </cell>
          <cell r="E2294" t="str">
            <v>Cases and containers; of a kind normally carried in the pocket or in the handbag, with outer surface of leather or of composition leather</v>
          </cell>
          <cell r="F2294" t="str">
            <v>Capital Goods</v>
          </cell>
          <cell r="G2294">
            <v>0</v>
          </cell>
          <cell r="H2294">
            <v>0</v>
          </cell>
          <cell r="I2294" t="str">
            <v>Others</v>
          </cell>
          <cell r="J2294">
            <v>2</v>
          </cell>
          <cell r="K2294" t="str">
            <v>Others</v>
          </cell>
        </row>
        <row r="2295">
          <cell r="D2295">
            <v>420232</v>
          </cell>
          <cell r="E2295" t="str">
            <v>Cases and containers; of a kind normally carried in the pocket or in the handbag, with outer surface of sheeting of plastics or of textile materials</v>
          </cell>
          <cell r="F2295" t="str">
            <v>Capital Goods</v>
          </cell>
          <cell r="G2295">
            <v>0</v>
          </cell>
          <cell r="H2295">
            <v>0</v>
          </cell>
          <cell r="I2295" t="str">
            <v>Others</v>
          </cell>
          <cell r="J2295">
            <v>2</v>
          </cell>
          <cell r="K2295" t="str">
            <v>Capital Goods - rc</v>
          </cell>
        </row>
        <row r="2296">
          <cell r="D2296">
            <v>420239</v>
          </cell>
          <cell r="E2296" t="str">
            <v>Cases and containers; of a kind normally carried in the pocket or in the handbag, of vulcanised fibre or of paperboard, or wholly or mainly covered with such materials or with paper</v>
          </cell>
          <cell r="F2296">
            <v>0</v>
          </cell>
          <cell r="G2296">
            <v>0</v>
          </cell>
          <cell r="H2296">
            <v>0</v>
          </cell>
          <cell r="I2296" t="str">
            <v>Others</v>
          </cell>
          <cell r="J2296">
            <v>3</v>
          </cell>
          <cell r="K2296" t="str">
            <v>Others</v>
          </cell>
        </row>
        <row r="2297">
          <cell r="D2297">
            <v>420291</v>
          </cell>
          <cell r="E2297" t="str">
            <v>Cases and containers; n.e.c. in heading 4202, with outer surface of leather or of composition leather</v>
          </cell>
          <cell r="F2297">
            <v>0</v>
          </cell>
          <cell r="G2297" t="str">
            <v>Parts &amp; Accessories</v>
          </cell>
          <cell r="H2297">
            <v>0</v>
          </cell>
          <cell r="I2297" t="str">
            <v>Others</v>
          </cell>
          <cell r="J2297">
            <v>2</v>
          </cell>
          <cell r="K2297" t="str">
            <v>Others</v>
          </cell>
        </row>
        <row r="2298">
          <cell r="D2298">
            <v>420292</v>
          </cell>
          <cell r="E2298" t="str">
            <v>Cases and containers; n.e.c. in heading 4202, with outer surface of sheeting of plastics or of textile materials</v>
          </cell>
          <cell r="F2298" t="str">
            <v>Capital Goods</v>
          </cell>
          <cell r="G2298">
            <v>0</v>
          </cell>
          <cell r="H2298">
            <v>0</v>
          </cell>
          <cell r="I2298" t="str">
            <v>Others</v>
          </cell>
          <cell r="J2298">
            <v>2</v>
          </cell>
          <cell r="K2298" t="str">
            <v>Others</v>
          </cell>
        </row>
        <row r="2299">
          <cell r="D2299">
            <v>420299</v>
          </cell>
          <cell r="E2299" t="str">
            <v>Cases and containers; n.e.c. in heading 4202, of vulcanised fibre or of paperboard, or wholly or mainly covered with such materials or with paper</v>
          </cell>
          <cell r="F2299" t="str">
            <v>Capital Goods</v>
          </cell>
          <cell r="G2299">
            <v>0</v>
          </cell>
          <cell r="H2299">
            <v>0</v>
          </cell>
          <cell r="I2299" t="str">
            <v>Others</v>
          </cell>
          <cell r="J2299">
            <v>2</v>
          </cell>
          <cell r="K2299" t="str">
            <v>Capital Goods - rc</v>
          </cell>
        </row>
        <row r="2300">
          <cell r="D2300">
            <v>420310</v>
          </cell>
          <cell r="E2300" t="str">
            <v>Apparel; articles of apparel, of leather or of composition leather</v>
          </cell>
          <cell r="F2300">
            <v>0</v>
          </cell>
          <cell r="G2300">
            <v>0</v>
          </cell>
          <cell r="H2300">
            <v>0</v>
          </cell>
          <cell r="I2300" t="str">
            <v>Others</v>
          </cell>
          <cell r="J2300">
            <v>3</v>
          </cell>
          <cell r="K2300" t="str">
            <v>Others</v>
          </cell>
        </row>
        <row r="2301">
          <cell r="D2301">
            <v>420321</v>
          </cell>
          <cell r="E2301" t="str">
            <v>Clothing accessories; gloves, mittens and mitts, specially designed for use in sports, of leather or composition leather, padded</v>
          </cell>
          <cell r="F2301">
            <v>0</v>
          </cell>
          <cell r="G2301">
            <v>0</v>
          </cell>
          <cell r="H2301">
            <v>0</v>
          </cell>
          <cell r="I2301" t="str">
            <v>Others</v>
          </cell>
          <cell r="J2301">
            <v>3</v>
          </cell>
          <cell r="K2301" t="str">
            <v>Others</v>
          </cell>
        </row>
        <row r="2302">
          <cell r="D2302">
            <v>420329</v>
          </cell>
          <cell r="E2302" t="str">
            <v>Clothing accessories; gloves, mittens and mitts, n.e.c. in heading no. 4203, of leather or composition leather, not specially designed for use in sports</v>
          </cell>
          <cell r="F2302" t="str">
            <v>Consumables</v>
          </cell>
          <cell r="G2302">
            <v>0</v>
          </cell>
          <cell r="H2302">
            <v>0</v>
          </cell>
          <cell r="I2302" t="str">
            <v>Others</v>
          </cell>
          <cell r="J2302">
            <v>2</v>
          </cell>
          <cell r="K2302" t="str">
            <v>Consumables</v>
          </cell>
        </row>
        <row r="2303">
          <cell r="D2303">
            <v>420330</v>
          </cell>
          <cell r="E2303" t="str">
            <v>Clothing accessories; belts and bandoliers, of leather or of composition leather</v>
          </cell>
          <cell r="F2303" t="str">
            <v>Consumables</v>
          </cell>
          <cell r="G2303">
            <v>0</v>
          </cell>
          <cell r="H2303">
            <v>0</v>
          </cell>
          <cell r="I2303" t="str">
            <v>Others</v>
          </cell>
          <cell r="J2303">
            <v>2</v>
          </cell>
          <cell r="K2303" t="str">
            <v>Consumables - rc</v>
          </cell>
        </row>
        <row r="2304">
          <cell r="D2304">
            <v>420340</v>
          </cell>
          <cell r="E2304" t="str">
            <v>Clothing accessories; of leather or of composition leather, n.e.c. in heading no. 4203</v>
          </cell>
          <cell r="F2304" t="str">
            <v>Consumables</v>
          </cell>
          <cell r="G2304">
            <v>0</v>
          </cell>
          <cell r="H2304">
            <v>0</v>
          </cell>
          <cell r="I2304" t="str">
            <v>Others</v>
          </cell>
          <cell r="J2304">
            <v>2</v>
          </cell>
          <cell r="K2304" t="str">
            <v>Consumables - rc</v>
          </cell>
        </row>
        <row r="2305">
          <cell r="D2305">
            <v>420500</v>
          </cell>
          <cell r="E2305" t="str">
            <v>Leather articles; n.e.c. in chapter 42, of leather or composition leather</v>
          </cell>
          <cell r="F2305">
            <v>0</v>
          </cell>
          <cell r="G2305">
            <v>0</v>
          </cell>
          <cell r="H2305">
            <v>0</v>
          </cell>
          <cell r="I2305" t="str">
            <v>Parts &amp; Accessories</v>
          </cell>
          <cell r="J2305">
            <v>3</v>
          </cell>
          <cell r="K2305" t="str">
            <v>Parts &amp; Accessories - rc</v>
          </cell>
        </row>
        <row r="2306">
          <cell r="D2306">
            <v>420600</v>
          </cell>
          <cell r="E2306" t="str">
            <v>Articles of gut (other than silk-worm gut), of goldbeater's skin, of bladders or of tendons</v>
          </cell>
          <cell r="F2306">
            <v>0</v>
          </cell>
          <cell r="G2306">
            <v>0</v>
          </cell>
          <cell r="H2306">
            <v>0</v>
          </cell>
          <cell r="I2306" t="str">
            <v>Others</v>
          </cell>
          <cell r="J2306">
            <v>3</v>
          </cell>
          <cell r="K2306" t="str">
            <v>Others</v>
          </cell>
        </row>
        <row r="2307">
          <cell r="D2307">
            <v>430110</v>
          </cell>
          <cell r="E2307" t="str">
            <v>Furskins; raw, of mink, whole, with or without head, tail or paws</v>
          </cell>
          <cell r="F2307">
            <v>0</v>
          </cell>
          <cell r="G2307">
            <v>0</v>
          </cell>
          <cell r="H2307">
            <v>0</v>
          </cell>
          <cell r="I2307" t="str">
            <v>Others</v>
          </cell>
          <cell r="J2307">
            <v>3</v>
          </cell>
          <cell r="K2307" t="str">
            <v>Others</v>
          </cell>
        </row>
        <row r="2308">
          <cell r="D2308">
            <v>430130</v>
          </cell>
          <cell r="E2308" t="str">
            <v>Furskins; raw, of Astrakhan, Broadtail, Caracul, Persian and similar lamb, Indian, Chinese, Mongolian or Tibetan lamb, whole, with or without head, tail or paws</v>
          </cell>
          <cell r="F2308">
            <v>0</v>
          </cell>
          <cell r="G2308">
            <v>0</v>
          </cell>
          <cell r="H2308">
            <v>0</v>
          </cell>
          <cell r="I2308" t="str">
            <v>Others</v>
          </cell>
          <cell r="J2308">
            <v>3</v>
          </cell>
          <cell r="K2308" t="str">
            <v>Others</v>
          </cell>
        </row>
        <row r="2309">
          <cell r="D2309">
            <v>430160</v>
          </cell>
          <cell r="E2309" t="str">
            <v>Furskins; raw, of fox, whole, with or without head, tail or paws</v>
          </cell>
          <cell r="F2309">
            <v>0</v>
          </cell>
          <cell r="G2309">
            <v>0</v>
          </cell>
          <cell r="H2309">
            <v>0</v>
          </cell>
          <cell r="I2309" t="str">
            <v>Others</v>
          </cell>
          <cell r="J2309">
            <v>3</v>
          </cell>
          <cell r="K2309" t="str">
            <v>Others</v>
          </cell>
        </row>
        <row r="2310">
          <cell r="D2310">
            <v>430180</v>
          </cell>
          <cell r="E2310" t="str">
            <v>Furskins; raw, of animals n.e.c. in heading no. 4301, whole, with or without head, tail or paws (excluding goods of heading no. 4101, 4102 and 4103)</v>
          </cell>
          <cell r="F2310">
            <v>0</v>
          </cell>
          <cell r="G2310">
            <v>0</v>
          </cell>
          <cell r="H2310">
            <v>0</v>
          </cell>
          <cell r="I2310" t="str">
            <v>Others</v>
          </cell>
          <cell r="J2310">
            <v>3</v>
          </cell>
          <cell r="K2310" t="str">
            <v>Others</v>
          </cell>
        </row>
        <row r="2311">
          <cell r="D2311">
            <v>430190</v>
          </cell>
          <cell r="E2311" t="str">
            <v>Furskins; raw, heads, tails, paws and other pieces or cuttings, suitable for furrier's use, excluding goods of heading no. 4101, 4102 and 4103</v>
          </cell>
          <cell r="F2311">
            <v>0</v>
          </cell>
          <cell r="G2311">
            <v>0</v>
          </cell>
          <cell r="H2311">
            <v>0</v>
          </cell>
          <cell r="I2311" t="str">
            <v>Others</v>
          </cell>
          <cell r="J2311">
            <v>3</v>
          </cell>
          <cell r="K2311" t="str">
            <v>Others</v>
          </cell>
        </row>
        <row r="2312">
          <cell r="D2312">
            <v>430211</v>
          </cell>
          <cell r="E2312" t="str">
            <v>Furskins; tanned or dressed, of mink, whole, with or without head, tail or paws, not assembled</v>
          </cell>
          <cell r="F2312">
            <v>0</v>
          </cell>
          <cell r="G2312">
            <v>0</v>
          </cell>
          <cell r="H2312">
            <v>0</v>
          </cell>
          <cell r="I2312" t="str">
            <v>Others</v>
          </cell>
          <cell r="J2312">
            <v>3</v>
          </cell>
          <cell r="K2312" t="str">
            <v>Others</v>
          </cell>
        </row>
        <row r="2313">
          <cell r="D2313">
            <v>430219</v>
          </cell>
          <cell r="E2313" t="str">
            <v>Furskins; tanned or dressed, whole, with or without head, tail or paws, not assembled, n.e.c. in heading no. 4302, excluding goods or heading no. 4303</v>
          </cell>
          <cell r="F2313">
            <v>0</v>
          </cell>
          <cell r="G2313">
            <v>0</v>
          </cell>
          <cell r="H2313">
            <v>0</v>
          </cell>
          <cell r="I2313" t="str">
            <v>Others</v>
          </cell>
          <cell r="J2313">
            <v>3</v>
          </cell>
          <cell r="K2313" t="str">
            <v>Others</v>
          </cell>
        </row>
        <row r="2314">
          <cell r="D2314">
            <v>430220</v>
          </cell>
          <cell r="E2314" t="str">
            <v>Furskins; tanned or dressed, heads, tails, paws and other pieces or cuttings, not assembled, excluding goods of heading no. 4303</v>
          </cell>
          <cell r="F2314">
            <v>0</v>
          </cell>
          <cell r="G2314">
            <v>0</v>
          </cell>
          <cell r="H2314">
            <v>0</v>
          </cell>
          <cell r="I2314" t="str">
            <v>Others</v>
          </cell>
          <cell r="J2314">
            <v>3</v>
          </cell>
          <cell r="K2314" t="str">
            <v>Others</v>
          </cell>
        </row>
        <row r="2315">
          <cell r="D2315">
            <v>430230</v>
          </cell>
          <cell r="E2315" t="str">
            <v>Furskins; tanned or dressed, whole skins and pieces or cuttings thereof, assembled, excluding goods of heading no. 4303</v>
          </cell>
          <cell r="F2315">
            <v>0</v>
          </cell>
          <cell r="G2315">
            <v>0</v>
          </cell>
          <cell r="H2315">
            <v>0</v>
          </cell>
          <cell r="I2315" t="str">
            <v>Others</v>
          </cell>
          <cell r="J2315">
            <v>3</v>
          </cell>
          <cell r="K2315" t="str">
            <v>Others</v>
          </cell>
        </row>
        <row r="2316">
          <cell r="D2316">
            <v>430310</v>
          </cell>
          <cell r="E2316" t="str">
            <v>Furskin articles; apparel and clothing accessories</v>
          </cell>
          <cell r="F2316">
            <v>0</v>
          </cell>
          <cell r="G2316">
            <v>0</v>
          </cell>
          <cell r="H2316">
            <v>0</v>
          </cell>
          <cell r="I2316" t="str">
            <v>Others</v>
          </cell>
          <cell r="J2316">
            <v>3</v>
          </cell>
          <cell r="K2316" t="str">
            <v>Others</v>
          </cell>
        </row>
        <row r="2317">
          <cell r="D2317">
            <v>430390</v>
          </cell>
          <cell r="E2317" t="str">
            <v>Furskin articles; other than apparel and clothing accessories</v>
          </cell>
          <cell r="F2317">
            <v>0</v>
          </cell>
          <cell r="G2317">
            <v>0</v>
          </cell>
          <cell r="H2317">
            <v>0</v>
          </cell>
          <cell r="I2317" t="str">
            <v>Others</v>
          </cell>
          <cell r="J2317">
            <v>3</v>
          </cell>
          <cell r="K2317" t="str">
            <v>Others</v>
          </cell>
        </row>
        <row r="2318">
          <cell r="D2318">
            <v>430400</v>
          </cell>
          <cell r="E2318" t="str">
            <v>Fur, artificial; articles thereof</v>
          </cell>
          <cell r="F2318">
            <v>0</v>
          </cell>
          <cell r="G2318">
            <v>0</v>
          </cell>
          <cell r="H2318">
            <v>0</v>
          </cell>
          <cell r="I2318" t="str">
            <v>Others</v>
          </cell>
          <cell r="J2318">
            <v>3</v>
          </cell>
          <cell r="K2318" t="str">
            <v>Others</v>
          </cell>
        </row>
        <row r="2319">
          <cell r="D2319">
            <v>440111</v>
          </cell>
          <cell r="E2319" t="str">
            <v>Wood; for fuel, in logs, in billets, in twigs, in faggots or similar forms, whether or not agglomerated, coniferous</v>
          </cell>
          <cell r="F2319">
            <v>0</v>
          </cell>
          <cell r="G2319">
            <v>0</v>
          </cell>
          <cell r="H2319">
            <v>0</v>
          </cell>
          <cell r="I2319" t="str">
            <v>Others</v>
          </cell>
          <cell r="J2319">
            <v>3</v>
          </cell>
          <cell r="K2319" t="str">
            <v>Others</v>
          </cell>
        </row>
        <row r="2320">
          <cell r="D2320">
            <v>440112</v>
          </cell>
          <cell r="E2320" t="str">
            <v>Wood; for fuel, in logs, in billets, in twigs, in faggots or similar forms, whether or not agglomerated, non-coniferous</v>
          </cell>
          <cell r="F2320">
            <v>0</v>
          </cell>
          <cell r="G2320">
            <v>0</v>
          </cell>
          <cell r="H2320">
            <v>0</v>
          </cell>
          <cell r="I2320" t="str">
            <v>Others</v>
          </cell>
          <cell r="J2320">
            <v>3</v>
          </cell>
          <cell r="K2320" t="str">
            <v>Others</v>
          </cell>
        </row>
        <row r="2321">
          <cell r="D2321">
            <v>440121</v>
          </cell>
          <cell r="E2321" t="str">
            <v>Wood; for fuel, in chips or particles, coniferous, whether or not agglomerated</v>
          </cell>
          <cell r="F2321">
            <v>0</v>
          </cell>
          <cell r="G2321">
            <v>0</v>
          </cell>
          <cell r="H2321">
            <v>0</v>
          </cell>
          <cell r="I2321" t="str">
            <v>Others</v>
          </cell>
          <cell r="J2321">
            <v>3</v>
          </cell>
          <cell r="K2321" t="str">
            <v>Others</v>
          </cell>
        </row>
        <row r="2322">
          <cell r="D2322">
            <v>440122</v>
          </cell>
          <cell r="E2322" t="str">
            <v>Wood; for fuel, in chips or particles, non-coniferous, whether or not agglomerated</v>
          </cell>
          <cell r="F2322">
            <v>0</v>
          </cell>
          <cell r="G2322">
            <v>0</v>
          </cell>
          <cell r="H2322">
            <v>0</v>
          </cell>
          <cell r="I2322" t="str">
            <v>Others</v>
          </cell>
          <cell r="J2322">
            <v>3</v>
          </cell>
          <cell r="K2322" t="str">
            <v>Others</v>
          </cell>
        </row>
        <row r="2323">
          <cell r="D2323">
            <v>440131</v>
          </cell>
          <cell r="E2323" t="str">
            <v>Wood; for fuel, sawdust and wood waste and scrap, agglomerated in wood pellets</v>
          </cell>
          <cell r="F2323">
            <v>0</v>
          </cell>
          <cell r="G2323">
            <v>0</v>
          </cell>
          <cell r="H2323">
            <v>0</v>
          </cell>
          <cell r="I2323" t="str">
            <v>Others</v>
          </cell>
          <cell r="J2323">
            <v>3</v>
          </cell>
          <cell r="K2323" t="str">
            <v>Others</v>
          </cell>
        </row>
        <row r="2324">
          <cell r="D2324">
            <v>440132</v>
          </cell>
          <cell r="E2324" t="str">
            <v>Wood; for fuel, sawdust and wood waste and scrap, agglomerated in wood briquettes</v>
          </cell>
          <cell r="F2324">
            <v>0</v>
          </cell>
          <cell r="G2324">
            <v>0</v>
          </cell>
          <cell r="H2324">
            <v>0</v>
          </cell>
          <cell r="I2324" t="str">
            <v>Others</v>
          </cell>
          <cell r="J2324">
            <v>3</v>
          </cell>
          <cell r="K2324" t="str">
            <v>Others</v>
          </cell>
        </row>
        <row r="2325">
          <cell r="D2325">
            <v>440139</v>
          </cell>
          <cell r="E2325" t="str">
            <v>Wood; for fuel, sawdust and wood waste and scrap, agglomerated in logs or similar forms, other than wood pellets or wood briquettes</v>
          </cell>
          <cell r="F2325">
            <v>0</v>
          </cell>
          <cell r="G2325">
            <v>0</v>
          </cell>
          <cell r="H2325">
            <v>0</v>
          </cell>
          <cell r="I2325" t="str">
            <v>Others</v>
          </cell>
          <cell r="J2325">
            <v>3</v>
          </cell>
          <cell r="K2325" t="str">
            <v>Others</v>
          </cell>
        </row>
        <row r="2326">
          <cell r="D2326">
            <v>440141</v>
          </cell>
          <cell r="E2326" t="str">
            <v>Wood; for fuel, sawdust and wood waste and scrap, not agglomerated; sawdust</v>
          </cell>
          <cell r="F2326">
            <v>0</v>
          </cell>
          <cell r="G2326">
            <v>0</v>
          </cell>
          <cell r="H2326">
            <v>0</v>
          </cell>
          <cell r="I2326" t="str">
            <v>Others</v>
          </cell>
          <cell r="J2326">
            <v>3</v>
          </cell>
          <cell r="K2326" t="str">
            <v>Others</v>
          </cell>
        </row>
        <row r="2327">
          <cell r="D2327">
            <v>440149</v>
          </cell>
          <cell r="E2327" t="str">
            <v>Wood; for fuel, sawdust and wood waste and scrap, not agglomerated and not including sawdust</v>
          </cell>
          <cell r="F2327">
            <v>0</v>
          </cell>
          <cell r="G2327">
            <v>0</v>
          </cell>
          <cell r="H2327">
            <v>0</v>
          </cell>
          <cell r="I2327" t="str">
            <v>Others</v>
          </cell>
          <cell r="J2327">
            <v>3</v>
          </cell>
          <cell r="K2327" t="str">
            <v>Others</v>
          </cell>
        </row>
        <row r="2328">
          <cell r="D2328">
            <v>440210</v>
          </cell>
          <cell r="E2328" t="str">
            <v>Wood; charcoal of bamboo, whether or not agglomerated</v>
          </cell>
          <cell r="F2328">
            <v>0</v>
          </cell>
          <cell r="G2328">
            <v>0</v>
          </cell>
          <cell r="H2328">
            <v>0</v>
          </cell>
          <cell r="I2328" t="str">
            <v>Others</v>
          </cell>
          <cell r="J2328">
            <v>3</v>
          </cell>
          <cell r="K2328" t="str">
            <v>Others</v>
          </cell>
        </row>
        <row r="2329">
          <cell r="D2329">
            <v>440220</v>
          </cell>
          <cell r="E2329" t="str">
            <v>Wood; charcoal of nut or shell, whether or not agglomerated</v>
          </cell>
          <cell r="F2329">
            <v>0</v>
          </cell>
          <cell r="G2329">
            <v>0</v>
          </cell>
          <cell r="H2329">
            <v>0</v>
          </cell>
          <cell r="I2329" t="str">
            <v>Others</v>
          </cell>
          <cell r="J2329">
            <v>3</v>
          </cell>
          <cell r="K2329" t="str">
            <v>Others</v>
          </cell>
        </row>
        <row r="2330">
          <cell r="D2330">
            <v>440290</v>
          </cell>
          <cell r="E2330" t="str">
            <v>Wood; charcoal of wood other than bamboo, nut or shell, whether or not agglomerated</v>
          </cell>
          <cell r="F2330">
            <v>0</v>
          </cell>
          <cell r="G2330">
            <v>0</v>
          </cell>
          <cell r="H2330">
            <v>0</v>
          </cell>
          <cell r="I2330" t="str">
            <v>Others</v>
          </cell>
          <cell r="J2330">
            <v>3</v>
          </cell>
          <cell r="K2330" t="str">
            <v>Others</v>
          </cell>
        </row>
        <row r="2331">
          <cell r="D2331">
            <v>440311</v>
          </cell>
          <cell r="E2331" t="str">
            <v>Wood; coniferous species, in the rough, whether or not stripped of bark or sapwood, or roughly squared; treated with paint, stains, creosote or other preservatives</v>
          </cell>
          <cell r="F2331">
            <v>0</v>
          </cell>
          <cell r="G2331">
            <v>0</v>
          </cell>
          <cell r="H2331">
            <v>0</v>
          </cell>
          <cell r="I2331" t="str">
            <v>Others</v>
          </cell>
          <cell r="J2331">
            <v>3</v>
          </cell>
          <cell r="K2331" t="str">
            <v>Others</v>
          </cell>
        </row>
        <row r="2332">
          <cell r="D2332">
            <v>440312</v>
          </cell>
          <cell r="E2332" t="str">
            <v>Wood; non-coniferous species, in the rough, whether or not stripped of bark or sapwood, or roughly squared; treated with paint, stains, creosote or other preservatives</v>
          </cell>
          <cell r="F2332">
            <v>0</v>
          </cell>
          <cell r="G2332">
            <v>0</v>
          </cell>
          <cell r="H2332">
            <v>0</v>
          </cell>
          <cell r="I2332" t="str">
            <v>Others</v>
          </cell>
          <cell r="J2332">
            <v>3</v>
          </cell>
          <cell r="K2332" t="str">
            <v>Others</v>
          </cell>
        </row>
        <row r="2333">
          <cell r="D2333">
            <v>440321</v>
          </cell>
          <cell r="E2333" t="str">
            <v>Wood; coniferous species, of pine (Pinus spp.), in the rough, whether or not stripped of bark or sapwood, or roughly squared, untreated, of which the smallest cross-sectional dimension is 15 cm or more</v>
          </cell>
          <cell r="F2333">
            <v>0</v>
          </cell>
          <cell r="G2333">
            <v>0</v>
          </cell>
          <cell r="H2333">
            <v>0</v>
          </cell>
          <cell r="I2333" t="str">
            <v>Others</v>
          </cell>
          <cell r="J2333">
            <v>3</v>
          </cell>
          <cell r="K2333" t="str">
            <v>Others</v>
          </cell>
        </row>
        <row r="2334">
          <cell r="D2334">
            <v>440322</v>
          </cell>
          <cell r="E2334" t="str">
            <v>Wood; coniferous species, of pine (Pinus spp.), in the rough, whether or not stripped of bark or sapwood, or roughly squared, untreated, of which any cross-sectional dimension is less than 15 cm</v>
          </cell>
          <cell r="F2334">
            <v>0</v>
          </cell>
          <cell r="G2334">
            <v>0</v>
          </cell>
          <cell r="H2334">
            <v>0</v>
          </cell>
          <cell r="I2334" t="str">
            <v>Others</v>
          </cell>
          <cell r="J2334">
            <v>3</v>
          </cell>
          <cell r="K2334" t="str">
            <v>Others</v>
          </cell>
        </row>
        <row r="2335">
          <cell r="D2335">
            <v>440323</v>
          </cell>
          <cell r="E2335" t="str">
            <v>Wood; coniferous species, of fir (Abies spp.) and spruce (Picea spp.), in the rough, whether or not stripped of bark or sapwood, or roughly squared, untreated, of which the smallest cross-sectional dimension is 15 cm or more</v>
          </cell>
          <cell r="F2335">
            <v>0</v>
          </cell>
          <cell r="G2335">
            <v>0</v>
          </cell>
          <cell r="H2335">
            <v>0</v>
          </cell>
          <cell r="I2335" t="str">
            <v>Others</v>
          </cell>
          <cell r="J2335">
            <v>3</v>
          </cell>
          <cell r="K2335" t="str">
            <v>Others</v>
          </cell>
        </row>
        <row r="2336">
          <cell r="D2336">
            <v>440324</v>
          </cell>
          <cell r="E2336" t="str">
            <v>Wood; coniferous species, of fir (Abies spp.) and spruce (Picea spp.), in the rough, whether or not stripped of bark or sapwood, or roughly squared, untreated, of which any cross-sectional dimension is less than 15 cm</v>
          </cell>
          <cell r="F2336">
            <v>0</v>
          </cell>
          <cell r="G2336">
            <v>0</v>
          </cell>
          <cell r="H2336">
            <v>0</v>
          </cell>
          <cell r="I2336" t="str">
            <v>Others</v>
          </cell>
          <cell r="J2336">
            <v>3</v>
          </cell>
          <cell r="K2336" t="str">
            <v>Others</v>
          </cell>
        </row>
        <row r="2337">
          <cell r="D2337">
            <v>440325</v>
          </cell>
          <cell r="E2337" t="str">
            <v>Wood; coniferous species n.e.c. in headings 4403.21 or 4403.23, in the rough, whether or not stripped of bark or sapwood, or roughly squared, untreated, of which the smallest cross-sectional dimension is 15 cm or more</v>
          </cell>
          <cell r="F2337">
            <v>0</v>
          </cell>
          <cell r="G2337">
            <v>0</v>
          </cell>
          <cell r="H2337">
            <v>0</v>
          </cell>
          <cell r="I2337" t="str">
            <v>Others</v>
          </cell>
          <cell r="J2337">
            <v>3</v>
          </cell>
          <cell r="K2337" t="str">
            <v>Others</v>
          </cell>
        </row>
        <row r="2338">
          <cell r="D2338">
            <v>440326</v>
          </cell>
          <cell r="E2338" t="str">
            <v>Wood; coniferous species n.e.c in headings 4403.22 or 4403.24, in the rough, whether or not stripped of bark or sapwood, or roughly squared, untreated, of which any cross-sectional dimension is less than 15 cm</v>
          </cell>
          <cell r="F2338">
            <v>0</v>
          </cell>
          <cell r="G2338">
            <v>0</v>
          </cell>
          <cell r="H2338">
            <v>0</v>
          </cell>
          <cell r="I2338" t="str">
            <v>Others</v>
          </cell>
          <cell r="J2338">
            <v>3</v>
          </cell>
          <cell r="K2338" t="str">
            <v>Others</v>
          </cell>
        </row>
        <row r="2339">
          <cell r="D2339">
            <v>440341</v>
          </cell>
          <cell r="E2339" t="str">
            <v>Wood, tropical; as specified in Subheading Note 2 to this Chapter, dark red meranti, light red meranti and meranti bakau, in the rough, whether or not stripped of bark or sapwood, or roughly squared, untreated</v>
          </cell>
          <cell r="F2339">
            <v>0</v>
          </cell>
          <cell r="G2339">
            <v>0</v>
          </cell>
          <cell r="H2339">
            <v>0</v>
          </cell>
          <cell r="I2339" t="str">
            <v>Others</v>
          </cell>
          <cell r="J2339">
            <v>3</v>
          </cell>
          <cell r="K2339" t="str">
            <v>Others</v>
          </cell>
        </row>
        <row r="2340">
          <cell r="D2340">
            <v>440342</v>
          </cell>
          <cell r="E2340" t="str">
            <v>Wood, tropical; teak, in the rough, whether or not stripped of bark or sapwood, or roughly squared, untreated</v>
          </cell>
          <cell r="F2340">
            <v>0</v>
          </cell>
          <cell r="G2340">
            <v>0</v>
          </cell>
          <cell r="H2340">
            <v>0</v>
          </cell>
          <cell r="I2340" t="str">
            <v>Others</v>
          </cell>
          <cell r="J2340">
            <v>3</v>
          </cell>
          <cell r="K2340" t="str">
            <v>Others</v>
          </cell>
        </row>
        <row r="2341">
          <cell r="D2341">
            <v>440349</v>
          </cell>
          <cell r="E2341" t="str">
            <v>Wood, tropical; other than dark red meranti, light red meranti meranti bakau and teak, in the rough, whether or not stripped of bark or sapwood, or roughly squared, untreated</v>
          </cell>
          <cell r="F2341">
            <v>0</v>
          </cell>
          <cell r="G2341">
            <v>0</v>
          </cell>
          <cell r="H2341">
            <v>0</v>
          </cell>
          <cell r="I2341" t="str">
            <v>Others</v>
          </cell>
          <cell r="J2341">
            <v>3</v>
          </cell>
          <cell r="K2341" t="str">
            <v>Others</v>
          </cell>
        </row>
        <row r="2342">
          <cell r="D2342">
            <v>440391</v>
          </cell>
          <cell r="E2342" t="str">
            <v>Wood; oak, in the rough, whether or not stripped of bark or sapwood, or roughly squared, untreated</v>
          </cell>
          <cell r="F2342">
            <v>0</v>
          </cell>
          <cell r="G2342">
            <v>0</v>
          </cell>
          <cell r="H2342">
            <v>0</v>
          </cell>
          <cell r="I2342" t="str">
            <v>Others</v>
          </cell>
          <cell r="J2342">
            <v>3</v>
          </cell>
          <cell r="K2342" t="str">
            <v>Others</v>
          </cell>
        </row>
        <row r="2343">
          <cell r="D2343">
            <v>440393</v>
          </cell>
          <cell r="E2343" t="str">
            <v>Wood; of beech (Fagus spp.), in the rough, whether or not stripped of bark or sapwood, or roughly squared, untreated, of which the smallest cross-sectional dimension is 15 cm or more</v>
          </cell>
          <cell r="F2343">
            <v>0</v>
          </cell>
          <cell r="G2343">
            <v>0</v>
          </cell>
          <cell r="H2343">
            <v>0</v>
          </cell>
          <cell r="I2343" t="str">
            <v>Others</v>
          </cell>
          <cell r="J2343">
            <v>3</v>
          </cell>
          <cell r="K2343" t="str">
            <v>Others</v>
          </cell>
        </row>
        <row r="2344">
          <cell r="D2344">
            <v>440394</v>
          </cell>
          <cell r="E2344" t="str">
            <v>Wood; of beech (Fagus spp.), in the rough, whether or not stripped of bark or sapwood, or roughly squared, untreated, of which any cross-sectional dimension is less than 15 cm</v>
          </cell>
          <cell r="F2344">
            <v>0</v>
          </cell>
          <cell r="G2344">
            <v>0</v>
          </cell>
          <cell r="H2344">
            <v>0</v>
          </cell>
          <cell r="I2344" t="str">
            <v>Others</v>
          </cell>
          <cell r="J2344">
            <v>3</v>
          </cell>
          <cell r="K2344" t="str">
            <v>Others</v>
          </cell>
        </row>
        <row r="2345">
          <cell r="D2345">
            <v>440395</v>
          </cell>
          <cell r="E2345" t="str">
            <v>Wood; of birch (Betula spp.), in the rough, whether or not stripped of bark or sapwood, or roughly squared, untreated, of which the smallest cross-sectional dimension is 15 cm or more</v>
          </cell>
          <cell r="F2345">
            <v>0</v>
          </cell>
          <cell r="G2345">
            <v>0</v>
          </cell>
          <cell r="H2345">
            <v>0</v>
          </cell>
          <cell r="I2345" t="str">
            <v>Others</v>
          </cell>
          <cell r="J2345">
            <v>3</v>
          </cell>
          <cell r="K2345" t="str">
            <v>Others</v>
          </cell>
        </row>
        <row r="2346">
          <cell r="D2346">
            <v>440396</v>
          </cell>
          <cell r="E2346" t="str">
            <v>Wood; of birch (Betula spp.), in the rough, whether or not stripped of bark or sapwood, or roughly squared, untreated, of which any cross-sectional dimension is less than 15 cm</v>
          </cell>
          <cell r="F2346">
            <v>0</v>
          </cell>
          <cell r="G2346">
            <v>0</v>
          </cell>
          <cell r="H2346">
            <v>0</v>
          </cell>
          <cell r="I2346" t="str">
            <v>Others</v>
          </cell>
          <cell r="J2346">
            <v>3</v>
          </cell>
          <cell r="K2346" t="str">
            <v>Others</v>
          </cell>
        </row>
        <row r="2347">
          <cell r="D2347">
            <v>440397</v>
          </cell>
          <cell r="E2347" t="str">
            <v>Wood; of poplar and aspen (Populus spp.), in the rough, whether or not stripped of bark or sapwood, or roughly squared, untreated</v>
          </cell>
          <cell r="F2347">
            <v>0</v>
          </cell>
          <cell r="G2347">
            <v>0</v>
          </cell>
          <cell r="H2347">
            <v>0</v>
          </cell>
          <cell r="I2347" t="str">
            <v>Others</v>
          </cell>
          <cell r="J2347">
            <v>3</v>
          </cell>
          <cell r="K2347" t="str">
            <v>Others</v>
          </cell>
        </row>
        <row r="2348">
          <cell r="D2348">
            <v>440398</v>
          </cell>
          <cell r="E2348" t="str">
            <v>Wood; of eucalyptus (Eucalyptus spp.), in the rough, whether or not stripped of bark or sapwood, or roughly squared, untreated</v>
          </cell>
          <cell r="F2348">
            <v>0</v>
          </cell>
          <cell r="G2348">
            <v>0</v>
          </cell>
          <cell r="H2348">
            <v>0</v>
          </cell>
          <cell r="I2348" t="str">
            <v>Others</v>
          </cell>
          <cell r="J2348">
            <v>3</v>
          </cell>
          <cell r="K2348" t="str">
            <v>Others</v>
          </cell>
        </row>
        <row r="2349">
          <cell r="D2349">
            <v>440399</v>
          </cell>
          <cell r="E2349" t="str">
            <v>Wood; in the rough, whether or not stripped of bark or sapwood, or roughly squared, untreated, n.e.c. in heading no. 4403</v>
          </cell>
          <cell r="F2349">
            <v>0</v>
          </cell>
          <cell r="G2349">
            <v>0</v>
          </cell>
          <cell r="H2349">
            <v>0</v>
          </cell>
          <cell r="I2349" t="str">
            <v>Others</v>
          </cell>
          <cell r="J2349">
            <v>3</v>
          </cell>
          <cell r="K2349" t="str">
            <v>Others</v>
          </cell>
        </row>
        <row r="2350">
          <cell r="D2350">
            <v>440410</v>
          </cell>
          <cell r="E2350" t="str">
            <v>Wood; coniferous, split poles, piles, pickets, stakes, pointed but not sawn lengthwise; sticks for umbrellas, tool handles etc, roughly trimmed but not turned or bent; chipwood etc, hoopwood</v>
          </cell>
          <cell r="F2350">
            <v>0</v>
          </cell>
          <cell r="G2350">
            <v>0</v>
          </cell>
          <cell r="H2350">
            <v>0</v>
          </cell>
          <cell r="I2350" t="str">
            <v>Others</v>
          </cell>
          <cell r="J2350">
            <v>3</v>
          </cell>
          <cell r="K2350" t="str">
            <v>Others</v>
          </cell>
        </row>
        <row r="2351">
          <cell r="D2351">
            <v>440420</v>
          </cell>
          <cell r="E2351" t="str">
            <v>Wood; non-coniferous, split poles, piles, pickets, stakes, pointed but not sawn lengthwise; sticks for umbrellas, tool handles etc, roughly trimmed but not turned or bent; chipwood etc, hoopwood</v>
          </cell>
          <cell r="F2351">
            <v>0</v>
          </cell>
          <cell r="G2351">
            <v>0</v>
          </cell>
          <cell r="H2351">
            <v>0</v>
          </cell>
          <cell r="I2351" t="str">
            <v>Others</v>
          </cell>
          <cell r="J2351">
            <v>3</v>
          </cell>
          <cell r="K2351" t="str">
            <v>Others</v>
          </cell>
        </row>
        <row r="2352">
          <cell r="D2352">
            <v>440500</v>
          </cell>
          <cell r="E2352" t="str">
            <v>Wood; wood wool and wood flour</v>
          </cell>
          <cell r="F2352">
            <v>0</v>
          </cell>
          <cell r="G2352">
            <v>0</v>
          </cell>
          <cell r="H2352">
            <v>0</v>
          </cell>
          <cell r="I2352" t="str">
            <v>Others</v>
          </cell>
          <cell r="J2352">
            <v>3</v>
          </cell>
          <cell r="K2352" t="str">
            <v>Others</v>
          </cell>
        </row>
        <row r="2353">
          <cell r="D2353">
            <v>440611</v>
          </cell>
          <cell r="E2353" t="str">
            <v>Wood; railway or tramway sleepers (cross-ties), not impregnated, coniferous</v>
          </cell>
          <cell r="F2353">
            <v>0</v>
          </cell>
          <cell r="G2353">
            <v>0</v>
          </cell>
          <cell r="H2353">
            <v>0</v>
          </cell>
          <cell r="I2353" t="str">
            <v>Others</v>
          </cell>
          <cell r="J2353">
            <v>3</v>
          </cell>
          <cell r="K2353" t="str">
            <v>Others</v>
          </cell>
        </row>
        <row r="2354">
          <cell r="D2354">
            <v>440612</v>
          </cell>
          <cell r="E2354" t="str">
            <v>Wood; railway or tramway sleepers (cross-ties), not impregnated, non-coniferous</v>
          </cell>
          <cell r="F2354">
            <v>0</v>
          </cell>
          <cell r="G2354">
            <v>0</v>
          </cell>
          <cell r="H2354">
            <v>0</v>
          </cell>
          <cell r="I2354" t="str">
            <v>Others</v>
          </cell>
          <cell r="J2354">
            <v>3</v>
          </cell>
          <cell r="K2354" t="str">
            <v>Others</v>
          </cell>
        </row>
        <row r="2355">
          <cell r="D2355">
            <v>440691</v>
          </cell>
          <cell r="E2355" t="str">
            <v>Wood; railway or tramway sleepers (cross-ties), impregnated, coniferous</v>
          </cell>
          <cell r="F2355">
            <v>0</v>
          </cell>
          <cell r="G2355">
            <v>0</v>
          </cell>
          <cell r="H2355">
            <v>0</v>
          </cell>
          <cell r="I2355" t="str">
            <v>Others</v>
          </cell>
          <cell r="J2355">
            <v>3</v>
          </cell>
          <cell r="K2355" t="str">
            <v>Others</v>
          </cell>
        </row>
        <row r="2356">
          <cell r="D2356">
            <v>440692</v>
          </cell>
          <cell r="E2356" t="str">
            <v>Wood; railway or tramway sleepers (cross-ties), impregnated, non-coniferous</v>
          </cell>
          <cell r="F2356">
            <v>0</v>
          </cell>
          <cell r="G2356">
            <v>0</v>
          </cell>
          <cell r="H2356">
            <v>0</v>
          </cell>
          <cell r="I2356" t="str">
            <v>Others</v>
          </cell>
          <cell r="J2356">
            <v>3</v>
          </cell>
          <cell r="K2356" t="str">
            <v>Others</v>
          </cell>
        </row>
        <row r="2357">
          <cell r="D2357">
            <v>440711</v>
          </cell>
          <cell r="E2357" t="str">
            <v>Wood; coniferous species, of pine (Pinus spp.), sawn or chipped lengthwise, sliced or peeled, whether or not planed, sanded or finger-jointed, of a thickness exceeding 6mm</v>
          </cell>
          <cell r="F2357">
            <v>0</v>
          </cell>
          <cell r="G2357">
            <v>0</v>
          </cell>
          <cell r="H2357">
            <v>0</v>
          </cell>
          <cell r="I2357" t="str">
            <v>Others</v>
          </cell>
          <cell r="J2357">
            <v>3</v>
          </cell>
          <cell r="K2357" t="str">
            <v>Others</v>
          </cell>
        </row>
        <row r="2358">
          <cell r="D2358">
            <v>440712</v>
          </cell>
          <cell r="E2358" t="str">
            <v>Wood; coniferous species, of fir (Abies spp.) and spruce (Picea spp.), sawn or chipped lengthwise, sliced or peeled, whether or not planed, sanded or finger-jointed, of a thickness exceeding 6mm</v>
          </cell>
          <cell r="F2358">
            <v>0</v>
          </cell>
          <cell r="G2358">
            <v>0</v>
          </cell>
          <cell r="H2358">
            <v>0</v>
          </cell>
          <cell r="I2358" t="str">
            <v>Others</v>
          </cell>
          <cell r="J2358">
            <v>3</v>
          </cell>
          <cell r="K2358" t="str">
            <v>Others</v>
          </cell>
        </row>
        <row r="2359">
          <cell r="D2359">
            <v>440713</v>
          </cell>
          <cell r="E2359" t="str">
            <v>Wood; coniferous species, of S-P-F (spruce (Picea spp.), pine (Pinus spp.) and fir (Abies spp.)), sawn or chipped lengthwise, sliced or peeled, whether or not planed, sanded or finger-jointed, of a thickness exceeding 6mm</v>
          </cell>
          <cell r="F2359">
            <v>0</v>
          </cell>
          <cell r="G2359">
            <v>0</v>
          </cell>
          <cell r="H2359">
            <v>0</v>
          </cell>
          <cell r="I2359" t="str">
            <v>Others</v>
          </cell>
          <cell r="J2359">
            <v>3</v>
          </cell>
          <cell r="K2359" t="str">
            <v>Others</v>
          </cell>
        </row>
        <row r="2360">
          <cell r="D2360">
            <v>440714</v>
          </cell>
          <cell r="E2360" t="str">
            <v>Wood; coniferous species, of Hem-fir (western hemlock (Tsuga heterophylla) and fir (Abies spp.))</v>
          </cell>
          <cell r="F2360">
            <v>0</v>
          </cell>
          <cell r="G2360">
            <v>0</v>
          </cell>
          <cell r="H2360">
            <v>0</v>
          </cell>
          <cell r="I2360" t="str">
            <v>Others</v>
          </cell>
          <cell r="J2360">
            <v>3</v>
          </cell>
          <cell r="K2360" t="str">
            <v>Others</v>
          </cell>
        </row>
        <row r="2361">
          <cell r="D2361">
            <v>440719</v>
          </cell>
          <cell r="E2361" t="str">
            <v>Wood; coniferous species, other than of pine (Pinus spp.) or fir (Abies spp.) or spruce (Picea spp.), sawn or chipped lengthwise, sliced or peeled, whether or not planed, sanded or finger-jointed, of a thickness exceeding 6mm</v>
          </cell>
          <cell r="F2361">
            <v>0</v>
          </cell>
          <cell r="G2361">
            <v>0</v>
          </cell>
          <cell r="H2361">
            <v>0</v>
          </cell>
          <cell r="I2361" t="str">
            <v>Others</v>
          </cell>
          <cell r="J2361">
            <v>3</v>
          </cell>
          <cell r="K2361" t="str">
            <v>Others</v>
          </cell>
        </row>
        <row r="2362">
          <cell r="D2362">
            <v>440721</v>
          </cell>
          <cell r="E2362" t="str">
            <v>Wood, tropical; as specified in Subheading Note 2 to this Chapter, mahogany (Swietenia spp.), sawn or chipped lengthwise, sliced or peeled, whether or not planed, sanded or finger-jointed, thicker than 6mm</v>
          </cell>
          <cell r="F2362">
            <v>0</v>
          </cell>
          <cell r="G2362">
            <v>0</v>
          </cell>
          <cell r="H2362">
            <v>0</v>
          </cell>
          <cell r="I2362" t="str">
            <v>Others</v>
          </cell>
          <cell r="J2362">
            <v>3</v>
          </cell>
          <cell r="K2362" t="str">
            <v>Others</v>
          </cell>
        </row>
        <row r="2363">
          <cell r="D2363">
            <v>440722</v>
          </cell>
          <cell r="E2363" t="str">
            <v>Wood, tropical; virola, imbuia and balsa, sawn or chipped lengthwise, sliced or peeled, whether or not planed, sanded or finger-jointed, thicker than 6mm</v>
          </cell>
          <cell r="F2363">
            <v>0</v>
          </cell>
          <cell r="G2363">
            <v>0</v>
          </cell>
          <cell r="H2363">
            <v>0</v>
          </cell>
          <cell r="I2363" t="str">
            <v>Others</v>
          </cell>
          <cell r="J2363">
            <v>3</v>
          </cell>
          <cell r="K2363" t="str">
            <v>Others</v>
          </cell>
        </row>
        <row r="2364">
          <cell r="D2364">
            <v>440723</v>
          </cell>
          <cell r="E2364" t="str">
            <v>Wood, tropical; teak, sawn or chipped lengthwise, sliced or peeled, planed, square dressed, structural, thicker than 6mm</v>
          </cell>
          <cell r="F2364">
            <v>0</v>
          </cell>
          <cell r="G2364">
            <v>0</v>
          </cell>
          <cell r="H2364">
            <v>0</v>
          </cell>
          <cell r="I2364" t="str">
            <v>Others</v>
          </cell>
          <cell r="J2364">
            <v>3</v>
          </cell>
          <cell r="K2364" t="str">
            <v>Others</v>
          </cell>
        </row>
        <row r="2365">
          <cell r="D2365">
            <v>440725</v>
          </cell>
          <cell r="E2365" t="str">
            <v>Wood, tropical; dark red meranti, light red meranti and meranti bakau, sawn or chipped lengthwise, sliced or peeled, whether or not planed, sanded or finger-jointed, thicker than 6mm</v>
          </cell>
          <cell r="F2365">
            <v>0</v>
          </cell>
          <cell r="G2365">
            <v>0</v>
          </cell>
          <cell r="H2365">
            <v>0</v>
          </cell>
          <cell r="I2365" t="str">
            <v>Others</v>
          </cell>
          <cell r="J2365">
            <v>3</v>
          </cell>
          <cell r="K2365" t="str">
            <v>Others</v>
          </cell>
        </row>
        <row r="2366">
          <cell r="D2366">
            <v>440726</v>
          </cell>
          <cell r="E2366" t="str">
            <v>Wood, tropical; white lauan, white meranti, white seraya, yellow meranti and alan, sawn or chipped lengthwise, sliced or peeled, whether or not planed, sanded or finger-jointed, thicker than 6mm</v>
          </cell>
          <cell r="F2366">
            <v>0</v>
          </cell>
          <cell r="G2366">
            <v>0</v>
          </cell>
          <cell r="H2366">
            <v>0</v>
          </cell>
          <cell r="I2366" t="str">
            <v>Others</v>
          </cell>
          <cell r="J2366">
            <v>3</v>
          </cell>
          <cell r="K2366" t="str">
            <v>Others</v>
          </cell>
        </row>
        <row r="2367">
          <cell r="D2367">
            <v>440727</v>
          </cell>
          <cell r="E2367" t="str">
            <v>Wood, tropical; sapelli, sawn or chipped lengthwise, sliced or peeled, whether or not planed, sanded or finger-jointed, thicker than 6mm</v>
          </cell>
          <cell r="F2367">
            <v>0</v>
          </cell>
          <cell r="G2367">
            <v>0</v>
          </cell>
          <cell r="H2367">
            <v>0</v>
          </cell>
          <cell r="I2367" t="str">
            <v>Others</v>
          </cell>
          <cell r="J2367">
            <v>3</v>
          </cell>
          <cell r="K2367" t="str">
            <v>Others</v>
          </cell>
        </row>
        <row r="2368">
          <cell r="D2368">
            <v>440728</v>
          </cell>
          <cell r="E2368" t="str">
            <v>Wood, tropical; iroko, sawn or chipped lengthwise, sliced or peeled, whether or not planed, sanded or finger-jointed, thicker than 6mm</v>
          </cell>
          <cell r="F2368">
            <v>0</v>
          </cell>
          <cell r="G2368">
            <v>0</v>
          </cell>
          <cell r="H2368">
            <v>0</v>
          </cell>
          <cell r="I2368" t="str">
            <v>Others</v>
          </cell>
          <cell r="J2368">
            <v>3</v>
          </cell>
          <cell r="K2368" t="str">
            <v>Others</v>
          </cell>
        </row>
        <row r="2369">
          <cell r="D2369">
            <v>440729</v>
          </cell>
          <cell r="E2369" t="str">
            <v>Wood, tropical, n.e.c. in item no. 4407.2, sawn or chipped lengthwise, sliced or peeled, whether or not planed, sanded or finger-jointed, of a thickness exceeding 6mm</v>
          </cell>
          <cell r="F2369">
            <v>0</v>
          </cell>
          <cell r="G2369">
            <v>0</v>
          </cell>
          <cell r="H2369">
            <v>0</v>
          </cell>
          <cell r="I2369" t="str">
            <v>Others</v>
          </cell>
          <cell r="J2369">
            <v>3</v>
          </cell>
          <cell r="K2369" t="str">
            <v>Others</v>
          </cell>
        </row>
        <row r="2370">
          <cell r="D2370">
            <v>440791</v>
          </cell>
          <cell r="E2370" t="str">
            <v>Wood; oak (Quercus spp.), sawn or chipped lengthwise, sliced or peeled, whether or not planed, sanded or finger-jointed, thicker than 6mm</v>
          </cell>
          <cell r="F2370">
            <v>0</v>
          </cell>
          <cell r="G2370">
            <v>0</v>
          </cell>
          <cell r="H2370">
            <v>0</v>
          </cell>
          <cell r="I2370" t="str">
            <v>Others</v>
          </cell>
          <cell r="J2370">
            <v>3</v>
          </cell>
          <cell r="K2370" t="str">
            <v>Others</v>
          </cell>
        </row>
        <row r="2371">
          <cell r="D2371">
            <v>440792</v>
          </cell>
          <cell r="E2371" t="str">
            <v>Wood; beech (Fagus spp.), sawn or chipped lengthwise, sliced or peeled, whether or not planed, sanded or finger-jointed, thicker than 6mm</v>
          </cell>
          <cell r="F2371">
            <v>0</v>
          </cell>
          <cell r="G2371">
            <v>0</v>
          </cell>
          <cell r="H2371">
            <v>0</v>
          </cell>
          <cell r="I2371" t="str">
            <v>Others</v>
          </cell>
          <cell r="J2371">
            <v>3</v>
          </cell>
          <cell r="K2371" t="str">
            <v>Others</v>
          </cell>
        </row>
        <row r="2372">
          <cell r="D2372">
            <v>440793</v>
          </cell>
          <cell r="E2372" t="str">
            <v>Wood; maple (Acer spp.), sawn or chipped lengthwise, sliced or peeled, whether or not planed, sanded or finger-jointed, thicker than 6mm</v>
          </cell>
          <cell r="F2372">
            <v>0</v>
          </cell>
          <cell r="G2372">
            <v>0</v>
          </cell>
          <cell r="H2372">
            <v>0</v>
          </cell>
          <cell r="I2372" t="str">
            <v>Others</v>
          </cell>
          <cell r="J2372">
            <v>3</v>
          </cell>
          <cell r="K2372" t="str">
            <v>Others</v>
          </cell>
        </row>
        <row r="2373">
          <cell r="D2373">
            <v>440794</v>
          </cell>
          <cell r="E2373" t="str">
            <v>Wood; cherry (Prunus spp.), sawn or chipped lengthwise, sliced or peeled, whether or not planed, sanded or finger-jointed, thicker than 6mm</v>
          </cell>
          <cell r="F2373">
            <v>0</v>
          </cell>
          <cell r="G2373">
            <v>0</v>
          </cell>
          <cell r="H2373">
            <v>0</v>
          </cell>
          <cell r="I2373" t="str">
            <v>Others</v>
          </cell>
          <cell r="J2373">
            <v>3</v>
          </cell>
          <cell r="K2373" t="str">
            <v>Others</v>
          </cell>
        </row>
        <row r="2374">
          <cell r="D2374">
            <v>440795</v>
          </cell>
          <cell r="E2374" t="str">
            <v>Wood; ash (Fraxinus spp.), sawn or chipped lengthwise, sliced or peeled, whether or not planed, sanded or finger-jointed, thicker than 6mm</v>
          </cell>
          <cell r="F2374">
            <v>0</v>
          </cell>
          <cell r="G2374">
            <v>0</v>
          </cell>
          <cell r="H2374">
            <v>0</v>
          </cell>
          <cell r="I2374" t="str">
            <v>Others</v>
          </cell>
          <cell r="J2374">
            <v>3</v>
          </cell>
          <cell r="K2374" t="str">
            <v>Others</v>
          </cell>
        </row>
        <row r="2375">
          <cell r="D2375">
            <v>440796</v>
          </cell>
          <cell r="E2375" t="str">
            <v>Wood; of birch (Betula spp.), sawn or chipped lengthwise, sliced or peeled, of a thickness exceeding 6mm, whether or not planed, sanded or finger-jointed</v>
          </cell>
          <cell r="F2375">
            <v>0</v>
          </cell>
          <cell r="G2375">
            <v>0</v>
          </cell>
          <cell r="H2375">
            <v>0</v>
          </cell>
          <cell r="I2375" t="str">
            <v>Others</v>
          </cell>
          <cell r="J2375">
            <v>3</v>
          </cell>
          <cell r="K2375" t="str">
            <v>Others</v>
          </cell>
        </row>
        <row r="2376">
          <cell r="D2376">
            <v>440797</v>
          </cell>
          <cell r="E2376" t="str">
            <v>Wood; of poplar and aspen (Populus spp.), sawn or chipped lengthwise, sliced or peeled, of a thickness exceeding 6mm, whether or not planed, sanded or finger-jointed</v>
          </cell>
          <cell r="F2376">
            <v>0</v>
          </cell>
          <cell r="G2376">
            <v>0</v>
          </cell>
          <cell r="H2376">
            <v>0</v>
          </cell>
          <cell r="I2376" t="str">
            <v>Others</v>
          </cell>
          <cell r="J2376">
            <v>3</v>
          </cell>
          <cell r="K2376" t="str">
            <v>Others</v>
          </cell>
        </row>
        <row r="2377">
          <cell r="D2377">
            <v>440799</v>
          </cell>
          <cell r="E2377" t="str">
            <v>Wood; sawn or chipped lengthwise, sliced or peeled, of a thickness exceeding 6mm, whether or not planed, sanded or finger-jointed, n.e.c. in heading no. 4407</v>
          </cell>
          <cell r="F2377">
            <v>0</v>
          </cell>
          <cell r="G2377">
            <v>0</v>
          </cell>
          <cell r="H2377">
            <v>0</v>
          </cell>
          <cell r="I2377" t="str">
            <v>Others</v>
          </cell>
          <cell r="J2377">
            <v>3</v>
          </cell>
          <cell r="K2377" t="str">
            <v>Others</v>
          </cell>
        </row>
        <row r="2378">
          <cell r="D2378">
            <v>440810</v>
          </cell>
          <cell r="E2378" t="str">
            <v>Wood; coniferous, sheets for veneering (including those obtained by slicing laminated wood), for plywood or similar laminated wood and other wood, sawn lengthwise, sliced or peeled, planed or not, sanded, spliced or end-jointed, not over 6 mm thick</v>
          </cell>
          <cell r="F2378">
            <v>0</v>
          </cell>
          <cell r="G2378">
            <v>0</v>
          </cell>
          <cell r="H2378">
            <v>0</v>
          </cell>
          <cell r="I2378" t="str">
            <v>Others</v>
          </cell>
          <cell r="J2378">
            <v>3</v>
          </cell>
          <cell r="K2378" t="str">
            <v>Others</v>
          </cell>
        </row>
        <row r="2379">
          <cell r="D2379">
            <v>440831</v>
          </cell>
          <cell r="E2379" t="str">
            <v>Wood, tropical; as specified in Subheading Note 2 to this Chapter, dark red meranti, light red meranti, meranti bakau, sheets for veneer, plywood or other wood, sawn lengthwise, sliced or peeled, planed or not, sanded or end-jointed, not thicker than 6mm</v>
          </cell>
          <cell r="F2379">
            <v>0</v>
          </cell>
          <cell r="G2379">
            <v>0</v>
          </cell>
          <cell r="H2379">
            <v>0</v>
          </cell>
          <cell r="I2379" t="str">
            <v>Others</v>
          </cell>
          <cell r="J2379">
            <v>3</v>
          </cell>
          <cell r="K2379" t="str">
            <v>Others</v>
          </cell>
        </row>
        <row r="2380">
          <cell r="D2380">
            <v>440839</v>
          </cell>
          <cell r="E2380" t="str">
            <v>Wood, of tropical wood; as in Subheading note 2 to this Chapter, n.e.c. in heading no. 4408.31, sheets for veneer or plywood, other wood sawn length wise, sliced or peeled, whether or not planed, sanded or end-jointed, not thicker than 6mm</v>
          </cell>
          <cell r="F2380">
            <v>0</v>
          </cell>
          <cell r="G2380">
            <v>0</v>
          </cell>
          <cell r="H2380">
            <v>0</v>
          </cell>
          <cell r="I2380" t="str">
            <v>Others</v>
          </cell>
          <cell r="J2380">
            <v>3</v>
          </cell>
          <cell r="K2380" t="str">
            <v>Others</v>
          </cell>
        </row>
        <row r="2381">
          <cell r="D2381">
            <v>440890</v>
          </cell>
          <cell r="E2381" t="str">
            <v>Wood; n.e.c. in heading no. 4408, sheets for veneer or plywood, other wood sawn lengthwise, sliced or peeled, whether or not planed, sanded or end-jointed, not exceeding 6mm in thickness</v>
          </cell>
          <cell r="F2381">
            <v>0</v>
          </cell>
          <cell r="G2381">
            <v>0</v>
          </cell>
          <cell r="H2381">
            <v>0</v>
          </cell>
          <cell r="I2381" t="str">
            <v>Others</v>
          </cell>
          <cell r="J2381">
            <v>3</v>
          </cell>
          <cell r="K2381" t="str">
            <v>Others</v>
          </cell>
        </row>
        <row r="2382">
          <cell r="D2382">
            <v>440910</v>
          </cell>
          <cell r="E2382" t="str">
            <v>Wood; coniferous (including unassembled strips and friezes for parquet flooring), continuously shaped along any edges, ends or faces, whether or not planed, sanded or end-jointed</v>
          </cell>
          <cell r="F2382">
            <v>0</v>
          </cell>
          <cell r="G2382">
            <v>0</v>
          </cell>
          <cell r="H2382">
            <v>0</v>
          </cell>
          <cell r="I2382" t="str">
            <v>Others</v>
          </cell>
          <cell r="J2382">
            <v>3</v>
          </cell>
          <cell r="K2382" t="str">
            <v>Others</v>
          </cell>
        </row>
        <row r="2383">
          <cell r="D2383">
            <v>440921</v>
          </cell>
          <cell r="E2383" t="str">
            <v>Wood; bamboo (including unassembled strips and friezes for parquet flooring), continuously shaped along any edges, ends or faces, whether or not planed, sanded or end-jointed</v>
          </cell>
          <cell r="F2383">
            <v>0</v>
          </cell>
          <cell r="G2383">
            <v>0</v>
          </cell>
          <cell r="H2383">
            <v>0</v>
          </cell>
          <cell r="I2383" t="str">
            <v>Others</v>
          </cell>
          <cell r="J2383">
            <v>3</v>
          </cell>
          <cell r="K2383" t="str">
            <v>Others</v>
          </cell>
        </row>
        <row r="2384">
          <cell r="D2384">
            <v>440922</v>
          </cell>
          <cell r="E2384" t="str">
            <v>Wood; tropical (including unassembled strips and friezes for parquet flooring), continuously shaped along any edges, ends or faces, whether or not planed, sanded or end-jointed</v>
          </cell>
          <cell r="F2384">
            <v>0</v>
          </cell>
          <cell r="G2384">
            <v>0</v>
          </cell>
          <cell r="H2384">
            <v>0</v>
          </cell>
          <cell r="I2384" t="str">
            <v>Others</v>
          </cell>
          <cell r="J2384">
            <v>3</v>
          </cell>
          <cell r="K2384" t="str">
            <v>Others</v>
          </cell>
        </row>
        <row r="2385">
          <cell r="D2385">
            <v>440929</v>
          </cell>
          <cell r="E2385" t="str">
            <v>Wood; non-coniferous, other than bamboo or tropical wood, (including unassembled strips and friezes for parquet flooring), continuously shaped along any edges, ends or faces, whether or not planed, sanded or end-jointed</v>
          </cell>
          <cell r="F2385">
            <v>0</v>
          </cell>
          <cell r="G2385">
            <v>0</v>
          </cell>
          <cell r="H2385">
            <v>0</v>
          </cell>
          <cell r="I2385" t="str">
            <v>Others</v>
          </cell>
          <cell r="J2385">
            <v>3</v>
          </cell>
          <cell r="K2385" t="str">
            <v>Others</v>
          </cell>
        </row>
        <row r="2386">
          <cell r="D2386">
            <v>441011</v>
          </cell>
          <cell r="E2386" t="str">
            <v>Particle board of wood, whether or not agglomerated with resins or other organic binding substances</v>
          </cell>
          <cell r="F2386" t="str">
            <v>Consumables</v>
          </cell>
          <cell r="G2386">
            <v>0</v>
          </cell>
          <cell r="H2386">
            <v>0</v>
          </cell>
          <cell r="I2386" t="str">
            <v>Others</v>
          </cell>
          <cell r="J2386">
            <v>2</v>
          </cell>
          <cell r="K2386" t="str">
            <v>Consumables - rc</v>
          </cell>
        </row>
        <row r="2387">
          <cell r="D2387">
            <v>441012</v>
          </cell>
          <cell r="E2387" t="str">
            <v>Oriented strand board (OSB) of wood, whether or not agglomerated with resins or other organic binding substances</v>
          </cell>
          <cell r="F2387">
            <v>0</v>
          </cell>
          <cell r="G2387">
            <v>0</v>
          </cell>
          <cell r="H2387">
            <v>0</v>
          </cell>
          <cell r="I2387" t="str">
            <v>Others</v>
          </cell>
          <cell r="J2387">
            <v>3</v>
          </cell>
          <cell r="K2387" t="str">
            <v>Others</v>
          </cell>
        </row>
        <row r="2388">
          <cell r="D2388">
            <v>441019</v>
          </cell>
          <cell r="E2388" t="str">
            <v>Wafer board and similar board of wood n.e.c. in item no. 4410.1, whether or not agglomerated with resins or other organic binding substances</v>
          </cell>
          <cell r="F2388">
            <v>0</v>
          </cell>
          <cell r="G2388">
            <v>0</v>
          </cell>
          <cell r="H2388">
            <v>0</v>
          </cell>
          <cell r="I2388" t="str">
            <v>Others</v>
          </cell>
          <cell r="J2388">
            <v>3</v>
          </cell>
          <cell r="K2388" t="str">
            <v>Others</v>
          </cell>
        </row>
        <row r="2389">
          <cell r="D2389">
            <v>441090</v>
          </cell>
          <cell r="E2389" t="str">
            <v>Particle board, oriented strand board (OSB) and similar board of ligneous materials other than wood, whether or not agglomerated with resins or other organic binding substances</v>
          </cell>
          <cell r="F2389">
            <v>0</v>
          </cell>
          <cell r="G2389">
            <v>0</v>
          </cell>
          <cell r="H2389">
            <v>0</v>
          </cell>
          <cell r="I2389" t="str">
            <v>Others</v>
          </cell>
          <cell r="J2389">
            <v>3</v>
          </cell>
          <cell r="K2389" t="str">
            <v>Others</v>
          </cell>
        </row>
        <row r="2390">
          <cell r="D2390">
            <v>441112</v>
          </cell>
          <cell r="E2390" t="str">
            <v>Medium density fibreboard (MDF), of a thickness not exceeding 5 mm</v>
          </cell>
          <cell r="F2390">
            <v>0</v>
          </cell>
          <cell r="G2390">
            <v>0</v>
          </cell>
          <cell r="H2390">
            <v>0</v>
          </cell>
          <cell r="I2390" t="str">
            <v>Others</v>
          </cell>
          <cell r="J2390">
            <v>3</v>
          </cell>
          <cell r="K2390" t="str">
            <v>Others</v>
          </cell>
        </row>
        <row r="2391">
          <cell r="D2391">
            <v>441113</v>
          </cell>
          <cell r="E2391" t="str">
            <v>Medium density fibreboard (MDF), of a thickness exceeding 5 mm but not exceeding 9 mm</v>
          </cell>
          <cell r="F2391" t="str">
            <v>Consumables</v>
          </cell>
          <cell r="G2391">
            <v>0</v>
          </cell>
          <cell r="H2391">
            <v>0</v>
          </cell>
          <cell r="I2391" t="str">
            <v>Others</v>
          </cell>
          <cell r="J2391">
            <v>2</v>
          </cell>
          <cell r="K2391" t="str">
            <v>Consumables - rc</v>
          </cell>
        </row>
        <row r="2392">
          <cell r="D2392">
            <v>441114</v>
          </cell>
          <cell r="E2392" t="str">
            <v>Medium density fibreboard (MDF), of a thickness exceeding 9 mm</v>
          </cell>
          <cell r="F2392" t="str">
            <v>Consumables</v>
          </cell>
          <cell r="G2392">
            <v>0</v>
          </cell>
          <cell r="H2392">
            <v>0</v>
          </cell>
          <cell r="I2392" t="str">
            <v>Others</v>
          </cell>
          <cell r="J2392">
            <v>2</v>
          </cell>
          <cell r="K2392" t="str">
            <v>Consumables - rc</v>
          </cell>
        </row>
        <row r="2393">
          <cell r="D2393">
            <v>441192</v>
          </cell>
          <cell r="E2393" t="str">
            <v>Fibreboard (other than MDF) of a density exceeding 0.8g/cm3, of wood or other ligneous materials, bonded or not with resins or other organic substances</v>
          </cell>
          <cell r="F2393">
            <v>0</v>
          </cell>
          <cell r="G2393">
            <v>0</v>
          </cell>
          <cell r="H2393">
            <v>0</v>
          </cell>
          <cell r="I2393" t="str">
            <v>Others</v>
          </cell>
          <cell r="J2393">
            <v>3</v>
          </cell>
          <cell r="K2393" t="str">
            <v>Others</v>
          </cell>
        </row>
        <row r="2394">
          <cell r="D2394">
            <v>441193</v>
          </cell>
          <cell r="E2394" t="str">
            <v>Fibreboard (other than MDF) of a density exceeding 0.5g/cm3 but not 0.8g/cm3, of wood or other ligneous materials, bonded or not with resins or other organic substances</v>
          </cell>
          <cell r="F2394">
            <v>0</v>
          </cell>
          <cell r="G2394">
            <v>0</v>
          </cell>
          <cell r="H2394">
            <v>0</v>
          </cell>
          <cell r="I2394" t="str">
            <v>Others</v>
          </cell>
          <cell r="J2394">
            <v>3</v>
          </cell>
          <cell r="K2394" t="str">
            <v>Others</v>
          </cell>
        </row>
        <row r="2395">
          <cell r="D2395">
            <v>441194</v>
          </cell>
          <cell r="E2395" t="str">
            <v>Fibreboard (other than MDF) of a density not exceeding 0.5g/cm3, of wood or other ligneous materials, bonded or not with resins or other organic substances</v>
          </cell>
          <cell r="F2395">
            <v>0</v>
          </cell>
          <cell r="G2395">
            <v>0</v>
          </cell>
          <cell r="H2395">
            <v>0</v>
          </cell>
          <cell r="I2395" t="str">
            <v>Others</v>
          </cell>
          <cell r="J2395">
            <v>3</v>
          </cell>
          <cell r="K2395" t="str">
            <v>Others</v>
          </cell>
        </row>
        <row r="2396">
          <cell r="D2396">
            <v>441210</v>
          </cell>
          <cell r="E2396" t="str">
            <v>Plywood, veneered panels and similar laminated wood; of bamboo</v>
          </cell>
          <cell r="F2396">
            <v>0</v>
          </cell>
          <cell r="G2396">
            <v>0</v>
          </cell>
          <cell r="H2396">
            <v>0</v>
          </cell>
          <cell r="I2396" t="str">
            <v>Others</v>
          </cell>
          <cell r="J2396">
            <v>3</v>
          </cell>
          <cell r="K2396" t="str">
            <v>Others</v>
          </cell>
        </row>
        <row r="2397">
          <cell r="D2397">
            <v>441231</v>
          </cell>
          <cell r="E2397" t="str">
            <v>Plywood; consisting only of sheets of wood (not bamboo), each ply 6mm or thinner, with at least one outer ply of tropical wood</v>
          </cell>
          <cell r="F2397">
            <v>0</v>
          </cell>
          <cell r="G2397">
            <v>0</v>
          </cell>
          <cell r="H2397">
            <v>0</v>
          </cell>
          <cell r="I2397" t="str">
            <v>Others</v>
          </cell>
          <cell r="J2397">
            <v>3</v>
          </cell>
          <cell r="K2397" t="str">
            <v>Others</v>
          </cell>
        </row>
        <row r="2398">
          <cell r="D2398">
            <v>441233</v>
          </cell>
          <cell r="E2398" t="str">
            <v>Plywood; with sheets of wood only; not bamboo; each ply 6mm or less, with at least one outer ply of alder, ash, beech, birch, cherry, chestnut, elm, eucalyptus, hickory, horse chestnut, lime, maple, oak, plane, poplar, aspen, robinia, tulipwood or walnut</v>
          </cell>
          <cell r="F2398">
            <v>0</v>
          </cell>
          <cell r="G2398">
            <v>0</v>
          </cell>
          <cell r="H2398">
            <v>0</v>
          </cell>
          <cell r="I2398" t="str">
            <v>Others</v>
          </cell>
          <cell r="J2398">
            <v>3</v>
          </cell>
          <cell r="K2398" t="str">
            <v>Others</v>
          </cell>
        </row>
        <row r="2399">
          <cell r="D2399">
            <v>441234</v>
          </cell>
          <cell r="E2399" t="str">
            <v>Plywood; consisting only of sheets of wood (not bamboo), each ply 6mm or thinner, with at least one outer ply of non-coniferous wood not listed in subheading 4412.33</v>
          </cell>
          <cell r="F2399">
            <v>0</v>
          </cell>
          <cell r="G2399">
            <v>0</v>
          </cell>
          <cell r="H2399">
            <v>0</v>
          </cell>
          <cell r="I2399" t="str">
            <v>Others</v>
          </cell>
          <cell r="J2399">
            <v>3</v>
          </cell>
          <cell r="K2399" t="str">
            <v>Others</v>
          </cell>
        </row>
        <row r="2400">
          <cell r="D2400">
            <v>441239</v>
          </cell>
          <cell r="E2400" t="str">
            <v>Plywood; consisting only of sheets of wood (not bamboo), each ply 6mm or thinner, with both outer plies of coniferous wood</v>
          </cell>
          <cell r="F2400">
            <v>0</v>
          </cell>
          <cell r="G2400">
            <v>0</v>
          </cell>
          <cell r="H2400">
            <v>0</v>
          </cell>
          <cell r="I2400" t="str">
            <v>Others</v>
          </cell>
          <cell r="J2400">
            <v>3</v>
          </cell>
          <cell r="K2400" t="str">
            <v>Others</v>
          </cell>
        </row>
        <row r="2401">
          <cell r="D2401">
            <v>441241</v>
          </cell>
          <cell r="E2401" t="str">
            <v>Plywood, veneered panels and similar laminated wood; laminated veneered lumber (LVL); with at least one outer ply of tropical wood</v>
          </cell>
          <cell r="F2401">
            <v>0</v>
          </cell>
          <cell r="G2401">
            <v>0</v>
          </cell>
          <cell r="H2401">
            <v>0</v>
          </cell>
          <cell r="I2401" t="str">
            <v>Others</v>
          </cell>
          <cell r="J2401">
            <v>3</v>
          </cell>
          <cell r="K2401" t="str">
            <v>Others</v>
          </cell>
        </row>
        <row r="2402">
          <cell r="D2402">
            <v>441242</v>
          </cell>
          <cell r="E2402" t="str">
            <v>Laminated veneered lumber (LVL); with at least one outer ply of non-coniferous wood</v>
          </cell>
          <cell r="F2402">
            <v>0</v>
          </cell>
          <cell r="G2402">
            <v>0</v>
          </cell>
          <cell r="H2402">
            <v>0</v>
          </cell>
          <cell r="I2402" t="str">
            <v>Others</v>
          </cell>
          <cell r="J2402">
            <v>3</v>
          </cell>
          <cell r="K2402" t="str">
            <v>Others</v>
          </cell>
        </row>
        <row r="2403">
          <cell r="D2403">
            <v>441249</v>
          </cell>
          <cell r="E2403" t="str">
            <v>Laminated veneered lumber (LVL); with both outer plies of coniferous wood</v>
          </cell>
          <cell r="F2403">
            <v>0</v>
          </cell>
          <cell r="G2403">
            <v>0</v>
          </cell>
          <cell r="H2403">
            <v>0</v>
          </cell>
          <cell r="I2403" t="str">
            <v>Others</v>
          </cell>
          <cell r="J2403">
            <v>3</v>
          </cell>
          <cell r="K2403" t="str">
            <v>Others</v>
          </cell>
        </row>
        <row r="2404">
          <cell r="D2404">
            <v>441251</v>
          </cell>
          <cell r="E2404" t="str">
            <v>Blockboard, laminboard and battenboard; with at least one outer layer of tropical wood</v>
          </cell>
          <cell r="F2404">
            <v>0</v>
          </cell>
          <cell r="G2404">
            <v>0</v>
          </cell>
          <cell r="H2404">
            <v>0</v>
          </cell>
          <cell r="I2404" t="str">
            <v>Others</v>
          </cell>
          <cell r="J2404">
            <v>3</v>
          </cell>
          <cell r="K2404" t="str">
            <v>Others</v>
          </cell>
        </row>
        <row r="2405">
          <cell r="D2405">
            <v>441252</v>
          </cell>
          <cell r="E2405" t="str">
            <v>Blockboard, laminboard and battenboard; with at least one outer ply of non-coniferous wood, (not containing particle board)</v>
          </cell>
          <cell r="F2405">
            <v>0</v>
          </cell>
          <cell r="G2405">
            <v>0</v>
          </cell>
          <cell r="H2405">
            <v>0</v>
          </cell>
          <cell r="I2405" t="str">
            <v>Others</v>
          </cell>
          <cell r="J2405">
            <v>3</v>
          </cell>
          <cell r="K2405" t="str">
            <v>Others</v>
          </cell>
        </row>
        <row r="2406">
          <cell r="D2406">
            <v>441259</v>
          </cell>
          <cell r="E2406" t="str">
            <v>Blockboard, laminboard and battenboard; with both outer plies of coniferous wood</v>
          </cell>
          <cell r="F2406">
            <v>0</v>
          </cell>
          <cell r="G2406">
            <v>0</v>
          </cell>
          <cell r="H2406">
            <v>0</v>
          </cell>
          <cell r="I2406" t="str">
            <v>Others</v>
          </cell>
          <cell r="J2406">
            <v>3</v>
          </cell>
          <cell r="K2406" t="str">
            <v>Others</v>
          </cell>
        </row>
        <row r="2407">
          <cell r="D2407">
            <v>441291</v>
          </cell>
          <cell r="E2407" t="str">
            <v>Plywood; n.e.c. in heading 4412, with at least one outer ply of tropical wood</v>
          </cell>
          <cell r="F2407">
            <v>0</v>
          </cell>
          <cell r="G2407">
            <v>0</v>
          </cell>
          <cell r="H2407">
            <v>0</v>
          </cell>
          <cell r="I2407" t="str">
            <v>Others</v>
          </cell>
          <cell r="J2407">
            <v>3</v>
          </cell>
          <cell r="K2407" t="str">
            <v>Others</v>
          </cell>
        </row>
        <row r="2408">
          <cell r="D2408">
            <v>441292</v>
          </cell>
          <cell r="E2408" t="str">
            <v>Plywood; n.e.c. in heading 4412, with at least one outer ply of non-coniferous wood</v>
          </cell>
          <cell r="F2408">
            <v>0</v>
          </cell>
          <cell r="G2408">
            <v>0</v>
          </cell>
          <cell r="H2408">
            <v>0</v>
          </cell>
          <cell r="I2408" t="str">
            <v>Others</v>
          </cell>
          <cell r="J2408">
            <v>3</v>
          </cell>
          <cell r="K2408" t="str">
            <v>Others</v>
          </cell>
        </row>
        <row r="2409">
          <cell r="D2409">
            <v>441299</v>
          </cell>
          <cell r="E2409" t="str">
            <v>Plywood; n.e.c. in heading 4412, with both outer plies of coniferous wood</v>
          </cell>
          <cell r="F2409">
            <v>0</v>
          </cell>
          <cell r="G2409">
            <v>0</v>
          </cell>
          <cell r="H2409">
            <v>0</v>
          </cell>
          <cell r="I2409" t="str">
            <v>Others</v>
          </cell>
          <cell r="J2409">
            <v>3</v>
          </cell>
          <cell r="K2409" t="str">
            <v>Others</v>
          </cell>
        </row>
        <row r="2410">
          <cell r="D2410">
            <v>441300</v>
          </cell>
          <cell r="E2410" t="str">
            <v>Wood; densified wood, in blocks, plates, strips or profile shapes</v>
          </cell>
          <cell r="F2410">
            <v>0</v>
          </cell>
          <cell r="G2410">
            <v>0</v>
          </cell>
          <cell r="H2410">
            <v>0</v>
          </cell>
          <cell r="I2410" t="str">
            <v>Others</v>
          </cell>
          <cell r="J2410">
            <v>3</v>
          </cell>
          <cell r="K2410" t="str">
            <v>Others</v>
          </cell>
        </row>
        <row r="2411">
          <cell r="D2411">
            <v>441410</v>
          </cell>
          <cell r="E2411" t="str">
            <v>Wooden frames; for paintings, photographs, mirrors or similar objects; of tropical wood</v>
          </cell>
          <cell r="F2411">
            <v>0</v>
          </cell>
          <cell r="G2411">
            <v>0</v>
          </cell>
          <cell r="H2411">
            <v>0</v>
          </cell>
          <cell r="I2411" t="str">
            <v>Others</v>
          </cell>
          <cell r="J2411">
            <v>3</v>
          </cell>
          <cell r="K2411" t="str">
            <v>Others</v>
          </cell>
        </row>
        <row r="2412">
          <cell r="D2412">
            <v>441490</v>
          </cell>
          <cell r="E2412" t="str">
            <v>Wooden frames; for paintings, photographs, mirrors or similar objects; not of tropical wood</v>
          </cell>
          <cell r="F2412">
            <v>0</v>
          </cell>
          <cell r="G2412">
            <v>0</v>
          </cell>
          <cell r="H2412">
            <v>0</v>
          </cell>
          <cell r="I2412" t="str">
            <v>Others</v>
          </cell>
          <cell r="J2412">
            <v>3</v>
          </cell>
          <cell r="K2412" t="str">
            <v>Others</v>
          </cell>
        </row>
        <row r="2413">
          <cell r="D2413">
            <v>441510</v>
          </cell>
          <cell r="E2413" t="str">
            <v>Wood; cases, boxes, crates, drums, similar packings and cable-drums</v>
          </cell>
          <cell r="F2413" t="str">
            <v>Consumables</v>
          </cell>
          <cell r="G2413">
            <v>0</v>
          </cell>
          <cell r="H2413">
            <v>0</v>
          </cell>
          <cell r="I2413" t="str">
            <v>Others</v>
          </cell>
          <cell r="J2413">
            <v>2</v>
          </cell>
          <cell r="K2413" t="str">
            <v>Consumables - rc</v>
          </cell>
        </row>
        <row r="2414">
          <cell r="D2414">
            <v>441520</v>
          </cell>
          <cell r="E2414" t="str">
            <v>Wood; pallets, box pallets and other load boards; pallet collars</v>
          </cell>
          <cell r="F2414">
            <v>0</v>
          </cell>
          <cell r="G2414">
            <v>0</v>
          </cell>
          <cell r="H2414">
            <v>0</v>
          </cell>
          <cell r="I2414" t="str">
            <v>Others</v>
          </cell>
          <cell r="J2414">
            <v>3</v>
          </cell>
          <cell r="K2414" t="str">
            <v>Others</v>
          </cell>
        </row>
        <row r="2415">
          <cell r="D2415">
            <v>441600</v>
          </cell>
          <cell r="E2415" t="str">
            <v>Wood; casks, barrels, vats, tubs and other coopers' products and parts thereof, of wood, including staves</v>
          </cell>
          <cell r="F2415">
            <v>0</v>
          </cell>
          <cell r="G2415">
            <v>0</v>
          </cell>
          <cell r="H2415">
            <v>0</v>
          </cell>
          <cell r="I2415" t="str">
            <v>Others</v>
          </cell>
          <cell r="J2415">
            <v>3</v>
          </cell>
          <cell r="K2415" t="str">
            <v>Others</v>
          </cell>
        </row>
        <row r="2416">
          <cell r="D2416">
            <v>441700</v>
          </cell>
          <cell r="E2416" t="str">
            <v>Wood; tools, tool bodies, tool handles, broom or brush bodies and handles, boot and shoe lasts and trees, of wood</v>
          </cell>
          <cell r="F2416">
            <v>0</v>
          </cell>
          <cell r="G2416">
            <v>0</v>
          </cell>
          <cell r="H2416">
            <v>0</v>
          </cell>
          <cell r="I2416" t="str">
            <v>Others</v>
          </cell>
          <cell r="J2416">
            <v>3</v>
          </cell>
          <cell r="K2416" t="str">
            <v>Others</v>
          </cell>
        </row>
        <row r="2417">
          <cell r="D2417">
            <v>441811</v>
          </cell>
          <cell r="E2417" t="str">
            <v>Wood; windows, French-windows and their frames; of tropical wood</v>
          </cell>
          <cell r="F2417">
            <v>0</v>
          </cell>
          <cell r="G2417">
            <v>0</v>
          </cell>
          <cell r="H2417">
            <v>0</v>
          </cell>
          <cell r="I2417" t="str">
            <v>Others</v>
          </cell>
          <cell r="J2417">
            <v>3</v>
          </cell>
          <cell r="K2417" t="str">
            <v>Others</v>
          </cell>
        </row>
        <row r="2418">
          <cell r="D2418">
            <v>441819</v>
          </cell>
          <cell r="E2418" t="str">
            <v>Wood; windows, French-windows and their frames; (of other than tropical wood)</v>
          </cell>
          <cell r="F2418">
            <v>0</v>
          </cell>
          <cell r="G2418">
            <v>0</v>
          </cell>
          <cell r="H2418">
            <v>0</v>
          </cell>
          <cell r="I2418" t="str">
            <v>Others</v>
          </cell>
          <cell r="J2418">
            <v>3</v>
          </cell>
          <cell r="K2418" t="str">
            <v>Others</v>
          </cell>
        </row>
        <row r="2419">
          <cell r="D2419">
            <v>441821</v>
          </cell>
          <cell r="E2419" t="str">
            <v>Wood; doors and their frames and thresholds, of tropical wood;</v>
          </cell>
          <cell r="F2419">
            <v>0</v>
          </cell>
          <cell r="G2419">
            <v>0</v>
          </cell>
          <cell r="H2419">
            <v>0</v>
          </cell>
          <cell r="I2419" t="str">
            <v>Others</v>
          </cell>
          <cell r="J2419">
            <v>3</v>
          </cell>
          <cell r="K2419" t="str">
            <v>Others</v>
          </cell>
        </row>
        <row r="2420">
          <cell r="D2420">
            <v>441829</v>
          </cell>
          <cell r="E2420" t="str">
            <v>Wood; doors and their frames and thresholds, (of other than tropical wood)</v>
          </cell>
          <cell r="F2420">
            <v>0</v>
          </cell>
          <cell r="G2420">
            <v>0</v>
          </cell>
          <cell r="H2420">
            <v>0</v>
          </cell>
          <cell r="I2420" t="str">
            <v>Others</v>
          </cell>
          <cell r="J2420">
            <v>3</v>
          </cell>
          <cell r="K2420" t="str">
            <v>Others</v>
          </cell>
        </row>
        <row r="2421">
          <cell r="D2421">
            <v>441830</v>
          </cell>
          <cell r="E2421" t="str">
            <v>wood; posts and beams other than products of subheadings 4418.81 to 4418.89</v>
          </cell>
          <cell r="F2421">
            <v>0</v>
          </cell>
          <cell r="G2421">
            <v>0</v>
          </cell>
          <cell r="H2421">
            <v>0</v>
          </cell>
          <cell r="I2421" t="str">
            <v>Others</v>
          </cell>
          <cell r="J2421">
            <v>3</v>
          </cell>
          <cell r="K2421" t="str">
            <v>Others</v>
          </cell>
        </row>
        <row r="2422">
          <cell r="D2422">
            <v>441840</v>
          </cell>
          <cell r="E2422" t="str">
            <v>Wood; shuttering for concrete constructional work</v>
          </cell>
          <cell r="F2422">
            <v>0</v>
          </cell>
          <cell r="G2422">
            <v>0</v>
          </cell>
          <cell r="H2422">
            <v>0</v>
          </cell>
          <cell r="I2422" t="str">
            <v>Others</v>
          </cell>
          <cell r="J2422">
            <v>3</v>
          </cell>
          <cell r="K2422" t="str">
            <v>Others</v>
          </cell>
        </row>
        <row r="2423">
          <cell r="D2423">
            <v>441850</v>
          </cell>
          <cell r="E2423" t="str">
            <v>Wood; shingles and shakes</v>
          </cell>
          <cell r="F2423">
            <v>0</v>
          </cell>
          <cell r="G2423">
            <v>0</v>
          </cell>
          <cell r="H2423">
            <v>0</v>
          </cell>
          <cell r="I2423" t="str">
            <v>Others</v>
          </cell>
          <cell r="J2423">
            <v>3</v>
          </cell>
          <cell r="K2423" t="str">
            <v>Others</v>
          </cell>
        </row>
        <row r="2424">
          <cell r="D2424">
            <v>441873</v>
          </cell>
          <cell r="E2424" t="str">
            <v>Wood; assembled flooring panels, of bamboo or with at least the top layer (wear layer) of bamboo</v>
          </cell>
          <cell r="F2424">
            <v>0</v>
          </cell>
          <cell r="G2424">
            <v>0</v>
          </cell>
          <cell r="H2424">
            <v>0</v>
          </cell>
          <cell r="I2424" t="str">
            <v>Others</v>
          </cell>
          <cell r="J2424">
            <v>3</v>
          </cell>
          <cell r="K2424" t="str">
            <v>Others</v>
          </cell>
        </row>
        <row r="2425">
          <cell r="D2425">
            <v>441874</v>
          </cell>
          <cell r="E2425" t="str">
            <v>Wood; assembled flooring panels, not of bamboo or with at least the top layer (wear layer) of bamboo, for mosaic floors</v>
          </cell>
          <cell r="F2425">
            <v>0</v>
          </cell>
          <cell r="G2425">
            <v>0</v>
          </cell>
          <cell r="H2425">
            <v>0</v>
          </cell>
          <cell r="I2425" t="str">
            <v>Others</v>
          </cell>
          <cell r="J2425">
            <v>3</v>
          </cell>
          <cell r="K2425" t="str">
            <v>Others</v>
          </cell>
        </row>
        <row r="2426">
          <cell r="D2426">
            <v>441875</v>
          </cell>
          <cell r="E2426" t="str">
            <v>Wood; assembled flooring panels, not of bamboo or with at least the top layer (wear layer) of bamboo, multilayer</v>
          </cell>
          <cell r="F2426">
            <v>0</v>
          </cell>
          <cell r="G2426">
            <v>0</v>
          </cell>
          <cell r="H2426">
            <v>0</v>
          </cell>
          <cell r="I2426" t="str">
            <v>Others</v>
          </cell>
          <cell r="J2426">
            <v>3</v>
          </cell>
          <cell r="K2426" t="str">
            <v>Others</v>
          </cell>
        </row>
        <row r="2427">
          <cell r="D2427">
            <v>441879</v>
          </cell>
          <cell r="E2427" t="str">
            <v>Wood; assembled flooring panels, n.e.c in headings 4418.73, 4418.74 or 4418.75</v>
          </cell>
          <cell r="F2427">
            <v>0</v>
          </cell>
          <cell r="G2427">
            <v>0</v>
          </cell>
          <cell r="H2427">
            <v>0</v>
          </cell>
          <cell r="I2427" t="str">
            <v>Others</v>
          </cell>
          <cell r="J2427">
            <v>3</v>
          </cell>
          <cell r="K2427" t="str">
            <v>Others</v>
          </cell>
        </row>
        <row r="2428">
          <cell r="D2428">
            <v>441881</v>
          </cell>
          <cell r="E2428" t="str">
            <v>Wood; engineered structural timber products, glue-laminated timber (glulam)</v>
          </cell>
          <cell r="F2428">
            <v>0</v>
          </cell>
          <cell r="G2428">
            <v>0</v>
          </cell>
          <cell r="H2428">
            <v>0</v>
          </cell>
          <cell r="I2428" t="str">
            <v>Others</v>
          </cell>
          <cell r="J2428">
            <v>3</v>
          </cell>
          <cell r="K2428" t="str">
            <v>Others</v>
          </cell>
        </row>
        <row r="2429">
          <cell r="D2429">
            <v>441882</v>
          </cell>
          <cell r="E2429" t="str">
            <v>Wood; engineered structural timber products, cross-laminated timber (CLT or X-lam)</v>
          </cell>
          <cell r="F2429">
            <v>0</v>
          </cell>
          <cell r="G2429">
            <v>0</v>
          </cell>
          <cell r="H2429">
            <v>0</v>
          </cell>
          <cell r="I2429" t="str">
            <v>Others</v>
          </cell>
          <cell r="J2429">
            <v>3</v>
          </cell>
          <cell r="K2429" t="str">
            <v>Others</v>
          </cell>
        </row>
        <row r="2430">
          <cell r="D2430">
            <v>441883</v>
          </cell>
          <cell r="E2430" t="str">
            <v>Wood; engineered structural timber products, I beams</v>
          </cell>
          <cell r="F2430">
            <v>0</v>
          </cell>
          <cell r="G2430">
            <v>0</v>
          </cell>
          <cell r="H2430">
            <v>0</v>
          </cell>
          <cell r="I2430" t="str">
            <v>Others</v>
          </cell>
          <cell r="J2430">
            <v>3</v>
          </cell>
          <cell r="K2430" t="str">
            <v>Others</v>
          </cell>
        </row>
        <row r="2431">
          <cell r="D2431">
            <v>441889</v>
          </cell>
          <cell r="E2431" t="str">
            <v>Wood; engineered structural timber products, other than glue-laminated timber (glulam), cross-laminated timber (CLT or X-lam), or I beams</v>
          </cell>
          <cell r="F2431">
            <v>0</v>
          </cell>
          <cell r="G2431">
            <v>0</v>
          </cell>
          <cell r="H2431">
            <v>0</v>
          </cell>
          <cell r="I2431" t="str">
            <v>Others</v>
          </cell>
          <cell r="J2431">
            <v>3</v>
          </cell>
          <cell r="K2431" t="str">
            <v>Others</v>
          </cell>
        </row>
        <row r="2432">
          <cell r="D2432">
            <v>441891</v>
          </cell>
          <cell r="E2432" t="str">
            <v>Wood; builders' joinery and carpentry of wood n.e.c. in heading no. 4418, of bamboo</v>
          </cell>
          <cell r="F2432">
            <v>0</v>
          </cell>
          <cell r="G2432">
            <v>0</v>
          </cell>
          <cell r="H2432">
            <v>0</v>
          </cell>
          <cell r="I2432" t="str">
            <v>Others</v>
          </cell>
          <cell r="J2432">
            <v>3</v>
          </cell>
          <cell r="K2432" t="str">
            <v>Others</v>
          </cell>
        </row>
        <row r="2433">
          <cell r="D2433">
            <v>441892</v>
          </cell>
          <cell r="E2433" t="str">
            <v>Wood; builders' joinery and carpentry of wood n.e.c. in heading no. 4418, cellular wood panels</v>
          </cell>
          <cell r="F2433">
            <v>0</v>
          </cell>
          <cell r="G2433">
            <v>0</v>
          </cell>
          <cell r="H2433">
            <v>0</v>
          </cell>
          <cell r="I2433" t="str">
            <v>Others</v>
          </cell>
          <cell r="J2433">
            <v>3</v>
          </cell>
          <cell r="K2433" t="str">
            <v>Others</v>
          </cell>
        </row>
        <row r="2434">
          <cell r="D2434">
            <v>441899</v>
          </cell>
          <cell r="E2434" t="str">
            <v>Wood; builders' joinery and carpentry of wood n.e.c. in heading no. 4418, other than of bamboo or cellular wood panels</v>
          </cell>
          <cell r="F2434">
            <v>0</v>
          </cell>
          <cell r="G2434">
            <v>0</v>
          </cell>
          <cell r="H2434">
            <v>0</v>
          </cell>
          <cell r="I2434" t="str">
            <v>Others</v>
          </cell>
          <cell r="J2434">
            <v>3</v>
          </cell>
          <cell r="K2434" t="str">
            <v>Others</v>
          </cell>
        </row>
        <row r="2435">
          <cell r="D2435">
            <v>441911</v>
          </cell>
          <cell r="E2435" t="str">
            <v>Tableware and kitchenware, of wood; of bamboo, bread boards, chopping boards and similar boards</v>
          </cell>
          <cell r="F2435">
            <v>0</v>
          </cell>
          <cell r="G2435">
            <v>0</v>
          </cell>
          <cell r="H2435">
            <v>0</v>
          </cell>
          <cell r="I2435" t="str">
            <v>Others</v>
          </cell>
          <cell r="J2435">
            <v>3</v>
          </cell>
          <cell r="K2435" t="str">
            <v>Others</v>
          </cell>
        </row>
        <row r="2436">
          <cell r="D2436">
            <v>441912</v>
          </cell>
          <cell r="E2436" t="str">
            <v>Tableware and kitchenware, of wood; of bamboo, chopsticks</v>
          </cell>
          <cell r="F2436">
            <v>0</v>
          </cell>
          <cell r="G2436">
            <v>0</v>
          </cell>
          <cell r="H2436">
            <v>0</v>
          </cell>
          <cell r="I2436" t="str">
            <v>Others</v>
          </cell>
          <cell r="J2436">
            <v>3</v>
          </cell>
          <cell r="K2436" t="str">
            <v>Others</v>
          </cell>
        </row>
        <row r="2437">
          <cell r="D2437">
            <v>441919</v>
          </cell>
          <cell r="E2437" t="str">
            <v>Tableware and kitchenware, of wood; of bamboo, n.e.c. in heading 4419</v>
          </cell>
          <cell r="F2437">
            <v>0</v>
          </cell>
          <cell r="G2437">
            <v>0</v>
          </cell>
          <cell r="H2437">
            <v>0</v>
          </cell>
          <cell r="I2437" t="str">
            <v>Others</v>
          </cell>
          <cell r="J2437">
            <v>3</v>
          </cell>
          <cell r="K2437" t="str">
            <v>Others</v>
          </cell>
        </row>
        <row r="2438">
          <cell r="D2438">
            <v>441920</v>
          </cell>
          <cell r="E2438" t="str">
            <v>Tableware and kitchenware, of wood; of tropical wood</v>
          </cell>
          <cell r="F2438">
            <v>0</v>
          </cell>
          <cell r="G2438">
            <v>0</v>
          </cell>
          <cell r="H2438">
            <v>0</v>
          </cell>
          <cell r="I2438" t="str">
            <v>Others</v>
          </cell>
          <cell r="J2438">
            <v>3</v>
          </cell>
          <cell r="K2438" t="str">
            <v>Others</v>
          </cell>
        </row>
        <row r="2439">
          <cell r="D2439">
            <v>441990</v>
          </cell>
          <cell r="E2439" t="str">
            <v>Tableware and kitchenware, of wood; not of bamboo or tropical wood</v>
          </cell>
          <cell r="F2439">
            <v>0</v>
          </cell>
          <cell r="G2439">
            <v>0</v>
          </cell>
          <cell r="H2439">
            <v>0</v>
          </cell>
          <cell r="I2439" t="str">
            <v>Others</v>
          </cell>
          <cell r="J2439">
            <v>3</v>
          </cell>
          <cell r="K2439" t="str">
            <v>Others</v>
          </cell>
        </row>
        <row r="2440">
          <cell r="D2440">
            <v>442011</v>
          </cell>
          <cell r="E2440" t="str">
            <v>Wood; statuettes and other ornaments, of tropical wood</v>
          </cell>
          <cell r="F2440">
            <v>0</v>
          </cell>
          <cell r="G2440">
            <v>0</v>
          </cell>
          <cell r="H2440">
            <v>0</v>
          </cell>
          <cell r="I2440" t="str">
            <v>Others</v>
          </cell>
          <cell r="J2440">
            <v>3</v>
          </cell>
          <cell r="K2440" t="str">
            <v>Others</v>
          </cell>
        </row>
        <row r="2441">
          <cell r="D2441">
            <v>442019</v>
          </cell>
          <cell r="E2441" t="str">
            <v>Wood; statuettes and other ornaments, of other than tropical wood</v>
          </cell>
          <cell r="F2441">
            <v>0</v>
          </cell>
          <cell r="G2441">
            <v>0</v>
          </cell>
          <cell r="H2441">
            <v>0</v>
          </cell>
          <cell r="I2441" t="str">
            <v>Others</v>
          </cell>
          <cell r="J2441">
            <v>3</v>
          </cell>
          <cell r="K2441" t="str">
            <v>Others</v>
          </cell>
        </row>
        <row r="2442">
          <cell r="D2442">
            <v>442090</v>
          </cell>
          <cell r="E2442" t="str">
            <v>Wood; marquetry and inlaid wood, caskets and cases for jewellery or cutlery and similar articles of wood, wooden articles of furniture not falling in chapter 94</v>
          </cell>
          <cell r="F2442">
            <v>0</v>
          </cell>
          <cell r="G2442">
            <v>0</v>
          </cell>
          <cell r="H2442">
            <v>0</v>
          </cell>
          <cell r="I2442" t="str">
            <v>Others</v>
          </cell>
          <cell r="J2442">
            <v>3</v>
          </cell>
          <cell r="K2442" t="str">
            <v>Others</v>
          </cell>
        </row>
        <row r="2443">
          <cell r="D2443">
            <v>442110</v>
          </cell>
          <cell r="E2443" t="str">
            <v>Wood; clothes hangers</v>
          </cell>
          <cell r="F2443">
            <v>0</v>
          </cell>
          <cell r="G2443">
            <v>0</v>
          </cell>
          <cell r="H2443">
            <v>0</v>
          </cell>
          <cell r="I2443" t="str">
            <v>Others</v>
          </cell>
          <cell r="J2443">
            <v>3</v>
          </cell>
          <cell r="K2443" t="str">
            <v>Others</v>
          </cell>
        </row>
        <row r="2444">
          <cell r="D2444">
            <v>442120</v>
          </cell>
          <cell r="E2444" t="str">
            <v>Wood; coffins</v>
          </cell>
          <cell r="F2444">
            <v>0</v>
          </cell>
          <cell r="G2444">
            <v>0</v>
          </cell>
          <cell r="H2444">
            <v>0</v>
          </cell>
          <cell r="I2444" t="str">
            <v>Others</v>
          </cell>
          <cell r="J2444">
            <v>3</v>
          </cell>
          <cell r="K2444" t="str">
            <v>Others</v>
          </cell>
        </row>
        <row r="2445">
          <cell r="D2445">
            <v>442191</v>
          </cell>
          <cell r="E2445" t="str">
            <v>Wood; of bamboo, articles n.e.c. in heading no. 4414 to 4420 (excluding clothes hangers)</v>
          </cell>
          <cell r="F2445">
            <v>0</v>
          </cell>
          <cell r="G2445">
            <v>0</v>
          </cell>
          <cell r="H2445">
            <v>0</v>
          </cell>
          <cell r="I2445" t="str">
            <v>Others</v>
          </cell>
          <cell r="J2445">
            <v>3</v>
          </cell>
          <cell r="K2445" t="str">
            <v>Others</v>
          </cell>
        </row>
        <row r="2446">
          <cell r="D2446">
            <v>442199</v>
          </cell>
          <cell r="E2446" t="str">
            <v>Wood; not of bamboo, articles n.e.c. in heading no. 4414 to 4420 (excluding clothes hangers)</v>
          </cell>
          <cell r="F2446" t="str">
            <v>Consumables</v>
          </cell>
          <cell r="G2446">
            <v>0</v>
          </cell>
          <cell r="H2446">
            <v>0</v>
          </cell>
          <cell r="I2446" t="str">
            <v>Others</v>
          </cell>
          <cell r="J2446">
            <v>2</v>
          </cell>
          <cell r="K2446" t="str">
            <v>Consumables - rc</v>
          </cell>
        </row>
        <row r="2447">
          <cell r="D2447">
            <v>450110</v>
          </cell>
          <cell r="E2447" t="str">
            <v>Cork; natural cork, raw or simply prepared</v>
          </cell>
          <cell r="F2447">
            <v>0</v>
          </cell>
          <cell r="G2447">
            <v>0</v>
          </cell>
          <cell r="H2447">
            <v>0</v>
          </cell>
          <cell r="I2447" t="str">
            <v>Others</v>
          </cell>
          <cell r="J2447">
            <v>3</v>
          </cell>
          <cell r="K2447" t="str">
            <v>Others</v>
          </cell>
        </row>
        <row r="2448">
          <cell r="D2448">
            <v>450190</v>
          </cell>
          <cell r="E2448" t="str">
            <v>Cork; waste cork, crushed, granulated or ground cork</v>
          </cell>
          <cell r="F2448">
            <v>0</v>
          </cell>
          <cell r="G2448">
            <v>0</v>
          </cell>
          <cell r="H2448">
            <v>0</v>
          </cell>
          <cell r="I2448" t="str">
            <v>Others</v>
          </cell>
          <cell r="J2448">
            <v>3</v>
          </cell>
          <cell r="K2448" t="str">
            <v>Others</v>
          </cell>
        </row>
        <row r="2449">
          <cell r="D2449">
            <v>450200</v>
          </cell>
          <cell r="E2449" t="str">
            <v>Cork; natural cork, debacked or roughly squared, or in rectangular (including square) blocks, plates, sheets or strip, (including sharp-edged blanks for corks or stoppers)</v>
          </cell>
          <cell r="F2449">
            <v>0</v>
          </cell>
          <cell r="G2449">
            <v>0</v>
          </cell>
          <cell r="H2449">
            <v>0</v>
          </cell>
          <cell r="I2449" t="str">
            <v>Others</v>
          </cell>
          <cell r="J2449">
            <v>3</v>
          </cell>
          <cell r="K2449" t="str">
            <v>Others</v>
          </cell>
        </row>
        <row r="2450">
          <cell r="D2450">
            <v>450310</v>
          </cell>
          <cell r="E2450" t="str">
            <v>Cork; corks and stoppers, of natural cork</v>
          </cell>
          <cell r="F2450">
            <v>0</v>
          </cell>
          <cell r="G2450">
            <v>0</v>
          </cell>
          <cell r="H2450">
            <v>0</v>
          </cell>
          <cell r="I2450" t="str">
            <v>Others</v>
          </cell>
          <cell r="J2450">
            <v>3</v>
          </cell>
          <cell r="K2450" t="str">
            <v>Others</v>
          </cell>
        </row>
        <row r="2451">
          <cell r="D2451">
            <v>450390</v>
          </cell>
          <cell r="E2451" t="str">
            <v>Cork; articles of natural cork other than corks and stoppers</v>
          </cell>
          <cell r="F2451">
            <v>0</v>
          </cell>
          <cell r="G2451">
            <v>0</v>
          </cell>
          <cell r="H2451">
            <v>0</v>
          </cell>
          <cell r="I2451" t="str">
            <v>Others</v>
          </cell>
          <cell r="J2451">
            <v>3</v>
          </cell>
          <cell r="K2451" t="str">
            <v>Others</v>
          </cell>
        </row>
        <row r="2452">
          <cell r="D2452">
            <v>450410</v>
          </cell>
          <cell r="E2452" t="str">
            <v>Cork; blocks, plates, sheets and strip, tiles of any shape, solid cylinders (including discs), of agglomerated cork (with or without a binding substance)</v>
          </cell>
          <cell r="F2452">
            <v>0</v>
          </cell>
          <cell r="G2452">
            <v>0</v>
          </cell>
          <cell r="H2452">
            <v>0</v>
          </cell>
          <cell r="I2452" t="str">
            <v>Others</v>
          </cell>
          <cell r="J2452">
            <v>3</v>
          </cell>
          <cell r="K2452" t="str">
            <v>Others</v>
          </cell>
        </row>
        <row r="2453">
          <cell r="D2453">
            <v>450490</v>
          </cell>
          <cell r="E2453" t="str">
            <v>Cork; articles of agglomerated cork (with or without a binding substance), n.e.c. in heading no. 4504</v>
          </cell>
          <cell r="F2453">
            <v>0</v>
          </cell>
          <cell r="G2453">
            <v>0</v>
          </cell>
          <cell r="H2453">
            <v>0</v>
          </cell>
          <cell r="I2453" t="str">
            <v>Others</v>
          </cell>
          <cell r="J2453">
            <v>3</v>
          </cell>
          <cell r="K2453" t="str">
            <v>Others</v>
          </cell>
        </row>
        <row r="2454">
          <cell r="D2454">
            <v>460121</v>
          </cell>
          <cell r="E2454" t="str">
            <v>Plaiting materials, plaits and similar products of plaiting materials; mats, matting and screens, of bamboo</v>
          </cell>
          <cell r="F2454">
            <v>0</v>
          </cell>
          <cell r="G2454">
            <v>0</v>
          </cell>
          <cell r="H2454">
            <v>0</v>
          </cell>
          <cell r="I2454" t="str">
            <v>Others</v>
          </cell>
          <cell r="J2454">
            <v>3</v>
          </cell>
          <cell r="K2454" t="str">
            <v>Others</v>
          </cell>
        </row>
        <row r="2455">
          <cell r="D2455">
            <v>460122</v>
          </cell>
          <cell r="E2455" t="str">
            <v>Plaiting materials, plaits and similar products of plaiting materials; mats, matting and screens, of rattan</v>
          </cell>
          <cell r="F2455">
            <v>0</v>
          </cell>
          <cell r="G2455">
            <v>0</v>
          </cell>
          <cell r="H2455">
            <v>0</v>
          </cell>
          <cell r="I2455" t="str">
            <v>Others</v>
          </cell>
          <cell r="J2455">
            <v>3</v>
          </cell>
          <cell r="K2455" t="str">
            <v>Others</v>
          </cell>
        </row>
        <row r="2456">
          <cell r="D2456">
            <v>460129</v>
          </cell>
          <cell r="E2456" t="str">
            <v>Plaiting materials, plaits and similar products of plaiting materials; mats, matting and screens, of vegetable materials other than bamboo or rattan</v>
          </cell>
          <cell r="F2456">
            <v>0</v>
          </cell>
          <cell r="G2456">
            <v>0</v>
          </cell>
          <cell r="H2456">
            <v>0</v>
          </cell>
          <cell r="I2456" t="str">
            <v>Others</v>
          </cell>
          <cell r="J2456">
            <v>3</v>
          </cell>
          <cell r="K2456" t="str">
            <v>Others</v>
          </cell>
        </row>
        <row r="2457">
          <cell r="D2457">
            <v>460192</v>
          </cell>
          <cell r="E2457" t="str">
            <v>Plaiting materials, plaits and similar products of plaiting materials; (not mats, matting or screens), of bamboo</v>
          </cell>
          <cell r="F2457">
            <v>0</v>
          </cell>
          <cell r="G2457">
            <v>0</v>
          </cell>
          <cell r="H2457">
            <v>0</v>
          </cell>
          <cell r="I2457" t="str">
            <v>Others</v>
          </cell>
          <cell r="J2457">
            <v>3</v>
          </cell>
          <cell r="K2457" t="str">
            <v>Others</v>
          </cell>
        </row>
        <row r="2458">
          <cell r="D2458">
            <v>460193</v>
          </cell>
          <cell r="E2458" t="str">
            <v>Plaiting materials, plaits and similar products of plaiting materials; (not mats, matting or screens), of rattan</v>
          </cell>
          <cell r="F2458">
            <v>0</v>
          </cell>
          <cell r="G2458">
            <v>0</v>
          </cell>
          <cell r="H2458">
            <v>0</v>
          </cell>
          <cell r="I2458" t="str">
            <v>Others</v>
          </cell>
          <cell r="J2458">
            <v>3</v>
          </cell>
          <cell r="K2458" t="str">
            <v>Others</v>
          </cell>
        </row>
        <row r="2459">
          <cell r="D2459">
            <v>460194</v>
          </cell>
          <cell r="E2459" t="str">
            <v>Plaiting materials, plaits and similar products of plaiting materials; (not mats, matting or screens), of vegetable materials other than bamboo or rattan</v>
          </cell>
          <cell r="F2459">
            <v>0</v>
          </cell>
          <cell r="G2459">
            <v>0</v>
          </cell>
          <cell r="H2459">
            <v>0</v>
          </cell>
          <cell r="I2459" t="str">
            <v>Others</v>
          </cell>
          <cell r="J2459">
            <v>3</v>
          </cell>
          <cell r="K2459" t="str">
            <v>Others</v>
          </cell>
        </row>
        <row r="2460">
          <cell r="D2460">
            <v>460199</v>
          </cell>
          <cell r="E2460" t="str">
            <v>Plaiting materials, plaits and similar products of plaiting materials; products of non-vegetable materials</v>
          </cell>
          <cell r="F2460">
            <v>0</v>
          </cell>
          <cell r="G2460">
            <v>0</v>
          </cell>
          <cell r="H2460">
            <v>0</v>
          </cell>
          <cell r="I2460" t="str">
            <v>Others</v>
          </cell>
          <cell r="J2460">
            <v>3</v>
          </cell>
          <cell r="K2460" t="str">
            <v>Others</v>
          </cell>
        </row>
        <row r="2461">
          <cell r="D2461">
            <v>460211</v>
          </cell>
          <cell r="E2461" t="str">
            <v>Basketwork, wickerwork and other articles; of bamboo, made directly to shape from plaiting materials or made up from goods of heading no. 4601</v>
          </cell>
          <cell r="F2461">
            <v>0</v>
          </cell>
          <cell r="G2461">
            <v>0</v>
          </cell>
          <cell r="H2461">
            <v>0</v>
          </cell>
          <cell r="I2461" t="str">
            <v>Others</v>
          </cell>
          <cell r="J2461">
            <v>3</v>
          </cell>
          <cell r="K2461" t="str">
            <v>Others</v>
          </cell>
        </row>
        <row r="2462">
          <cell r="D2462">
            <v>460212</v>
          </cell>
          <cell r="E2462" t="str">
            <v>Basketwork, wickerwork and other articles; of rattan, made directly to shape from plaiting materials or made up from goods of heading no. 4601</v>
          </cell>
          <cell r="F2462">
            <v>0</v>
          </cell>
          <cell r="G2462">
            <v>0</v>
          </cell>
          <cell r="H2462">
            <v>0</v>
          </cell>
          <cell r="I2462" t="str">
            <v>Others</v>
          </cell>
          <cell r="J2462">
            <v>3</v>
          </cell>
          <cell r="K2462" t="str">
            <v>Others</v>
          </cell>
        </row>
        <row r="2463">
          <cell r="D2463">
            <v>460219</v>
          </cell>
          <cell r="E2463" t="str">
            <v>Basketwork, wickerwork and other articles; of vegetable materials (not bamboo or rattan), made directly to shape from plaiting materials or made up from goods of heading no. 4601; articles of loofah</v>
          </cell>
          <cell r="F2463">
            <v>0</v>
          </cell>
          <cell r="G2463">
            <v>0</v>
          </cell>
          <cell r="H2463">
            <v>0</v>
          </cell>
          <cell r="I2463" t="str">
            <v>Others</v>
          </cell>
          <cell r="J2463">
            <v>3</v>
          </cell>
          <cell r="K2463" t="str">
            <v>Others</v>
          </cell>
        </row>
        <row r="2464">
          <cell r="D2464">
            <v>460290</v>
          </cell>
          <cell r="E2464" t="str">
            <v>Basketwork, wickerwork and other articles; of non-vegetable materials, made directly to shape from plaiting materials or made up from goods of heading no. 4601</v>
          </cell>
          <cell r="F2464">
            <v>0</v>
          </cell>
          <cell r="G2464">
            <v>0</v>
          </cell>
          <cell r="H2464">
            <v>0</v>
          </cell>
          <cell r="I2464" t="str">
            <v>Others</v>
          </cell>
          <cell r="J2464">
            <v>3</v>
          </cell>
          <cell r="K2464" t="str">
            <v>Others</v>
          </cell>
        </row>
        <row r="2465">
          <cell r="D2465">
            <v>470100</v>
          </cell>
          <cell r="E2465" t="str">
            <v>Wood pulp; mechanical wood pulp</v>
          </cell>
          <cell r="F2465">
            <v>0</v>
          </cell>
          <cell r="G2465">
            <v>0</v>
          </cell>
          <cell r="H2465">
            <v>0</v>
          </cell>
          <cell r="I2465" t="str">
            <v>Others</v>
          </cell>
          <cell r="J2465">
            <v>3</v>
          </cell>
          <cell r="K2465" t="str">
            <v>Others</v>
          </cell>
        </row>
        <row r="2466">
          <cell r="D2466">
            <v>470200</v>
          </cell>
          <cell r="E2466" t="str">
            <v>Wood pulp; chemical wood pulp, dissolving grades</v>
          </cell>
          <cell r="F2466">
            <v>0</v>
          </cell>
          <cell r="G2466">
            <v>0</v>
          </cell>
          <cell r="H2466">
            <v>0</v>
          </cell>
          <cell r="I2466" t="str">
            <v>Others</v>
          </cell>
          <cell r="J2466">
            <v>3</v>
          </cell>
          <cell r="K2466" t="str">
            <v>Others</v>
          </cell>
        </row>
        <row r="2467">
          <cell r="D2467">
            <v>470311</v>
          </cell>
          <cell r="E2467" t="str">
            <v>Wood pulp; chemical wood pulp, soda or sulphate, (other than dissolving grades), unbleached, of coniferous wood</v>
          </cell>
          <cell r="F2467">
            <v>0</v>
          </cell>
          <cell r="G2467">
            <v>0</v>
          </cell>
          <cell r="H2467">
            <v>0</v>
          </cell>
          <cell r="I2467" t="str">
            <v>Others</v>
          </cell>
          <cell r="J2467">
            <v>3</v>
          </cell>
          <cell r="K2467" t="str">
            <v>Others</v>
          </cell>
        </row>
        <row r="2468">
          <cell r="D2468">
            <v>470319</v>
          </cell>
          <cell r="E2468" t="str">
            <v>Wood pulp; chemical wood pulp, soda or sulphate, (other than dissolving grades), unbleached, of non-coniferous wood</v>
          </cell>
          <cell r="F2468">
            <v>0</v>
          </cell>
          <cell r="G2468">
            <v>0</v>
          </cell>
          <cell r="H2468">
            <v>0</v>
          </cell>
          <cell r="I2468" t="str">
            <v>Others</v>
          </cell>
          <cell r="J2468">
            <v>3</v>
          </cell>
          <cell r="K2468" t="str">
            <v>Others</v>
          </cell>
        </row>
        <row r="2469">
          <cell r="D2469">
            <v>470321</v>
          </cell>
          <cell r="E2469" t="str">
            <v>Wood pulp; chemical wood pulp, soda or sulphate, (other than dissolving grades), semi-bleached or bleached, of coniferous wood</v>
          </cell>
          <cell r="F2469">
            <v>0</v>
          </cell>
          <cell r="G2469">
            <v>0</v>
          </cell>
          <cell r="H2469">
            <v>0</v>
          </cell>
          <cell r="I2469" t="str">
            <v>Others</v>
          </cell>
          <cell r="J2469">
            <v>3</v>
          </cell>
          <cell r="K2469" t="str">
            <v>Others</v>
          </cell>
        </row>
        <row r="2470">
          <cell r="D2470">
            <v>470329</v>
          </cell>
          <cell r="E2470" t="str">
            <v>Wood pulp; chemical wood pulp, soda or sulphate, (other than dissolving grades), semi-bleached or bleached, of non-coniferous wood</v>
          </cell>
          <cell r="F2470">
            <v>0</v>
          </cell>
          <cell r="G2470">
            <v>0</v>
          </cell>
          <cell r="H2470">
            <v>0</v>
          </cell>
          <cell r="I2470" t="str">
            <v>Others</v>
          </cell>
          <cell r="J2470">
            <v>3</v>
          </cell>
          <cell r="K2470" t="str">
            <v>Others</v>
          </cell>
        </row>
        <row r="2471">
          <cell r="D2471">
            <v>470411</v>
          </cell>
          <cell r="E2471" t="str">
            <v>Wood pulp; chemical wood pulp, sulphite, (other than dissolving grades), unbleached, of coniferous wood</v>
          </cell>
          <cell r="F2471">
            <v>0</v>
          </cell>
          <cell r="G2471">
            <v>0</v>
          </cell>
          <cell r="H2471">
            <v>0</v>
          </cell>
          <cell r="I2471" t="str">
            <v>Others</v>
          </cell>
          <cell r="J2471">
            <v>3</v>
          </cell>
          <cell r="K2471" t="str">
            <v>Others</v>
          </cell>
        </row>
        <row r="2472">
          <cell r="D2472">
            <v>470419</v>
          </cell>
          <cell r="E2472" t="str">
            <v>Wood pulp; chemical wood pulp, sulphite, (other than dissolving grades), unbleached, of non-coniferous wood</v>
          </cell>
          <cell r="F2472">
            <v>0</v>
          </cell>
          <cell r="G2472">
            <v>0</v>
          </cell>
          <cell r="H2472">
            <v>0</v>
          </cell>
          <cell r="I2472" t="str">
            <v>Others</v>
          </cell>
          <cell r="J2472">
            <v>3</v>
          </cell>
          <cell r="K2472" t="str">
            <v>Others</v>
          </cell>
        </row>
        <row r="2473">
          <cell r="D2473">
            <v>470421</v>
          </cell>
          <cell r="E2473" t="str">
            <v>Wood pulp; chemical wood pulp, sulphite, (other than dissolving grades), semi-bleached or bleached, of coniferous wood</v>
          </cell>
          <cell r="F2473">
            <v>0</v>
          </cell>
          <cell r="G2473">
            <v>0</v>
          </cell>
          <cell r="H2473">
            <v>0</v>
          </cell>
          <cell r="I2473" t="str">
            <v>Others</v>
          </cell>
          <cell r="J2473">
            <v>3</v>
          </cell>
          <cell r="K2473" t="str">
            <v>Others</v>
          </cell>
        </row>
        <row r="2474">
          <cell r="D2474">
            <v>470429</v>
          </cell>
          <cell r="E2474" t="str">
            <v>Wood pulp; chemical wood pulp, sulphite, (other than dissolving grades), semi-bleached or bleached, of non-coniferous wood</v>
          </cell>
          <cell r="F2474">
            <v>0</v>
          </cell>
          <cell r="G2474">
            <v>0</v>
          </cell>
          <cell r="H2474">
            <v>0</v>
          </cell>
          <cell r="I2474" t="str">
            <v>Others</v>
          </cell>
          <cell r="J2474">
            <v>3</v>
          </cell>
          <cell r="K2474" t="str">
            <v>Others</v>
          </cell>
        </row>
        <row r="2475">
          <cell r="D2475">
            <v>470500</v>
          </cell>
          <cell r="E2475" t="str">
            <v>Wood pulp; obtained by a combination of mechanical and chemical pulping processes</v>
          </cell>
          <cell r="F2475">
            <v>0</v>
          </cell>
          <cell r="G2475">
            <v>0</v>
          </cell>
          <cell r="H2475">
            <v>0</v>
          </cell>
          <cell r="I2475" t="str">
            <v>Others</v>
          </cell>
          <cell r="J2475">
            <v>3</v>
          </cell>
          <cell r="K2475" t="str">
            <v>Others</v>
          </cell>
        </row>
        <row r="2476">
          <cell r="D2476">
            <v>470610</v>
          </cell>
          <cell r="E2476" t="str">
            <v>Pulp; cotton linters pulp</v>
          </cell>
          <cell r="F2476">
            <v>0</v>
          </cell>
          <cell r="G2476">
            <v>0</v>
          </cell>
          <cell r="H2476">
            <v>0</v>
          </cell>
          <cell r="I2476" t="str">
            <v>Others</v>
          </cell>
          <cell r="J2476">
            <v>3</v>
          </cell>
          <cell r="K2476" t="str">
            <v>Others</v>
          </cell>
        </row>
        <row r="2477">
          <cell r="D2477">
            <v>470620</v>
          </cell>
          <cell r="E2477" t="str">
            <v>Pulp; of fibres derived from recovered (waste and scrap) paper or paperboard</v>
          </cell>
          <cell r="F2477">
            <v>0</v>
          </cell>
          <cell r="G2477">
            <v>0</v>
          </cell>
          <cell r="H2477">
            <v>0</v>
          </cell>
          <cell r="I2477" t="str">
            <v>Others</v>
          </cell>
          <cell r="J2477">
            <v>3</v>
          </cell>
          <cell r="K2477" t="str">
            <v>Others</v>
          </cell>
        </row>
        <row r="2478">
          <cell r="D2478">
            <v>470630</v>
          </cell>
          <cell r="E2478" t="str">
            <v>Pulp; of bamboo</v>
          </cell>
          <cell r="F2478">
            <v>0</v>
          </cell>
          <cell r="G2478">
            <v>0</v>
          </cell>
          <cell r="H2478">
            <v>0</v>
          </cell>
          <cell r="I2478" t="str">
            <v>Others</v>
          </cell>
          <cell r="J2478">
            <v>3</v>
          </cell>
          <cell r="K2478" t="str">
            <v>Others</v>
          </cell>
        </row>
        <row r="2479">
          <cell r="D2479">
            <v>470691</v>
          </cell>
          <cell r="E2479" t="str">
            <v>Pulp; of fibrous cellulosic material, other than of bamboo or fibres derived from recovered (waste and scrap) paper or paperboard or from cotton linters pulp, mechanical</v>
          </cell>
          <cell r="F2479">
            <v>0</v>
          </cell>
          <cell r="G2479">
            <v>0</v>
          </cell>
          <cell r="H2479">
            <v>0</v>
          </cell>
          <cell r="I2479" t="str">
            <v>Others</v>
          </cell>
          <cell r="J2479">
            <v>3</v>
          </cell>
          <cell r="K2479" t="str">
            <v>Others</v>
          </cell>
        </row>
        <row r="2480">
          <cell r="D2480">
            <v>470692</v>
          </cell>
          <cell r="E2480" t="str">
            <v>Pulp; of fibrous cellulosic material, other than of bamboo or fibres derived from recovered (waste and scrap) paper or paperboard or from cotton linters pulp, chemical</v>
          </cell>
          <cell r="F2480">
            <v>0</v>
          </cell>
          <cell r="G2480">
            <v>0</v>
          </cell>
          <cell r="H2480">
            <v>0</v>
          </cell>
          <cell r="I2480" t="str">
            <v>Others</v>
          </cell>
          <cell r="J2480">
            <v>3</v>
          </cell>
          <cell r="K2480" t="str">
            <v>Others</v>
          </cell>
        </row>
        <row r="2481">
          <cell r="D2481">
            <v>470693</v>
          </cell>
          <cell r="E2481" t="str">
            <v>Pulp; of fibrous cellulosic material, other than of bamboo or fibres derived from recovered (waste and scrap) paper or paperboard or from cotton linters pulp, obtained by a combination of mechanical and chemical processes</v>
          </cell>
          <cell r="F2481">
            <v>0</v>
          </cell>
          <cell r="G2481">
            <v>0</v>
          </cell>
          <cell r="H2481">
            <v>0</v>
          </cell>
          <cell r="I2481" t="str">
            <v>Others</v>
          </cell>
          <cell r="J2481">
            <v>3</v>
          </cell>
          <cell r="K2481" t="str">
            <v>Others</v>
          </cell>
        </row>
        <row r="2482">
          <cell r="D2482">
            <v>470710</v>
          </cell>
          <cell r="E2482" t="str">
            <v>Paper or paperboard; waste and scrap, of unbleached kraft paper or paperboard or corrugated paper or paperboard</v>
          </cell>
          <cell r="F2482">
            <v>0</v>
          </cell>
          <cell r="G2482">
            <v>0</v>
          </cell>
          <cell r="H2482">
            <v>0</v>
          </cell>
          <cell r="I2482" t="str">
            <v>Others</v>
          </cell>
          <cell r="J2482">
            <v>3</v>
          </cell>
          <cell r="K2482" t="str">
            <v>Others</v>
          </cell>
        </row>
        <row r="2483">
          <cell r="D2483">
            <v>470720</v>
          </cell>
          <cell r="E2483" t="str">
            <v>Paper or paperboard; waste and scrap, paper or paperboard made mainly of bleached chemical pulp, not coloured in the mass</v>
          </cell>
          <cell r="F2483">
            <v>0</v>
          </cell>
          <cell r="G2483">
            <v>0</v>
          </cell>
          <cell r="H2483">
            <v>0</v>
          </cell>
          <cell r="I2483" t="str">
            <v>Others</v>
          </cell>
          <cell r="J2483">
            <v>3</v>
          </cell>
          <cell r="K2483" t="str">
            <v>Others</v>
          </cell>
        </row>
        <row r="2484">
          <cell r="D2484">
            <v>470730</v>
          </cell>
          <cell r="E2484" t="str">
            <v>Paper or paperboard; waste and scrap, paper or paperboard made mainly of mechanical pulp (e.g. newspapers, journals and similar printed matter)</v>
          </cell>
          <cell r="F2484">
            <v>0</v>
          </cell>
          <cell r="G2484">
            <v>0</v>
          </cell>
          <cell r="H2484">
            <v>0</v>
          </cell>
          <cell r="I2484" t="str">
            <v>Others</v>
          </cell>
          <cell r="J2484">
            <v>3</v>
          </cell>
          <cell r="K2484" t="str">
            <v>Others</v>
          </cell>
        </row>
        <row r="2485">
          <cell r="D2485">
            <v>470790</v>
          </cell>
          <cell r="E2485" t="str">
            <v>Paper or paperboard; waste and scrap, of paper or paperboard n.e.c. in heading no. 4707 and of unsorted waste and scrap</v>
          </cell>
          <cell r="F2485">
            <v>0</v>
          </cell>
          <cell r="G2485">
            <v>0</v>
          </cell>
          <cell r="H2485">
            <v>0</v>
          </cell>
          <cell r="I2485" t="str">
            <v>Others</v>
          </cell>
          <cell r="J2485">
            <v>3</v>
          </cell>
          <cell r="K2485" t="str">
            <v>Others</v>
          </cell>
        </row>
        <row r="2486">
          <cell r="D2486">
            <v>480100</v>
          </cell>
          <cell r="E2486" t="str">
            <v>Newsprint; made of fibres obtained essentially by a chemi-mechanical process or of a weight, per m2, of more than 57g but not more than 65g, in rolls or sheets</v>
          </cell>
          <cell r="F2486">
            <v>0</v>
          </cell>
          <cell r="G2486">
            <v>0</v>
          </cell>
          <cell r="H2486">
            <v>0</v>
          </cell>
          <cell r="I2486" t="str">
            <v>Others</v>
          </cell>
          <cell r="J2486">
            <v>3</v>
          </cell>
          <cell r="K2486" t="str">
            <v>Others</v>
          </cell>
        </row>
        <row r="2487">
          <cell r="D2487">
            <v>480210</v>
          </cell>
          <cell r="E2487" t="str">
            <v>Hand-made paper or paperboard</v>
          </cell>
          <cell r="F2487">
            <v>0</v>
          </cell>
          <cell r="G2487">
            <v>0</v>
          </cell>
          <cell r="H2487">
            <v>0</v>
          </cell>
          <cell r="I2487" t="str">
            <v>Others</v>
          </cell>
          <cell r="J2487">
            <v>3</v>
          </cell>
          <cell r="K2487" t="str">
            <v>Others</v>
          </cell>
        </row>
        <row r="2488">
          <cell r="D2488">
            <v>480220</v>
          </cell>
          <cell r="E2488" t="str">
            <v>Uncoated paper and paperboard (not 4801 or 4803); of a kind used as a base for photo-sensitive, heat-sensitive or electro-sensitive paper or paperboard, in rolls or sheets</v>
          </cell>
          <cell r="F2488">
            <v>0</v>
          </cell>
          <cell r="G2488">
            <v>0</v>
          </cell>
          <cell r="H2488">
            <v>0</v>
          </cell>
          <cell r="I2488" t="str">
            <v>Others</v>
          </cell>
          <cell r="J2488">
            <v>3</v>
          </cell>
          <cell r="K2488" t="str">
            <v>Others</v>
          </cell>
        </row>
        <row r="2489">
          <cell r="D2489">
            <v>480240</v>
          </cell>
          <cell r="E2489" t="str">
            <v>Uncoated paper and paperboard (not 4801 or 4803); wallpaper base, in rolls or sheets</v>
          </cell>
          <cell r="F2489">
            <v>0</v>
          </cell>
          <cell r="G2489">
            <v>0</v>
          </cell>
          <cell r="H2489">
            <v>0</v>
          </cell>
          <cell r="I2489" t="str">
            <v>Others</v>
          </cell>
          <cell r="J2489">
            <v>3</v>
          </cell>
          <cell r="K2489" t="str">
            <v>Others</v>
          </cell>
        </row>
        <row r="2490">
          <cell r="D2490">
            <v>480254</v>
          </cell>
          <cell r="E2490" t="str">
            <v>Uncoated paper and paperboard (not 4801 or 4803); printing, writing or graphic, 10% or less by weight of mechanical or chemi-mechanical processed fibre, weighing less than 40g/m2, in rolls or sheets</v>
          </cell>
          <cell r="F2490">
            <v>0</v>
          </cell>
          <cell r="G2490">
            <v>0</v>
          </cell>
          <cell r="H2490">
            <v>0</v>
          </cell>
          <cell r="I2490" t="str">
            <v>Others</v>
          </cell>
          <cell r="J2490">
            <v>3</v>
          </cell>
          <cell r="K2490" t="str">
            <v>Others</v>
          </cell>
        </row>
        <row r="2491">
          <cell r="D2491">
            <v>480255</v>
          </cell>
          <cell r="E2491" t="str">
            <v>Uncoated paper and paperboard (not 4801 or 4803); printing, writing or graphic, 10% or less by weight of mechanical or chemi-mechanical processed fibre, weighing 40g/m2 to 150g/m2, in rolls</v>
          </cell>
          <cell r="F2491">
            <v>0</v>
          </cell>
          <cell r="G2491">
            <v>0</v>
          </cell>
          <cell r="H2491">
            <v>0</v>
          </cell>
          <cell r="I2491" t="str">
            <v>Others</v>
          </cell>
          <cell r="J2491">
            <v>3</v>
          </cell>
          <cell r="K2491" t="str">
            <v>Others</v>
          </cell>
        </row>
        <row r="2492">
          <cell r="D2492">
            <v>480256</v>
          </cell>
          <cell r="E2492" t="str">
            <v>Uncoated paper and paperboard (not 4801 or 4803); printing, writing or graphic, 10% or less by weight of mechanical or chemi-mechanical processed fibre, weight 40-150g/m2, in sheets 435mm or less by 297mm or less (unfolded)</v>
          </cell>
          <cell r="F2492" t="str">
            <v>Consumables</v>
          </cell>
          <cell r="G2492">
            <v>0</v>
          </cell>
          <cell r="H2492">
            <v>0</v>
          </cell>
          <cell r="I2492" t="str">
            <v>Others</v>
          </cell>
          <cell r="J2492">
            <v>2</v>
          </cell>
          <cell r="K2492" t="str">
            <v>Consumables - rc</v>
          </cell>
        </row>
        <row r="2493">
          <cell r="D2493">
            <v>480257</v>
          </cell>
          <cell r="E2493" t="str">
            <v>Uncoated paper and paperboard (not 4801 or 4803); printing, writing or graphic, 10% or less by weight of mechanical or chemi-mechanical processed fibre, weight 40-150g/m2, n.e.c. in item no. 4802.55 or 4802.56</v>
          </cell>
          <cell r="F2493">
            <v>0</v>
          </cell>
          <cell r="G2493">
            <v>0</v>
          </cell>
          <cell r="H2493">
            <v>0</v>
          </cell>
          <cell r="I2493" t="str">
            <v>Others</v>
          </cell>
          <cell r="J2493">
            <v>3</v>
          </cell>
          <cell r="K2493" t="str">
            <v>Others</v>
          </cell>
        </row>
        <row r="2494">
          <cell r="D2494">
            <v>480258</v>
          </cell>
          <cell r="E2494" t="str">
            <v>Uncoated paper and paperboard (not 4801 or 4803); printing, writing or graphic, 10% or less by weight of mechanical or chemi-mechanical processed fibre, weighing more than 150g/m2</v>
          </cell>
          <cell r="F2494">
            <v>0</v>
          </cell>
          <cell r="G2494">
            <v>0</v>
          </cell>
          <cell r="H2494">
            <v>0</v>
          </cell>
          <cell r="I2494" t="str">
            <v>Others</v>
          </cell>
          <cell r="J2494">
            <v>3</v>
          </cell>
          <cell r="K2494" t="str">
            <v>Others</v>
          </cell>
        </row>
        <row r="2495">
          <cell r="D2495">
            <v>480261</v>
          </cell>
          <cell r="E2495" t="str">
            <v>Uncoated paper and paperboard (not 4801 or 4803); over 10% by weight of mechanical or chemi-mechanical processed fibre, in rolls</v>
          </cell>
          <cell r="F2495">
            <v>0</v>
          </cell>
          <cell r="G2495">
            <v>0</v>
          </cell>
          <cell r="H2495">
            <v>0</v>
          </cell>
          <cell r="I2495" t="str">
            <v>Others</v>
          </cell>
          <cell r="J2495">
            <v>3</v>
          </cell>
          <cell r="K2495" t="str">
            <v>Others</v>
          </cell>
        </row>
        <row r="2496">
          <cell r="D2496">
            <v>480262</v>
          </cell>
          <cell r="E2496" t="str">
            <v>Uncoated paper and paperboard (not 4801 or 4803); over 10% by weight of mechanical or chemi-mechanical processed fibre, in sheets 435mm or less by 297mm or less (unfolded)</v>
          </cell>
          <cell r="F2496" t="str">
            <v>Consumables</v>
          </cell>
          <cell r="G2496">
            <v>0</v>
          </cell>
          <cell r="H2496">
            <v>0</v>
          </cell>
          <cell r="I2496" t="str">
            <v>Others</v>
          </cell>
          <cell r="J2496">
            <v>2</v>
          </cell>
          <cell r="K2496" t="str">
            <v>Consumables - rc</v>
          </cell>
        </row>
        <row r="2497">
          <cell r="D2497">
            <v>480269</v>
          </cell>
          <cell r="E2497" t="str">
            <v>Uncoated paper and paperboard (not 4801 or 4803); over 10% by weight of mechanical or chemi-mechanical processed fibre, other than rolls, other than sheets 435mm or less by 297mm or less (unfolded)</v>
          </cell>
          <cell r="F2497">
            <v>0</v>
          </cell>
          <cell r="G2497">
            <v>0</v>
          </cell>
          <cell r="H2497">
            <v>0</v>
          </cell>
          <cell r="I2497" t="str">
            <v>Others</v>
          </cell>
          <cell r="J2497">
            <v>3</v>
          </cell>
          <cell r="K2497" t="str">
            <v>Others</v>
          </cell>
        </row>
        <row r="2498">
          <cell r="D2498">
            <v>480300</v>
          </cell>
          <cell r="E2498" t="str">
            <v>Tissue, towel, napkin stock or similar; for household or sanitary use, cellulose, wadding webs of cellulose fibres, in rolls exceeding 36cm in width or rectangular sheets with one side more than 36cm in unfolded state</v>
          </cell>
          <cell r="F2498" t="str">
            <v>Consumables</v>
          </cell>
          <cell r="G2498">
            <v>0</v>
          </cell>
          <cell r="H2498">
            <v>0</v>
          </cell>
          <cell r="I2498" t="str">
            <v>Others</v>
          </cell>
          <cell r="J2498">
            <v>2</v>
          </cell>
          <cell r="K2498" t="str">
            <v>Consumables - rc</v>
          </cell>
        </row>
        <row r="2499">
          <cell r="D2499">
            <v>480411</v>
          </cell>
          <cell r="E2499" t="str">
            <v>Kraft paper and paperboard; kraftliner, uncoated, unbleached, in rolls or sheets, other than that of heading no. 4802 or 4803</v>
          </cell>
          <cell r="F2499">
            <v>0</v>
          </cell>
          <cell r="G2499">
            <v>0</v>
          </cell>
          <cell r="H2499">
            <v>0</v>
          </cell>
          <cell r="I2499" t="str">
            <v>Others</v>
          </cell>
          <cell r="J2499">
            <v>3</v>
          </cell>
          <cell r="K2499" t="str">
            <v>Others</v>
          </cell>
        </row>
        <row r="2500">
          <cell r="D2500">
            <v>480419</v>
          </cell>
          <cell r="E2500" t="str">
            <v>Kraft paper and paperboard; kraftliner, uncoated, bleached, in rolls or sheets, other than that of heading no. 4802 or 4803</v>
          </cell>
          <cell r="F2500">
            <v>0</v>
          </cell>
          <cell r="G2500">
            <v>0</v>
          </cell>
          <cell r="H2500">
            <v>0</v>
          </cell>
          <cell r="I2500" t="str">
            <v>Others</v>
          </cell>
          <cell r="J2500">
            <v>3</v>
          </cell>
          <cell r="K2500" t="str">
            <v>Others</v>
          </cell>
        </row>
        <row r="2501">
          <cell r="D2501">
            <v>480421</v>
          </cell>
          <cell r="E2501" t="str">
            <v>Kraft paper and paperboard; sack kraft paper, uncoated, unbleached, in rolls or sheets, other than that of heading no. 4802 or 4803</v>
          </cell>
          <cell r="F2501">
            <v>0</v>
          </cell>
          <cell r="G2501">
            <v>0</v>
          </cell>
          <cell r="H2501">
            <v>0</v>
          </cell>
          <cell r="I2501" t="str">
            <v>Others</v>
          </cell>
          <cell r="J2501">
            <v>3</v>
          </cell>
          <cell r="K2501" t="str">
            <v>Others</v>
          </cell>
        </row>
        <row r="2502">
          <cell r="D2502">
            <v>480429</v>
          </cell>
          <cell r="E2502" t="str">
            <v>Kraft paper and paperboard; sack kraft paper, uncoated, bleached, in rolls or sheets, other than that of heading no. 4802 or 4803</v>
          </cell>
          <cell r="F2502">
            <v>0</v>
          </cell>
          <cell r="G2502">
            <v>0</v>
          </cell>
          <cell r="H2502">
            <v>0</v>
          </cell>
          <cell r="I2502" t="str">
            <v>Others</v>
          </cell>
          <cell r="J2502">
            <v>3</v>
          </cell>
          <cell r="K2502" t="str">
            <v>Others</v>
          </cell>
        </row>
        <row r="2503">
          <cell r="D2503">
            <v>480431</v>
          </cell>
          <cell r="E2503" t="str">
            <v>Kraft paper and paperboard; uncoated, unbleached, weight 150g/m2 or less, in rolls or sheets, other than that of heading no. 4802 or 4803</v>
          </cell>
          <cell r="F2503">
            <v>0</v>
          </cell>
          <cell r="G2503">
            <v>0</v>
          </cell>
          <cell r="H2503">
            <v>0</v>
          </cell>
          <cell r="I2503" t="str">
            <v>Others</v>
          </cell>
          <cell r="J2503">
            <v>3</v>
          </cell>
          <cell r="K2503" t="str">
            <v>Others</v>
          </cell>
        </row>
        <row r="2504">
          <cell r="D2504">
            <v>480439</v>
          </cell>
          <cell r="E2504" t="str">
            <v>Kraft paper and paperboard; uncoated, bleached, weight 150g/m2 or less, in rolls or sheets, other than that of heading no. 4802 or 4803</v>
          </cell>
          <cell r="F2504">
            <v>0</v>
          </cell>
          <cell r="G2504">
            <v>0</v>
          </cell>
          <cell r="H2504">
            <v>0</v>
          </cell>
          <cell r="I2504" t="str">
            <v>Others</v>
          </cell>
          <cell r="J2504">
            <v>3</v>
          </cell>
          <cell r="K2504" t="str">
            <v>Others</v>
          </cell>
        </row>
        <row r="2505">
          <cell r="D2505">
            <v>480441</v>
          </cell>
          <cell r="E2505" t="str">
            <v>Kraft paper and paperboard; uncoated, unbleached, weight more than 150g/m2 but less than 225g/m2, in rolls or sheets, other than that of heading no. 4802 or 4803</v>
          </cell>
          <cell r="F2505">
            <v>0</v>
          </cell>
          <cell r="G2505">
            <v>0</v>
          </cell>
          <cell r="H2505">
            <v>0</v>
          </cell>
          <cell r="I2505" t="str">
            <v>Others</v>
          </cell>
          <cell r="J2505">
            <v>3</v>
          </cell>
          <cell r="K2505" t="str">
            <v>Others</v>
          </cell>
        </row>
        <row r="2506">
          <cell r="D2506">
            <v>480442</v>
          </cell>
          <cell r="E2506" t="str">
            <v>Kraft paper and paperboard; uncoated, weight between 150 and 225g/m2, bleached uniformly throughout, more than 95% of total fibre content consists of chemically processed wood fibres, in rolls or sheets</v>
          </cell>
          <cell r="F2506">
            <v>0</v>
          </cell>
          <cell r="G2506">
            <v>0</v>
          </cell>
          <cell r="H2506">
            <v>0</v>
          </cell>
          <cell r="I2506" t="str">
            <v>Others</v>
          </cell>
          <cell r="J2506">
            <v>3</v>
          </cell>
          <cell r="K2506" t="str">
            <v>Others</v>
          </cell>
        </row>
        <row r="2507">
          <cell r="D2507">
            <v>480449</v>
          </cell>
          <cell r="E2507" t="str">
            <v>Kraft paper and paperboard; uncoated, weight more than 150g/m2 but less than 225g/m2, in rolls or sheets, n.e.c. in item no. 4804.4, other than that of heading no. 4802 or 4803</v>
          </cell>
          <cell r="F2507">
            <v>0</v>
          </cell>
          <cell r="G2507">
            <v>0</v>
          </cell>
          <cell r="H2507">
            <v>0</v>
          </cell>
          <cell r="I2507" t="str">
            <v>Others</v>
          </cell>
          <cell r="J2507">
            <v>3</v>
          </cell>
          <cell r="K2507" t="str">
            <v>Others</v>
          </cell>
        </row>
        <row r="2508">
          <cell r="D2508">
            <v>480451</v>
          </cell>
          <cell r="E2508" t="str">
            <v>Kraft paper and paperboard; uncoated, unbleached, weight 225g/m2 or more, in rolls or sheets, other than that of heading no. 4802 or 4803</v>
          </cell>
          <cell r="F2508">
            <v>0</v>
          </cell>
          <cell r="G2508">
            <v>0</v>
          </cell>
          <cell r="H2508">
            <v>0</v>
          </cell>
          <cell r="I2508" t="str">
            <v>Others</v>
          </cell>
          <cell r="J2508">
            <v>3</v>
          </cell>
          <cell r="K2508" t="str">
            <v>Others</v>
          </cell>
        </row>
        <row r="2509">
          <cell r="D2509">
            <v>480452</v>
          </cell>
          <cell r="E2509" t="str">
            <v>Kraft paper and paperboard; uncoated, weight 225g/m2 or more, bleached uniformly throughout, more than 95% of total fibre content consists of chemically processed wood fibres, in rolls or sheets</v>
          </cell>
          <cell r="F2509">
            <v>0</v>
          </cell>
          <cell r="G2509">
            <v>0</v>
          </cell>
          <cell r="H2509">
            <v>0</v>
          </cell>
          <cell r="I2509" t="str">
            <v>Others</v>
          </cell>
          <cell r="J2509">
            <v>3</v>
          </cell>
          <cell r="K2509" t="str">
            <v>Others</v>
          </cell>
        </row>
        <row r="2510">
          <cell r="D2510">
            <v>480459</v>
          </cell>
          <cell r="E2510" t="str">
            <v>Kraft paper and paperboard; uncoated, weight 225g/m2 or more, in rolls or sheets, n.e.c. in item no. 4804.5, other than that of heading no. 4802 or 4803</v>
          </cell>
          <cell r="F2510">
            <v>0</v>
          </cell>
          <cell r="G2510">
            <v>0</v>
          </cell>
          <cell r="H2510">
            <v>0</v>
          </cell>
          <cell r="I2510" t="str">
            <v>Others</v>
          </cell>
          <cell r="J2510">
            <v>3</v>
          </cell>
          <cell r="K2510" t="str">
            <v>Others</v>
          </cell>
        </row>
        <row r="2511">
          <cell r="D2511">
            <v>480511</v>
          </cell>
          <cell r="E2511" t="str">
            <v>Paper and paperboard; uncoated, semi-chemical fluting paper, rolls or sheets</v>
          </cell>
          <cell r="F2511">
            <v>0</v>
          </cell>
          <cell r="G2511">
            <v>0</v>
          </cell>
          <cell r="H2511">
            <v>0</v>
          </cell>
          <cell r="I2511" t="str">
            <v>Others</v>
          </cell>
          <cell r="J2511">
            <v>3</v>
          </cell>
          <cell r="K2511" t="str">
            <v>Others</v>
          </cell>
        </row>
        <row r="2512">
          <cell r="D2512">
            <v>480512</v>
          </cell>
          <cell r="E2512" t="str">
            <v>Paper and paperboard; uncoated, straw fluting paper, rolls or sheets</v>
          </cell>
          <cell r="F2512">
            <v>0</v>
          </cell>
          <cell r="G2512">
            <v>0</v>
          </cell>
          <cell r="H2512">
            <v>0</v>
          </cell>
          <cell r="I2512" t="str">
            <v>Others</v>
          </cell>
          <cell r="J2512">
            <v>3</v>
          </cell>
          <cell r="K2512" t="str">
            <v>Others</v>
          </cell>
        </row>
        <row r="2513">
          <cell r="D2513">
            <v>480519</v>
          </cell>
          <cell r="E2513" t="str">
            <v>Paper and paperboard; uncoated, fluting paper other than semi-chemical or straw, rolls or sheets</v>
          </cell>
          <cell r="F2513">
            <v>0</v>
          </cell>
          <cell r="G2513">
            <v>0</v>
          </cell>
          <cell r="H2513">
            <v>0</v>
          </cell>
          <cell r="I2513" t="str">
            <v>Others</v>
          </cell>
          <cell r="J2513">
            <v>3</v>
          </cell>
          <cell r="K2513" t="str">
            <v>Others</v>
          </cell>
        </row>
        <row r="2514">
          <cell r="D2514">
            <v>480524</v>
          </cell>
          <cell r="E2514" t="str">
            <v>Paper &amp; paperboard; uncoated, testliner (recycled linerboard), weight 150g/m2, or less, in rolls or sheets</v>
          </cell>
          <cell r="F2514">
            <v>0</v>
          </cell>
          <cell r="G2514">
            <v>0</v>
          </cell>
          <cell r="H2514">
            <v>0</v>
          </cell>
          <cell r="I2514" t="str">
            <v>Others</v>
          </cell>
          <cell r="J2514">
            <v>3</v>
          </cell>
          <cell r="K2514" t="str">
            <v>Others</v>
          </cell>
        </row>
        <row r="2515">
          <cell r="D2515">
            <v>480525</v>
          </cell>
          <cell r="E2515" t="str">
            <v>Paper &amp; paperboard; uncoated, testliner (recycled linerboard), weight over 150g/m2, in rolls or sheets</v>
          </cell>
          <cell r="F2515">
            <v>0</v>
          </cell>
          <cell r="G2515">
            <v>0</v>
          </cell>
          <cell r="H2515">
            <v>0</v>
          </cell>
          <cell r="I2515" t="str">
            <v>Others</v>
          </cell>
          <cell r="J2515">
            <v>3</v>
          </cell>
          <cell r="K2515" t="str">
            <v>Others</v>
          </cell>
        </row>
        <row r="2516">
          <cell r="D2516">
            <v>480530</v>
          </cell>
          <cell r="E2516" t="str">
            <v>Paper and paperboard; sulphite wrapping paper, uncoated, in rolls or sheets</v>
          </cell>
          <cell r="F2516">
            <v>0</v>
          </cell>
          <cell r="G2516">
            <v>0</v>
          </cell>
          <cell r="H2516">
            <v>0</v>
          </cell>
          <cell r="I2516" t="str">
            <v>Others</v>
          </cell>
          <cell r="J2516">
            <v>3</v>
          </cell>
          <cell r="K2516" t="str">
            <v>Others</v>
          </cell>
        </row>
        <row r="2517">
          <cell r="D2517">
            <v>480540</v>
          </cell>
          <cell r="E2517" t="str">
            <v>Paper and paperboard; filter paper and paperboard, uncoated, in rolls or sheets</v>
          </cell>
          <cell r="F2517">
            <v>0</v>
          </cell>
          <cell r="G2517">
            <v>0</v>
          </cell>
          <cell r="H2517">
            <v>0</v>
          </cell>
          <cell r="I2517" t="str">
            <v>Others</v>
          </cell>
          <cell r="J2517">
            <v>3</v>
          </cell>
          <cell r="K2517" t="str">
            <v>Others</v>
          </cell>
        </row>
        <row r="2518">
          <cell r="D2518">
            <v>480550</v>
          </cell>
          <cell r="E2518" t="str">
            <v>Paper and paperboard; felt paper and paperboard, uncoated, in rolls or sheets</v>
          </cell>
          <cell r="F2518">
            <v>0</v>
          </cell>
          <cell r="G2518">
            <v>0</v>
          </cell>
          <cell r="H2518">
            <v>0</v>
          </cell>
          <cell r="I2518" t="str">
            <v>Others</v>
          </cell>
          <cell r="J2518">
            <v>3</v>
          </cell>
          <cell r="K2518" t="str">
            <v>Others</v>
          </cell>
        </row>
        <row r="2519">
          <cell r="D2519">
            <v>480591</v>
          </cell>
          <cell r="E2519" t="str">
            <v>Paper and paperboard; uncoated, weight 150g/m2 or less, in rolls or sheets, n.e.c. in heading no.4805</v>
          </cell>
          <cell r="F2519">
            <v>0</v>
          </cell>
          <cell r="G2519">
            <v>0</v>
          </cell>
          <cell r="H2519">
            <v>0</v>
          </cell>
          <cell r="I2519" t="str">
            <v>Others</v>
          </cell>
          <cell r="J2519">
            <v>3</v>
          </cell>
          <cell r="K2519" t="str">
            <v>Others</v>
          </cell>
        </row>
        <row r="2520">
          <cell r="D2520">
            <v>480592</v>
          </cell>
          <cell r="E2520" t="str">
            <v>Paper and paperboard; uncoated, weight more than 150g/m2 but less than 225 g/m2, in rolls or sheets, n.e.c. in heading no. 4805</v>
          </cell>
          <cell r="F2520">
            <v>0</v>
          </cell>
          <cell r="G2520">
            <v>0</v>
          </cell>
          <cell r="H2520">
            <v>0</v>
          </cell>
          <cell r="I2520" t="str">
            <v>Others</v>
          </cell>
          <cell r="J2520">
            <v>3</v>
          </cell>
          <cell r="K2520" t="str">
            <v>Others</v>
          </cell>
        </row>
        <row r="2521">
          <cell r="D2521">
            <v>480593</v>
          </cell>
          <cell r="E2521" t="str">
            <v>Paper and paperboard; uncoated, weight 225/m2 or more, in rolls or sheets, n.e.c. in heading no. 4805</v>
          </cell>
          <cell r="F2521">
            <v>0</v>
          </cell>
          <cell r="G2521">
            <v>0</v>
          </cell>
          <cell r="H2521">
            <v>0</v>
          </cell>
          <cell r="I2521" t="str">
            <v>Others</v>
          </cell>
          <cell r="J2521">
            <v>3</v>
          </cell>
          <cell r="K2521" t="str">
            <v>Others</v>
          </cell>
        </row>
        <row r="2522">
          <cell r="D2522">
            <v>480610</v>
          </cell>
          <cell r="E2522" t="str">
            <v>Paper; vegetable parchment, in rolls or sheets</v>
          </cell>
          <cell r="F2522">
            <v>0</v>
          </cell>
          <cell r="G2522">
            <v>0</v>
          </cell>
          <cell r="H2522">
            <v>0</v>
          </cell>
          <cell r="I2522" t="str">
            <v>Others</v>
          </cell>
          <cell r="J2522">
            <v>3</v>
          </cell>
          <cell r="K2522" t="str">
            <v>Others</v>
          </cell>
        </row>
        <row r="2523">
          <cell r="D2523">
            <v>480620</v>
          </cell>
          <cell r="E2523" t="str">
            <v>Paper; greaseproof papers, in rolls or sheets</v>
          </cell>
          <cell r="F2523">
            <v>0</v>
          </cell>
          <cell r="G2523">
            <v>0</v>
          </cell>
          <cell r="H2523">
            <v>0</v>
          </cell>
          <cell r="I2523" t="str">
            <v>Others</v>
          </cell>
          <cell r="J2523">
            <v>3</v>
          </cell>
          <cell r="K2523" t="str">
            <v>Others</v>
          </cell>
        </row>
        <row r="2524">
          <cell r="D2524">
            <v>480630</v>
          </cell>
          <cell r="E2524" t="str">
            <v>Paper; tracing papers, in rolls or sheets</v>
          </cell>
          <cell r="F2524">
            <v>0</v>
          </cell>
          <cell r="G2524">
            <v>0</v>
          </cell>
          <cell r="H2524">
            <v>0</v>
          </cell>
          <cell r="I2524" t="str">
            <v>Others</v>
          </cell>
          <cell r="J2524">
            <v>3</v>
          </cell>
          <cell r="K2524" t="str">
            <v>Others</v>
          </cell>
        </row>
        <row r="2525">
          <cell r="D2525">
            <v>480640</v>
          </cell>
          <cell r="E2525" t="str">
            <v>Paper; glassine and other glazed transparent or translucent papers, in rolls or sheets</v>
          </cell>
          <cell r="F2525" t="str">
            <v>Consumables</v>
          </cell>
          <cell r="G2525">
            <v>0</v>
          </cell>
          <cell r="H2525">
            <v>0</v>
          </cell>
          <cell r="I2525" t="str">
            <v>Others</v>
          </cell>
          <cell r="J2525">
            <v>2</v>
          </cell>
          <cell r="K2525" t="str">
            <v>Consumables - rc</v>
          </cell>
        </row>
        <row r="2526">
          <cell r="D2526">
            <v>480700</v>
          </cell>
          <cell r="E2526" t="str">
            <v>Paper and paperboard; composite (made by sticking layers together with an adhesive), not surface-coated or impregnated, whether or not internally reinforced, in rolls or sheets</v>
          </cell>
          <cell r="F2526" t="str">
            <v>Consumables</v>
          </cell>
          <cell r="G2526">
            <v>0</v>
          </cell>
          <cell r="H2526">
            <v>0</v>
          </cell>
          <cell r="I2526" t="str">
            <v>Others</v>
          </cell>
          <cell r="J2526">
            <v>2</v>
          </cell>
          <cell r="K2526" t="str">
            <v>Consumables - rc</v>
          </cell>
        </row>
        <row r="2527">
          <cell r="D2527">
            <v>480810</v>
          </cell>
          <cell r="E2527" t="str">
            <v>Paper and paperboard; corrugated, whether or not perforated, in rolls or sheets, other than paper of heading 4803</v>
          </cell>
          <cell r="F2527" t="str">
            <v>Consumables</v>
          </cell>
          <cell r="G2527">
            <v>0</v>
          </cell>
          <cell r="H2527">
            <v>0</v>
          </cell>
          <cell r="I2527" t="str">
            <v>Others</v>
          </cell>
          <cell r="J2527">
            <v>2</v>
          </cell>
          <cell r="K2527" t="str">
            <v>Consumables - rc</v>
          </cell>
        </row>
        <row r="2528">
          <cell r="D2528">
            <v>480840</v>
          </cell>
          <cell r="E2528" t="str">
            <v>Paper and paperboard; kraft paper, creped or crinkled, whether or not embossed or perforated, in rolls or sheets, other than paper of heading 4803</v>
          </cell>
          <cell r="F2528">
            <v>0</v>
          </cell>
          <cell r="G2528">
            <v>0</v>
          </cell>
          <cell r="H2528">
            <v>0</v>
          </cell>
          <cell r="I2528" t="str">
            <v>Others</v>
          </cell>
          <cell r="J2528">
            <v>3</v>
          </cell>
          <cell r="K2528" t="str">
            <v>Others</v>
          </cell>
        </row>
        <row r="2529">
          <cell r="D2529">
            <v>480890</v>
          </cell>
          <cell r="E2529" t="str">
            <v>Paper and paperboard; other than corrugated (with or without glued flat surface sheets) or kraft paper, creped or crinkled, whether or not embossed or perforated, in rolls or sheets, other than paper of heading 4803</v>
          </cell>
          <cell r="F2529" t="str">
            <v>Consumables</v>
          </cell>
          <cell r="G2529">
            <v>0</v>
          </cell>
          <cell r="H2529">
            <v>0</v>
          </cell>
          <cell r="I2529" t="str">
            <v>Others</v>
          </cell>
          <cell r="J2529">
            <v>2</v>
          </cell>
          <cell r="K2529" t="str">
            <v>Consumables - rc</v>
          </cell>
        </row>
        <row r="2530">
          <cell r="D2530">
            <v>480920</v>
          </cell>
          <cell r="E2530" t="str">
            <v>Paper; self-copy paper, whether or not printed, in rolls or sheets</v>
          </cell>
          <cell r="F2530">
            <v>0</v>
          </cell>
          <cell r="G2530">
            <v>0</v>
          </cell>
          <cell r="H2530">
            <v>0</v>
          </cell>
          <cell r="I2530" t="str">
            <v>Others</v>
          </cell>
          <cell r="J2530">
            <v>3</v>
          </cell>
          <cell r="K2530" t="str">
            <v>Others</v>
          </cell>
        </row>
        <row r="2531">
          <cell r="D2531">
            <v>480990</v>
          </cell>
          <cell r="E2531" t="str">
            <v>Paper; carbon paper and other copying or transfer papers (including coated or impregnated paper for duplicator stencils or offset plates), whether or not printed, in rolls or sheets</v>
          </cell>
          <cell r="F2531">
            <v>0</v>
          </cell>
          <cell r="G2531">
            <v>0</v>
          </cell>
          <cell r="H2531">
            <v>0</v>
          </cell>
          <cell r="I2531" t="str">
            <v>Others</v>
          </cell>
          <cell r="J2531">
            <v>3</v>
          </cell>
          <cell r="K2531" t="str">
            <v>Others</v>
          </cell>
        </row>
        <row r="2532">
          <cell r="D2532">
            <v>481013</v>
          </cell>
          <cell r="E2532" t="str">
            <v>Paper and paperboard; coated with kaolin or other inorganic substances, for printing &amp; writing, graphics, containing no, or not more than 10% by weight of total fibres obtained by mechanical or chemi-mechanical process, in rolls</v>
          </cell>
          <cell r="F2532">
            <v>0</v>
          </cell>
          <cell r="G2532">
            <v>0</v>
          </cell>
          <cell r="H2532">
            <v>0</v>
          </cell>
          <cell r="I2532" t="str">
            <v>Others</v>
          </cell>
          <cell r="J2532">
            <v>3</v>
          </cell>
          <cell r="K2532" t="str">
            <v>Others</v>
          </cell>
        </row>
        <row r="2533">
          <cell r="D2533">
            <v>481014</v>
          </cell>
          <cell r="E2533" t="str">
            <v>Paper and paperboard; coated with kaolin or other inorganic substances, for printing/writing/graphics, having 10% or less by weight of total fibres got mechanical/chemi-mechanical process, sheets, sides 435mm or less by 297mm or less, unfolded,</v>
          </cell>
          <cell r="F2533">
            <v>0</v>
          </cell>
          <cell r="G2533">
            <v>0</v>
          </cell>
          <cell r="H2533">
            <v>0</v>
          </cell>
          <cell r="I2533" t="str">
            <v>Others</v>
          </cell>
          <cell r="J2533">
            <v>3</v>
          </cell>
          <cell r="K2533" t="str">
            <v>Others</v>
          </cell>
        </row>
        <row r="2534">
          <cell r="D2534">
            <v>481019</v>
          </cell>
          <cell r="E2534" t="str">
            <v>Paper and paperboard; coated with kaolin or other inorganic substances, for printing/writing/graphics, having 10% or less by weight of total fibres got by mechanical/chemi-mechanical process, sides exceeding 435mm and 297mm, unfolded, sheets</v>
          </cell>
          <cell r="F2534">
            <v>0</v>
          </cell>
          <cell r="G2534">
            <v>0</v>
          </cell>
          <cell r="H2534">
            <v>0</v>
          </cell>
          <cell r="I2534" t="str">
            <v>Others</v>
          </cell>
          <cell r="J2534">
            <v>3</v>
          </cell>
          <cell r="K2534" t="str">
            <v>Others</v>
          </cell>
        </row>
        <row r="2535">
          <cell r="D2535">
            <v>481022</v>
          </cell>
          <cell r="E2535" t="str">
            <v>Paper and paperboard; coated with kaolin or other inorganic substances only, having more than 10% of mechanical or chemi-mechanical processed fibres, for writing, printing or other graphic purposes, light-weight coated paper, in rolls or sheets</v>
          </cell>
          <cell r="F2535">
            <v>0</v>
          </cell>
          <cell r="G2535">
            <v>0</v>
          </cell>
          <cell r="H2535">
            <v>0</v>
          </cell>
          <cell r="I2535" t="str">
            <v>Others</v>
          </cell>
          <cell r="J2535">
            <v>3</v>
          </cell>
          <cell r="K2535" t="str">
            <v>Others</v>
          </cell>
        </row>
        <row r="2536">
          <cell r="D2536">
            <v>481029</v>
          </cell>
          <cell r="E2536" t="str">
            <v>Paper and paperboard; coated with kaolin or other inorganic substances only, having more than 10% of mechanically processed fibres, (excluding light-weight paper), for writing, printing or other graphic purposes, in rolls or sheets</v>
          </cell>
          <cell r="F2536">
            <v>0</v>
          </cell>
          <cell r="G2536">
            <v>0</v>
          </cell>
          <cell r="H2536">
            <v>0</v>
          </cell>
          <cell r="I2536" t="str">
            <v>Others</v>
          </cell>
          <cell r="J2536">
            <v>3</v>
          </cell>
          <cell r="K2536" t="str">
            <v>Others</v>
          </cell>
        </row>
        <row r="2537">
          <cell r="D2537">
            <v>481031</v>
          </cell>
          <cell r="E2537" t="str">
            <v>Kraft paper and paperboard; uniformly bleached throughout, coated with inorganic substances, more than 95% of chemically processed wood fibres, weight 150g/m2 or less, for non-graphic purposes, in rolls or sheets</v>
          </cell>
          <cell r="F2537">
            <v>0</v>
          </cell>
          <cell r="G2537">
            <v>0</v>
          </cell>
          <cell r="H2537">
            <v>0</v>
          </cell>
          <cell r="I2537" t="str">
            <v>Others</v>
          </cell>
          <cell r="J2537">
            <v>3</v>
          </cell>
          <cell r="K2537" t="str">
            <v>Others</v>
          </cell>
        </row>
        <row r="2538">
          <cell r="D2538">
            <v>481032</v>
          </cell>
          <cell r="E2538" t="str">
            <v>Kraft paper and paperboard; uniformly bleached throughout, coated with inorganic substances, more than 95% of chemically processed wood fibres, weight more than 150g/m2, for non-graphic purposes, in rolls or sheets</v>
          </cell>
          <cell r="F2538">
            <v>0</v>
          </cell>
          <cell r="G2538">
            <v>0</v>
          </cell>
          <cell r="H2538">
            <v>0</v>
          </cell>
          <cell r="I2538" t="str">
            <v>Others</v>
          </cell>
          <cell r="J2538">
            <v>3</v>
          </cell>
          <cell r="K2538" t="str">
            <v>Others</v>
          </cell>
        </row>
        <row r="2539">
          <cell r="D2539">
            <v>481039</v>
          </cell>
          <cell r="E2539" t="str">
            <v>Kraft paper and paperboard; coated with kaolin or other inorganic substances only, for non-graphic purposes, n.e.c. in item no. 4810.31 and 4810.32, in rolls or sheets</v>
          </cell>
          <cell r="F2539">
            <v>0</v>
          </cell>
          <cell r="G2539">
            <v>0</v>
          </cell>
          <cell r="H2539">
            <v>0</v>
          </cell>
          <cell r="I2539" t="str">
            <v>Others</v>
          </cell>
          <cell r="J2539">
            <v>3</v>
          </cell>
          <cell r="K2539" t="str">
            <v>Others</v>
          </cell>
        </row>
        <row r="2540">
          <cell r="D2540">
            <v>481092</v>
          </cell>
          <cell r="E2540" t="str">
            <v>Paper and paperboard; multi-ply, coated with kaolin or other inorganic substances only, for non-graphic purposes, n.e.c. in heading no. 4810, in rolls or sheets</v>
          </cell>
          <cell r="F2540">
            <v>0</v>
          </cell>
          <cell r="G2540">
            <v>0</v>
          </cell>
          <cell r="H2540">
            <v>0</v>
          </cell>
          <cell r="I2540" t="str">
            <v>Others</v>
          </cell>
          <cell r="J2540">
            <v>3</v>
          </cell>
          <cell r="K2540" t="str">
            <v>Others</v>
          </cell>
        </row>
        <row r="2541">
          <cell r="D2541">
            <v>481099</v>
          </cell>
          <cell r="E2541" t="str">
            <v>Paper and paperboard; coated with inorganic substances only, whether or not surface-coloured, surface-decorated or printed, n.e.c. in heading no. 4810, in rolls or sheets</v>
          </cell>
          <cell r="F2541" t="str">
            <v>Consumables</v>
          </cell>
          <cell r="G2541">
            <v>0</v>
          </cell>
          <cell r="H2541">
            <v>0</v>
          </cell>
          <cell r="I2541" t="str">
            <v>Others</v>
          </cell>
          <cell r="J2541">
            <v>2</v>
          </cell>
          <cell r="K2541" t="str">
            <v>Consumables - rc</v>
          </cell>
        </row>
        <row r="2542">
          <cell r="D2542">
            <v>481110</v>
          </cell>
          <cell r="E2542" t="str">
            <v>Paper and paperboard; tarred, bituminised or asphalted, in rolls or sheets, other than goods of heading no. 4803, 4809, or 4810</v>
          </cell>
          <cell r="F2542">
            <v>0</v>
          </cell>
          <cell r="G2542">
            <v>0</v>
          </cell>
          <cell r="H2542">
            <v>0</v>
          </cell>
          <cell r="I2542" t="str">
            <v>Others</v>
          </cell>
          <cell r="J2542">
            <v>3</v>
          </cell>
          <cell r="K2542" t="str">
            <v>Others</v>
          </cell>
        </row>
        <row r="2543">
          <cell r="D2543">
            <v>481141</v>
          </cell>
          <cell r="E2543" t="str">
            <v>Paper and paperboard; self-adhesive, in rolls or sheets, other than goods of heading no. 4803, 4809, or 4810</v>
          </cell>
          <cell r="F2543" t="str">
            <v>Consumables</v>
          </cell>
          <cell r="G2543">
            <v>0</v>
          </cell>
          <cell r="H2543">
            <v>0</v>
          </cell>
          <cell r="I2543" t="str">
            <v>Others</v>
          </cell>
          <cell r="J2543">
            <v>2</v>
          </cell>
          <cell r="K2543" t="str">
            <v>Consumables - rc</v>
          </cell>
        </row>
        <row r="2544">
          <cell r="D2544">
            <v>481149</v>
          </cell>
          <cell r="E2544" t="str">
            <v>Paper and paperboard; gummed or adhesive paper and paperboard (excluding self-adhesive), in rolls or sheets, other than goods of heading no. 4803, 4809, or 4810</v>
          </cell>
          <cell r="F2544" t="str">
            <v>Consumables</v>
          </cell>
          <cell r="G2544">
            <v>0</v>
          </cell>
          <cell r="H2544">
            <v>0</v>
          </cell>
          <cell r="I2544" t="str">
            <v>Others</v>
          </cell>
          <cell r="J2544">
            <v>2</v>
          </cell>
          <cell r="K2544" t="str">
            <v>Consumables - rc</v>
          </cell>
        </row>
        <row r="2545">
          <cell r="D2545">
            <v>481151</v>
          </cell>
          <cell r="E2545" t="str">
            <v>Paper and paperboard; coated, impregnated or covered with plastics (excluding adhesives), bleached, weighing more than 150g/m2, other than goods of heading no. 4803, 4809, or 4810</v>
          </cell>
          <cell r="F2545" t="str">
            <v>Consumables</v>
          </cell>
          <cell r="G2545">
            <v>0</v>
          </cell>
          <cell r="H2545">
            <v>0</v>
          </cell>
          <cell r="I2545" t="str">
            <v>Others</v>
          </cell>
          <cell r="J2545">
            <v>2</v>
          </cell>
          <cell r="K2545" t="str">
            <v>Consumables - rc</v>
          </cell>
        </row>
        <row r="2546">
          <cell r="D2546">
            <v>481159</v>
          </cell>
          <cell r="E2546" t="str">
            <v>Paper and paperboard; coated, impregnated or covered with plastics (excluding adhesives), other than bleached and weighing more than 150g/m2, other than goods of heading no. 4803, 4809, or 4810</v>
          </cell>
          <cell r="F2546">
            <v>0</v>
          </cell>
          <cell r="G2546">
            <v>0</v>
          </cell>
          <cell r="H2546">
            <v>0</v>
          </cell>
          <cell r="I2546" t="str">
            <v>Others</v>
          </cell>
          <cell r="J2546">
            <v>3</v>
          </cell>
          <cell r="K2546" t="str">
            <v>Others</v>
          </cell>
        </row>
        <row r="2547">
          <cell r="D2547">
            <v>481160</v>
          </cell>
          <cell r="E2547" t="str">
            <v>Paper and paperboard; coated, impregnated or covered with wax, paraffin wax, stearin, oil or glycerol, other than goods of heading no. 4803, 4809, or 4810</v>
          </cell>
          <cell r="F2547">
            <v>0</v>
          </cell>
          <cell r="G2547">
            <v>0</v>
          </cell>
          <cell r="H2547">
            <v>0</v>
          </cell>
          <cell r="I2547" t="str">
            <v>Others</v>
          </cell>
          <cell r="J2547">
            <v>3</v>
          </cell>
          <cell r="K2547" t="str">
            <v>Others</v>
          </cell>
        </row>
        <row r="2548">
          <cell r="D2548">
            <v>481190</v>
          </cell>
          <cell r="E2548" t="str">
            <v>Paper, paperboard, cellulose wadding and webs of soft cellulose fibres; coated, impregnated, covered, surface-decorated or surface-coloured, n.e.c. in heading no. 4811, in rolls or sheets</v>
          </cell>
          <cell r="F2548" t="str">
            <v>Consumables</v>
          </cell>
          <cell r="G2548">
            <v>0</v>
          </cell>
          <cell r="H2548">
            <v>0</v>
          </cell>
          <cell r="I2548" t="str">
            <v>Others</v>
          </cell>
          <cell r="J2548">
            <v>2</v>
          </cell>
          <cell r="K2548" t="str">
            <v>Consumables - rc</v>
          </cell>
        </row>
        <row r="2549">
          <cell r="D2549">
            <v>481200</v>
          </cell>
          <cell r="E2549" t="str">
            <v>Paper pulp; filter blocks, slabs and plates of paper pulp</v>
          </cell>
          <cell r="F2549">
            <v>0</v>
          </cell>
          <cell r="G2549">
            <v>0</v>
          </cell>
          <cell r="H2549">
            <v>0</v>
          </cell>
          <cell r="I2549" t="str">
            <v>Others</v>
          </cell>
          <cell r="J2549">
            <v>3</v>
          </cell>
          <cell r="K2549" t="str">
            <v>Others</v>
          </cell>
        </row>
        <row r="2550">
          <cell r="D2550">
            <v>481310</v>
          </cell>
          <cell r="E2550" t="str">
            <v>Paper, cigarette; in the form of booklets or tubes</v>
          </cell>
          <cell r="F2550">
            <v>0</v>
          </cell>
          <cell r="G2550">
            <v>0</v>
          </cell>
          <cell r="H2550">
            <v>0</v>
          </cell>
          <cell r="I2550" t="str">
            <v>Others</v>
          </cell>
          <cell r="J2550">
            <v>3</v>
          </cell>
          <cell r="K2550" t="str">
            <v>Others</v>
          </cell>
        </row>
        <row r="2551">
          <cell r="D2551">
            <v>481320</v>
          </cell>
          <cell r="E2551" t="str">
            <v>Paper, cigarette; in rolls of a width not exceeding 5cm</v>
          </cell>
          <cell r="F2551">
            <v>0</v>
          </cell>
          <cell r="G2551">
            <v>0</v>
          </cell>
          <cell r="H2551">
            <v>0</v>
          </cell>
          <cell r="I2551" t="str">
            <v>Others</v>
          </cell>
          <cell r="J2551">
            <v>3</v>
          </cell>
          <cell r="K2551" t="str">
            <v>Others</v>
          </cell>
        </row>
        <row r="2552">
          <cell r="D2552">
            <v>481390</v>
          </cell>
          <cell r="E2552" t="str">
            <v>Paper, cigarette; (other than in rolls of a width not exceeding 5cm, or in booklets or tubes)</v>
          </cell>
          <cell r="F2552">
            <v>0</v>
          </cell>
          <cell r="G2552">
            <v>0</v>
          </cell>
          <cell r="H2552">
            <v>0</v>
          </cell>
          <cell r="I2552" t="str">
            <v>Others</v>
          </cell>
          <cell r="J2552">
            <v>3</v>
          </cell>
          <cell r="K2552" t="str">
            <v>Others</v>
          </cell>
        </row>
        <row r="2553">
          <cell r="D2553">
            <v>481420</v>
          </cell>
          <cell r="E2553" t="str">
            <v>Wallpaper and similar wall coverings; coated or covered on the face side, with a grained, embossed, coloured, design-printed or otherwise decorated layer of plastics</v>
          </cell>
          <cell r="F2553">
            <v>0</v>
          </cell>
          <cell r="G2553">
            <v>0</v>
          </cell>
          <cell r="H2553">
            <v>0</v>
          </cell>
          <cell r="I2553" t="str">
            <v>Others</v>
          </cell>
          <cell r="J2553">
            <v>3</v>
          </cell>
          <cell r="K2553" t="str">
            <v>Others</v>
          </cell>
        </row>
        <row r="2554">
          <cell r="D2554">
            <v>481490</v>
          </cell>
          <cell r="E2554" t="str">
            <v>Wallpaper and similar wall coverings and window transparencies of paper; n.e.c. in heading 4814</v>
          </cell>
          <cell r="F2554">
            <v>0</v>
          </cell>
          <cell r="G2554">
            <v>0</v>
          </cell>
          <cell r="H2554">
            <v>0</v>
          </cell>
          <cell r="I2554" t="str">
            <v>Others</v>
          </cell>
          <cell r="J2554">
            <v>3</v>
          </cell>
          <cell r="K2554" t="str">
            <v>Others</v>
          </cell>
        </row>
        <row r="2555">
          <cell r="D2555">
            <v>481620</v>
          </cell>
          <cell r="E2555" t="str">
            <v>Paper; self-copy paper (other than those of heading no. 4809), whether or not put up in boxes</v>
          </cell>
          <cell r="F2555">
            <v>0</v>
          </cell>
          <cell r="G2555">
            <v>0</v>
          </cell>
          <cell r="H2555">
            <v>0</v>
          </cell>
          <cell r="I2555" t="str">
            <v>Others</v>
          </cell>
          <cell r="J2555">
            <v>3</v>
          </cell>
          <cell r="K2555" t="str">
            <v>Others</v>
          </cell>
        </row>
        <row r="2556">
          <cell r="D2556">
            <v>481690</v>
          </cell>
          <cell r="E2556" t="str">
            <v>Paper; carbon paper and other copying or transfer papers (other than those of heading no. 4809), n.e.c. in item no. 4816.20</v>
          </cell>
          <cell r="F2556">
            <v>0</v>
          </cell>
          <cell r="G2556">
            <v>0</v>
          </cell>
          <cell r="H2556">
            <v>0</v>
          </cell>
          <cell r="I2556" t="str">
            <v>Others</v>
          </cell>
          <cell r="J2556">
            <v>3</v>
          </cell>
          <cell r="K2556" t="str">
            <v>Others</v>
          </cell>
        </row>
        <row r="2557">
          <cell r="D2557">
            <v>481710</v>
          </cell>
          <cell r="E2557" t="str">
            <v>Paper and paperboard; envelopes</v>
          </cell>
          <cell r="F2557">
            <v>0</v>
          </cell>
          <cell r="G2557">
            <v>0</v>
          </cell>
          <cell r="H2557">
            <v>0</v>
          </cell>
          <cell r="I2557" t="str">
            <v>Others</v>
          </cell>
          <cell r="J2557">
            <v>3</v>
          </cell>
          <cell r="K2557" t="str">
            <v>Others</v>
          </cell>
        </row>
        <row r="2558">
          <cell r="D2558">
            <v>481720</v>
          </cell>
          <cell r="E2558" t="str">
            <v>Paper and paperboard; letter cards, plain postcards and correspondence cards</v>
          </cell>
          <cell r="F2558">
            <v>0</v>
          </cell>
          <cell r="G2558">
            <v>0</v>
          </cell>
          <cell r="H2558">
            <v>0</v>
          </cell>
          <cell r="I2558" t="str">
            <v>Others</v>
          </cell>
          <cell r="J2558">
            <v>3</v>
          </cell>
          <cell r="K2558" t="str">
            <v>Others</v>
          </cell>
        </row>
        <row r="2559">
          <cell r="D2559">
            <v>481730</v>
          </cell>
          <cell r="E2559" t="str">
            <v>Paper and paperboard; boxes, pouches, wallets and writing compendiums containing an assortment of paper stationery</v>
          </cell>
          <cell r="F2559">
            <v>0</v>
          </cell>
          <cell r="G2559">
            <v>0</v>
          </cell>
          <cell r="H2559">
            <v>0</v>
          </cell>
          <cell r="I2559" t="str">
            <v>Others</v>
          </cell>
          <cell r="J2559">
            <v>3</v>
          </cell>
          <cell r="K2559" t="str">
            <v>Others</v>
          </cell>
        </row>
        <row r="2560">
          <cell r="D2560">
            <v>481810</v>
          </cell>
          <cell r="E2560" t="str">
            <v>Paper articles; toilet paper</v>
          </cell>
          <cell r="F2560">
            <v>0</v>
          </cell>
          <cell r="G2560">
            <v>0</v>
          </cell>
          <cell r="H2560">
            <v>0</v>
          </cell>
          <cell r="I2560" t="str">
            <v>Others</v>
          </cell>
          <cell r="J2560">
            <v>3</v>
          </cell>
          <cell r="K2560" t="str">
            <v>Others</v>
          </cell>
        </row>
        <row r="2561">
          <cell r="D2561">
            <v>481820</v>
          </cell>
          <cell r="E2561" t="str">
            <v>Paper articles; handkerchiefs, cleansing or facial tissues and towels</v>
          </cell>
          <cell r="F2561">
            <v>0</v>
          </cell>
          <cell r="G2561">
            <v>0</v>
          </cell>
          <cell r="H2561">
            <v>0</v>
          </cell>
          <cell r="I2561" t="str">
            <v>Others</v>
          </cell>
          <cell r="J2561">
            <v>3</v>
          </cell>
          <cell r="K2561" t="str">
            <v>Others</v>
          </cell>
        </row>
        <row r="2562">
          <cell r="D2562">
            <v>481830</v>
          </cell>
          <cell r="E2562" t="str">
            <v>Paper articles; tablecloths and serviettes, of paper, cellulose wadding or fibres</v>
          </cell>
          <cell r="F2562">
            <v>0</v>
          </cell>
          <cell r="G2562">
            <v>0</v>
          </cell>
          <cell r="H2562">
            <v>0</v>
          </cell>
          <cell r="I2562" t="str">
            <v>Others</v>
          </cell>
          <cell r="J2562">
            <v>3</v>
          </cell>
          <cell r="K2562" t="str">
            <v>Others</v>
          </cell>
        </row>
        <row r="2563">
          <cell r="D2563">
            <v>481850</v>
          </cell>
          <cell r="E2563" t="str">
            <v>Paper articles; apparel and clothing accessories of paper, cellulose wadding or fibres</v>
          </cell>
          <cell r="F2563">
            <v>0</v>
          </cell>
          <cell r="G2563">
            <v>0</v>
          </cell>
          <cell r="H2563">
            <v>0</v>
          </cell>
          <cell r="I2563" t="str">
            <v>Others</v>
          </cell>
          <cell r="J2563">
            <v>3</v>
          </cell>
          <cell r="K2563" t="str">
            <v>Others</v>
          </cell>
        </row>
        <row r="2564">
          <cell r="D2564">
            <v>481890</v>
          </cell>
          <cell r="E2564" t="str">
            <v>Paper articles; articles of paper, cellulose wadding or fibres, n.e.c. in heading no. 4818</v>
          </cell>
          <cell r="F2564" t="str">
            <v>Consumables</v>
          </cell>
          <cell r="G2564">
            <v>0</v>
          </cell>
          <cell r="H2564">
            <v>0</v>
          </cell>
          <cell r="I2564" t="str">
            <v>Others</v>
          </cell>
          <cell r="J2564">
            <v>2</v>
          </cell>
          <cell r="K2564" t="str">
            <v>Consumables - rc</v>
          </cell>
        </row>
        <row r="2565">
          <cell r="D2565">
            <v>481910</v>
          </cell>
          <cell r="E2565" t="str">
            <v>Paper and paperboard; cartons, boxes and cases, of corrugated paper or paperboard</v>
          </cell>
          <cell r="F2565" t="str">
            <v>Consumables</v>
          </cell>
          <cell r="G2565">
            <v>0</v>
          </cell>
          <cell r="H2565">
            <v>0</v>
          </cell>
          <cell r="I2565" t="str">
            <v>Others</v>
          </cell>
          <cell r="J2565">
            <v>2</v>
          </cell>
          <cell r="K2565" t="str">
            <v>Consumables - rc</v>
          </cell>
        </row>
        <row r="2566">
          <cell r="D2566">
            <v>481920</v>
          </cell>
          <cell r="E2566" t="str">
            <v>Paper and paperboard; folding cartons, boxes and cases, of non-corrugated paper or paperboard</v>
          </cell>
          <cell r="F2566" t="str">
            <v>Consumables</v>
          </cell>
          <cell r="G2566">
            <v>0</v>
          </cell>
          <cell r="H2566">
            <v>0</v>
          </cell>
          <cell r="I2566" t="str">
            <v>Others</v>
          </cell>
          <cell r="J2566">
            <v>2</v>
          </cell>
          <cell r="K2566" t="str">
            <v>Consumables - rc</v>
          </cell>
        </row>
        <row r="2567">
          <cell r="D2567">
            <v>481930</v>
          </cell>
          <cell r="E2567" t="str">
            <v>Paper and paperboard; sacks and bags of paper, paperboard, cellulose wadding or fibres, having a base of a width of 40cm or more</v>
          </cell>
          <cell r="F2567">
            <v>0</v>
          </cell>
          <cell r="G2567">
            <v>0</v>
          </cell>
          <cell r="H2567">
            <v>0</v>
          </cell>
          <cell r="I2567" t="str">
            <v>Others</v>
          </cell>
          <cell r="J2567">
            <v>3</v>
          </cell>
          <cell r="K2567" t="str">
            <v>Others</v>
          </cell>
        </row>
        <row r="2568">
          <cell r="D2568">
            <v>481940</v>
          </cell>
          <cell r="E2568" t="str">
            <v>Paper and paperboard; sacks and bags, including cones, of paper, paperboard, cellulose wadding or fibres, having a base width less than 40cm</v>
          </cell>
          <cell r="F2568" t="str">
            <v>Consumables</v>
          </cell>
          <cell r="G2568">
            <v>0</v>
          </cell>
          <cell r="H2568">
            <v>0</v>
          </cell>
          <cell r="I2568" t="str">
            <v>Others</v>
          </cell>
          <cell r="J2568">
            <v>2</v>
          </cell>
          <cell r="K2568" t="str">
            <v>Consumables</v>
          </cell>
        </row>
        <row r="2569">
          <cell r="D2569">
            <v>481950</v>
          </cell>
          <cell r="E2569" t="str">
            <v>Paper and paperboard; packing containers, including record sleeves, of paper, paperboard, cellulose wadding or fibres, n.e.c. in heading no. 4819</v>
          </cell>
          <cell r="F2569" t="str">
            <v>Consumables</v>
          </cell>
          <cell r="G2569">
            <v>0</v>
          </cell>
          <cell r="H2569">
            <v>0</v>
          </cell>
          <cell r="I2569" t="str">
            <v>Others</v>
          </cell>
          <cell r="J2569">
            <v>2</v>
          </cell>
          <cell r="K2569" t="str">
            <v>Consumables - rc</v>
          </cell>
        </row>
        <row r="2570">
          <cell r="D2570">
            <v>481960</v>
          </cell>
          <cell r="E2570" t="str">
            <v>Paper and paperboard; box files, letter trays, storage boxes and similar articles, used in offices, shops or the like of paper, paperboard, cellulose wadding or webs of cellulose fibres</v>
          </cell>
          <cell r="F2570">
            <v>0</v>
          </cell>
          <cell r="G2570">
            <v>0</v>
          </cell>
          <cell r="H2570">
            <v>0</v>
          </cell>
          <cell r="I2570" t="str">
            <v>Others</v>
          </cell>
          <cell r="J2570">
            <v>3</v>
          </cell>
          <cell r="K2570" t="str">
            <v>Others</v>
          </cell>
        </row>
        <row r="2571">
          <cell r="D2571">
            <v>482010</v>
          </cell>
          <cell r="E2571" t="str">
            <v>Paper and paperboard; registers, account books, note books, order books, receipt books, letter pads, memorandum pads, diaries and similar articles</v>
          </cell>
          <cell r="F2571" t="str">
            <v>Consumables</v>
          </cell>
          <cell r="G2571">
            <v>0</v>
          </cell>
          <cell r="H2571">
            <v>0</v>
          </cell>
          <cell r="I2571" t="str">
            <v>Others</v>
          </cell>
          <cell r="J2571">
            <v>2</v>
          </cell>
          <cell r="K2571" t="str">
            <v>Consumables - rc</v>
          </cell>
        </row>
        <row r="2572">
          <cell r="D2572">
            <v>482020</v>
          </cell>
          <cell r="E2572" t="str">
            <v>Paper and paperboard; exercise books</v>
          </cell>
          <cell r="F2572">
            <v>0</v>
          </cell>
          <cell r="G2572">
            <v>0</v>
          </cell>
          <cell r="H2572">
            <v>0</v>
          </cell>
          <cell r="I2572" t="str">
            <v>Others</v>
          </cell>
          <cell r="J2572">
            <v>3</v>
          </cell>
          <cell r="K2572" t="str">
            <v>Others</v>
          </cell>
        </row>
        <row r="2573">
          <cell r="D2573">
            <v>482030</v>
          </cell>
          <cell r="E2573" t="str">
            <v>Paper and paperboard; binders, folders and file covers</v>
          </cell>
          <cell r="F2573">
            <v>0</v>
          </cell>
          <cell r="G2573">
            <v>0</v>
          </cell>
          <cell r="H2573">
            <v>0</v>
          </cell>
          <cell r="I2573" t="str">
            <v>Others</v>
          </cell>
          <cell r="J2573">
            <v>3</v>
          </cell>
          <cell r="K2573" t="str">
            <v>Others</v>
          </cell>
        </row>
        <row r="2574">
          <cell r="D2574">
            <v>482040</v>
          </cell>
          <cell r="E2574" t="str">
            <v>Paper and paperboard; manifold business forms and interleaved carbon sets</v>
          </cell>
          <cell r="F2574">
            <v>0</v>
          </cell>
          <cell r="G2574">
            <v>0</v>
          </cell>
          <cell r="H2574">
            <v>0</v>
          </cell>
          <cell r="I2574" t="str">
            <v>Others</v>
          </cell>
          <cell r="J2574">
            <v>3</v>
          </cell>
          <cell r="K2574" t="str">
            <v>Others</v>
          </cell>
        </row>
        <row r="2575">
          <cell r="D2575">
            <v>482050</v>
          </cell>
          <cell r="E2575" t="str">
            <v>Paper and paperboard; albums for samples or for collections</v>
          </cell>
          <cell r="F2575">
            <v>0</v>
          </cell>
          <cell r="G2575">
            <v>0</v>
          </cell>
          <cell r="H2575">
            <v>0</v>
          </cell>
          <cell r="I2575" t="str">
            <v>Others</v>
          </cell>
          <cell r="J2575">
            <v>3</v>
          </cell>
          <cell r="K2575" t="str">
            <v>Others</v>
          </cell>
        </row>
        <row r="2576">
          <cell r="D2576">
            <v>482090</v>
          </cell>
          <cell r="E2576" t="str">
            <v>Paper or paperboard; stationery n.e.c. in heading no. 4820</v>
          </cell>
          <cell r="F2576">
            <v>0</v>
          </cell>
          <cell r="G2576">
            <v>0</v>
          </cell>
          <cell r="H2576">
            <v>0</v>
          </cell>
          <cell r="I2576" t="str">
            <v>Others</v>
          </cell>
          <cell r="J2576">
            <v>3</v>
          </cell>
          <cell r="K2576" t="str">
            <v>Others</v>
          </cell>
        </row>
        <row r="2577">
          <cell r="D2577">
            <v>482110</v>
          </cell>
          <cell r="E2577" t="str">
            <v>Paper and paperboard; labels or all kinds, printed</v>
          </cell>
          <cell r="F2577" t="str">
            <v>Consumables</v>
          </cell>
          <cell r="G2577">
            <v>0</v>
          </cell>
          <cell r="H2577">
            <v>0</v>
          </cell>
          <cell r="I2577" t="str">
            <v>Others</v>
          </cell>
          <cell r="J2577">
            <v>2</v>
          </cell>
          <cell r="K2577" t="str">
            <v>Consumables - rc</v>
          </cell>
        </row>
        <row r="2578">
          <cell r="D2578">
            <v>482190</v>
          </cell>
          <cell r="E2578" t="str">
            <v>Paper and paperboard; labels of all kinds, unprinted</v>
          </cell>
          <cell r="F2578" t="str">
            <v>Consumables</v>
          </cell>
          <cell r="G2578">
            <v>0</v>
          </cell>
          <cell r="H2578">
            <v>0</v>
          </cell>
          <cell r="I2578" t="str">
            <v>Others</v>
          </cell>
          <cell r="J2578">
            <v>2</v>
          </cell>
          <cell r="K2578" t="str">
            <v>Consumables - rc</v>
          </cell>
        </row>
        <row r="2579">
          <cell r="D2579">
            <v>482210</v>
          </cell>
          <cell r="E2579" t="str">
            <v>Paper pulp, paper or paperboard; bobbins, spools, cops and similar supports, of a kind used for winding textile yarn (whether or not perforated or hardened)</v>
          </cell>
          <cell r="F2579">
            <v>0</v>
          </cell>
          <cell r="G2579">
            <v>0</v>
          </cell>
          <cell r="H2579">
            <v>0</v>
          </cell>
          <cell r="I2579" t="str">
            <v>Others</v>
          </cell>
          <cell r="J2579">
            <v>3</v>
          </cell>
          <cell r="K2579" t="str">
            <v>Others</v>
          </cell>
        </row>
        <row r="2580">
          <cell r="D2580">
            <v>482290</v>
          </cell>
          <cell r="E2580" t="str">
            <v>Paper pulp, paper or paperboard; bobbins, spools, cops and similar supports, other than of a kind used for winding textile yarn (whether or not perforated or hardened)</v>
          </cell>
          <cell r="F2580">
            <v>0</v>
          </cell>
          <cell r="G2580">
            <v>0</v>
          </cell>
          <cell r="H2580">
            <v>0</v>
          </cell>
          <cell r="I2580" t="str">
            <v>Others</v>
          </cell>
          <cell r="J2580">
            <v>3</v>
          </cell>
          <cell r="K2580" t="str">
            <v>Others</v>
          </cell>
        </row>
        <row r="2581">
          <cell r="D2581">
            <v>482320</v>
          </cell>
          <cell r="E2581" t="str">
            <v>Paper and paperboard; filter paper and paperboard</v>
          </cell>
          <cell r="F2581" t="str">
            <v>Consumables</v>
          </cell>
          <cell r="G2581">
            <v>0</v>
          </cell>
          <cell r="H2581">
            <v>0</v>
          </cell>
          <cell r="I2581" t="str">
            <v>Others</v>
          </cell>
          <cell r="J2581">
            <v>2</v>
          </cell>
          <cell r="K2581" t="str">
            <v>Consumables - rc</v>
          </cell>
        </row>
        <row r="2582">
          <cell r="D2582">
            <v>482340</v>
          </cell>
          <cell r="E2582" t="str">
            <v>Paper and paperboard; rolls, sheets and dials, printed for self-recording apparatus</v>
          </cell>
          <cell r="F2582">
            <v>0</v>
          </cell>
          <cell r="G2582">
            <v>0</v>
          </cell>
          <cell r="H2582">
            <v>0</v>
          </cell>
          <cell r="I2582" t="str">
            <v>Others</v>
          </cell>
          <cell r="J2582">
            <v>3</v>
          </cell>
          <cell r="K2582" t="str">
            <v>Others</v>
          </cell>
        </row>
        <row r="2583">
          <cell r="D2583">
            <v>482361</v>
          </cell>
          <cell r="E2583" t="str">
            <v>Paper and paperboard; trays, dishes, plates, cups and the like, of bamboo paper or paperboard</v>
          </cell>
          <cell r="F2583">
            <v>0</v>
          </cell>
          <cell r="G2583">
            <v>0</v>
          </cell>
          <cell r="H2583">
            <v>0</v>
          </cell>
          <cell r="I2583" t="str">
            <v>Others</v>
          </cell>
          <cell r="J2583">
            <v>3</v>
          </cell>
          <cell r="K2583" t="str">
            <v>Others</v>
          </cell>
        </row>
        <row r="2584">
          <cell r="D2584">
            <v>482369</v>
          </cell>
          <cell r="E2584" t="str">
            <v>Paper and paperboard; trays, dishes, plates, cups and the like, of paper or paperboard other than of bamboo</v>
          </cell>
          <cell r="F2584">
            <v>0</v>
          </cell>
          <cell r="G2584">
            <v>0</v>
          </cell>
          <cell r="H2584">
            <v>0</v>
          </cell>
          <cell r="I2584" t="str">
            <v>Others</v>
          </cell>
          <cell r="J2584">
            <v>3</v>
          </cell>
          <cell r="K2584" t="str">
            <v>Others</v>
          </cell>
        </row>
        <row r="2585">
          <cell r="D2585">
            <v>482370</v>
          </cell>
          <cell r="E2585" t="str">
            <v>Paper pulp; moulded or pressed articles or paper pulp</v>
          </cell>
          <cell r="F2585" t="str">
            <v>Consumables</v>
          </cell>
          <cell r="G2585">
            <v>0</v>
          </cell>
          <cell r="H2585">
            <v>0</v>
          </cell>
          <cell r="I2585" t="str">
            <v>Others</v>
          </cell>
          <cell r="J2585">
            <v>2</v>
          </cell>
          <cell r="K2585" t="str">
            <v>Consumables - rc</v>
          </cell>
        </row>
        <row r="2586">
          <cell r="D2586">
            <v>482390</v>
          </cell>
          <cell r="E2586" t="str">
            <v>Paper pulp, paper, paperboard, cellulose wadding or webs of cellulose fibres; articles n.e.c. in heading no. 4823</v>
          </cell>
          <cell r="F2586" t="str">
            <v>Consumables</v>
          </cell>
          <cell r="G2586">
            <v>0</v>
          </cell>
          <cell r="H2586">
            <v>0</v>
          </cell>
          <cell r="I2586" t="str">
            <v>Others</v>
          </cell>
          <cell r="J2586">
            <v>2</v>
          </cell>
          <cell r="K2586" t="str">
            <v>Consumables - rc</v>
          </cell>
        </row>
        <row r="2587">
          <cell r="D2587">
            <v>490110</v>
          </cell>
          <cell r="E2587" t="str">
            <v>Printed matter; in single sheets, whether or not folded</v>
          </cell>
          <cell r="F2587" t="str">
            <v>Consumables</v>
          </cell>
          <cell r="G2587">
            <v>0</v>
          </cell>
          <cell r="H2587">
            <v>0</v>
          </cell>
          <cell r="I2587" t="str">
            <v>Others</v>
          </cell>
          <cell r="J2587">
            <v>2</v>
          </cell>
          <cell r="K2587" t="str">
            <v>Consumables - rc</v>
          </cell>
        </row>
        <row r="2588">
          <cell r="D2588">
            <v>490191</v>
          </cell>
          <cell r="E2588" t="str">
            <v>Printed matter; dictionaries, encyclopaedias and serial instalments thereof</v>
          </cell>
          <cell r="F2588">
            <v>0</v>
          </cell>
          <cell r="G2588">
            <v>0</v>
          </cell>
          <cell r="H2588">
            <v>0</v>
          </cell>
          <cell r="I2588" t="str">
            <v>Others</v>
          </cell>
          <cell r="J2588">
            <v>3</v>
          </cell>
          <cell r="K2588" t="str">
            <v>Others</v>
          </cell>
        </row>
        <row r="2589">
          <cell r="D2589">
            <v>490199</v>
          </cell>
          <cell r="E2589" t="str">
            <v>Printed matter; books, brochures, leaflets and similar printed matter n.e.c. in item no. 4901.10 or 4901.91</v>
          </cell>
          <cell r="F2589" t="str">
            <v>Consumables</v>
          </cell>
          <cell r="G2589">
            <v>0</v>
          </cell>
          <cell r="H2589">
            <v>0</v>
          </cell>
          <cell r="I2589" t="str">
            <v>Others</v>
          </cell>
          <cell r="J2589">
            <v>2</v>
          </cell>
          <cell r="K2589" t="str">
            <v>Others</v>
          </cell>
        </row>
        <row r="2590">
          <cell r="D2590">
            <v>490210</v>
          </cell>
          <cell r="E2590" t="str">
            <v>Newspapers, journals and periodicals; whether or not illustrated or containing advertising material, appearing at least four times a week</v>
          </cell>
          <cell r="F2590">
            <v>0</v>
          </cell>
          <cell r="G2590">
            <v>0</v>
          </cell>
          <cell r="H2590">
            <v>0</v>
          </cell>
          <cell r="I2590" t="str">
            <v>Others</v>
          </cell>
          <cell r="J2590">
            <v>3</v>
          </cell>
          <cell r="K2590" t="str">
            <v>Others</v>
          </cell>
        </row>
        <row r="2591">
          <cell r="D2591">
            <v>490290</v>
          </cell>
          <cell r="E2591" t="str">
            <v>Newspapers, journals and periodicals; whether or not illustrated or containing advertising material, appearing less frequently than four times a week</v>
          </cell>
          <cell r="F2591">
            <v>0</v>
          </cell>
          <cell r="G2591">
            <v>0</v>
          </cell>
          <cell r="H2591">
            <v>0</v>
          </cell>
          <cell r="I2591" t="str">
            <v>Others</v>
          </cell>
          <cell r="J2591">
            <v>3</v>
          </cell>
          <cell r="K2591" t="str">
            <v>Others</v>
          </cell>
        </row>
        <row r="2592">
          <cell r="D2592">
            <v>490300</v>
          </cell>
          <cell r="E2592" t="str">
            <v>Printed matter; children's picture, drawing or colouring books</v>
          </cell>
          <cell r="F2592">
            <v>0</v>
          </cell>
          <cell r="G2592">
            <v>0</v>
          </cell>
          <cell r="H2592">
            <v>0</v>
          </cell>
          <cell r="I2592" t="str">
            <v>Others</v>
          </cell>
          <cell r="J2592">
            <v>3</v>
          </cell>
          <cell r="K2592" t="str">
            <v>Others</v>
          </cell>
        </row>
        <row r="2593">
          <cell r="D2593">
            <v>490400</v>
          </cell>
          <cell r="E2593" t="str">
            <v>Music; printed or in manuscript, whether or not bound or illustrated</v>
          </cell>
          <cell r="F2593">
            <v>0</v>
          </cell>
          <cell r="G2593">
            <v>0</v>
          </cell>
          <cell r="H2593">
            <v>0</v>
          </cell>
          <cell r="I2593" t="str">
            <v>Others</v>
          </cell>
          <cell r="J2593">
            <v>3</v>
          </cell>
          <cell r="K2593" t="str">
            <v>Others</v>
          </cell>
        </row>
        <row r="2594">
          <cell r="D2594">
            <v>490520</v>
          </cell>
          <cell r="E2594" t="str">
            <v>Maps and hydrographic or similar charts; printed in book form, including atlases, topographical plans and similar</v>
          </cell>
          <cell r="F2594">
            <v>0</v>
          </cell>
          <cell r="G2594">
            <v>0</v>
          </cell>
          <cell r="H2594">
            <v>0</v>
          </cell>
          <cell r="I2594" t="str">
            <v>Others</v>
          </cell>
          <cell r="J2594">
            <v>3</v>
          </cell>
          <cell r="K2594" t="str">
            <v>Others</v>
          </cell>
        </row>
        <row r="2595">
          <cell r="D2595">
            <v>490590</v>
          </cell>
          <cell r="E2595" t="str">
            <v>Maps and hydrographic or similar charts; (printed other than in book form), including wall maps, topographical plans and similar</v>
          </cell>
          <cell r="F2595">
            <v>0</v>
          </cell>
          <cell r="G2595">
            <v>0</v>
          </cell>
          <cell r="H2595">
            <v>0</v>
          </cell>
          <cell r="I2595" t="str">
            <v>Others</v>
          </cell>
          <cell r="J2595">
            <v>3</v>
          </cell>
          <cell r="K2595" t="str">
            <v>Others</v>
          </cell>
        </row>
        <row r="2596">
          <cell r="D2596">
            <v>490600</v>
          </cell>
          <cell r="E2596" t="str">
            <v>Plans and drawings; for architectural, engineering, industrial, commercial, topographical or similar, being originals drawn by hand; hand-written texts; photo- graphic reproductions; their carbon copies</v>
          </cell>
          <cell r="F2596">
            <v>0</v>
          </cell>
          <cell r="G2596">
            <v>0</v>
          </cell>
          <cell r="H2596">
            <v>0</v>
          </cell>
          <cell r="I2596" t="str">
            <v>Others</v>
          </cell>
          <cell r="J2596">
            <v>3</v>
          </cell>
          <cell r="K2596" t="str">
            <v>Others</v>
          </cell>
        </row>
        <row r="2597">
          <cell r="D2597">
            <v>490700</v>
          </cell>
          <cell r="E2597" t="str">
            <v>Unused postage, revenue or similar stamps of current or new issue in the country in which they have, or will have, a recognised face value; stamp-impressed paper; cheque forms; banknotes, stock, share or bond certificates and the like of similar title</v>
          </cell>
          <cell r="F2597">
            <v>0</v>
          </cell>
          <cell r="G2597">
            <v>0</v>
          </cell>
          <cell r="H2597">
            <v>0</v>
          </cell>
          <cell r="I2597" t="str">
            <v>Others</v>
          </cell>
          <cell r="J2597">
            <v>3</v>
          </cell>
          <cell r="K2597" t="str">
            <v>Others</v>
          </cell>
        </row>
        <row r="2598">
          <cell r="D2598">
            <v>490810</v>
          </cell>
          <cell r="E2598" t="str">
            <v>Printed matter; transfers (decalcomanias), vitrifiable</v>
          </cell>
          <cell r="F2598">
            <v>0</v>
          </cell>
          <cell r="G2598">
            <v>0</v>
          </cell>
          <cell r="H2598">
            <v>0</v>
          </cell>
          <cell r="I2598" t="str">
            <v>Others</v>
          </cell>
          <cell r="J2598">
            <v>3</v>
          </cell>
          <cell r="K2598" t="str">
            <v>Others</v>
          </cell>
        </row>
        <row r="2599">
          <cell r="D2599">
            <v>490890</v>
          </cell>
          <cell r="E2599" t="str">
            <v>Printed matter; transfers (decalcomanias), other than vitrifiable</v>
          </cell>
          <cell r="F2599">
            <v>0</v>
          </cell>
          <cell r="G2599">
            <v>0</v>
          </cell>
          <cell r="H2599">
            <v>0</v>
          </cell>
          <cell r="I2599" t="str">
            <v>Others</v>
          </cell>
          <cell r="J2599">
            <v>3</v>
          </cell>
          <cell r="K2599" t="str">
            <v>Others</v>
          </cell>
        </row>
        <row r="2600">
          <cell r="D2600">
            <v>490900</v>
          </cell>
          <cell r="E2600" t="str">
            <v>Printed or illustrated postcards; printed cards bearing personal greetings, messages or announcements, whether or not illustrated, with or without envelopes or trimmings</v>
          </cell>
          <cell r="F2600">
            <v>0</v>
          </cell>
          <cell r="G2600">
            <v>0</v>
          </cell>
          <cell r="H2600">
            <v>0</v>
          </cell>
          <cell r="I2600" t="str">
            <v>Others</v>
          </cell>
          <cell r="J2600">
            <v>3</v>
          </cell>
          <cell r="K2600" t="str">
            <v>Others</v>
          </cell>
        </row>
        <row r="2601">
          <cell r="D2601">
            <v>491000</v>
          </cell>
          <cell r="E2601" t="str">
            <v>Calendars; printed, of any kind, including calendar blocks</v>
          </cell>
          <cell r="F2601" t="str">
            <v>Consumables</v>
          </cell>
          <cell r="G2601">
            <v>0</v>
          </cell>
          <cell r="H2601">
            <v>0</v>
          </cell>
          <cell r="I2601" t="str">
            <v>Others</v>
          </cell>
          <cell r="J2601">
            <v>2</v>
          </cell>
          <cell r="K2601" t="str">
            <v>Consumables - rc</v>
          </cell>
        </row>
        <row r="2602">
          <cell r="D2602">
            <v>491110</v>
          </cell>
          <cell r="E2602" t="str">
            <v>Printed matter; trade advertising material, commercial catalogues and the like</v>
          </cell>
          <cell r="F2602" t="str">
            <v>Consumables</v>
          </cell>
          <cell r="G2602">
            <v>0</v>
          </cell>
          <cell r="H2602">
            <v>0</v>
          </cell>
          <cell r="I2602" t="str">
            <v>Others</v>
          </cell>
          <cell r="J2602">
            <v>2</v>
          </cell>
          <cell r="K2602" t="str">
            <v>Consumables - rc</v>
          </cell>
        </row>
        <row r="2603">
          <cell r="D2603">
            <v>491191</v>
          </cell>
          <cell r="E2603" t="str">
            <v>Printed matter; pictures, designs and photographs, n.e.c. in item no. 4911.10</v>
          </cell>
          <cell r="F2603">
            <v>0</v>
          </cell>
          <cell r="G2603">
            <v>0</v>
          </cell>
          <cell r="H2603">
            <v>0</v>
          </cell>
          <cell r="I2603" t="str">
            <v>Others</v>
          </cell>
          <cell r="J2603">
            <v>3</v>
          </cell>
          <cell r="K2603" t="str">
            <v>Others</v>
          </cell>
        </row>
        <row r="2604">
          <cell r="D2604">
            <v>491199</v>
          </cell>
          <cell r="E2604" t="str">
            <v>Printed matter; n.e.c. in heading no. 4911</v>
          </cell>
          <cell r="F2604">
            <v>0</v>
          </cell>
          <cell r="G2604">
            <v>0</v>
          </cell>
          <cell r="H2604">
            <v>0</v>
          </cell>
          <cell r="I2604" t="str">
            <v>Others</v>
          </cell>
          <cell r="J2604">
            <v>3</v>
          </cell>
          <cell r="K2604" t="str">
            <v>Others</v>
          </cell>
        </row>
        <row r="2605">
          <cell r="D2605">
            <v>500100</v>
          </cell>
          <cell r="E2605" t="str">
            <v>Silk; silk-worm cocoons suitable for reeling</v>
          </cell>
          <cell r="F2605">
            <v>0</v>
          </cell>
          <cell r="G2605">
            <v>0</v>
          </cell>
          <cell r="H2605">
            <v>0</v>
          </cell>
          <cell r="I2605" t="str">
            <v>Others</v>
          </cell>
          <cell r="J2605">
            <v>3</v>
          </cell>
          <cell r="K2605" t="str">
            <v>Others</v>
          </cell>
        </row>
        <row r="2606">
          <cell r="D2606">
            <v>500200</v>
          </cell>
          <cell r="E2606" t="str">
            <v>Silk; raw silk (not thrown)</v>
          </cell>
          <cell r="F2606">
            <v>0</v>
          </cell>
          <cell r="G2606">
            <v>0</v>
          </cell>
          <cell r="H2606">
            <v>0</v>
          </cell>
          <cell r="I2606" t="str">
            <v>Others</v>
          </cell>
          <cell r="J2606">
            <v>3</v>
          </cell>
          <cell r="K2606" t="str">
            <v>Others</v>
          </cell>
        </row>
        <row r="2607">
          <cell r="D2607">
            <v>500300</v>
          </cell>
          <cell r="E2607" t="str">
            <v>Silk waste (including cocoons unsuitable for reeling, yarn waste and garnetted stock)</v>
          </cell>
          <cell r="F2607">
            <v>0</v>
          </cell>
          <cell r="G2607">
            <v>0</v>
          </cell>
          <cell r="H2607">
            <v>0</v>
          </cell>
          <cell r="I2607" t="str">
            <v>Others</v>
          </cell>
          <cell r="J2607">
            <v>3</v>
          </cell>
          <cell r="K2607" t="str">
            <v>Others</v>
          </cell>
        </row>
        <row r="2608">
          <cell r="D2608">
            <v>500400</v>
          </cell>
          <cell r="E2608" t="str">
            <v>Silk; yarn (other than yarn spun from silk waste), not put up for retail sale</v>
          </cell>
          <cell r="F2608">
            <v>0</v>
          </cell>
          <cell r="G2608">
            <v>0</v>
          </cell>
          <cell r="H2608">
            <v>0</v>
          </cell>
          <cell r="I2608" t="str">
            <v>Others</v>
          </cell>
          <cell r="J2608">
            <v>3</v>
          </cell>
          <cell r="K2608" t="str">
            <v>Others</v>
          </cell>
        </row>
        <row r="2609">
          <cell r="D2609">
            <v>500500</v>
          </cell>
          <cell r="E2609" t="str">
            <v>Silk; yarn spun from silk waste, not put up for retail sale</v>
          </cell>
          <cell r="F2609">
            <v>0</v>
          </cell>
          <cell r="G2609">
            <v>0</v>
          </cell>
          <cell r="H2609">
            <v>0</v>
          </cell>
          <cell r="I2609" t="str">
            <v>Others</v>
          </cell>
          <cell r="J2609">
            <v>3</v>
          </cell>
          <cell r="K2609" t="str">
            <v>Others</v>
          </cell>
        </row>
        <row r="2610">
          <cell r="D2610">
            <v>500600</v>
          </cell>
          <cell r="E2610" t="str">
            <v>Silk yarn and yarn spun from silk waste; put up for retail sale, and silk-worm gut</v>
          </cell>
          <cell r="F2610">
            <v>0</v>
          </cell>
          <cell r="G2610">
            <v>0</v>
          </cell>
          <cell r="H2610">
            <v>0</v>
          </cell>
          <cell r="I2610" t="str">
            <v>Others</v>
          </cell>
          <cell r="J2610">
            <v>3</v>
          </cell>
          <cell r="K2610" t="str">
            <v>Others</v>
          </cell>
        </row>
        <row r="2611">
          <cell r="D2611">
            <v>500710</v>
          </cell>
          <cell r="E2611" t="str">
            <v>Silk; woven fabrics of noil silk</v>
          </cell>
          <cell r="F2611">
            <v>0</v>
          </cell>
          <cell r="G2611">
            <v>0</v>
          </cell>
          <cell r="H2611">
            <v>0</v>
          </cell>
          <cell r="I2611" t="str">
            <v>Others</v>
          </cell>
          <cell r="J2611">
            <v>3</v>
          </cell>
          <cell r="K2611" t="str">
            <v>Others</v>
          </cell>
        </row>
        <row r="2612">
          <cell r="D2612">
            <v>500720</v>
          </cell>
          <cell r="E2612" t="str">
            <v>Silk; woven fabrics, containing 85% or more by weight of silk or of silk waste other than noil silk</v>
          </cell>
          <cell r="F2612">
            <v>0</v>
          </cell>
          <cell r="G2612">
            <v>0</v>
          </cell>
          <cell r="H2612">
            <v>0</v>
          </cell>
          <cell r="I2612" t="str">
            <v>Others</v>
          </cell>
          <cell r="J2612">
            <v>3</v>
          </cell>
          <cell r="K2612" t="str">
            <v>Others</v>
          </cell>
        </row>
        <row r="2613">
          <cell r="D2613">
            <v>500790</v>
          </cell>
          <cell r="E2613" t="str">
            <v>Silk; woven fabrics n.e.c. in heading no. 5007</v>
          </cell>
          <cell r="F2613">
            <v>0</v>
          </cell>
          <cell r="G2613">
            <v>0</v>
          </cell>
          <cell r="H2613">
            <v>0</v>
          </cell>
          <cell r="I2613" t="str">
            <v>Others</v>
          </cell>
          <cell r="J2613">
            <v>3</v>
          </cell>
          <cell r="K2613" t="str">
            <v>Others</v>
          </cell>
        </row>
        <row r="2614">
          <cell r="D2614">
            <v>510111</v>
          </cell>
          <cell r="E2614" t="str">
            <v>Wool; (not carded or combed), greasy (including fleece-washed wool), shorn</v>
          </cell>
          <cell r="F2614">
            <v>0</v>
          </cell>
          <cell r="G2614">
            <v>0</v>
          </cell>
          <cell r="H2614">
            <v>0</v>
          </cell>
          <cell r="I2614" t="str">
            <v>Others</v>
          </cell>
          <cell r="J2614">
            <v>3</v>
          </cell>
          <cell r="K2614" t="str">
            <v>Others</v>
          </cell>
        </row>
        <row r="2615">
          <cell r="D2615">
            <v>510119</v>
          </cell>
          <cell r="E2615" t="str">
            <v>Wool; (other than shorn), greasy (including fleece-washed wool), not carded or combed</v>
          </cell>
          <cell r="F2615">
            <v>0</v>
          </cell>
          <cell r="G2615">
            <v>0</v>
          </cell>
          <cell r="H2615">
            <v>0</v>
          </cell>
          <cell r="I2615" t="str">
            <v>Others</v>
          </cell>
          <cell r="J2615">
            <v>3</v>
          </cell>
          <cell r="K2615" t="str">
            <v>Others</v>
          </cell>
        </row>
        <row r="2616">
          <cell r="D2616">
            <v>510121</v>
          </cell>
          <cell r="E2616" t="str">
            <v>Wool; (not carded or combed), degreased, (not carbonised), shorn</v>
          </cell>
          <cell r="F2616">
            <v>0</v>
          </cell>
          <cell r="G2616">
            <v>0</v>
          </cell>
          <cell r="H2616">
            <v>0</v>
          </cell>
          <cell r="I2616" t="str">
            <v>Others</v>
          </cell>
          <cell r="J2616">
            <v>3</v>
          </cell>
          <cell r="K2616" t="str">
            <v>Others</v>
          </cell>
        </row>
        <row r="2617">
          <cell r="D2617">
            <v>510129</v>
          </cell>
          <cell r="E2617" t="str">
            <v>Wool; (not carded or combed), degreased, (not carbonised), (other than shorn)</v>
          </cell>
          <cell r="F2617">
            <v>0</v>
          </cell>
          <cell r="G2617">
            <v>0</v>
          </cell>
          <cell r="H2617">
            <v>0</v>
          </cell>
          <cell r="I2617" t="str">
            <v>Others</v>
          </cell>
          <cell r="J2617">
            <v>3</v>
          </cell>
          <cell r="K2617" t="str">
            <v>Others</v>
          </cell>
        </row>
        <row r="2618">
          <cell r="D2618">
            <v>510130</v>
          </cell>
          <cell r="E2618" t="str">
            <v>Wool; (not carded or combed), carbonised</v>
          </cell>
          <cell r="F2618">
            <v>0</v>
          </cell>
          <cell r="G2618">
            <v>0</v>
          </cell>
          <cell r="H2618">
            <v>0</v>
          </cell>
          <cell r="I2618" t="str">
            <v>Others</v>
          </cell>
          <cell r="J2618">
            <v>3</v>
          </cell>
          <cell r="K2618" t="str">
            <v>Others</v>
          </cell>
        </row>
        <row r="2619">
          <cell r="D2619">
            <v>510211</v>
          </cell>
          <cell r="E2619" t="str">
            <v>Hair; fine animal hair, not carded or combed, of kashmir (cashmere) goats</v>
          </cell>
          <cell r="F2619">
            <v>0</v>
          </cell>
          <cell r="G2619">
            <v>0</v>
          </cell>
          <cell r="H2619">
            <v>0</v>
          </cell>
          <cell r="I2619" t="str">
            <v>Others</v>
          </cell>
          <cell r="J2619">
            <v>3</v>
          </cell>
          <cell r="K2619" t="str">
            <v>Others</v>
          </cell>
        </row>
        <row r="2620">
          <cell r="D2620">
            <v>510219</v>
          </cell>
          <cell r="E2620" t="str">
            <v>Hair; fine animal hair, not carded or combed, other than of kashmir (cashmere) goats</v>
          </cell>
          <cell r="F2620">
            <v>0</v>
          </cell>
          <cell r="G2620">
            <v>0</v>
          </cell>
          <cell r="H2620">
            <v>0</v>
          </cell>
          <cell r="I2620" t="str">
            <v>Others</v>
          </cell>
          <cell r="J2620">
            <v>3</v>
          </cell>
          <cell r="K2620" t="str">
            <v>Others</v>
          </cell>
        </row>
        <row r="2621">
          <cell r="D2621">
            <v>510220</v>
          </cell>
          <cell r="E2621" t="str">
            <v>Hair; coarse animal hair, not carded or combed</v>
          </cell>
          <cell r="F2621">
            <v>0</v>
          </cell>
          <cell r="G2621">
            <v>0</v>
          </cell>
          <cell r="H2621">
            <v>0</v>
          </cell>
          <cell r="I2621" t="str">
            <v>Others</v>
          </cell>
          <cell r="J2621">
            <v>3</v>
          </cell>
          <cell r="K2621" t="str">
            <v>Others</v>
          </cell>
        </row>
        <row r="2622">
          <cell r="D2622">
            <v>510310</v>
          </cell>
          <cell r="E2622" t="str">
            <v>Wool and hair; noils of wool or of fine animal hair, including yarn waste, but excluding garnetted stock</v>
          </cell>
          <cell r="F2622">
            <v>0</v>
          </cell>
          <cell r="G2622">
            <v>0</v>
          </cell>
          <cell r="H2622">
            <v>0</v>
          </cell>
          <cell r="I2622" t="str">
            <v>Others</v>
          </cell>
          <cell r="J2622">
            <v>3</v>
          </cell>
          <cell r="K2622" t="str">
            <v>Others</v>
          </cell>
        </row>
        <row r="2623">
          <cell r="D2623">
            <v>510320</v>
          </cell>
          <cell r="E2623" t="str">
            <v>Wool and hair; waste of wool or of fine animal hair, including yarn waste, but excluding garnetted stock and noils of wool or of fine animal hair</v>
          </cell>
          <cell r="F2623">
            <v>0</v>
          </cell>
          <cell r="G2623">
            <v>0</v>
          </cell>
          <cell r="H2623">
            <v>0</v>
          </cell>
          <cell r="I2623" t="str">
            <v>Others</v>
          </cell>
          <cell r="J2623">
            <v>3</v>
          </cell>
          <cell r="K2623" t="str">
            <v>Others</v>
          </cell>
        </row>
        <row r="2624">
          <cell r="D2624">
            <v>510330</v>
          </cell>
          <cell r="E2624" t="str">
            <v>Wool and hair; waste of coarse animal hair, including yarn waste, but excluding garnetted stock</v>
          </cell>
          <cell r="F2624">
            <v>0</v>
          </cell>
          <cell r="G2624">
            <v>0</v>
          </cell>
          <cell r="H2624">
            <v>0</v>
          </cell>
          <cell r="I2624" t="str">
            <v>Others</v>
          </cell>
          <cell r="J2624">
            <v>3</v>
          </cell>
          <cell r="K2624" t="str">
            <v>Others</v>
          </cell>
        </row>
        <row r="2625">
          <cell r="D2625">
            <v>510400</v>
          </cell>
          <cell r="E2625" t="str">
            <v>Wool and hair; garnetted stock of wool or of fine or coarse animal hair</v>
          </cell>
          <cell r="F2625">
            <v>0</v>
          </cell>
          <cell r="G2625">
            <v>0</v>
          </cell>
          <cell r="H2625">
            <v>0</v>
          </cell>
          <cell r="I2625" t="str">
            <v>Others</v>
          </cell>
          <cell r="J2625">
            <v>3</v>
          </cell>
          <cell r="K2625" t="str">
            <v>Others</v>
          </cell>
        </row>
        <row r="2626">
          <cell r="D2626">
            <v>510510</v>
          </cell>
          <cell r="E2626" t="str">
            <v>Wool; carded</v>
          </cell>
          <cell r="F2626">
            <v>0</v>
          </cell>
          <cell r="G2626">
            <v>0</v>
          </cell>
          <cell r="H2626">
            <v>0</v>
          </cell>
          <cell r="I2626" t="str">
            <v>Others</v>
          </cell>
          <cell r="J2626">
            <v>3</v>
          </cell>
          <cell r="K2626" t="str">
            <v>Others</v>
          </cell>
        </row>
        <row r="2627">
          <cell r="D2627">
            <v>510521</v>
          </cell>
          <cell r="E2627" t="str">
            <v>Wool; wool tops and other combed wool, in fragments</v>
          </cell>
          <cell r="F2627">
            <v>0</v>
          </cell>
          <cell r="G2627">
            <v>0</v>
          </cell>
          <cell r="H2627">
            <v>0</v>
          </cell>
          <cell r="I2627" t="str">
            <v>Others</v>
          </cell>
          <cell r="J2627">
            <v>3</v>
          </cell>
          <cell r="K2627" t="str">
            <v>Others</v>
          </cell>
        </row>
        <row r="2628">
          <cell r="D2628">
            <v>510529</v>
          </cell>
          <cell r="E2628" t="str">
            <v>Wool; wool tops and other combed wool, other than in fragments</v>
          </cell>
          <cell r="F2628">
            <v>0</v>
          </cell>
          <cell r="G2628">
            <v>0</v>
          </cell>
          <cell r="H2628">
            <v>0</v>
          </cell>
          <cell r="I2628" t="str">
            <v>Others</v>
          </cell>
          <cell r="J2628">
            <v>3</v>
          </cell>
          <cell r="K2628" t="str">
            <v>Others</v>
          </cell>
        </row>
        <row r="2629">
          <cell r="D2629">
            <v>510531</v>
          </cell>
          <cell r="E2629" t="str">
            <v>Hair; fine animal hair, carded or combed, of kashmir (cashmere) goats</v>
          </cell>
          <cell r="F2629">
            <v>0</v>
          </cell>
          <cell r="G2629">
            <v>0</v>
          </cell>
          <cell r="H2629">
            <v>0</v>
          </cell>
          <cell r="I2629" t="str">
            <v>Others</v>
          </cell>
          <cell r="J2629">
            <v>3</v>
          </cell>
          <cell r="K2629" t="str">
            <v>Others</v>
          </cell>
        </row>
        <row r="2630">
          <cell r="D2630">
            <v>510539</v>
          </cell>
          <cell r="E2630" t="str">
            <v>Hair; fine animal hair, carded or combed, other than of kashmir (cashmere) goats</v>
          </cell>
          <cell r="F2630">
            <v>0</v>
          </cell>
          <cell r="G2630">
            <v>0</v>
          </cell>
          <cell r="H2630">
            <v>0</v>
          </cell>
          <cell r="I2630" t="str">
            <v>Others</v>
          </cell>
          <cell r="J2630">
            <v>3</v>
          </cell>
          <cell r="K2630" t="str">
            <v>Others</v>
          </cell>
        </row>
        <row r="2631">
          <cell r="D2631">
            <v>510540</v>
          </cell>
          <cell r="E2631" t="str">
            <v>Hair; coarse animal hair, carded or combed</v>
          </cell>
          <cell r="F2631">
            <v>0</v>
          </cell>
          <cell r="G2631">
            <v>0</v>
          </cell>
          <cell r="H2631">
            <v>0</v>
          </cell>
          <cell r="I2631" t="str">
            <v>Others</v>
          </cell>
          <cell r="J2631">
            <v>3</v>
          </cell>
          <cell r="K2631" t="str">
            <v>Others</v>
          </cell>
        </row>
        <row r="2632">
          <cell r="D2632">
            <v>510610</v>
          </cell>
          <cell r="E2632" t="str">
            <v>Yarn; of carded wool, containing 85% or more by weight of wool, not put up for retail sale</v>
          </cell>
          <cell r="F2632">
            <v>0</v>
          </cell>
          <cell r="G2632">
            <v>0</v>
          </cell>
          <cell r="H2632">
            <v>0</v>
          </cell>
          <cell r="I2632" t="str">
            <v>Others</v>
          </cell>
          <cell r="J2632">
            <v>3</v>
          </cell>
          <cell r="K2632" t="str">
            <v>Others</v>
          </cell>
        </row>
        <row r="2633">
          <cell r="D2633">
            <v>510620</v>
          </cell>
          <cell r="E2633" t="str">
            <v>Yarn; of carded wool, containing less than 85% by weight of wool, not put up for retail sale</v>
          </cell>
          <cell r="F2633">
            <v>0</v>
          </cell>
          <cell r="G2633">
            <v>0</v>
          </cell>
          <cell r="H2633">
            <v>0</v>
          </cell>
          <cell r="I2633" t="str">
            <v>Others</v>
          </cell>
          <cell r="J2633">
            <v>3</v>
          </cell>
          <cell r="K2633" t="str">
            <v>Others</v>
          </cell>
        </row>
        <row r="2634">
          <cell r="D2634">
            <v>510710</v>
          </cell>
          <cell r="E2634" t="str">
            <v>Yarn; of combed wool, containing 85% or more by weight of wool, not put up for retail sale</v>
          </cell>
          <cell r="F2634">
            <v>0</v>
          </cell>
          <cell r="G2634">
            <v>0</v>
          </cell>
          <cell r="H2634">
            <v>0</v>
          </cell>
          <cell r="I2634" t="str">
            <v>Others</v>
          </cell>
          <cell r="J2634">
            <v>3</v>
          </cell>
          <cell r="K2634" t="str">
            <v>Others</v>
          </cell>
        </row>
        <row r="2635">
          <cell r="D2635">
            <v>510720</v>
          </cell>
          <cell r="E2635" t="str">
            <v>Yarn; of combed wool, containing less than 85% by weight of wool, not put up for retail sale</v>
          </cell>
          <cell r="F2635">
            <v>0</v>
          </cell>
          <cell r="G2635">
            <v>0</v>
          </cell>
          <cell r="H2635">
            <v>0</v>
          </cell>
          <cell r="I2635" t="str">
            <v>Others</v>
          </cell>
          <cell r="J2635">
            <v>3</v>
          </cell>
          <cell r="K2635" t="str">
            <v>Others</v>
          </cell>
        </row>
        <row r="2636">
          <cell r="D2636">
            <v>510810</v>
          </cell>
          <cell r="E2636" t="str">
            <v>Yarn; of fine animal hair, carded, not put up for retail sale</v>
          </cell>
          <cell r="F2636">
            <v>0</v>
          </cell>
          <cell r="G2636">
            <v>0</v>
          </cell>
          <cell r="H2636">
            <v>0</v>
          </cell>
          <cell r="I2636" t="str">
            <v>Others</v>
          </cell>
          <cell r="J2636">
            <v>3</v>
          </cell>
          <cell r="K2636" t="str">
            <v>Others</v>
          </cell>
        </row>
        <row r="2637">
          <cell r="D2637">
            <v>510820</v>
          </cell>
          <cell r="E2637" t="str">
            <v>Yarn; of fine animal hair, combed, not put up for retail sale</v>
          </cell>
          <cell r="F2637">
            <v>0</v>
          </cell>
          <cell r="G2637">
            <v>0</v>
          </cell>
          <cell r="H2637">
            <v>0</v>
          </cell>
          <cell r="I2637" t="str">
            <v>Others</v>
          </cell>
          <cell r="J2637">
            <v>3</v>
          </cell>
          <cell r="K2637" t="str">
            <v>Others</v>
          </cell>
        </row>
        <row r="2638">
          <cell r="D2638">
            <v>510910</v>
          </cell>
          <cell r="E2638" t="str">
            <v>Yarn; of wool or of fine animal hair, containing 85% or more by weight of wool or fine animal hair, put up for retail sale</v>
          </cell>
          <cell r="F2638">
            <v>0</v>
          </cell>
          <cell r="G2638">
            <v>0</v>
          </cell>
          <cell r="H2638">
            <v>0</v>
          </cell>
          <cell r="I2638" t="str">
            <v>Others</v>
          </cell>
          <cell r="J2638">
            <v>3</v>
          </cell>
          <cell r="K2638" t="str">
            <v>Others</v>
          </cell>
        </row>
        <row r="2639">
          <cell r="D2639">
            <v>510990</v>
          </cell>
          <cell r="E2639" t="str">
            <v>Yarn; of wool or of fine animal hair, containing less than 85% by weight of wool or fine animal hair, put up for retail sale</v>
          </cell>
          <cell r="F2639">
            <v>0</v>
          </cell>
          <cell r="G2639">
            <v>0</v>
          </cell>
          <cell r="H2639">
            <v>0</v>
          </cell>
          <cell r="I2639" t="str">
            <v>Others</v>
          </cell>
          <cell r="J2639">
            <v>3</v>
          </cell>
          <cell r="K2639" t="str">
            <v>Others</v>
          </cell>
        </row>
        <row r="2640">
          <cell r="D2640">
            <v>511000</v>
          </cell>
          <cell r="E2640" t="str">
            <v>Yarn; of coarse animal hair or of horsehair (including gimped horsehair yarn), whether or not put up for retail sale</v>
          </cell>
          <cell r="F2640">
            <v>0</v>
          </cell>
          <cell r="G2640">
            <v>0</v>
          </cell>
          <cell r="H2640">
            <v>0</v>
          </cell>
          <cell r="I2640" t="str">
            <v>Others</v>
          </cell>
          <cell r="J2640">
            <v>3</v>
          </cell>
          <cell r="K2640" t="str">
            <v>Others</v>
          </cell>
        </row>
        <row r="2641">
          <cell r="D2641">
            <v>511111</v>
          </cell>
          <cell r="E2641" t="str">
            <v>Fabrics, woven; of carded wool or of carded fine animal hair, containing 85% or more by weight of wool or of fine animal hair, of a weight not exceeding 300g/m2</v>
          </cell>
          <cell r="F2641">
            <v>0</v>
          </cell>
          <cell r="G2641">
            <v>0</v>
          </cell>
          <cell r="H2641">
            <v>0</v>
          </cell>
          <cell r="I2641" t="str">
            <v>Others</v>
          </cell>
          <cell r="J2641">
            <v>3</v>
          </cell>
          <cell r="K2641" t="str">
            <v>Others</v>
          </cell>
        </row>
        <row r="2642">
          <cell r="D2642">
            <v>511119</v>
          </cell>
          <cell r="E2642" t="str">
            <v>Fabrics, woven; of carded wool or of carded fine animal hair, containing 85% or more by weight of wool or of fine animal hair, of a weight exceeding 300g/m2</v>
          </cell>
          <cell r="F2642">
            <v>0</v>
          </cell>
          <cell r="G2642">
            <v>0</v>
          </cell>
          <cell r="H2642">
            <v>0</v>
          </cell>
          <cell r="I2642" t="str">
            <v>Others</v>
          </cell>
          <cell r="J2642">
            <v>3</v>
          </cell>
          <cell r="K2642" t="str">
            <v>Others</v>
          </cell>
        </row>
        <row r="2643">
          <cell r="D2643">
            <v>511120</v>
          </cell>
          <cell r="E2643" t="str">
            <v>Fabrics, woven; of carded wool or carded fine animal hair, containing less than 85% by weight of wool or fine animal hair, mixed mainly or solely with man-made filaments</v>
          </cell>
          <cell r="F2643">
            <v>0</v>
          </cell>
          <cell r="G2643">
            <v>0</v>
          </cell>
          <cell r="H2643">
            <v>0</v>
          </cell>
          <cell r="I2643" t="str">
            <v>Others</v>
          </cell>
          <cell r="J2643">
            <v>3</v>
          </cell>
          <cell r="K2643" t="str">
            <v>Others</v>
          </cell>
        </row>
        <row r="2644">
          <cell r="D2644">
            <v>511130</v>
          </cell>
          <cell r="E2644" t="str">
            <v>Fabrics, woven; of carded wool or carded fine animal hair, containing less than 85% by weight of wool or fine animal hair, mixed mainly or solely with man-made staple fibres</v>
          </cell>
          <cell r="F2644">
            <v>0</v>
          </cell>
          <cell r="G2644">
            <v>0</v>
          </cell>
          <cell r="H2644">
            <v>0</v>
          </cell>
          <cell r="I2644" t="str">
            <v>Others</v>
          </cell>
          <cell r="J2644">
            <v>3</v>
          </cell>
          <cell r="K2644" t="str">
            <v>Others</v>
          </cell>
        </row>
        <row r="2645">
          <cell r="D2645">
            <v>511190</v>
          </cell>
          <cell r="E2645" t="str">
            <v>Fabrics, woven; of carded wool or carded fine animal hair, containing less than 85% by weight of wool or fine animal hair, mixed mainly or solely with fibres n.e.c. in heading no. 5111</v>
          </cell>
          <cell r="F2645">
            <v>0</v>
          </cell>
          <cell r="G2645">
            <v>0</v>
          </cell>
          <cell r="H2645">
            <v>0</v>
          </cell>
          <cell r="I2645" t="str">
            <v>Others</v>
          </cell>
          <cell r="J2645">
            <v>3</v>
          </cell>
          <cell r="K2645" t="str">
            <v>Others</v>
          </cell>
        </row>
        <row r="2646">
          <cell r="D2646">
            <v>511211</v>
          </cell>
          <cell r="E2646" t="str">
            <v>Fabrics, woven; of combed wool or combed fine animal hair, containing 85% or more by weight of wool or fine animal hair, of a weight not exceeding 200g/m2</v>
          </cell>
          <cell r="F2646">
            <v>0</v>
          </cell>
          <cell r="G2646">
            <v>0</v>
          </cell>
          <cell r="H2646">
            <v>0</v>
          </cell>
          <cell r="I2646" t="str">
            <v>Others</v>
          </cell>
          <cell r="J2646">
            <v>3</v>
          </cell>
          <cell r="K2646" t="str">
            <v>Others</v>
          </cell>
        </row>
        <row r="2647">
          <cell r="D2647">
            <v>511219</v>
          </cell>
          <cell r="E2647" t="str">
            <v>Fabrics, woven; of combed wool or combed fine animal hair, containing 85% or more by weight of wool or fine animal hair, of a weight exceeding 200g/m2</v>
          </cell>
          <cell r="F2647">
            <v>0</v>
          </cell>
          <cell r="G2647">
            <v>0</v>
          </cell>
          <cell r="H2647">
            <v>0</v>
          </cell>
          <cell r="I2647" t="str">
            <v>Others</v>
          </cell>
          <cell r="J2647">
            <v>3</v>
          </cell>
          <cell r="K2647" t="str">
            <v>Others</v>
          </cell>
        </row>
        <row r="2648">
          <cell r="D2648">
            <v>511220</v>
          </cell>
          <cell r="E2648" t="str">
            <v>Fabrics, woven; of combed wool or combed fine animal hair, containing less than 85% by weight of wool or fine animal hair, mixed mainly or solely with man-made filaments</v>
          </cell>
          <cell r="F2648">
            <v>0</v>
          </cell>
          <cell r="G2648">
            <v>0</v>
          </cell>
          <cell r="H2648">
            <v>0</v>
          </cell>
          <cell r="I2648" t="str">
            <v>Others</v>
          </cell>
          <cell r="J2648">
            <v>3</v>
          </cell>
          <cell r="K2648" t="str">
            <v>Others</v>
          </cell>
        </row>
        <row r="2649">
          <cell r="D2649">
            <v>511230</v>
          </cell>
          <cell r="E2649" t="str">
            <v>Fabrics, woven; of combed wool or combed fine animal hair, containing less than 85% by weight of wool or fine animal hair, mixed mainly or solely with man-made staple fibres</v>
          </cell>
          <cell r="F2649">
            <v>0</v>
          </cell>
          <cell r="G2649">
            <v>0</v>
          </cell>
          <cell r="H2649">
            <v>0</v>
          </cell>
          <cell r="I2649" t="str">
            <v>Others</v>
          </cell>
          <cell r="J2649">
            <v>3</v>
          </cell>
          <cell r="K2649" t="str">
            <v>Others</v>
          </cell>
        </row>
        <row r="2650">
          <cell r="D2650">
            <v>511290</v>
          </cell>
          <cell r="E2650" t="str">
            <v>Fabrics, woven; of combed wool or combed fine animal hair, containing less than 85% by weight of wool or fine animal hair, mixed mainly or solely with fibres n.e.c. in heading no. 5112</v>
          </cell>
          <cell r="F2650">
            <v>0</v>
          </cell>
          <cell r="G2650">
            <v>0</v>
          </cell>
          <cell r="H2650">
            <v>0</v>
          </cell>
          <cell r="I2650" t="str">
            <v>Others</v>
          </cell>
          <cell r="J2650">
            <v>3</v>
          </cell>
          <cell r="K2650" t="str">
            <v>Others</v>
          </cell>
        </row>
        <row r="2651">
          <cell r="D2651">
            <v>511300</v>
          </cell>
          <cell r="E2651" t="str">
            <v>Fabrics, woven; of coarse animal hair or of horsehair</v>
          </cell>
          <cell r="F2651">
            <v>0</v>
          </cell>
          <cell r="G2651">
            <v>0</v>
          </cell>
          <cell r="H2651">
            <v>0</v>
          </cell>
          <cell r="I2651" t="str">
            <v>Others</v>
          </cell>
          <cell r="J2651">
            <v>3</v>
          </cell>
          <cell r="K2651" t="str">
            <v>Others</v>
          </cell>
        </row>
        <row r="2652">
          <cell r="D2652">
            <v>520100</v>
          </cell>
          <cell r="E2652" t="str">
            <v>Cotton; not carded or combed</v>
          </cell>
          <cell r="F2652">
            <v>0</v>
          </cell>
          <cell r="G2652">
            <v>0</v>
          </cell>
          <cell r="H2652">
            <v>0</v>
          </cell>
          <cell r="I2652" t="str">
            <v>Others</v>
          </cell>
          <cell r="J2652">
            <v>3</v>
          </cell>
          <cell r="K2652" t="str">
            <v>Others</v>
          </cell>
        </row>
        <row r="2653">
          <cell r="D2653">
            <v>520210</v>
          </cell>
          <cell r="E2653" t="str">
            <v>Cotton; yarn waste (including thread waste)</v>
          </cell>
          <cell r="F2653">
            <v>0</v>
          </cell>
          <cell r="G2653">
            <v>0</v>
          </cell>
          <cell r="H2653">
            <v>0</v>
          </cell>
          <cell r="I2653" t="str">
            <v>Others</v>
          </cell>
          <cell r="J2653">
            <v>3</v>
          </cell>
          <cell r="K2653" t="str">
            <v>Others</v>
          </cell>
        </row>
        <row r="2654">
          <cell r="D2654">
            <v>520291</v>
          </cell>
          <cell r="E2654" t="str">
            <v>Cotton; garnetted stock waste</v>
          </cell>
          <cell r="F2654">
            <v>0</v>
          </cell>
          <cell r="G2654">
            <v>0</v>
          </cell>
          <cell r="H2654">
            <v>0</v>
          </cell>
          <cell r="I2654" t="str">
            <v>Others</v>
          </cell>
          <cell r="J2654">
            <v>3</v>
          </cell>
          <cell r="K2654" t="str">
            <v>Others</v>
          </cell>
        </row>
        <row r="2655">
          <cell r="D2655">
            <v>520299</v>
          </cell>
          <cell r="E2655" t="str">
            <v>Cotton; waste other than garnetted stock and yarn (including thread) waste</v>
          </cell>
          <cell r="F2655">
            <v>0</v>
          </cell>
          <cell r="G2655">
            <v>0</v>
          </cell>
          <cell r="H2655">
            <v>0</v>
          </cell>
          <cell r="I2655" t="str">
            <v>Others</v>
          </cell>
          <cell r="J2655">
            <v>3</v>
          </cell>
          <cell r="K2655" t="str">
            <v>Others</v>
          </cell>
        </row>
        <row r="2656">
          <cell r="D2656">
            <v>520300</v>
          </cell>
          <cell r="E2656" t="str">
            <v>Cotton; carded or combed</v>
          </cell>
          <cell r="F2656">
            <v>0</v>
          </cell>
          <cell r="G2656">
            <v>0</v>
          </cell>
          <cell r="H2656">
            <v>0</v>
          </cell>
          <cell r="I2656" t="str">
            <v>Others</v>
          </cell>
          <cell r="J2656">
            <v>3</v>
          </cell>
          <cell r="K2656" t="str">
            <v>Others</v>
          </cell>
        </row>
        <row r="2657">
          <cell r="D2657">
            <v>520411</v>
          </cell>
          <cell r="E2657" t="str">
            <v>Cotton; sewing thread, containing 85% or more by weight of cotton, not put up for retail sale</v>
          </cell>
          <cell r="F2657">
            <v>0</v>
          </cell>
          <cell r="G2657">
            <v>0</v>
          </cell>
          <cell r="H2657">
            <v>0</v>
          </cell>
          <cell r="I2657" t="str">
            <v>Others</v>
          </cell>
          <cell r="J2657">
            <v>3</v>
          </cell>
          <cell r="K2657" t="str">
            <v>Others</v>
          </cell>
        </row>
        <row r="2658">
          <cell r="D2658">
            <v>520419</v>
          </cell>
          <cell r="E2658" t="str">
            <v>Cotton; sewing thread, containing less than 85% by weight of cotton, not put up for retail sale</v>
          </cell>
          <cell r="F2658">
            <v>0</v>
          </cell>
          <cell r="G2658">
            <v>0</v>
          </cell>
          <cell r="H2658">
            <v>0</v>
          </cell>
          <cell r="I2658" t="str">
            <v>Others</v>
          </cell>
          <cell r="J2658">
            <v>3</v>
          </cell>
          <cell r="K2658" t="str">
            <v>Others</v>
          </cell>
        </row>
        <row r="2659">
          <cell r="D2659">
            <v>520420</v>
          </cell>
          <cell r="E2659" t="str">
            <v>Cotton; sewing thread, put up for retail sale</v>
          </cell>
          <cell r="F2659">
            <v>0</v>
          </cell>
          <cell r="G2659">
            <v>0</v>
          </cell>
          <cell r="H2659">
            <v>0</v>
          </cell>
          <cell r="I2659" t="str">
            <v>Others</v>
          </cell>
          <cell r="J2659">
            <v>3</v>
          </cell>
          <cell r="K2659" t="str">
            <v>Others</v>
          </cell>
        </row>
        <row r="2660">
          <cell r="D2660">
            <v>520511</v>
          </cell>
          <cell r="E2660" t="str">
            <v>Cotton yarn; (not sewing thread), single, of uncombed fibres, 85% or more by weight of cotton, measuring 714.29 decitex or more, (not exceeding 14 metric number), not for retail sale</v>
          </cell>
          <cell r="F2660">
            <v>0</v>
          </cell>
          <cell r="G2660">
            <v>0</v>
          </cell>
          <cell r="H2660">
            <v>0</v>
          </cell>
          <cell r="I2660" t="str">
            <v>Others</v>
          </cell>
          <cell r="J2660">
            <v>3</v>
          </cell>
          <cell r="K2660" t="str">
            <v>Others</v>
          </cell>
        </row>
        <row r="2661">
          <cell r="D2661">
            <v>520512</v>
          </cell>
          <cell r="E2661" t="str">
            <v>Cotton yarn; (not sewing thread), single, of uncombed fibres, 85% or more by weight of cotton, less than 714.29 but not less than 232.56 decitex (exceeding 14 but not exceeding 43 metric number), not for retail sale</v>
          </cell>
          <cell r="F2661">
            <v>0</v>
          </cell>
          <cell r="G2661">
            <v>0</v>
          </cell>
          <cell r="H2661">
            <v>0</v>
          </cell>
          <cell r="I2661" t="str">
            <v>Others</v>
          </cell>
          <cell r="J2661">
            <v>3</v>
          </cell>
          <cell r="K2661" t="str">
            <v>Others</v>
          </cell>
        </row>
        <row r="2662">
          <cell r="D2662">
            <v>520513</v>
          </cell>
          <cell r="E2662" t="str">
            <v>Cotton yarn; (not sewing thread), single, of uncombed fibres, 85% or more by weight of cotton, less than 232.56 but not less than 192.31 decitex (exceeding 43 but not exceeding 52 metric number), not for retail sale</v>
          </cell>
          <cell r="F2662">
            <v>0</v>
          </cell>
          <cell r="G2662">
            <v>0</v>
          </cell>
          <cell r="H2662">
            <v>0</v>
          </cell>
          <cell r="I2662" t="str">
            <v>Others</v>
          </cell>
          <cell r="J2662">
            <v>3</v>
          </cell>
          <cell r="K2662" t="str">
            <v>Others</v>
          </cell>
        </row>
        <row r="2663">
          <cell r="D2663">
            <v>520514</v>
          </cell>
          <cell r="E2663" t="str">
            <v>Cotton yarn; (not sewing thread), single, of uncombed fibres, 85% or more by weight of cotton, less than 192.31 but not less than 125 decitex (exceeding 52 but not exceeding 80 metric number), not for retail sale</v>
          </cell>
          <cell r="F2663">
            <v>0</v>
          </cell>
          <cell r="G2663">
            <v>0</v>
          </cell>
          <cell r="H2663">
            <v>0</v>
          </cell>
          <cell r="I2663" t="str">
            <v>Others</v>
          </cell>
          <cell r="J2663">
            <v>3</v>
          </cell>
          <cell r="K2663" t="str">
            <v>Others</v>
          </cell>
        </row>
        <row r="2664">
          <cell r="D2664">
            <v>520515</v>
          </cell>
          <cell r="E2664" t="str">
            <v>Cotton yarn; (not sewing thread), single, of uncombed fibres, 85% or more by weight of cotton, measuring less than 125 decitex (exceeding 80 metric number), not for retail sale</v>
          </cell>
          <cell r="F2664">
            <v>0</v>
          </cell>
          <cell r="G2664">
            <v>0</v>
          </cell>
          <cell r="H2664">
            <v>0</v>
          </cell>
          <cell r="I2664" t="str">
            <v>Others</v>
          </cell>
          <cell r="J2664">
            <v>3</v>
          </cell>
          <cell r="K2664" t="str">
            <v>Others</v>
          </cell>
        </row>
        <row r="2665">
          <cell r="D2665">
            <v>520521</v>
          </cell>
          <cell r="E2665" t="str">
            <v>Cotton yarn; (not sewing thread), single, of combed fibres, 85% or more by weight of cotton, measuring 714.29 decitex or more, (not exceeding 14 metric number), not for retail sale</v>
          </cell>
          <cell r="F2665">
            <v>0</v>
          </cell>
          <cell r="G2665">
            <v>0</v>
          </cell>
          <cell r="H2665">
            <v>0</v>
          </cell>
          <cell r="I2665" t="str">
            <v>Others</v>
          </cell>
          <cell r="J2665">
            <v>3</v>
          </cell>
          <cell r="K2665" t="str">
            <v>Others</v>
          </cell>
        </row>
        <row r="2666">
          <cell r="D2666">
            <v>520522</v>
          </cell>
          <cell r="E2666" t="str">
            <v>Cotton yarn; (not sewing thread), single, of combed fibres, 85% or more by weight of cotton, less than 714.29 but not less than 232.56 decitex (exceeding 14 but not exceeding 43 metric number), not for retail sale</v>
          </cell>
          <cell r="F2666">
            <v>0</v>
          </cell>
          <cell r="G2666">
            <v>0</v>
          </cell>
          <cell r="H2666">
            <v>0</v>
          </cell>
          <cell r="I2666" t="str">
            <v>Others</v>
          </cell>
          <cell r="J2666">
            <v>3</v>
          </cell>
          <cell r="K2666" t="str">
            <v>Others</v>
          </cell>
        </row>
        <row r="2667">
          <cell r="D2667">
            <v>520523</v>
          </cell>
          <cell r="E2667" t="str">
            <v>Cotton yarn; (not sewing thread), single, of combed fibres, 85% or more by weight of cotton, less than 232.56 but not less than 192.31 decitex (exceeding 43 but not exceeding 52 metric number), not for retail sale</v>
          </cell>
          <cell r="F2667">
            <v>0</v>
          </cell>
          <cell r="G2667">
            <v>0</v>
          </cell>
          <cell r="H2667">
            <v>0</v>
          </cell>
          <cell r="I2667" t="str">
            <v>Others</v>
          </cell>
          <cell r="J2667">
            <v>3</v>
          </cell>
          <cell r="K2667" t="str">
            <v>Others</v>
          </cell>
        </row>
        <row r="2668">
          <cell r="D2668">
            <v>520524</v>
          </cell>
          <cell r="E2668" t="str">
            <v>Cotton yarn; (not sewing thread), single, of combed fibres, 85% or more by weight of cotton, less than 192.31 but not less than 125 decitex (exceeding 52 but not exceeding 80 metric number), not for retail sale</v>
          </cell>
          <cell r="F2668">
            <v>0</v>
          </cell>
          <cell r="G2668">
            <v>0</v>
          </cell>
          <cell r="H2668">
            <v>0</v>
          </cell>
          <cell r="I2668" t="str">
            <v>Others</v>
          </cell>
          <cell r="J2668">
            <v>3</v>
          </cell>
          <cell r="K2668" t="str">
            <v>Others</v>
          </cell>
        </row>
        <row r="2669">
          <cell r="D2669">
            <v>520526</v>
          </cell>
          <cell r="E2669" t="str">
            <v>Cotton yarn; (not sewing thread), single, of combed fibres, 85% or more by weight of cotton, less than 125 but not less than 106.38 decitex (over 80 but not over 94 metric number), not for retail sale</v>
          </cell>
          <cell r="F2669">
            <v>0</v>
          </cell>
          <cell r="G2669">
            <v>0</v>
          </cell>
          <cell r="H2669">
            <v>0</v>
          </cell>
          <cell r="I2669" t="str">
            <v>Others</v>
          </cell>
          <cell r="J2669">
            <v>3</v>
          </cell>
          <cell r="K2669" t="str">
            <v>Others</v>
          </cell>
        </row>
        <row r="2670">
          <cell r="D2670">
            <v>520527</v>
          </cell>
          <cell r="E2670" t="str">
            <v>Cotton yarn; (not sewing thread), single, of combed fibres, 85% or more by weight of cotton, less than 106.38 but not less than 83.33 decitex (over 94 but not over 120 metric number), not for retail sale</v>
          </cell>
          <cell r="F2670">
            <v>0</v>
          </cell>
          <cell r="G2670">
            <v>0</v>
          </cell>
          <cell r="H2670">
            <v>0</v>
          </cell>
          <cell r="I2670" t="str">
            <v>Others</v>
          </cell>
          <cell r="J2670">
            <v>3</v>
          </cell>
          <cell r="K2670" t="str">
            <v>Others</v>
          </cell>
        </row>
        <row r="2671">
          <cell r="D2671">
            <v>520528</v>
          </cell>
          <cell r="E2671" t="str">
            <v>Cotton yarn; (not sewing thread), single, of combed fibres, 85% or more by weight of cotton, measuring less than 83.33 decitex (exceeding 120 metric number), not for retail sale</v>
          </cell>
          <cell r="F2671">
            <v>0</v>
          </cell>
          <cell r="G2671">
            <v>0</v>
          </cell>
          <cell r="H2671">
            <v>0</v>
          </cell>
          <cell r="I2671" t="str">
            <v>Others</v>
          </cell>
          <cell r="J2671">
            <v>3</v>
          </cell>
          <cell r="K2671" t="str">
            <v>Others</v>
          </cell>
        </row>
        <row r="2672">
          <cell r="D2672">
            <v>520531</v>
          </cell>
          <cell r="E2672" t="str">
            <v>Cotton yarn; (not sewing thread), multiple or cabled, of uncombed fibres, 85% or more by weight of cotton, 714.29 decitex or more (not exceeding 14 metric number) per single yarn, not for retail sale</v>
          </cell>
          <cell r="F2672">
            <v>0</v>
          </cell>
          <cell r="G2672">
            <v>0</v>
          </cell>
          <cell r="H2672">
            <v>0</v>
          </cell>
          <cell r="I2672" t="str">
            <v>Others</v>
          </cell>
          <cell r="J2672">
            <v>3</v>
          </cell>
          <cell r="K2672" t="str">
            <v>Others</v>
          </cell>
        </row>
        <row r="2673">
          <cell r="D2673">
            <v>520532</v>
          </cell>
          <cell r="E2673" t="str">
            <v>Cotton yarn; (not sewing thread), multiple or cabled, of uncombed fibres, 85% or more by weight of cotton, 714.28 to 232.56 decitex (15 to 43 metric number) per single yarn, not for retail sale</v>
          </cell>
          <cell r="F2673">
            <v>0</v>
          </cell>
          <cell r="G2673">
            <v>0</v>
          </cell>
          <cell r="H2673">
            <v>0</v>
          </cell>
          <cell r="I2673" t="str">
            <v>Others</v>
          </cell>
          <cell r="J2673">
            <v>3</v>
          </cell>
          <cell r="K2673" t="str">
            <v>Others</v>
          </cell>
        </row>
        <row r="2674">
          <cell r="D2674">
            <v>520533</v>
          </cell>
          <cell r="E2674" t="str">
            <v>Cotton yarn; (not sewing thread), multiple or cabled, of uncombed fibres, 85% or more by weight of cotton, 232.55 to 192.31 decitex (44 to 52 metric number) per single yarn, not for retail sale</v>
          </cell>
          <cell r="F2674">
            <v>0</v>
          </cell>
          <cell r="G2674">
            <v>0</v>
          </cell>
          <cell r="H2674">
            <v>0</v>
          </cell>
          <cell r="I2674" t="str">
            <v>Others</v>
          </cell>
          <cell r="J2674">
            <v>3</v>
          </cell>
          <cell r="K2674" t="str">
            <v>Others</v>
          </cell>
        </row>
        <row r="2675">
          <cell r="D2675">
            <v>520534</v>
          </cell>
          <cell r="E2675" t="str">
            <v>Cotton yarn; (not sewing thread), multiple or cabled, of uncombed fibres, 85% or more by weight of cotton, 192.30 to 125 decitex (53 to 80 metric number) per single yarn, not for retail sale</v>
          </cell>
          <cell r="F2675">
            <v>0</v>
          </cell>
          <cell r="G2675">
            <v>0</v>
          </cell>
          <cell r="H2675">
            <v>0</v>
          </cell>
          <cell r="I2675" t="str">
            <v>Others</v>
          </cell>
          <cell r="J2675">
            <v>3</v>
          </cell>
          <cell r="K2675" t="str">
            <v>Others</v>
          </cell>
        </row>
        <row r="2676">
          <cell r="D2676">
            <v>520535</v>
          </cell>
          <cell r="E2676" t="str">
            <v>Cotton yarn; (not sewing thread), multiple or cabled, of uncombed fibres, 85% or more by weight of cotton, less than 125 decitex (exceeding 80 metric number), per single yarn, not for retail sale</v>
          </cell>
          <cell r="F2676">
            <v>0</v>
          </cell>
          <cell r="G2676">
            <v>0</v>
          </cell>
          <cell r="H2676">
            <v>0</v>
          </cell>
          <cell r="I2676" t="str">
            <v>Others</v>
          </cell>
          <cell r="J2676">
            <v>3</v>
          </cell>
          <cell r="K2676" t="str">
            <v>Others</v>
          </cell>
        </row>
        <row r="2677">
          <cell r="D2677">
            <v>520541</v>
          </cell>
          <cell r="E2677" t="str">
            <v>Cotton yarn; (not sewing thread), multiple or cabled, of combed fibres, 85% or more by weight of cotton, 714.29 decitex or more (not exceeding 14 metric number) per single yarn, not for retail sale</v>
          </cell>
          <cell r="F2677">
            <v>0</v>
          </cell>
          <cell r="G2677">
            <v>0</v>
          </cell>
          <cell r="H2677">
            <v>0</v>
          </cell>
          <cell r="I2677" t="str">
            <v>Others</v>
          </cell>
          <cell r="J2677">
            <v>3</v>
          </cell>
          <cell r="K2677" t="str">
            <v>Others</v>
          </cell>
        </row>
        <row r="2678">
          <cell r="D2678">
            <v>520542</v>
          </cell>
          <cell r="E2678" t="str">
            <v>Cotton yarn; (not sewing thread), multiple or cabled, of combed fibres, 85% or more by weight of cotton, 714.28 to 232.56 decitex (15 to 43 metric number) per single yarn, not for retail sale</v>
          </cell>
          <cell r="F2678">
            <v>0</v>
          </cell>
          <cell r="G2678">
            <v>0</v>
          </cell>
          <cell r="H2678">
            <v>0</v>
          </cell>
          <cell r="I2678" t="str">
            <v>Others</v>
          </cell>
          <cell r="J2678">
            <v>3</v>
          </cell>
          <cell r="K2678" t="str">
            <v>Others</v>
          </cell>
        </row>
        <row r="2679">
          <cell r="D2679">
            <v>520543</v>
          </cell>
          <cell r="E2679" t="str">
            <v>Cotton yarn; (not sewing thread), multiple or cabled, of combed fibres, 85% or more by weight of cotton, 232.55 to 192.31 decitex (44 to 52 metric number) per single yarn, not for retail sale</v>
          </cell>
          <cell r="F2679">
            <v>0</v>
          </cell>
          <cell r="G2679">
            <v>0</v>
          </cell>
          <cell r="H2679">
            <v>0</v>
          </cell>
          <cell r="I2679" t="str">
            <v>Others</v>
          </cell>
          <cell r="J2679">
            <v>3</v>
          </cell>
          <cell r="K2679" t="str">
            <v>Others</v>
          </cell>
        </row>
        <row r="2680">
          <cell r="D2680">
            <v>520544</v>
          </cell>
          <cell r="E2680" t="str">
            <v>Cotton yarn; (not sewing thread), multiple or cabled, of combed fibres, 85% or more by weight of cotton, 192.30 to 125 decitex (53 to 80 metric number) per single yarn, not for retail sale</v>
          </cell>
          <cell r="F2680">
            <v>0</v>
          </cell>
          <cell r="G2680">
            <v>0</v>
          </cell>
          <cell r="H2680">
            <v>0</v>
          </cell>
          <cell r="I2680" t="str">
            <v>Others</v>
          </cell>
          <cell r="J2680">
            <v>3</v>
          </cell>
          <cell r="K2680" t="str">
            <v>Others</v>
          </cell>
        </row>
        <row r="2681">
          <cell r="D2681">
            <v>520546</v>
          </cell>
          <cell r="E2681" t="str">
            <v>Cotton yarn; (not sewing thread), multiple or cabled, of combed fibres, 85% or more by weight of cotton, 124 to 106.38 decitex (81 to 94 metric number) per single yarn, not for retail sale</v>
          </cell>
          <cell r="F2681">
            <v>0</v>
          </cell>
          <cell r="G2681">
            <v>0</v>
          </cell>
          <cell r="H2681">
            <v>0</v>
          </cell>
          <cell r="I2681" t="str">
            <v>Others</v>
          </cell>
          <cell r="J2681">
            <v>3</v>
          </cell>
          <cell r="K2681" t="str">
            <v>Others</v>
          </cell>
        </row>
        <row r="2682">
          <cell r="D2682">
            <v>520547</v>
          </cell>
          <cell r="E2682" t="str">
            <v>Cotton yarn; (not sewing thread), multiple or cabled, of combed fibres, 85% or more by weight of cotton, 106.37 to 83.33 decitex (95 to 120 metric number) per single yarn, not for retail sale</v>
          </cell>
          <cell r="F2682">
            <v>0</v>
          </cell>
          <cell r="G2682">
            <v>0</v>
          </cell>
          <cell r="H2682">
            <v>0</v>
          </cell>
          <cell r="I2682" t="str">
            <v>Others</v>
          </cell>
          <cell r="J2682">
            <v>3</v>
          </cell>
          <cell r="K2682" t="str">
            <v>Others</v>
          </cell>
        </row>
        <row r="2683">
          <cell r="D2683">
            <v>520548</v>
          </cell>
          <cell r="E2683" t="str">
            <v>Cotton yarn; (not sewing thread), multiple or cabled, of combed fibres, 85% or more by weight of cotton, less than 83.33 decitex (exceeding 120 metric number) per single yarn, not for retail sale</v>
          </cell>
          <cell r="F2683">
            <v>0</v>
          </cell>
          <cell r="G2683">
            <v>0</v>
          </cell>
          <cell r="H2683">
            <v>0</v>
          </cell>
          <cell r="I2683" t="str">
            <v>Others</v>
          </cell>
          <cell r="J2683">
            <v>3</v>
          </cell>
          <cell r="K2683" t="str">
            <v>Others</v>
          </cell>
        </row>
        <row r="2684">
          <cell r="D2684">
            <v>520611</v>
          </cell>
          <cell r="E2684" t="str">
            <v>Cotton yarn; (not sewing thread), single, of uncombed fibres, less than 85% by weight of cotton, measuring 714.29 decitex or more (not exceeding 14 metric number), not for retail sale</v>
          </cell>
          <cell r="F2684">
            <v>0</v>
          </cell>
          <cell r="G2684">
            <v>0</v>
          </cell>
          <cell r="H2684">
            <v>0</v>
          </cell>
          <cell r="I2684" t="str">
            <v>Others</v>
          </cell>
          <cell r="J2684">
            <v>3</v>
          </cell>
          <cell r="K2684" t="str">
            <v>Others</v>
          </cell>
        </row>
        <row r="2685">
          <cell r="D2685">
            <v>520612</v>
          </cell>
          <cell r="E2685" t="str">
            <v>Cotton yarn; (not sewing thread), single, of uncombed fibres, less than 85% by weight of cotton, less than 714.29 but not less than 232.56 decitex (exceeding 14 but not exceeding 43 metric number), not for retail sale</v>
          </cell>
          <cell r="F2685">
            <v>0</v>
          </cell>
          <cell r="G2685">
            <v>0</v>
          </cell>
          <cell r="H2685">
            <v>0</v>
          </cell>
          <cell r="I2685" t="str">
            <v>Others</v>
          </cell>
          <cell r="J2685">
            <v>3</v>
          </cell>
          <cell r="K2685" t="str">
            <v>Others</v>
          </cell>
        </row>
        <row r="2686">
          <cell r="D2686">
            <v>520613</v>
          </cell>
          <cell r="E2686" t="str">
            <v>Cotton yarn; (not sewing thread), single, of uncombed fibres, less than 85% by weight of cotton, less than 232.56 but not less than 192.31 decitex (exceeding 43 but not exceeding 52 metric number), not for retail sale</v>
          </cell>
          <cell r="F2686">
            <v>0</v>
          </cell>
          <cell r="G2686">
            <v>0</v>
          </cell>
          <cell r="H2686">
            <v>0</v>
          </cell>
          <cell r="I2686" t="str">
            <v>Others</v>
          </cell>
          <cell r="J2686">
            <v>3</v>
          </cell>
          <cell r="K2686" t="str">
            <v>Others</v>
          </cell>
        </row>
        <row r="2687">
          <cell r="D2687">
            <v>520614</v>
          </cell>
          <cell r="E2687" t="str">
            <v>Cotton yarn; (not sewing thread), single, of uncombed fibres, less than 85% by weight of cotton, less than 192.31 but not less than 125 decitex (exceeding 52 but not exceeding 80 metric number), not for retail sale</v>
          </cell>
          <cell r="F2687">
            <v>0</v>
          </cell>
          <cell r="G2687">
            <v>0</v>
          </cell>
          <cell r="H2687">
            <v>0</v>
          </cell>
          <cell r="I2687" t="str">
            <v>Others</v>
          </cell>
          <cell r="J2687">
            <v>3</v>
          </cell>
          <cell r="K2687" t="str">
            <v>Others</v>
          </cell>
        </row>
        <row r="2688">
          <cell r="D2688">
            <v>520615</v>
          </cell>
          <cell r="E2688" t="str">
            <v>Cotton yarn; (not sewing thread), single, of uncombed fibres, less than 85% by weight of cotton, measuring less than 125 decitex (exceeding 80 metric number), not for retail sale</v>
          </cell>
          <cell r="F2688">
            <v>0</v>
          </cell>
          <cell r="G2688">
            <v>0</v>
          </cell>
          <cell r="H2688">
            <v>0</v>
          </cell>
          <cell r="I2688" t="str">
            <v>Others</v>
          </cell>
          <cell r="J2688">
            <v>3</v>
          </cell>
          <cell r="K2688" t="str">
            <v>Others</v>
          </cell>
        </row>
        <row r="2689">
          <cell r="D2689">
            <v>520621</v>
          </cell>
          <cell r="E2689" t="str">
            <v>Cotton yarn; (not sewing thread), single, of combed fibres, less than 85% by weight of cotton, measuring 714.29 decitex or more, (not exceeding 14 metric number), not for retail sale</v>
          </cell>
          <cell r="F2689">
            <v>0</v>
          </cell>
          <cell r="G2689">
            <v>0</v>
          </cell>
          <cell r="H2689">
            <v>0</v>
          </cell>
          <cell r="I2689" t="str">
            <v>Others</v>
          </cell>
          <cell r="J2689">
            <v>3</v>
          </cell>
          <cell r="K2689" t="str">
            <v>Others</v>
          </cell>
        </row>
        <row r="2690">
          <cell r="D2690">
            <v>520622</v>
          </cell>
          <cell r="E2690" t="str">
            <v>Cotton yarn; (not sewing thread), single, of combed fibres, less than 85% by weight of cotton, less than 714.29 but not less than 232.56 decitex (exceeding 14 but not exceeding 43 metric number), not for retail sale</v>
          </cell>
          <cell r="F2690">
            <v>0</v>
          </cell>
          <cell r="G2690">
            <v>0</v>
          </cell>
          <cell r="H2690">
            <v>0</v>
          </cell>
          <cell r="I2690" t="str">
            <v>Others</v>
          </cell>
          <cell r="J2690">
            <v>3</v>
          </cell>
          <cell r="K2690" t="str">
            <v>Others</v>
          </cell>
        </row>
        <row r="2691">
          <cell r="D2691">
            <v>520623</v>
          </cell>
          <cell r="E2691" t="str">
            <v>Cotton yarn; (not sewing thread), single, of combed fibres, less than 85% by weight of cotton, less than 232.56 but not less than 192.31 decitex (exceeding 43 but not exceeding 52 metric number), not for retail sale</v>
          </cell>
          <cell r="F2691">
            <v>0</v>
          </cell>
          <cell r="G2691">
            <v>0</v>
          </cell>
          <cell r="H2691">
            <v>0</v>
          </cell>
          <cell r="I2691" t="str">
            <v>Others</v>
          </cell>
          <cell r="J2691">
            <v>3</v>
          </cell>
          <cell r="K2691" t="str">
            <v>Others</v>
          </cell>
        </row>
        <row r="2692">
          <cell r="D2692">
            <v>520624</v>
          </cell>
          <cell r="E2692" t="str">
            <v>Cotton yarn; (not sewing thread), single, of combed fibres, less than 85% by weight of cotton, less than 192.31 but not less than 125 decitex (exceeding 52 but not exceeding 80 metric number), not for retail sale</v>
          </cell>
          <cell r="F2692">
            <v>0</v>
          </cell>
          <cell r="G2692">
            <v>0</v>
          </cell>
          <cell r="H2692">
            <v>0</v>
          </cell>
          <cell r="I2692" t="str">
            <v>Others</v>
          </cell>
          <cell r="J2692">
            <v>3</v>
          </cell>
          <cell r="K2692" t="str">
            <v>Others</v>
          </cell>
        </row>
        <row r="2693">
          <cell r="D2693">
            <v>520625</v>
          </cell>
          <cell r="E2693" t="str">
            <v>Cotton yarn; (not sewing thread), single, of combed fibres, less than 85% by weight of cotton, measuring less than 125 decitex (exceeding 80 metric number), not for retail sale</v>
          </cell>
          <cell r="F2693">
            <v>0</v>
          </cell>
          <cell r="G2693">
            <v>0</v>
          </cell>
          <cell r="H2693">
            <v>0</v>
          </cell>
          <cell r="I2693" t="str">
            <v>Others</v>
          </cell>
          <cell r="J2693">
            <v>3</v>
          </cell>
          <cell r="K2693" t="str">
            <v>Others</v>
          </cell>
        </row>
        <row r="2694">
          <cell r="D2694">
            <v>520631</v>
          </cell>
          <cell r="E2694" t="str">
            <v>Cotton yarn; (not sewing thread), multiple or cabled, of uncombed fibres, less than 85% by weight of cotton, 714.29 decitex or more (not exceeding 14 metric number) per single yarn, not for retail sale</v>
          </cell>
          <cell r="F2694">
            <v>0</v>
          </cell>
          <cell r="G2694">
            <v>0</v>
          </cell>
          <cell r="H2694">
            <v>0</v>
          </cell>
          <cell r="I2694" t="str">
            <v>Others</v>
          </cell>
          <cell r="J2694">
            <v>3</v>
          </cell>
          <cell r="K2694" t="str">
            <v>Others</v>
          </cell>
        </row>
        <row r="2695">
          <cell r="D2695">
            <v>520632</v>
          </cell>
          <cell r="E2695" t="str">
            <v>Cotton yarn; (not sewing thread), multiple or cabled, of uncombed fibres, less than 85% by weight of cotton, 714.28 to 232.56 decitex (15 to 43 metric number) per single yarn, not for retail sale</v>
          </cell>
          <cell r="F2695">
            <v>0</v>
          </cell>
          <cell r="G2695">
            <v>0</v>
          </cell>
          <cell r="H2695">
            <v>0</v>
          </cell>
          <cell r="I2695" t="str">
            <v>Others</v>
          </cell>
          <cell r="J2695">
            <v>3</v>
          </cell>
          <cell r="K2695" t="str">
            <v>Others</v>
          </cell>
        </row>
        <row r="2696">
          <cell r="D2696">
            <v>520633</v>
          </cell>
          <cell r="E2696" t="str">
            <v>Cotton yarn; (not sewing thread), multiple or cabled, of uncombed fibres, less than 85% by weight of cotton, 232.55 to 192.31 decitex (44 to 52 metric number) per single yarn, not for retail sale</v>
          </cell>
          <cell r="F2696">
            <v>0</v>
          </cell>
          <cell r="G2696">
            <v>0</v>
          </cell>
          <cell r="H2696">
            <v>0</v>
          </cell>
          <cell r="I2696" t="str">
            <v>Others</v>
          </cell>
          <cell r="J2696">
            <v>3</v>
          </cell>
          <cell r="K2696" t="str">
            <v>Others</v>
          </cell>
        </row>
        <row r="2697">
          <cell r="D2697">
            <v>520634</v>
          </cell>
          <cell r="E2697" t="str">
            <v>Cotton yarn; (not sewing thread), multiple or cabled, of uncombed fibres, less than 85% by weight of cotton, 192.30 to 125 decitex (53 to 80 metric number) per single yarn, not for retail sale</v>
          </cell>
          <cell r="F2697">
            <v>0</v>
          </cell>
          <cell r="G2697">
            <v>0</v>
          </cell>
          <cell r="H2697">
            <v>0</v>
          </cell>
          <cell r="I2697" t="str">
            <v>Others</v>
          </cell>
          <cell r="J2697">
            <v>3</v>
          </cell>
          <cell r="K2697" t="str">
            <v>Others</v>
          </cell>
        </row>
        <row r="2698">
          <cell r="D2698">
            <v>520635</v>
          </cell>
          <cell r="E2698" t="str">
            <v>Cotton yarn; (not sewing thread), multiple or cabled, of uncombed fibres, less than 85% by weight of cotton, less than 125 decitex (exceeding 80 metric number) per single yarn, not for retail sale</v>
          </cell>
          <cell r="F2698">
            <v>0</v>
          </cell>
          <cell r="G2698">
            <v>0</v>
          </cell>
          <cell r="H2698">
            <v>0</v>
          </cell>
          <cell r="I2698" t="str">
            <v>Others</v>
          </cell>
          <cell r="J2698">
            <v>3</v>
          </cell>
          <cell r="K2698" t="str">
            <v>Others</v>
          </cell>
        </row>
        <row r="2699">
          <cell r="D2699">
            <v>520641</v>
          </cell>
          <cell r="E2699" t="str">
            <v>Cotton yarn; (not sewing thread), multiple or cabled, of combed fibres, less than 85% by weight of cotton, 714.29 decitex or more (not exceeding 14 metric number) per single yarn, not for retail sale</v>
          </cell>
          <cell r="F2699">
            <v>0</v>
          </cell>
          <cell r="G2699">
            <v>0</v>
          </cell>
          <cell r="H2699">
            <v>0</v>
          </cell>
          <cell r="I2699" t="str">
            <v>Others</v>
          </cell>
          <cell r="J2699">
            <v>3</v>
          </cell>
          <cell r="K2699" t="str">
            <v>Others</v>
          </cell>
        </row>
        <row r="2700">
          <cell r="D2700">
            <v>520642</v>
          </cell>
          <cell r="E2700" t="str">
            <v>Cotton yarn; (not sewing thread), multiple or cabled, of combed fibres, less than 85% by weight of cotton, 714.28 to 232.56 decitex (15 to 43 metric number) per single yarn, not for retail sale</v>
          </cell>
          <cell r="F2700">
            <v>0</v>
          </cell>
          <cell r="G2700">
            <v>0</v>
          </cell>
          <cell r="H2700">
            <v>0</v>
          </cell>
          <cell r="I2700" t="str">
            <v>Others</v>
          </cell>
          <cell r="J2700">
            <v>3</v>
          </cell>
          <cell r="K2700" t="str">
            <v>Others</v>
          </cell>
        </row>
        <row r="2701">
          <cell r="D2701">
            <v>520643</v>
          </cell>
          <cell r="E2701" t="str">
            <v>Cotton yarn; (not sewing thread), multiple or cabled, of combed fibres, less than 85% by weight of cotton, 232.55 to 192.31 decitex (44 to 52 metric number) per single yarn, not for retail sale</v>
          </cell>
          <cell r="F2701">
            <v>0</v>
          </cell>
          <cell r="G2701">
            <v>0</v>
          </cell>
          <cell r="H2701">
            <v>0</v>
          </cell>
          <cell r="I2701" t="str">
            <v>Others</v>
          </cell>
          <cell r="J2701">
            <v>3</v>
          </cell>
          <cell r="K2701" t="str">
            <v>Others</v>
          </cell>
        </row>
        <row r="2702">
          <cell r="D2702">
            <v>520644</v>
          </cell>
          <cell r="E2702" t="str">
            <v>Cotton yarn; (not sewing thread), multiple or cabled, of combed fibres, less than 85% by weight of cotton, 192.30 to 125 decitex (53 to 80 metric number) per single yarn, not for retail sale</v>
          </cell>
          <cell r="F2702">
            <v>0</v>
          </cell>
          <cell r="G2702">
            <v>0</v>
          </cell>
          <cell r="H2702">
            <v>0</v>
          </cell>
          <cell r="I2702" t="str">
            <v>Others</v>
          </cell>
          <cell r="J2702">
            <v>3</v>
          </cell>
          <cell r="K2702" t="str">
            <v>Others</v>
          </cell>
        </row>
        <row r="2703">
          <cell r="D2703">
            <v>520645</v>
          </cell>
          <cell r="E2703" t="str">
            <v>Cotton yarn; (not sewing thread), multiple or cabled, of combed fibres, less than 85% by weight of cotton, less than 125 decitex (exceeding 80 metric number) per single yarn, not for retail sale</v>
          </cell>
          <cell r="F2703">
            <v>0</v>
          </cell>
          <cell r="G2703">
            <v>0</v>
          </cell>
          <cell r="H2703">
            <v>0</v>
          </cell>
          <cell r="I2703" t="str">
            <v>Others</v>
          </cell>
          <cell r="J2703">
            <v>3</v>
          </cell>
          <cell r="K2703" t="str">
            <v>Others</v>
          </cell>
        </row>
        <row r="2704">
          <cell r="D2704">
            <v>520710</v>
          </cell>
          <cell r="E2704" t="str">
            <v>Cotton yarn; (not sewing thread), containing 85% or more by weight of cotton, put up for retail sale</v>
          </cell>
          <cell r="F2704">
            <v>0</v>
          </cell>
          <cell r="G2704">
            <v>0</v>
          </cell>
          <cell r="H2704">
            <v>0</v>
          </cell>
          <cell r="I2704" t="str">
            <v>Others</v>
          </cell>
          <cell r="J2704">
            <v>3</v>
          </cell>
          <cell r="K2704" t="str">
            <v>Others</v>
          </cell>
        </row>
        <row r="2705">
          <cell r="D2705">
            <v>520790</v>
          </cell>
          <cell r="E2705" t="str">
            <v>Cotton yarn; (not sewing thread), containing less than 85% by weight of cotton, put up for retail sale</v>
          </cell>
          <cell r="F2705">
            <v>0</v>
          </cell>
          <cell r="G2705">
            <v>0</v>
          </cell>
          <cell r="H2705">
            <v>0</v>
          </cell>
          <cell r="I2705" t="str">
            <v>Others</v>
          </cell>
          <cell r="J2705">
            <v>3</v>
          </cell>
          <cell r="K2705" t="str">
            <v>Others</v>
          </cell>
        </row>
        <row r="2706">
          <cell r="D2706">
            <v>520811</v>
          </cell>
          <cell r="E2706" t="str">
            <v>Fabrics, woven; containing 85% or more by weight of cotton, unbleached, plain weave, weighing not more than 100g/m2</v>
          </cell>
          <cell r="F2706">
            <v>0</v>
          </cell>
          <cell r="G2706">
            <v>0</v>
          </cell>
          <cell r="H2706">
            <v>0</v>
          </cell>
          <cell r="I2706" t="str">
            <v>Others</v>
          </cell>
          <cell r="J2706">
            <v>3</v>
          </cell>
          <cell r="K2706" t="str">
            <v>Others</v>
          </cell>
        </row>
        <row r="2707">
          <cell r="D2707">
            <v>520812</v>
          </cell>
          <cell r="E2707" t="str">
            <v>Fabrics, woven; containing 85% or more by weight of cotton, unbleached, plain weave, weighing more than 100g/m2 but not more than 200g/m2</v>
          </cell>
          <cell r="F2707">
            <v>0</v>
          </cell>
          <cell r="G2707">
            <v>0</v>
          </cell>
          <cell r="H2707">
            <v>0</v>
          </cell>
          <cell r="I2707" t="str">
            <v>Others</v>
          </cell>
          <cell r="J2707">
            <v>3</v>
          </cell>
          <cell r="K2707" t="str">
            <v>Others</v>
          </cell>
        </row>
        <row r="2708">
          <cell r="D2708">
            <v>520813</v>
          </cell>
          <cell r="E2708" t="str">
            <v>Fabrics, woven; containing 85% or more by weight of cotton, unbleached, 3-thread or 4-thread twill, including cross twill, weighing not more than 200g/m2</v>
          </cell>
          <cell r="F2708">
            <v>0</v>
          </cell>
          <cell r="G2708">
            <v>0</v>
          </cell>
          <cell r="H2708">
            <v>0</v>
          </cell>
          <cell r="I2708" t="str">
            <v>Others</v>
          </cell>
          <cell r="J2708">
            <v>3</v>
          </cell>
          <cell r="K2708" t="str">
            <v>Others</v>
          </cell>
        </row>
        <row r="2709">
          <cell r="D2709">
            <v>520819</v>
          </cell>
          <cell r="E2709" t="str">
            <v>Fabrics, woven; containing 85% or more by weight of cotton, unbleached, of weaves n.e.c. in item no. 5208.1, weighing not more than 200g/m2</v>
          </cell>
          <cell r="F2709">
            <v>0</v>
          </cell>
          <cell r="G2709">
            <v>0</v>
          </cell>
          <cell r="H2709">
            <v>0</v>
          </cell>
          <cell r="I2709" t="str">
            <v>Others</v>
          </cell>
          <cell r="J2709">
            <v>3</v>
          </cell>
          <cell r="K2709" t="str">
            <v>Others</v>
          </cell>
        </row>
        <row r="2710">
          <cell r="D2710">
            <v>520821</v>
          </cell>
          <cell r="E2710" t="str">
            <v>Fabrics, woven; containing 85% or more by weight of cotton, bleached, plain weave, weighing not more than 100g/m2</v>
          </cell>
          <cell r="F2710">
            <v>0</v>
          </cell>
          <cell r="G2710">
            <v>0</v>
          </cell>
          <cell r="H2710">
            <v>0</v>
          </cell>
          <cell r="I2710" t="str">
            <v>Others</v>
          </cell>
          <cell r="J2710">
            <v>3</v>
          </cell>
          <cell r="K2710" t="str">
            <v>Others</v>
          </cell>
        </row>
        <row r="2711">
          <cell r="D2711">
            <v>520822</v>
          </cell>
          <cell r="E2711" t="str">
            <v>Fabrics, woven; containing 85% or more by weight of cotton, bleached, plain weave, weighing more than 100g/m2 but not more than 200g/m2</v>
          </cell>
          <cell r="F2711">
            <v>0</v>
          </cell>
          <cell r="G2711">
            <v>0</v>
          </cell>
          <cell r="H2711">
            <v>0</v>
          </cell>
          <cell r="I2711" t="str">
            <v>Others</v>
          </cell>
          <cell r="J2711">
            <v>3</v>
          </cell>
          <cell r="K2711" t="str">
            <v>Others</v>
          </cell>
        </row>
        <row r="2712">
          <cell r="D2712">
            <v>520823</v>
          </cell>
          <cell r="E2712" t="str">
            <v>Fabrics, woven; containing 85% or more by weight of cotton, bleached, 3-thread or 4-thread twill, including cross twill, weighing not more than 200g/m2</v>
          </cell>
          <cell r="F2712">
            <v>0</v>
          </cell>
          <cell r="G2712">
            <v>0</v>
          </cell>
          <cell r="H2712">
            <v>0</v>
          </cell>
          <cell r="I2712" t="str">
            <v>Others</v>
          </cell>
          <cell r="J2712">
            <v>3</v>
          </cell>
          <cell r="K2712" t="str">
            <v>Others</v>
          </cell>
        </row>
        <row r="2713">
          <cell r="D2713">
            <v>520829</v>
          </cell>
          <cell r="E2713" t="str">
            <v>Fabrics, woven; containing 85% or more by weight of cotton, bleached, of weaves n.e.c. in item no. 5208.2, weighing not more than 200g/m2</v>
          </cell>
          <cell r="F2713">
            <v>0</v>
          </cell>
          <cell r="G2713">
            <v>0</v>
          </cell>
          <cell r="H2713">
            <v>0</v>
          </cell>
          <cell r="I2713" t="str">
            <v>Others</v>
          </cell>
          <cell r="J2713">
            <v>3</v>
          </cell>
          <cell r="K2713" t="str">
            <v>Others</v>
          </cell>
        </row>
        <row r="2714">
          <cell r="D2714">
            <v>520831</v>
          </cell>
          <cell r="E2714" t="str">
            <v>Fabrics, woven; containing 85% or more by weight of cotton, dyed, plain weave, weighing not more than 100g/m2</v>
          </cell>
          <cell r="F2714">
            <v>0</v>
          </cell>
          <cell r="G2714">
            <v>0</v>
          </cell>
          <cell r="H2714">
            <v>0</v>
          </cell>
          <cell r="I2714" t="str">
            <v>Others</v>
          </cell>
          <cell r="J2714">
            <v>3</v>
          </cell>
          <cell r="K2714" t="str">
            <v>Others</v>
          </cell>
        </row>
        <row r="2715">
          <cell r="D2715">
            <v>520832</v>
          </cell>
          <cell r="E2715" t="str">
            <v>Fabrics, woven; containing 85% or more by weight of cotton, dyed, plain weave, weighing more than 100g/m2 but not more than 200g/m2</v>
          </cell>
          <cell r="F2715">
            <v>0</v>
          </cell>
          <cell r="G2715">
            <v>0</v>
          </cell>
          <cell r="H2715">
            <v>0</v>
          </cell>
          <cell r="I2715" t="str">
            <v>Others</v>
          </cell>
          <cell r="J2715">
            <v>3</v>
          </cell>
          <cell r="K2715" t="str">
            <v>Others</v>
          </cell>
        </row>
        <row r="2716">
          <cell r="D2716">
            <v>520833</v>
          </cell>
          <cell r="E2716" t="str">
            <v>Fabrics, woven; containing 85% or more by weight of cotton, dyed, 3-thread or 4-thread twill, including cross twill, weighing not more than 200g/m2</v>
          </cell>
          <cell r="F2716">
            <v>0</v>
          </cell>
          <cell r="G2716">
            <v>0</v>
          </cell>
          <cell r="H2716">
            <v>0</v>
          </cell>
          <cell r="I2716" t="str">
            <v>Others</v>
          </cell>
          <cell r="J2716">
            <v>3</v>
          </cell>
          <cell r="K2716" t="str">
            <v>Others</v>
          </cell>
        </row>
        <row r="2717">
          <cell r="D2717">
            <v>520839</v>
          </cell>
          <cell r="E2717" t="str">
            <v>Fabrics, woven; containing 85% or more by weight of cotton, dyed, of weaves n.e.c. in item no. 5208.3 weighing not more than 200g/m2</v>
          </cell>
          <cell r="F2717">
            <v>0</v>
          </cell>
          <cell r="G2717">
            <v>0</v>
          </cell>
          <cell r="H2717">
            <v>0</v>
          </cell>
          <cell r="I2717" t="str">
            <v>Others</v>
          </cell>
          <cell r="J2717">
            <v>3</v>
          </cell>
          <cell r="K2717" t="str">
            <v>Others</v>
          </cell>
        </row>
        <row r="2718">
          <cell r="D2718">
            <v>520841</v>
          </cell>
          <cell r="E2718" t="str">
            <v>Fabrics, woven; containing 85% or more by weight of cotton, of yarns of different colours, plain weave, weighing not more than 100g/m2</v>
          </cell>
          <cell r="F2718">
            <v>0</v>
          </cell>
          <cell r="G2718">
            <v>0</v>
          </cell>
          <cell r="H2718">
            <v>0</v>
          </cell>
          <cell r="I2718" t="str">
            <v>Others</v>
          </cell>
          <cell r="J2718">
            <v>3</v>
          </cell>
          <cell r="K2718" t="str">
            <v>Others</v>
          </cell>
        </row>
        <row r="2719">
          <cell r="D2719">
            <v>520842</v>
          </cell>
          <cell r="E2719" t="str">
            <v>Fabrics, woven; containing 85% or more by weight of cotton, of yarns of different colours, weighing more than 100g/m2 but not more than 200g/m2</v>
          </cell>
          <cell r="F2719">
            <v>0</v>
          </cell>
          <cell r="G2719">
            <v>0</v>
          </cell>
          <cell r="H2719">
            <v>0</v>
          </cell>
          <cell r="I2719" t="str">
            <v>Others</v>
          </cell>
          <cell r="J2719">
            <v>3</v>
          </cell>
          <cell r="K2719" t="str">
            <v>Others</v>
          </cell>
        </row>
        <row r="2720">
          <cell r="D2720">
            <v>520843</v>
          </cell>
          <cell r="E2720" t="str">
            <v>Fabrics, woven; containing 85% or more by weight of cotton, of yarns of different colours, 3-thread or 4-thread twill, including cross twill, weighing not more than 200g/m2</v>
          </cell>
          <cell r="F2720">
            <v>0</v>
          </cell>
          <cell r="G2720">
            <v>0</v>
          </cell>
          <cell r="H2720">
            <v>0</v>
          </cell>
          <cell r="I2720" t="str">
            <v>Others</v>
          </cell>
          <cell r="J2720">
            <v>3</v>
          </cell>
          <cell r="K2720" t="str">
            <v>Others</v>
          </cell>
        </row>
        <row r="2721">
          <cell r="D2721">
            <v>520849</v>
          </cell>
          <cell r="E2721" t="str">
            <v>Fabrics, woven; containing 85% or more by weight of cotton, of yarns of different colours, of weaves n.e.c. in item no. 5208.4, weighing not more than 200g/m2</v>
          </cell>
          <cell r="F2721">
            <v>0</v>
          </cell>
          <cell r="G2721">
            <v>0</v>
          </cell>
          <cell r="H2721">
            <v>0</v>
          </cell>
          <cell r="I2721" t="str">
            <v>Others</v>
          </cell>
          <cell r="J2721">
            <v>3</v>
          </cell>
          <cell r="K2721" t="str">
            <v>Others</v>
          </cell>
        </row>
        <row r="2722">
          <cell r="D2722">
            <v>520851</v>
          </cell>
          <cell r="E2722" t="str">
            <v>Fabrics, woven; containing 85% or more by weight of cotton, printed, plain weave, weighing not more than 100g/m2</v>
          </cell>
          <cell r="F2722">
            <v>0</v>
          </cell>
          <cell r="G2722">
            <v>0</v>
          </cell>
          <cell r="H2722">
            <v>0</v>
          </cell>
          <cell r="I2722" t="str">
            <v>Others</v>
          </cell>
          <cell r="J2722">
            <v>3</v>
          </cell>
          <cell r="K2722" t="str">
            <v>Others</v>
          </cell>
        </row>
        <row r="2723">
          <cell r="D2723">
            <v>520852</v>
          </cell>
          <cell r="E2723" t="str">
            <v>Fabrics, woven; containing 85% or more by weight of cotton, printed, plain weave, weighing more than 100g/m2 but not more than 200g/m2</v>
          </cell>
          <cell r="F2723">
            <v>0</v>
          </cell>
          <cell r="G2723">
            <v>0</v>
          </cell>
          <cell r="H2723">
            <v>0</v>
          </cell>
          <cell r="I2723" t="str">
            <v>Others</v>
          </cell>
          <cell r="J2723">
            <v>3</v>
          </cell>
          <cell r="K2723" t="str">
            <v>Others</v>
          </cell>
        </row>
        <row r="2724">
          <cell r="D2724">
            <v>520859</v>
          </cell>
          <cell r="E2724" t="str">
            <v>Fabrics, woven; containing 85% or more by weight of cotton, printed, of weaves n.e.c. in item no. 5208.5, weighing not more than 200g/m2</v>
          </cell>
          <cell r="F2724">
            <v>0</v>
          </cell>
          <cell r="G2724">
            <v>0</v>
          </cell>
          <cell r="H2724">
            <v>0</v>
          </cell>
          <cell r="I2724" t="str">
            <v>Others</v>
          </cell>
          <cell r="J2724">
            <v>3</v>
          </cell>
          <cell r="K2724" t="str">
            <v>Others</v>
          </cell>
        </row>
        <row r="2725">
          <cell r="D2725">
            <v>520911</v>
          </cell>
          <cell r="E2725" t="str">
            <v>Fabrics, woven; containing 85% or more by weight of cotton, unbleached, plain weave, weighing more than 200g/m2</v>
          </cell>
          <cell r="F2725">
            <v>0</v>
          </cell>
          <cell r="G2725">
            <v>0</v>
          </cell>
          <cell r="H2725">
            <v>0</v>
          </cell>
          <cell r="I2725" t="str">
            <v>Others</v>
          </cell>
          <cell r="J2725">
            <v>3</v>
          </cell>
          <cell r="K2725" t="str">
            <v>Others</v>
          </cell>
        </row>
        <row r="2726">
          <cell r="D2726">
            <v>520912</v>
          </cell>
          <cell r="E2726" t="str">
            <v>Fabrics, woven; containing 85% or more by weight of cotton, unbleached, 3-thread or 4-thread twill, including cross twill, weighing more than 200g/m2</v>
          </cell>
          <cell r="F2726">
            <v>0</v>
          </cell>
          <cell r="G2726">
            <v>0</v>
          </cell>
          <cell r="H2726">
            <v>0</v>
          </cell>
          <cell r="I2726" t="str">
            <v>Others</v>
          </cell>
          <cell r="J2726">
            <v>3</v>
          </cell>
          <cell r="K2726" t="str">
            <v>Others</v>
          </cell>
        </row>
        <row r="2727">
          <cell r="D2727">
            <v>520919</v>
          </cell>
          <cell r="E2727" t="str">
            <v>Fabrics, woven; containing 85% or more by weight of cotton, unbleached, of weaves n.e.c. in item no. 5209.1, weighing more than 200g/m2</v>
          </cell>
          <cell r="F2727">
            <v>0</v>
          </cell>
          <cell r="G2727">
            <v>0</v>
          </cell>
          <cell r="H2727">
            <v>0</v>
          </cell>
          <cell r="I2727" t="str">
            <v>Others</v>
          </cell>
          <cell r="J2727">
            <v>3</v>
          </cell>
          <cell r="K2727" t="str">
            <v>Others</v>
          </cell>
        </row>
        <row r="2728">
          <cell r="D2728">
            <v>520921</v>
          </cell>
          <cell r="E2728" t="str">
            <v>Fabrics, woven; containing 85% or more by weight of cotton, bleached, plain weave, weighing more than 200g/m2</v>
          </cell>
          <cell r="F2728">
            <v>0</v>
          </cell>
          <cell r="G2728">
            <v>0</v>
          </cell>
          <cell r="H2728">
            <v>0</v>
          </cell>
          <cell r="I2728" t="str">
            <v>Others</v>
          </cell>
          <cell r="J2728">
            <v>3</v>
          </cell>
          <cell r="K2728" t="str">
            <v>Others</v>
          </cell>
        </row>
        <row r="2729">
          <cell r="D2729">
            <v>520922</v>
          </cell>
          <cell r="E2729" t="str">
            <v>Fabrics, woven; containing 85% or more by weight of cotton, bleached, 3-thread or 4-thread twill, including cross twill, weighing more than 200g/m2</v>
          </cell>
          <cell r="F2729">
            <v>0</v>
          </cell>
          <cell r="G2729">
            <v>0</v>
          </cell>
          <cell r="H2729">
            <v>0</v>
          </cell>
          <cell r="I2729" t="str">
            <v>Others</v>
          </cell>
          <cell r="J2729">
            <v>3</v>
          </cell>
          <cell r="K2729" t="str">
            <v>Others</v>
          </cell>
        </row>
        <row r="2730">
          <cell r="D2730">
            <v>520929</v>
          </cell>
          <cell r="E2730" t="str">
            <v>Fabrics, woven; containing 85% or more by weight of cotton, bleached, of weaves n.e.c. in item no. 5209.2, weighing more than 200g/m2</v>
          </cell>
          <cell r="F2730">
            <v>0</v>
          </cell>
          <cell r="G2730">
            <v>0</v>
          </cell>
          <cell r="H2730">
            <v>0</v>
          </cell>
          <cell r="I2730" t="str">
            <v>Others</v>
          </cell>
          <cell r="J2730">
            <v>3</v>
          </cell>
          <cell r="K2730" t="str">
            <v>Others</v>
          </cell>
        </row>
        <row r="2731">
          <cell r="D2731">
            <v>520931</v>
          </cell>
          <cell r="E2731" t="str">
            <v>Fabrics, woven; containing 85% or more by weight of cotton, dyed, plain weave, weighing more than 200g/m2</v>
          </cell>
          <cell r="F2731">
            <v>0</v>
          </cell>
          <cell r="G2731">
            <v>0</v>
          </cell>
          <cell r="H2731">
            <v>0</v>
          </cell>
          <cell r="I2731" t="str">
            <v>Others</v>
          </cell>
          <cell r="J2731">
            <v>3</v>
          </cell>
          <cell r="K2731" t="str">
            <v>Others</v>
          </cell>
        </row>
        <row r="2732">
          <cell r="D2732">
            <v>520932</v>
          </cell>
          <cell r="E2732" t="str">
            <v>Fabrics, woven; containing 85% or more by weight of cotton, dyed, 3-thread or 4-thread twill, including cross twill, weighing more than 200g/m2</v>
          </cell>
          <cell r="F2732">
            <v>0</v>
          </cell>
          <cell r="G2732">
            <v>0</v>
          </cell>
          <cell r="H2732">
            <v>0</v>
          </cell>
          <cell r="I2732" t="str">
            <v>Others</v>
          </cell>
          <cell r="J2732">
            <v>3</v>
          </cell>
          <cell r="K2732" t="str">
            <v>Others</v>
          </cell>
        </row>
        <row r="2733">
          <cell r="D2733">
            <v>520939</v>
          </cell>
          <cell r="E2733" t="str">
            <v>Fabrics, woven; containing 85% or more by weight of cotton, dyed, of weaves n.e.c. in item no. 5209.3, weighing more than 200g/m2</v>
          </cell>
          <cell r="F2733" t="str">
            <v>Consumables</v>
          </cell>
          <cell r="G2733">
            <v>0</v>
          </cell>
          <cell r="H2733">
            <v>0</v>
          </cell>
          <cell r="I2733" t="str">
            <v>Others</v>
          </cell>
          <cell r="J2733">
            <v>2</v>
          </cell>
          <cell r="K2733" t="str">
            <v>Consumables - rc</v>
          </cell>
        </row>
        <row r="2734">
          <cell r="D2734">
            <v>520941</v>
          </cell>
          <cell r="E2734" t="str">
            <v>Fabrics, woven; containing 85% or more by weight of cotton, of yarns of different colours, plain weave, weighing more than 200g/m2</v>
          </cell>
          <cell r="F2734">
            <v>0</v>
          </cell>
          <cell r="G2734">
            <v>0</v>
          </cell>
          <cell r="H2734">
            <v>0</v>
          </cell>
          <cell r="I2734" t="str">
            <v>Others</v>
          </cell>
          <cell r="J2734">
            <v>3</v>
          </cell>
          <cell r="K2734" t="str">
            <v>Others</v>
          </cell>
        </row>
        <row r="2735">
          <cell r="D2735">
            <v>520942</v>
          </cell>
          <cell r="E2735" t="str">
            <v>Fabrics, woven; containing 85% or more by weight of cotton, of yarns of different colours, weighing more than 200g/m2, denim</v>
          </cell>
          <cell r="F2735">
            <v>0</v>
          </cell>
          <cell r="G2735">
            <v>0</v>
          </cell>
          <cell r="H2735">
            <v>0</v>
          </cell>
          <cell r="I2735" t="str">
            <v>Others</v>
          </cell>
          <cell r="J2735">
            <v>3</v>
          </cell>
          <cell r="K2735" t="str">
            <v>Others</v>
          </cell>
        </row>
        <row r="2736">
          <cell r="D2736">
            <v>520943</v>
          </cell>
          <cell r="E2736" t="str">
            <v>Fabrics, woven; containing 85% or more by weight of cotton, of yarns of different colours, 3-thread or 4-thread twill, including cross twill, weighing more than 200g/m2</v>
          </cell>
          <cell r="F2736">
            <v>0</v>
          </cell>
          <cell r="G2736">
            <v>0</v>
          </cell>
          <cell r="H2736">
            <v>0</v>
          </cell>
          <cell r="I2736" t="str">
            <v>Others</v>
          </cell>
          <cell r="J2736">
            <v>3</v>
          </cell>
          <cell r="K2736" t="str">
            <v>Others</v>
          </cell>
        </row>
        <row r="2737">
          <cell r="D2737">
            <v>520949</v>
          </cell>
          <cell r="E2737" t="str">
            <v>Fabrics, woven; containing 85% or more by weight of cotton, of yarns of different colours, of weaves n.e.c. in item no. 5209.4, weighing more than 200g/m2</v>
          </cell>
          <cell r="F2737">
            <v>0</v>
          </cell>
          <cell r="G2737">
            <v>0</v>
          </cell>
          <cell r="H2737">
            <v>0</v>
          </cell>
          <cell r="I2737" t="str">
            <v>Others</v>
          </cell>
          <cell r="J2737">
            <v>3</v>
          </cell>
          <cell r="K2737" t="str">
            <v>Others</v>
          </cell>
        </row>
        <row r="2738">
          <cell r="D2738">
            <v>520951</v>
          </cell>
          <cell r="E2738" t="str">
            <v>Fabrics, woven; containing 85% or more by weight of cotton, printed, plain weave, weighing more than 200g/m2</v>
          </cell>
          <cell r="F2738">
            <v>0</v>
          </cell>
          <cell r="G2738">
            <v>0</v>
          </cell>
          <cell r="H2738">
            <v>0</v>
          </cell>
          <cell r="I2738" t="str">
            <v>Others</v>
          </cell>
          <cell r="J2738">
            <v>3</v>
          </cell>
          <cell r="K2738" t="str">
            <v>Others</v>
          </cell>
        </row>
        <row r="2739">
          <cell r="D2739">
            <v>520952</v>
          </cell>
          <cell r="E2739" t="str">
            <v>Fabrics, woven; containing 85% or more by weight of cotton, printed, 3-thread or 4-thread twill, including cross twill, weighing more than 200g/m2</v>
          </cell>
          <cell r="F2739">
            <v>0</v>
          </cell>
          <cell r="G2739">
            <v>0</v>
          </cell>
          <cell r="H2739">
            <v>0</v>
          </cell>
          <cell r="I2739" t="str">
            <v>Others</v>
          </cell>
          <cell r="J2739">
            <v>3</v>
          </cell>
          <cell r="K2739" t="str">
            <v>Others</v>
          </cell>
        </row>
        <row r="2740">
          <cell r="D2740">
            <v>520959</v>
          </cell>
          <cell r="E2740" t="str">
            <v>Fabrics, woven; containing 85% or more by weight of cotton, printed, of weaves n.e.c. in item no. 5209.5, weighing more than 200g/m2</v>
          </cell>
          <cell r="F2740">
            <v>0</v>
          </cell>
          <cell r="G2740">
            <v>0</v>
          </cell>
          <cell r="H2740">
            <v>0</v>
          </cell>
          <cell r="I2740" t="str">
            <v>Others</v>
          </cell>
          <cell r="J2740">
            <v>3</v>
          </cell>
          <cell r="K2740" t="str">
            <v>Others</v>
          </cell>
        </row>
        <row r="2741">
          <cell r="D2741">
            <v>521011</v>
          </cell>
          <cell r="E2741" t="str">
            <v>Fabrics, woven; containing less than 85% by weight of cotton, mixed mainly or solely with man-made fibres, unbleached, plain weave, weighing 200g/m2 or less</v>
          </cell>
          <cell r="F2741">
            <v>0</v>
          </cell>
          <cell r="G2741">
            <v>0</v>
          </cell>
          <cell r="H2741">
            <v>0</v>
          </cell>
          <cell r="I2741" t="str">
            <v>Others</v>
          </cell>
          <cell r="J2741">
            <v>3</v>
          </cell>
          <cell r="K2741" t="str">
            <v>Others</v>
          </cell>
        </row>
        <row r="2742">
          <cell r="D2742">
            <v>521019</v>
          </cell>
          <cell r="E2742" t="str">
            <v>Fabrics, woven; containing less than 85% by weight of cotton, mixed mainly or solely with man-made fibres, unbleached, of weaves n.e.c. in item no. 5210.1, weighing 200g/m2 or less</v>
          </cell>
          <cell r="F2742">
            <v>0</v>
          </cell>
          <cell r="G2742">
            <v>0</v>
          </cell>
          <cell r="H2742">
            <v>0</v>
          </cell>
          <cell r="I2742" t="str">
            <v>Others</v>
          </cell>
          <cell r="J2742">
            <v>3</v>
          </cell>
          <cell r="K2742" t="str">
            <v>Others</v>
          </cell>
        </row>
        <row r="2743">
          <cell r="D2743">
            <v>521021</v>
          </cell>
          <cell r="E2743" t="str">
            <v>Fabrics, woven; containing less than 85% by weight of cotton, mixed mainly or solely with man-made fibres, bleached, plain weave, weighing 200g/m2 or less</v>
          </cell>
          <cell r="F2743">
            <v>0</v>
          </cell>
          <cell r="G2743">
            <v>0</v>
          </cell>
          <cell r="H2743">
            <v>0</v>
          </cell>
          <cell r="I2743" t="str">
            <v>Others</v>
          </cell>
          <cell r="J2743">
            <v>3</v>
          </cell>
          <cell r="K2743" t="str">
            <v>Others</v>
          </cell>
        </row>
        <row r="2744">
          <cell r="D2744">
            <v>521029</v>
          </cell>
          <cell r="E2744" t="str">
            <v>Fabrics, woven; containing less than 85% by weight of cotton, mixed mainly or solely with man-made fibres, weighing 200g/m2 or less, bleached, of weaves n.e.c. in item no. 5210.2</v>
          </cell>
          <cell r="F2744">
            <v>0</v>
          </cell>
          <cell r="G2744">
            <v>0</v>
          </cell>
          <cell r="H2744">
            <v>0</v>
          </cell>
          <cell r="I2744" t="str">
            <v>Others</v>
          </cell>
          <cell r="J2744">
            <v>3</v>
          </cell>
          <cell r="K2744" t="str">
            <v>Others</v>
          </cell>
        </row>
        <row r="2745">
          <cell r="D2745">
            <v>521031</v>
          </cell>
          <cell r="E2745" t="str">
            <v>Fabrics, woven; containing less than 85% by weight of cotton, mixed mainly or solely with man-made fibres, weighing 200g/m2 or less, dyed, plain weave</v>
          </cell>
          <cell r="F2745">
            <v>0</v>
          </cell>
          <cell r="G2745">
            <v>0</v>
          </cell>
          <cell r="H2745">
            <v>0</v>
          </cell>
          <cell r="I2745" t="str">
            <v>Others</v>
          </cell>
          <cell r="J2745">
            <v>3</v>
          </cell>
          <cell r="K2745" t="str">
            <v>Others</v>
          </cell>
        </row>
        <row r="2746">
          <cell r="D2746">
            <v>521032</v>
          </cell>
          <cell r="E2746" t="str">
            <v>Fabrics, woven; containing less than 85% by weight of cotton, mixed mainly or solely with man-made fibres, weighing 200g/m2 or less, dyed, 3-thread or 4-thread twill, including cross twill</v>
          </cell>
          <cell r="F2746">
            <v>0</v>
          </cell>
          <cell r="G2746">
            <v>0</v>
          </cell>
          <cell r="H2746">
            <v>0</v>
          </cell>
          <cell r="I2746" t="str">
            <v>Others</v>
          </cell>
          <cell r="J2746">
            <v>3</v>
          </cell>
          <cell r="K2746" t="str">
            <v>Others</v>
          </cell>
        </row>
        <row r="2747">
          <cell r="D2747">
            <v>521039</v>
          </cell>
          <cell r="E2747" t="str">
            <v>Fabrics, woven; containing less than 85% by weight of cotton, mixed mainly or solely with man-made fibres, weighing 200g/m2 or less, dyed, of weaves n.e.c. in item no. 5210.3</v>
          </cell>
          <cell r="F2747">
            <v>0</v>
          </cell>
          <cell r="G2747">
            <v>0</v>
          </cell>
          <cell r="H2747">
            <v>0</v>
          </cell>
          <cell r="I2747" t="str">
            <v>Others</v>
          </cell>
          <cell r="J2747">
            <v>3</v>
          </cell>
          <cell r="K2747" t="str">
            <v>Others</v>
          </cell>
        </row>
        <row r="2748">
          <cell r="D2748">
            <v>521041</v>
          </cell>
          <cell r="E2748" t="str">
            <v>Fabrics, woven; containing less than 85% by weight of cotton, mixed mainly or solely with man-made fibres, weighing 200g/m2 or less, of yarns of different colours, plain weave</v>
          </cell>
          <cell r="F2748">
            <v>0</v>
          </cell>
          <cell r="G2748">
            <v>0</v>
          </cell>
          <cell r="H2748">
            <v>0</v>
          </cell>
          <cell r="I2748" t="str">
            <v>Others</v>
          </cell>
          <cell r="J2748">
            <v>3</v>
          </cell>
          <cell r="K2748" t="str">
            <v>Others</v>
          </cell>
        </row>
        <row r="2749">
          <cell r="D2749">
            <v>521049</v>
          </cell>
          <cell r="E2749" t="str">
            <v>Fabrics, woven; containing less than 85% by weight of cotton, mixed mainly or solely with man-made fibres, weighing 200g/m2 or less, of yarns of different colours, of weaves n.e.c. in item no. 5210.4</v>
          </cell>
          <cell r="F2749">
            <v>0</v>
          </cell>
          <cell r="G2749">
            <v>0</v>
          </cell>
          <cell r="H2749">
            <v>0</v>
          </cell>
          <cell r="I2749" t="str">
            <v>Others</v>
          </cell>
          <cell r="J2749">
            <v>3</v>
          </cell>
          <cell r="K2749" t="str">
            <v>Others</v>
          </cell>
        </row>
        <row r="2750">
          <cell r="D2750">
            <v>521051</v>
          </cell>
          <cell r="E2750" t="str">
            <v>Fabrics, woven; containing less than 85% by weight of cotton, mixed mainly or solely with man-made fibres, weighing 200g/m2 or less, printed, plain weave</v>
          </cell>
          <cell r="F2750">
            <v>0</v>
          </cell>
          <cell r="G2750">
            <v>0</v>
          </cell>
          <cell r="H2750">
            <v>0</v>
          </cell>
          <cell r="I2750" t="str">
            <v>Others</v>
          </cell>
          <cell r="J2750">
            <v>3</v>
          </cell>
          <cell r="K2750" t="str">
            <v>Others</v>
          </cell>
        </row>
        <row r="2751">
          <cell r="D2751">
            <v>521059</v>
          </cell>
          <cell r="E2751" t="str">
            <v>Fabrics, woven; containing less than 85% by weight of cotton, mixed mainly or solely with man-made fibres, weighing 200g/m2 or less, printed, of weaves n.e.c. in item no. 5210.5</v>
          </cell>
          <cell r="F2751">
            <v>0</v>
          </cell>
          <cell r="G2751">
            <v>0</v>
          </cell>
          <cell r="H2751">
            <v>0</v>
          </cell>
          <cell r="I2751" t="str">
            <v>Others</v>
          </cell>
          <cell r="J2751">
            <v>3</v>
          </cell>
          <cell r="K2751" t="str">
            <v>Others</v>
          </cell>
        </row>
        <row r="2752">
          <cell r="D2752">
            <v>521111</v>
          </cell>
          <cell r="E2752" t="str">
            <v>Fabrics, woven; containing less than 85% by weight of cotton, mixed mainly or solely with man-made fibres, unbleached, plain weave, weighing more than 200g/m2</v>
          </cell>
          <cell r="F2752">
            <v>0</v>
          </cell>
          <cell r="G2752">
            <v>0</v>
          </cell>
          <cell r="H2752">
            <v>0</v>
          </cell>
          <cell r="I2752" t="str">
            <v>Others</v>
          </cell>
          <cell r="J2752">
            <v>3</v>
          </cell>
          <cell r="K2752" t="str">
            <v>Others</v>
          </cell>
        </row>
        <row r="2753">
          <cell r="D2753">
            <v>521112</v>
          </cell>
          <cell r="E2753" t="str">
            <v>Fabrics, woven; containing less than 85% by weight of cotton, mixed mainly or solely with man-made fibres, unbleached, 3- or 4-thread twill, including cross twill, weighing more than 200g/m2</v>
          </cell>
          <cell r="F2753">
            <v>0</v>
          </cell>
          <cell r="G2753">
            <v>0</v>
          </cell>
          <cell r="H2753">
            <v>0</v>
          </cell>
          <cell r="I2753" t="str">
            <v>Others</v>
          </cell>
          <cell r="J2753">
            <v>3</v>
          </cell>
          <cell r="K2753" t="str">
            <v>Others</v>
          </cell>
        </row>
        <row r="2754">
          <cell r="D2754">
            <v>521119</v>
          </cell>
          <cell r="E2754" t="str">
            <v>Fabrics, woven; containing less than 85% by weight of cotton, mixed mainly or solely with man-made fibres, unbleached, of weaves n.e.c. in item no. 5211.1, weighing more than 200g/m2</v>
          </cell>
          <cell r="F2754">
            <v>0</v>
          </cell>
          <cell r="G2754">
            <v>0</v>
          </cell>
          <cell r="H2754">
            <v>0</v>
          </cell>
          <cell r="I2754" t="str">
            <v>Others</v>
          </cell>
          <cell r="J2754">
            <v>3</v>
          </cell>
          <cell r="K2754" t="str">
            <v>Others</v>
          </cell>
        </row>
        <row r="2755">
          <cell r="D2755">
            <v>521120</v>
          </cell>
          <cell r="E2755" t="str">
            <v>Fabrics, woven; containing less than 85% by weight of cotton, mixed mainly or solely with man-made fibres, weighing more than 200g/m2, bleached</v>
          </cell>
          <cell r="F2755">
            <v>0</v>
          </cell>
          <cell r="G2755">
            <v>0</v>
          </cell>
          <cell r="H2755">
            <v>0</v>
          </cell>
          <cell r="I2755" t="str">
            <v>Others</v>
          </cell>
          <cell r="J2755">
            <v>3</v>
          </cell>
          <cell r="K2755" t="str">
            <v>Others</v>
          </cell>
        </row>
        <row r="2756">
          <cell r="D2756">
            <v>521131</v>
          </cell>
          <cell r="E2756" t="str">
            <v>Fabrics, woven; containing less than 85% by weight of cotton, mixed mainly or solely with man-made fibres, weighing more than 200g/m2, dyed, plain weave</v>
          </cell>
          <cell r="F2756">
            <v>0</v>
          </cell>
          <cell r="G2756">
            <v>0</v>
          </cell>
          <cell r="H2756">
            <v>0</v>
          </cell>
          <cell r="I2756" t="str">
            <v>Others</v>
          </cell>
          <cell r="J2756">
            <v>3</v>
          </cell>
          <cell r="K2756" t="str">
            <v>Others</v>
          </cell>
        </row>
        <row r="2757">
          <cell r="D2757">
            <v>521132</v>
          </cell>
          <cell r="E2757" t="str">
            <v>Fabrics, woven; containing less than 85% by weight of cotton, mixed mainly or solely with man-made fibres, weighing more than 200g/m2, dyed, 3-thread or 4-thread twill, including cross twill</v>
          </cell>
          <cell r="F2757">
            <v>0</v>
          </cell>
          <cell r="G2757">
            <v>0</v>
          </cell>
          <cell r="H2757">
            <v>0</v>
          </cell>
          <cell r="I2757" t="str">
            <v>Others</v>
          </cell>
          <cell r="J2757">
            <v>3</v>
          </cell>
          <cell r="K2757" t="str">
            <v>Others</v>
          </cell>
        </row>
        <row r="2758">
          <cell r="D2758">
            <v>521139</v>
          </cell>
          <cell r="E2758" t="str">
            <v>Fabrics, woven; containing less than 85% by weight of cotton, mixed mainly or solely with man-made fibres, weighing more than 200g/m2, dyed, of weaves n.e.c. in item no. 5211.3</v>
          </cell>
          <cell r="F2758">
            <v>0</v>
          </cell>
          <cell r="G2758">
            <v>0</v>
          </cell>
          <cell r="H2758">
            <v>0</v>
          </cell>
          <cell r="I2758" t="str">
            <v>Others</v>
          </cell>
          <cell r="J2758">
            <v>3</v>
          </cell>
          <cell r="K2758" t="str">
            <v>Others</v>
          </cell>
        </row>
        <row r="2759">
          <cell r="D2759">
            <v>521141</v>
          </cell>
          <cell r="E2759" t="str">
            <v>Fabrics, woven; containing less than 85% by weight of cotton, mixed mainly or solely with man-made fibres, weighing more than 200g/m2, of yarns of different colours, plain weave</v>
          </cell>
          <cell r="F2759">
            <v>0</v>
          </cell>
          <cell r="G2759">
            <v>0</v>
          </cell>
          <cell r="H2759">
            <v>0</v>
          </cell>
          <cell r="I2759" t="str">
            <v>Others</v>
          </cell>
          <cell r="J2759">
            <v>3</v>
          </cell>
          <cell r="K2759" t="str">
            <v>Others</v>
          </cell>
        </row>
        <row r="2760">
          <cell r="D2760">
            <v>521142</v>
          </cell>
          <cell r="E2760" t="str">
            <v>Fabrics, woven; containing less than 85% by weight of cotton, mixed mainly or solely with man-made fibres, weighing more than 200g/m2, of yarns of different colours, denim</v>
          </cell>
          <cell r="F2760">
            <v>0</v>
          </cell>
          <cell r="G2760">
            <v>0</v>
          </cell>
          <cell r="H2760">
            <v>0</v>
          </cell>
          <cell r="I2760" t="str">
            <v>Others</v>
          </cell>
          <cell r="J2760">
            <v>3</v>
          </cell>
          <cell r="K2760" t="str">
            <v>Others</v>
          </cell>
        </row>
        <row r="2761">
          <cell r="D2761">
            <v>521143</v>
          </cell>
          <cell r="E2761" t="str">
            <v>Fabrics, woven; containing less than 85% by weight of cotton, mixed mainly or solely with man-made fibres, weighing more than 200g/m2, of yarns of different colours, 3-thread or 4-thread twill, including cross twill</v>
          </cell>
          <cell r="F2761">
            <v>0</v>
          </cell>
          <cell r="G2761">
            <v>0</v>
          </cell>
          <cell r="H2761">
            <v>0</v>
          </cell>
          <cell r="I2761" t="str">
            <v>Others</v>
          </cell>
          <cell r="J2761">
            <v>3</v>
          </cell>
          <cell r="K2761" t="str">
            <v>Others</v>
          </cell>
        </row>
        <row r="2762">
          <cell r="D2762">
            <v>521149</v>
          </cell>
          <cell r="E2762" t="str">
            <v>Fabrics, woven; containing less than 85% by weight of cotton, mixed mainly or solely with man-made fibres, weighing more than 200g/m2, of yarns of different colours, of weaves n.e.c. in item no. 5211.4</v>
          </cell>
          <cell r="F2762">
            <v>0</v>
          </cell>
          <cell r="G2762">
            <v>0</v>
          </cell>
          <cell r="H2762">
            <v>0</v>
          </cell>
          <cell r="I2762" t="str">
            <v>Others</v>
          </cell>
          <cell r="J2762">
            <v>3</v>
          </cell>
          <cell r="K2762" t="str">
            <v>Others</v>
          </cell>
        </row>
        <row r="2763">
          <cell r="D2763">
            <v>521151</v>
          </cell>
          <cell r="E2763" t="str">
            <v>Fabrics, woven; containing less than 85% by weight of cotton, mixed mainly or solely with man-made fibres, weighing more than 200g/m2, printed, plain weave</v>
          </cell>
          <cell r="F2763">
            <v>0</v>
          </cell>
          <cell r="G2763">
            <v>0</v>
          </cell>
          <cell r="H2763">
            <v>0</v>
          </cell>
          <cell r="I2763" t="str">
            <v>Others</v>
          </cell>
          <cell r="J2763">
            <v>3</v>
          </cell>
          <cell r="K2763" t="str">
            <v>Others</v>
          </cell>
        </row>
        <row r="2764">
          <cell r="D2764">
            <v>521152</v>
          </cell>
          <cell r="E2764" t="str">
            <v>Fabrics, woven; containing less than 85% by weight of cotton, mixed mainly or solely with man-made fibres, weighing more than 200g/m2, printed, 3-thread or 4-thread twill, including cross twill</v>
          </cell>
          <cell r="F2764">
            <v>0</v>
          </cell>
          <cell r="G2764">
            <v>0</v>
          </cell>
          <cell r="H2764">
            <v>0</v>
          </cell>
          <cell r="I2764" t="str">
            <v>Others</v>
          </cell>
          <cell r="J2764">
            <v>3</v>
          </cell>
          <cell r="K2764" t="str">
            <v>Others</v>
          </cell>
        </row>
        <row r="2765">
          <cell r="D2765">
            <v>521159</v>
          </cell>
          <cell r="E2765" t="str">
            <v>Fabrics, woven; containing less than 85% by weight of cotton, mixed mainly or solely with man-made fibres, weighing more than 200g/m2, printed, of weaves n.e.c. in item no. 5211.5</v>
          </cell>
          <cell r="F2765">
            <v>0</v>
          </cell>
          <cell r="G2765">
            <v>0</v>
          </cell>
          <cell r="H2765">
            <v>0</v>
          </cell>
          <cell r="I2765" t="str">
            <v>Others</v>
          </cell>
          <cell r="J2765">
            <v>3</v>
          </cell>
          <cell r="K2765" t="str">
            <v>Others</v>
          </cell>
        </row>
        <row r="2766">
          <cell r="D2766">
            <v>521211</v>
          </cell>
          <cell r="E2766" t="str">
            <v>Fabrics, woven; of cotton, unbleached, weighing not more than 200g/m2, n.e.c. in chapter 52</v>
          </cell>
          <cell r="F2766">
            <v>0</v>
          </cell>
          <cell r="G2766">
            <v>0</v>
          </cell>
          <cell r="H2766">
            <v>0</v>
          </cell>
          <cell r="I2766" t="str">
            <v>Others</v>
          </cell>
          <cell r="J2766">
            <v>3</v>
          </cell>
          <cell r="K2766" t="str">
            <v>Others</v>
          </cell>
        </row>
        <row r="2767">
          <cell r="D2767">
            <v>521212</v>
          </cell>
          <cell r="E2767" t="str">
            <v>Fabrics, woven; of cotton, bleached, weighing not more than 200g/m2, n.e.c. in chapter 52</v>
          </cell>
          <cell r="F2767">
            <v>0</v>
          </cell>
          <cell r="G2767">
            <v>0</v>
          </cell>
          <cell r="H2767">
            <v>0</v>
          </cell>
          <cell r="I2767" t="str">
            <v>Others</v>
          </cell>
          <cell r="J2767">
            <v>3</v>
          </cell>
          <cell r="K2767" t="str">
            <v>Others</v>
          </cell>
        </row>
        <row r="2768">
          <cell r="D2768">
            <v>521213</v>
          </cell>
          <cell r="E2768" t="str">
            <v>Fabrics, woven; of cotton, dyed, weighing not more than 200g/m2, n.e.c. in chapter 52</v>
          </cell>
          <cell r="F2768">
            <v>0</v>
          </cell>
          <cell r="G2768">
            <v>0</v>
          </cell>
          <cell r="H2768">
            <v>0</v>
          </cell>
          <cell r="I2768" t="str">
            <v>Others</v>
          </cell>
          <cell r="J2768">
            <v>3</v>
          </cell>
          <cell r="K2768" t="str">
            <v>Others</v>
          </cell>
        </row>
        <row r="2769">
          <cell r="D2769">
            <v>521214</v>
          </cell>
          <cell r="E2769" t="str">
            <v>Fabrics, woven; of cotton, of yarns of different colours, weighing not more than 200g/m2, n.e.c. in chapter 52</v>
          </cell>
          <cell r="F2769">
            <v>0</v>
          </cell>
          <cell r="G2769">
            <v>0</v>
          </cell>
          <cell r="H2769">
            <v>0</v>
          </cell>
          <cell r="I2769" t="str">
            <v>Others</v>
          </cell>
          <cell r="J2769">
            <v>3</v>
          </cell>
          <cell r="K2769" t="str">
            <v>Others</v>
          </cell>
        </row>
        <row r="2770">
          <cell r="D2770">
            <v>521215</v>
          </cell>
          <cell r="E2770" t="str">
            <v>Fabrics, woven; of cotton, printed, weighing not more than 200g/m2, n.e.c. in chapter 52</v>
          </cell>
          <cell r="F2770">
            <v>0</v>
          </cell>
          <cell r="G2770">
            <v>0</v>
          </cell>
          <cell r="H2770">
            <v>0</v>
          </cell>
          <cell r="I2770" t="str">
            <v>Others</v>
          </cell>
          <cell r="J2770">
            <v>3</v>
          </cell>
          <cell r="K2770" t="str">
            <v>Others</v>
          </cell>
        </row>
        <row r="2771">
          <cell r="D2771">
            <v>521221</v>
          </cell>
          <cell r="E2771" t="str">
            <v>Fabrics, woven; of cotton, unbleached, weighing more than 200g/m2, n.e.c. in chapter 52</v>
          </cell>
          <cell r="F2771">
            <v>0</v>
          </cell>
          <cell r="G2771">
            <v>0</v>
          </cell>
          <cell r="H2771">
            <v>0</v>
          </cell>
          <cell r="I2771" t="str">
            <v>Others</v>
          </cell>
          <cell r="J2771">
            <v>3</v>
          </cell>
          <cell r="K2771" t="str">
            <v>Others</v>
          </cell>
        </row>
        <row r="2772">
          <cell r="D2772">
            <v>521222</v>
          </cell>
          <cell r="E2772" t="str">
            <v>Fabrics, woven; of cotton, bleached, weighing more than 200g/m2, n.e.c. in chapter 52</v>
          </cell>
          <cell r="F2772">
            <v>0</v>
          </cell>
          <cell r="G2772">
            <v>0</v>
          </cell>
          <cell r="H2772">
            <v>0</v>
          </cell>
          <cell r="I2772" t="str">
            <v>Others</v>
          </cell>
          <cell r="J2772">
            <v>3</v>
          </cell>
          <cell r="K2772" t="str">
            <v>Others</v>
          </cell>
        </row>
        <row r="2773">
          <cell r="D2773">
            <v>521223</v>
          </cell>
          <cell r="E2773" t="str">
            <v>Fabrics, woven; of cotton, dyed, weighing more than 200g/m2, n.e.c. in chapter 52</v>
          </cell>
          <cell r="F2773">
            <v>0</v>
          </cell>
          <cell r="G2773">
            <v>0</v>
          </cell>
          <cell r="H2773">
            <v>0</v>
          </cell>
          <cell r="I2773" t="str">
            <v>Others</v>
          </cell>
          <cell r="J2773">
            <v>3</v>
          </cell>
          <cell r="K2773" t="str">
            <v>Others</v>
          </cell>
        </row>
        <row r="2774">
          <cell r="D2774">
            <v>521224</v>
          </cell>
          <cell r="E2774" t="str">
            <v>Fabrics, woven; of cotton, of yarns of different colours, weighing more than 200g/m2, n.e.c. in chapter 52</v>
          </cell>
          <cell r="F2774">
            <v>0</v>
          </cell>
          <cell r="G2774">
            <v>0</v>
          </cell>
          <cell r="H2774">
            <v>0</v>
          </cell>
          <cell r="I2774" t="str">
            <v>Others</v>
          </cell>
          <cell r="J2774">
            <v>3</v>
          </cell>
          <cell r="K2774" t="str">
            <v>Others</v>
          </cell>
        </row>
        <row r="2775">
          <cell r="D2775">
            <v>521225</v>
          </cell>
          <cell r="E2775" t="str">
            <v>Fabrics, woven; of cotton, printed, weighing more than 200g/m2, n.e.c. in chapter 52</v>
          </cell>
          <cell r="F2775">
            <v>0</v>
          </cell>
          <cell r="G2775">
            <v>0</v>
          </cell>
          <cell r="H2775">
            <v>0</v>
          </cell>
          <cell r="I2775" t="str">
            <v>Others</v>
          </cell>
          <cell r="J2775">
            <v>3</v>
          </cell>
          <cell r="K2775" t="str">
            <v>Others</v>
          </cell>
        </row>
        <row r="2776">
          <cell r="D2776">
            <v>530110</v>
          </cell>
          <cell r="E2776" t="str">
            <v>Flax; raw or retted, but not spun</v>
          </cell>
          <cell r="F2776">
            <v>0</v>
          </cell>
          <cell r="G2776">
            <v>0</v>
          </cell>
          <cell r="H2776">
            <v>0</v>
          </cell>
          <cell r="I2776" t="str">
            <v>Others</v>
          </cell>
          <cell r="J2776">
            <v>3</v>
          </cell>
          <cell r="K2776" t="str">
            <v>Others</v>
          </cell>
        </row>
        <row r="2777">
          <cell r="D2777">
            <v>530121</v>
          </cell>
          <cell r="E2777" t="str">
            <v>Flax; broken or scutched, but not spun</v>
          </cell>
          <cell r="F2777">
            <v>0</v>
          </cell>
          <cell r="G2777">
            <v>0</v>
          </cell>
          <cell r="H2777">
            <v>0</v>
          </cell>
          <cell r="I2777" t="str">
            <v>Others</v>
          </cell>
          <cell r="J2777">
            <v>3</v>
          </cell>
          <cell r="K2777" t="str">
            <v>Others</v>
          </cell>
        </row>
        <row r="2778">
          <cell r="D2778">
            <v>530129</v>
          </cell>
          <cell r="E2778" t="str">
            <v>Flax; hackled or otherwise processed, but not spun</v>
          </cell>
          <cell r="F2778">
            <v>0</v>
          </cell>
          <cell r="G2778">
            <v>0</v>
          </cell>
          <cell r="H2778">
            <v>0</v>
          </cell>
          <cell r="I2778" t="str">
            <v>Others</v>
          </cell>
          <cell r="J2778">
            <v>3</v>
          </cell>
          <cell r="K2778" t="str">
            <v>Others</v>
          </cell>
        </row>
        <row r="2779">
          <cell r="D2779">
            <v>530130</v>
          </cell>
          <cell r="E2779" t="str">
            <v>Flax; tow and waste, including yarn waste and garnetted stock</v>
          </cell>
          <cell r="F2779">
            <v>0</v>
          </cell>
          <cell r="G2779">
            <v>0</v>
          </cell>
          <cell r="H2779">
            <v>0</v>
          </cell>
          <cell r="I2779" t="str">
            <v>Others</v>
          </cell>
          <cell r="J2779">
            <v>3</v>
          </cell>
          <cell r="K2779" t="str">
            <v>Others</v>
          </cell>
        </row>
        <row r="2780">
          <cell r="D2780">
            <v>530210</v>
          </cell>
          <cell r="E2780" t="str">
            <v>Hemp (cannabis sativa L.); raw or retted, but not spun</v>
          </cell>
          <cell r="F2780">
            <v>0</v>
          </cell>
          <cell r="G2780">
            <v>0</v>
          </cell>
          <cell r="H2780">
            <v>0</v>
          </cell>
          <cell r="I2780" t="str">
            <v>Others</v>
          </cell>
          <cell r="J2780">
            <v>3</v>
          </cell>
          <cell r="K2780" t="str">
            <v>Others</v>
          </cell>
        </row>
        <row r="2781">
          <cell r="D2781">
            <v>530290</v>
          </cell>
          <cell r="E2781" t="str">
            <v>Hemp (cannabis sativa L.); processed (other than retted) (but not spun), true hemp tow and waste (including yarn waste and garnetted stock)</v>
          </cell>
          <cell r="F2781">
            <v>0</v>
          </cell>
          <cell r="G2781">
            <v>0</v>
          </cell>
          <cell r="H2781">
            <v>0</v>
          </cell>
          <cell r="I2781" t="str">
            <v>Others</v>
          </cell>
          <cell r="J2781">
            <v>3</v>
          </cell>
          <cell r="K2781" t="str">
            <v>Others</v>
          </cell>
        </row>
        <row r="2782">
          <cell r="D2782">
            <v>530310</v>
          </cell>
          <cell r="E2782" t="str">
            <v>Jute and other textile bast fibres; raw or retted, but not spun, (excluding flax, hemp (cannabis sativa L.), and ramie)</v>
          </cell>
          <cell r="F2782">
            <v>0</v>
          </cell>
          <cell r="G2782">
            <v>0</v>
          </cell>
          <cell r="H2782">
            <v>0</v>
          </cell>
          <cell r="I2782" t="str">
            <v>Others</v>
          </cell>
          <cell r="J2782">
            <v>3</v>
          </cell>
          <cell r="K2782" t="str">
            <v>Others</v>
          </cell>
        </row>
        <row r="2783">
          <cell r="D2783">
            <v>530390</v>
          </cell>
          <cell r="E2783" t="str">
            <v>Jute and other textile bast fibres; processed but not spun, tow and waste of these fibres, including yarn waste and garnetted stock (excluding flax, hemp (cannabis sativa L.), and ramie)</v>
          </cell>
          <cell r="F2783">
            <v>0</v>
          </cell>
          <cell r="G2783">
            <v>0</v>
          </cell>
          <cell r="H2783">
            <v>0</v>
          </cell>
          <cell r="I2783" t="str">
            <v>Others</v>
          </cell>
          <cell r="J2783">
            <v>3</v>
          </cell>
          <cell r="K2783" t="str">
            <v>Others</v>
          </cell>
        </row>
        <row r="2784">
          <cell r="D2784">
            <v>530500</v>
          </cell>
          <cell r="E2784" t="str">
            <v>Coconut, abaca (Manila hemp or Musa textilis Nee), ramie and other vegetable textile fibres n.e.c., raw or processed but not spun; tow, noils and waste of these fibres (including yarn waste and garnetted stock)</v>
          </cell>
          <cell r="F2784">
            <v>0</v>
          </cell>
          <cell r="G2784">
            <v>0</v>
          </cell>
          <cell r="H2784">
            <v>0</v>
          </cell>
          <cell r="I2784" t="str">
            <v>Others</v>
          </cell>
          <cell r="J2784">
            <v>3</v>
          </cell>
          <cell r="K2784" t="str">
            <v>Others</v>
          </cell>
        </row>
        <row r="2785">
          <cell r="D2785">
            <v>530610</v>
          </cell>
          <cell r="E2785" t="str">
            <v>Yarn; of flax, single</v>
          </cell>
          <cell r="F2785">
            <v>0</v>
          </cell>
          <cell r="G2785">
            <v>0</v>
          </cell>
          <cell r="H2785">
            <v>0</v>
          </cell>
          <cell r="I2785" t="str">
            <v>Others</v>
          </cell>
          <cell r="J2785">
            <v>3</v>
          </cell>
          <cell r="K2785" t="str">
            <v>Others</v>
          </cell>
        </row>
        <row r="2786">
          <cell r="D2786">
            <v>530620</v>
          </cell>
          <cell r="E2786" t="str">
            <v>Yarn; of flax, multiple (folded) or cabled</v>
          </cell>
          <cell r="F2786">
            <v>0</v>
          </cell>
          <cell r="G2786">
            <v>0</v>
          </cell>
          <cell r="H2786">
            <v>0</v>
          </cell>
          <cell r="I2786" t="str">
            <v>Others</v>
          </cell>
          <cell r="J2786">
            <v>3</v>
          </cell>
          <cell r="K2786" t="str">
            <v>Others</v>
          </cell>
        </row>
        <row r="2787">
          <cell r="D2787">
            <v>530710</v>
          </cell>
          <cell r="E2787" t="str">
            <v>Yarn; of jute or of other textile bast fibres, single</v>
          </cell>
          <cell r="F2787">
            <v>0</v>
          </cell>
          <cell r="G2787">
            <v>0</v>
          </cell>
          <cell r="H2787">
            <v>0</v>
          </cell>
          <cell r="I2787" t="str">
            <v>Others</v>
          </cell>
          <cell r="J2787">
            <v>3</v>
          </cell>
          <cell r="K2787" t="str">
            <v>Others</v>
          </cell>
        </row>
        <row r="2788">
          <cell r="D2788">
            <v>530720</v>
          </cell>
          <cell r="E2788" t="str">
            <v>Yarn; of jute or of other textile bast fibres, multiple (folded) or cabled</v>
          </cell>
          <cell r="F2788">
            <v>0</v>
          </cell>
          <cell r="G2788">
            <v>0</v>
          </cell>
          <cell r="H2788">
            <v>0</v>
          </cell>
          <cell r="I2788" t="str">
            <v>Others</v>
          </cell>
          <cell r="J2788">
            <v>3</v>
          </cell>
          <cell r="K2788" t="str">
            <v>Others</v>
          </cell>
        </row>
        <row r="2789">
          <cell r="D2789">
            <v>530810</v>
          </cell>
          <cell r="E2789" t="str">
            <v>Yarn; of coir</v>
          </cell>
          <cell r="F2789">
            <v>0</v>
          </cell>
          <cell r="G2789">
            <v>0</v>
          </cell>
          <cell r="H2789">
            <v>0</v>
          </cell>
          <cell r="I2789" t="str">
            <v>Others</v>
          </cell>
          <cell r="J2789">
            <v>3</v>
          </cell>
          <cell r="K2789" t="str">
            <v>Others</v>
          </cell>
        </row>
        <row r="2790">
          <cell r="D2790">
            <v>530820</v>
          </cell>
          <cell r="E2790" t="str">
            <v>Yarn; of hemp (cannabis sativa L.)</v>
          </cell>
          <cell r="F2790">
            <v>0</v>
          </cell>
          <cell r="G2790">
            <v>0</v>
          </cell>
          <cell r="H2790">
            <v>0</v>
          </cell>
          <cell r="I2790" t="str">
            <v>Others</v>
          </cell>
          <cell r="J2790">
            <v>3</v>
          </cell>
          <cell r="K2790" t="str">
            <v>Others</v>
          </cell>
        </row>
        <row r="2791">
          <cell r="D2791">
            <v>530890</v>
          </cell>
          <cell r="E2791" t="str">
            <v>Yarn; of vegetable textile fibres n.e.c. in heading no. 5306, 5307 and 5308</v>
          </cell>
          <cell r="F2791">
            <v>0</v>
          </cell>
          <cell r="G2791">
            <v>0</v>
          </cell>
          <cell r="H2791">
            <v>0</v>
          </cell>
          <cell r="I2791" t="str">
            <v>Others</v>
          </cell>
          <cell r="J2791">
            <v>3</v>
          </cell>
          <cell r="K2791" t="str">
            <v>Others</v>
          </cell>
        </row>
        <row r="2792">
          <cell r="D2792">
            <v>530911</v>
          </cell>
          <cell r="E2792" t="str">
            <v>Fabrics, woven; of flax, containing 85% or more flax, unbleached or bleached</v>
          </cell>
          <cell r="F2792">
            <v>0</v>
          </cell>
          <cell r="G2792">
            <v>0</v>
          </cell>
          <cell r="H2792">
            <v>0</v>
          </cell>
          <cell r="I2792" t="str">
            <v>Others</v>
          </cell>
          <cell r="J2792">
            <v>3</v>
          </cell>
          <cell r="K2792" t="str">
            <v>Others</v>
          </cell>
        </row>
        <row r="2793">
          <cell r="D2793">
            <v>530919</v>
          </cell>
          <cell r="E2793" t="str">
            <v>Fabrics, woven; of flax, containing 85% or more flax, other than bleached or unbleached</v>
          </cell>
          <cell r="F2793">
            <v>0</v>
          </cell>
          <cell r="G2793">
            <v>0</v>
          </cell>
          <cell r="H2793">
            <v>0</v>
          </cell>
          <cell r="I2793" t="str">
            <v>Others</v>
          </cell>
          <cell r="J2793">
            <v>3</v>
          </cell>
          <cell r="K2793" t="str">
            <v>Others</v>
          </cell>
        </row>
        <row r="2794">
          <cell r="D2794">
            <v>530921</v>
          </cell>
          <cell r="E2794" t="str">
            <v>Fabrics, woven; of flax, containing less than 85% flax, unbleached or bleached</v>
          </cell>
          <cell r="F2794">
            <v>0</v>
          </cell>
          <cell r="G2794">
            <v>0</v>
          </cell>
          <cell r="H2794">
            <v>0</v>
          </cell>
          <cell r="I2794" t="str">
            <v>Others</v>
          </cell>
          <cell r="J2794">
            <v>3</v>
          </cell>
          <cell r="K2794" t="str">
            <v>Others</v>
          </cell>
        </row>
        <row r="2795">
          <cell r="D2795">
            <v>530929</v>
          </cell>
          <cell r="E2795" t="str">
            <v>Fabrics, woven; of flax, containing less than 85% flax, other than unbleached or bleached</v>
          </cell>
          <cell r="F2795">
            <v>0</v>
          </cell>
          <cell r="G2795">
            <v>0</v>
          </cell>
          <cell r="H2795">
            <v>0</v>
          </cell>
          <cell r="I2795" t="str">
            <v>Others</v>
          </cell>
          <cell r="J2795">
            <v>3</v>
          </cell>
          <cell r="K2795" t="str">
            <v>Others</v>
          </cell>
        </row>
        <row r="2796">
          <cell r="D2796">
            <v>531010</v>
          </cell>
          <cell r="E2796" t="str">
            <v>Fabrics, woven; of jute or of other textile bast fibres of heading no. 5303, unbleached</v>
          </cell>
          <cell r="F2796">
            <v>0</v>
          </cell>
          <cell r="G2796">
            <v>0</v>
          </cell>
          <cell r="H2796">
            <v>0</v>
          </cell>
          <cell r="I2796" t="str">
            <v>Others</v>
          </cell>
          <cell r="J2796">
            <v>3</v>
          </cell>
          <cell r="K2796" t="str">
            <v>Others</v>
          </cell>
        </row>
        <row r="2797">
          <cell r="D2797">
            <v>531090</v>
          </cell>
          <cell r="E2797" t="str">
            <v>Fabrics, woven; of jute or of other textile bast fibres of heading no. 5303, other than unbleached</v>
          </cell>
          <cell r="F2797">
            <v>0</v>
          </cell>
          <cell r="G2797">
            <v>0</v>
          </cell>
          <cell r="H2797">
            <v>0</v>
          </cell>
          <cell r="I2797" t="str">
            <v>Others</v>
          </cell>
          <cell r="J2797">
            <v>3</v>
          </cell>
          <cell r="K2797" t="str">
            <v>Others</v>
          </cell>
        </row>
        <row r="2798">
          <cell r="D2798">
            <v>531100</v>
          </cell>
          <cell r="E2798" t="str">
            <v>Fabrics, woven; of vegetable textile fibres n.e.c. in heading no. 5309 and 5310, woven fabrics of paper yarn</v>
          </cell>
          <cell r="F2798">
            <v>0</v>
          </cell>
          <cell r="G2798">
            <v>0</v>
          </cell>
          <cell r="H2798">
            <v>0</v>
          </cell>
          <cell r="I2798" t="str">
            <v>Others</v>
          </cell>
          <cell r="J2798">
            <v>3</v>
          </cell>
          <cell r="K2798" t="str">
            <v>Others</v>
          </cell>
        </row>
        <row r="2799">
          <cell r="D2799">
            <v>540110</v>
          </cell>
          <cell r="E2799" t="str">
            <v>Sewing thread; of synthetic filaments, whether or not put up for retail sale</v>
          </cell>
          <cell r="F2799">
            <v>0</v>
          </cell>
          <cell r="G2799">
            <v>0</v>
          </cell>
          <cell r="H2799">
            <v>0</v>
          </cell>
          <cell r="I2799" t="str">
            <v>Others</v>
          </cell>
          <cell r="J2799">
            <v>3</v>
          </cell>
          <cell r="K2799" t="str">
            <v>Others</v>
          </cell>
        </row>
        <row r="2800">
          <cell r="D2800">
            <v>540120</v>
          </cell>
          <cell r="E2800" t="str">
            <v>Sewing thread; of artificial filaments, whether or not put up for retail sale</v>
          </cell>
          <cell r="F2800">
            <v>0</v>
          </cell>
          <cell r="G2800">
            <v>0</v>
          </cell>
          <cell r="H2800">
            <v>0</v>
          </cell>
          <cell r="I2800" t="str">
            <v>Others</v>
          </cell>
          <cell r="J2800">
            <v>3</v>
          </cell>
          <cell r="K2800" t="str">
            <v>Others</v>
          </cell>
        </row>
        <row r="2801">
          <cell r="D2801">
            <v>540211</v>
          </cell>
          <cell r="E2801" t="str">
            <v>Yarn, synthetic; filament, monofilament (less than 67 decitex), of high tenacity yarn of nylon or other polyamides, textured or not; of aramids, not for retail sale, not sewing thread</v>
          </cell>
          <cell r="F2801">
            <v>0</v>
          </cell>
          <cell r="G2801">
            <v>0</v>
          </cell>
          <cell r="H2801">
            <v>0</v>
          </cell>
          <cell r="I2801" t="str">
            <v>Others</v>
          </cell>
          <cell r="J2801">
            <v>3</v>
          </cell>
          <cell r="K2801" t="str">
            <v>Others</v>
          </cell>
        </row>
        <row r="2802">
          <cell r="D2802">
            <v>540219</v>
          </cell>
          <cell r="E2802" t="str">
            <v>Yarn, synthetic; filament, monofilament (less than 67 decitex), of high tenacity nylon or other polyamides, textured or not; other than aramids, not for retail sale, not sewing thread</v>
          </cell>
          <cell r="F2802">
            <v>0</v>
          </cell>
          <cell r="G2802">
            <v>0</v>
          </cell>
          <cell r="H2802">
            <v>0</v>
          </cell>
          <cell r="I2802" t="str">
            <v>Others</v>
          </cell>
          <cell r="J2802">
            <v>3</v>
          </cell>
          <cell r="K2802" t="str">
            <v>Others</v>
          </cell>
        </row>
        <row r="2803">
          <cell r="D2803">
            <v>540220</v>
          </cell>
          <cell r="E2803" t="str">
            <v>Yarn, synthetic; filament, monofilament (less than 67 decitex), of high tenacity yarn of polyesters, whether or not textured, not for retail sale, not sewing thread</v>
          </cell>
          <cell r="F2803">
            <v>0</v>
          </cell>
          <cell r="G2803">
            <v>0</v>
          </cell>
          <cell r="H2803">
            <v>0</v>
          </cell>
          <cell r="I2803" t="str">
            <v>Others</v>
          </cell>
          <cell r="J2803">
            <v>3</v>
          </cell>
          <cell r="K2803" t="str">
            <v>Others</v>
          </cell>
        </row>
        <row r="2804">
          <cell r="D2804">
            <v>540231</v>
          </cell>
          <cell r="E2804" t="str">
            <v>Yarn, synthetic; filament, monofilament (less than 67 decitex), textured, of nylon or other polyamides, measuring per single yarn not more than 50 decitex, not for retail sale, not sewing thread</v>
          </cell>
          <cell r="F2804">
            <v>0</v>
          </cell>
          <cell r="G2804">
            <v>0</v>
          </cell>
          <cell r="H2804">
            <v>0</v>
          </cell>
          <cell r="I2804" t="str">
            <v>Others</v>
          </cell>
          <cell r="J2804">
            <v>3</v>
          </cell>
          <cell r="K2804" t="str">
            <v>Others</v>
          </cell>
        </row>
        <row r="2805">
          <cell r="D2805">
            <v>540232</v>
          </cell>
          <cell r="E2805" t="str">
            <v>Yarn, synthetic; filament, monofilament (less than 67 decitex), textured, of nylon or other polyamides, measuring per single yarn more than 50 decitex, not for retail sale, not sewing thread</v>
          </cell>
          <cell r="F2805">
            <v>0</v>
          </cell>
          <cell r="G2805">
            <v>0</v>
          </cell>
          <cell r="H2805">
            <v>0</v>
          </cell>
          <cell r="I2805" t="str">
            <v>Others</v>
          </cell>
          <cell r="J2805">
            <v>3</v>
          </cell>
          <cell r="K2805" t="str">
            <v>Others</v>
          </cell>
        </row>
        <row r="2806">
          <cell r="D2806">
            <v>540233</v>
          </cell>
          <cell r="E2806" t="str">
            <v>Yarn, synthetic; filament, monofilament (less than 67 decitex), textured, of polyesters, not for retail sale, not sewing thread</v>
          </cell>
          <cell r="F2806">
            <v>0</v>
          </cell>
          <cell r="G2806">
            <v>0</v>
          </cell>
          <cell r="H2806">
            <v>0</v>
          </cell>
          <cell r="I2806" t="str">
            <v>Others</v>
          </cell>
          <cell r="J2806">
            <v>3</v>
          </cell>
          <cell r="K2806" t="str">
            <v>Others</v>
          </cell>
        </row>
        <row r="2807">
          <cell r="D2807">
            <v>540234</v>
          </cell>
          <cell r="E2807" t="str">
            <v>Yarn, synthetic; filament, monofilament (less than 67 decitex), textured, of polypropylene, not for retail sale, not sewing thread</v>
          </cell>
          <cell r="F2807">
            <v>0</v>
          </cell>
          <cell r="G2807">
            <v>0</v>
          </cell>
          <cell r="H2807">
            <v>0</v>
          </cell>
          <cell r="I2807" t="str">
            <v>Others</v>
          </cell>
          <cell r="J2807">
            <v>3</v>
          </cell>
          <cell r="K2807" t="str">
            <v>Others</v>
          </cell>
        </row>
        <row r="2808">
          <cell r="D2808">
            <v>540239</v>
          </cell>
          <cell r="E2808" t="str">
            <v>Yarn, synthetic; filament, monofilament (less than 67 decitex), textured, other than of nylon or other polymides, polyesters, or polypropylene, not for retail sale, not sewing thread</v>
          </cell>
          <cell r="F2808">
            <v>0</v>
          </cell>
          <cell r="G2808">
            <v>0</v>
          </cell>
          <cell r="H2808">
            <v>0</v>
          </cell>
          <cell r="I2808" t="str">
            <v>Others</v>
          </cell>
          <cell r="J2808">
            <v>3</v>
          </cell>
          <cell r="K2808" t="str">
            <v>Others</v>
          </cell>
        </row>
        <row r="2809">
          <cell r="D2809">
            <v>540244</v>
          </cell>
          <cell r="E2809" t="str">
            <v>Yarn, synthetic; filament, monofilament (less than 67 decitex), other than high tenacity or textured yarn, elastomeric, single, untwisted or twisted 50 turns or less per metre, not for retail sale, not sewing thread</v>
          </cell>
          <cell r="F2809">
            <v>0</v>
          </cell>
          <cell r="G2809">
            <v>0</v>
          </cell>
          <cell r="H2809">
            <v>0</v>
          </cell>
          <cell r="I2809" t="str">
            <v>Others</v>
          </cell>
          <cell r="J2809">
            <v>3</v>
          </cell>
          <cell r="K2809" t="str">
            <v>Others</v>
          </cell>
        </row>
        <row r="2810">
          <cell r="D2810">
            <v>540245</v>
          </cell>
          <cell r="E2810" t="str">
            <v>Yarn, synthetic; filament, monofilament (less than 67 decitex), of nylon or other polymides (not high tenacity or textured), single, untwisted or twisted 50 turns or less per metre, not for retail sale, not sewing thread</v>
          </cell>
          <cell r="F2810">
            <v>0</v>
          </cell>
          <cell r="G2810">
            <v>0</v>
          </cell>
          <cell r="H2810">
            <v>0</v>
          </cell>
          <cell r="I2810" t="str">
            <v>Others</v>
          </cell>
          <cell r="J2810">
            <v>3</v>
          </cell>
          <cell r="K2810" t="str">
            <v>Others</v>
          </cell>
        </row>
        <row r="2811">
          <cell r="D2811">
            <v>540246</v>
          </cell>
          <cell r="E2811" t="str">
            <v>Yarn, synthetic; filament, monofilament (less than 67 decitex), of polyesters (not high tenacity or textured), partially oriented, single, untwisted or twisted 50 turns or less per metre, not for retail sale, not sewing thread</v>
          </cell>
          <cell r="F2811">
            <v>0</v>
          </cell>
          <cell r="G2811">
            <v>0</v>
          </cell>
          <cell r="H2811">
            <v>0</v>
          </cell>
          <cell r="I2811" t="str">
            <v>Others</v>
          </cell>
          <cell r="J2811">
            <v>3</v>
          </cell>
          <cell r="K2811" t="str">
            <v>Others</v>
          </cell>
        </row>
        <row r="2812">
          <cell r="D2812">
            <v>540247</v>
          </cell>
          <cell r="E2812" t="str">
            <v>Yarn, synthetic; filament, monofilament (less than 67 decitex), polyesters (not high tenacity or textured), not partially oriented, single, untwisted or twisted 50 turns or less per metre, not for retail sale, not sewing thread</v>
          </cell>
          <cell r="F2812">
            <v>0</v>
          </cell>
          <cell r="G2812">
            <v>0</v>
          </cell>
          <cell r="H2812">
            <v>0</v>
          </cell>
          <cell r="I2812" t="str">
            <v>Others</v>
          </cell>
          <cell r="J2812">
            <v>3</v>
          </cell>
          <cell r="K2812" t="str">
            <v>Others</v>
          </cell>
        </row>
        <row r="2813">
          <cell r="D2813">
            <v>540248</v>
          </cell>
          <cell r="E2813" t="str">
            <v>Yarn, synthetic; filament, monofilament (less than 67 decitex), of polypropylene (not high tenacity or textured), single, untwisted or twisted 50 turns or less per metre, not for retail sale, not sewing thread</v>
          </cell>
          <cell r="F2813">
            <v>0</v>
          </cell>
          <cell r="G2813">
            <v>0</v>
          </cell>
          <cell r="H2813">
            <v>0</v>
          </cell>
          <cell r="I2813" t="str">
            <v>Others</v>
          </cell>
          <cell r="J2813">
            <v>3</v>
          </cell>
          <cell r="K2813" t="str">
            <v>Others</v>
          </cell>
        </row>
        <row r="2814">
          <cell r="D2814">
            <v>540249</v>
          </cell>
          <cell r="E2814" t="str">
            <v>Yarn, synthetic; filament, monofilament (less than 67 decitex), other than high tenacity or textured yarn, single, untwisted or twisted 50 turns or less per metre, n.e.c. in heading no. 5402, not for retail sale, not sewing thread</v>
          </cell>
          <cell r="F2814">
            <v>0</v>
          </cell>
          <cell r="G2814">
            <v>0</v>
          </cell>
          <cell r="H2814">
            <v>0</v>
          </cell>
          <cell r="I2814" t="str">
            <v>Others</v>
          </cell>
          <cell r="J2814">
            <v>3</v>
          </cell>
          <cell r="K2814" t="str">
            <v>Others</v>
          </cell>
        </row>
        <row r="2815">
          <cell r="D2815">
            <v>540251</v>
          </cell>
          <cell r="E2815" t="str">
            <v>Yarn, synthetic; filament, monofilament (less than 67 decitex), of nylon or other polymides (not high tenacity or textured), single, twisted more than 50 turns per metre, not for retail sale, not sewing thread</v>
          </cell>
          <cell r="F2815" t="str">
            <v>Consumables</v>
          </cell>
          <cell r="G2815">
            <v>0</v>
          </cell>
          <cell r="H2815">
            <v>0</v>
          </cell>
          <cell r="I2815" t="str">
            <v>Others</v>
          </cell>
          <cell r="J2815">
            <v>2</v>
          </cell>
          <cell r="K2815" t="str">
            <v>Consumables - rc</v>
          </cell>
        </row>
        <row r="2816">
          <cell r="D2816">
            <v>540252</v>
          </cell>
          <cell r="E2816" t="str">
            <v>Yarn, synthetic; filament, monofilament (less than 67 decitex), of polyesters (not high tenacity or textured), single, twisted more than 50 turns per metre, not for retail sale, not sewing thread</v>
          </cell>
          <cell r="F2816">
            <v>0</v>
          </cell>
          <cell r="G2816">
            <v>0</v>
          </cell>
          <cell r="H2816">
            <v>0</v>
          </cell>
          <cell r="I2816" t="str">
            <v>Others</v>
          </cell>
          <cell r="J2816">
            <v>3</v>
          </cell>
          <cell r="K2816" t="str">
            <v>Others</v>
          </cell>
        </row>
        <row r="2817">
          <cell r="D2817">
            <v>540253</v>
          </cell>
          <cell r="E2817" t="str">
            <v>Yarn, synthetic; filament, monofilament (less than 67 decitex), of polypropylene (not high tenacity or textured), single, twisted more than 50 turns per metre, not for retail sale, not sewing thread</v>
          </cell>
          <cell r="F2817">
            <v>0</v>
          </cell>
          <cell r="G2817">
            <v>0</v>
          </cell>
          <cell r="H2817">
            <v>0</v>
          </cell>
          <cell r="I2817" t="str">
            <v>Others</v>
          </cell>
          <cell r="J2817">
            <v>3</v>
          </cell>
          <cell r="K2817" t="str">
            <v>Others</v>
          </cell>
        </row>
        <row r="2818">
          <cell r="D2818">
            <v>540259</v>
          </cell>
          <cell r="E2818" t="str">
            <v>Yarn, synthetic; filament, monofilament (less than 67 decitex), other than high tenacity or textured yarn, single, twisted more than 50 turns per metre, n.e.c. in heading no. 5402, not for retail sale, not sewing thread</v>
          </cell>
          <cell r="F2818">
            <v>0</v>
          </cell>
          <cell r="G2818">
            <v>0</v>
          </cell>
          <cell r="H2818">
            <v>0</v>
          </cell>
          <cell r="I2818" t="str">
            <v>Others</v>
          </cell>
          <cell r="J2818">
            <v>3</v>
          </cell>
          <cell r="K2818" t="str">
            <v>Others</v>
          </cell>
        </row>
        <row r="2819">
          <cell r="D2819">
            <v>540261</v>
          </cell>
          <cell r="E2819" t="str">
            <v>Yarn, synthetic; filament, monofilament (less than 67 decitex), of nylon or other polymides (not high tenacity or textured), multiple (folded) or cabled, not for retail sale, not sewing thread</v>
          </cell>
          <cell r="F2819">
            <v>0</v>
          </cell>
          <cell r="G2819">
            <v>0</v>
          </cell>
          <cell r="H2819">
            <v>0</v>
          </cell>
          <cell r="I2819" t="str">
            <v>Others</v>
          </cell>
          <cell r="J2819">
            <v>3</v>
          </cell>
          <cell r="K2819" t="str">
            <v>Others</v>
          </cell>
        </row>
        <row r="2820">
          <cell r="D2820">
            <v>540262</v>
          </cell>
          <cell r="E2820" t="str">
            <v>Yarn, synthetic; filament, monofilament (less than 67 decitex), of polyesters (not high tenacity or textured), multiple (folded) or cabled, not for retail sale, not sewing thread</v>
          </cell>
          <cell r="F2820">
            <v>0</v>
          </cell>
          <cell r="G2820">
            <v>0</v>
          </cell>
          <cell r="H2820">
            <v>0</v>
          </cell>
          <cell r="I2820" t="str">
            <v>Others</v>
          </cell>
          <cell r="J2820">
            <v>3</v>
          </cell>
          <cell r="K2820" t="str">
            <v>Others</v>
          </cell>
        </row>
        <row r="2821">
          <cell r="D2821">
            <v>540263</v>
          </cell>
          <cell r="E2821" t="str">
            <v>Yarn, synthetic; filament, monofilament (less than 67 decitex), of polypropylene, other than high tenacity or textured yarn, multiple (folded) or cabled, not for retail sale, not sewing thread</v>
          </cell>
          <cell r="F2821">
            <v>0</v>
          </cell>
          <cell r="G2821">
            <v>0</v>
          </cell>
          <cell r="H2821">
            <v>0</v>
          </cell>
          <cell r="I2821" t="str">
            <v>Others</v>
          </cell>
          <cell r="J2821">
            <v>3</v>
          </cell>
          <cell r="K2821" t="str">
            <v>Others</v>
          </cell>
        </row>
        <row r="2822">
          <cell r="D2822">
            <v>540269</v>
          </cell>
          <cell r="E2822" t="str">
            <v>Yarn, synthetic; filament, monofilament (less than 67 decitex), other than high tenacity or textured yarn, multiple (folded) or cabled, n.e.c. in heading no. 5402, not for retail sale, not sewing thread</v>
          </cell>
          <cell r="F2822">
            <v>0</v>
          </cell>
          <cell r="G2822">
            <v>0</v>
          </cell>
          <cell r="H2822">
            <v>0</v>
          </cell>
          <cell r="I2822" t="str">
            <v>Others</v>
          </cell>
          <cell r="J2822">
            <v>3</v>
          </cell>
          <cell r="K2822" t="str">
            <v>Others</v>
          </cell>
        </row>
        <row r="2823">
          <cell r="D2823">
            <v>540310</v>
          </cell>
          <cell r="E2823" t="str">
            <v>Yarn, artificial; filament, monofilament (less than 67 decitex), of high tenacity viscose rayon, not for retail sale, not sewing thread</v>
          </cell>
          <cell r="F2823">
            <v>0</v>
          </cell>
          <cell r="G2823">
            <v>0</v>
          </cell>
          <cell r="H2823">
            <v>0</v>
          </cell>
          <cell r="I2823" t="str">
            <v>Others</v>
          </cell>
          <cell r="J2823">
            <v>3</v>
          </cell>
          <cell r="K2823" t="str">
            <v>Others</v>
          </cell>
        </row>
        <row r="2824">
          <cell r="D2824">
            <v>540331</v>
          </cell>
          <cell r="E2824" t="str">
            <v>Yarn, artificial; filament, monofilament (less than 67 decitex), of viscose rayon (not high tenacity), single, untwisted or twisted 120 turns per metre or less, not for retail sale, not sewing thread</v>
          </cell>
          <cell r="F2824">
            <v>0</v>
          </cell>
          <cell r="G2824">
            <v>0</v>
          </cell>
          <cell r="H2824">
            <v>0</v>
          </cell>
          <cell r="I2824" t="str">
            <v>Others</v>
          </cell>
          <cell r="J2824">
            <v>3</v>
          </cell>
          <cell r="K2824" t="str">
            <v>Others</v>
          </cell>
        </row>
        <row r="2825">
          <cell r="D2825">
            <v>540332</v>
          </cell>
          <cell r="E2825" t="str">
            <v>Yarn, artificial; filament, monofilament (less than 67 decitex), of viscose rayon (not high tenacity), single, twisted more than 120 turns per metre, not for retail sale, not sewing thread</v>
          </cell>
          <cell r="F2825">
            <v>0</v>
          </cell>
          <cell r="G2825">
            <v>0</v>
          </cell>
          <cell r="H2825">
            <v>0</v>
          </cell>
          <cell r="I2825" t="str">
            <v>Others</v>
          </cell>
          <cell r="J2825">
            <v>3</v>
          </cell>
          <cell r="K2825" t="str">
            <v>Others</v>
          </cell>
        </row>
        <row r="2826">
          <cell r="D2826">
            <v>540333</v>
          </cell>
          <cell r="E2826" t="str">
            <v>Yarn, artificial; filament, monofilament (less than 67 decitex), of cellulose acetate, single, not for retail sale, not sewing thread</v>
          </cell>
          <cell r="F2826">
            <v>0</v>
          </cell>
          <cell r="G2826">
            <v>0</v>
          </cell>
          <cell r="H2826">
            <v>0</v>
          </cell>
          <cell r="I2826" t="str">
            <v>Others</v>
          </cell>
          <cell r="J2826">
            <v>3</v>
          </cell>
          <cell r="K2826" t="str">
            <v>Others</v>
          </cell>
        </row>
        <row r="2827">
          <cell r="D2827">
            <v>540339</v>
          </cell>
          <cell r="E2827" t="str">
            <v>Yarn, artificial; filament, monofilament (less than 67 decitex), single, n.e.c. in heading no. 5403, not for retail sale, not sewing thread</v>
          </cell>
          <cell r="F2827">
            <v>0</v>
          </cell>
          <cell r="G2827">
            <v>0</v>
          </cell>
          <cell r="H2827">
            <v>0</v>
          </cell>
          <cell r="I2827" t="str">
            <v>Others</v>
          </cell>
          <cell r="J2827">
            <v>3</v>
          </cell>
          <cell r="K2827" t="str">
            <v>Others</v>
          </cell>
        </row>
        <row r="2828">
          <cell r="D2828">
            <v>540341</v>
          </cell>
          <cell r="E2828" t="str">
            <v>Yarn, artificial; filament, monofilament (less than 67 decitex), of viscose rayon (not high tenacity), multiple (folded) or cabled, not for retail sale, not sewing thread</v>
          </cell>
          <cell r="F2828">
            <v>0</v>
          </cell>
          <cell r="G2828">
            <v>0</v>
          </cell>
          <cell r="H2828">
            <v>0</v>
          </cell>
          <cell r="I2828" t="str">
            <v>Others</v>
          </cell>
          <cell r="J2828">
            <v>3</v>
          </cell>
          <cell r="K2828" t="str">
            <v>Others</v>
          </cell>
        </row>
        <row r="2829">
          <cell r="D2829">
            <v>540342</v>
          </cell>
          <cell r="E2829" t="str">
            <v>Yarn, artificial; filament, monofilament (less than 67 decitex), of cellulose acetate, multiple (folded) or cabled, not for retail sale, not sewing thread</v>
          </cell>
          <cell r="F2829">
            <v>0</v>
          </cell>
          <cell r="G2829">
            <v>0</v>
          </cell>
          <cell r="H2829">
            <v>0</v>
          </cell>
          <cell r="I2829" t="str">
            <v>Others</v>
          </cell>
          <cell r="J2829">
            <v>3</v>
          </cell>
          <cell r="K2829" t="str">
            <v>Others</v>
          </cell>
        </row>
        <row r="2830">
          <cell r="D2830">
            <v>540349</v>
          </cell>
          <cell r="E2830" t="str">
            <v>Yarn, artificial; filament, monofilament (less than 67 decitex), multiple (folded) or cabled, n.e.c. in heading no. 5403, not for retail sale, not sewing thread</v>
          </cell>
          <cell r="F2830">
            <v>0</v>
          </cell>
          <cell r="G2830">
            <v>0</v>
          </cell>
          <cell r="H2830">
            <v>0</v>
          </cell>
          <cell r="I2830" t="str">
            <v>Others</v>
          </cell>
          <cell r="J2830">
            <v>3</v>
          </cell>
          <cell r="K2830" t="str">
            <v>Others</v>
          </cell>
        </row>
        <row r="2831">
          <cell r="D2831">
            <v>540411</v>
          </cell>
          <cell r="E2831" t="str">
            <v>Elastomeric monofilament; of 67 decitex or more and of which no cross-sectional dimension exceeds 1mm</v>
          </cell>
          <cell r="F2831">
            <v>0</v>
          </cell>
          <cell r="G2831">
            <v>0</v>
          </cell>
          <cell r="H2831">
            <v>0</v>
          </cell>
          <cell r="I2831" t="str">
            <v>Others</v>
          </cell>
          <cell r="J2831">
            <v>3</v>
          </cell>
          <cell r="K2831" t="str">
            <v>Others</v>
          </cell>
        </row>
        <row r="2832">
          <cell r="D2832">
            <v>540412</v>
          </cell>
          <cell r="E2832" t="str">
            <v>Monofilament of polypropylene; of 67 decitex or more and of which no cross-sectional dimension exceeds 1mm</v>
          </cell>
          <cell r="F2832">
            <v>0</v>
          </cell>
          <cell r="G2832">
            <v>0</v>
          </cell>
          <cell r="H2832">
            <v>0</v>
          </cell>
          <cell r="I2832" t="str">
            <v>Others</v>
          </cell>
          <cell r="J2832">
            <v>3</v>
          </cell>
          <cell r="K2832" t="str">
            <v>Others</v>
          </cell>
        </row>
        <row r="2833">
          <cell r="D2833">
            <v>540419</v>
          </cell>
          <cell r="E2833" t="str">
            <v>Monofilament n.e.c. in heading no 5404; of 67 decitex or more and of which no cross-sectional dimension exceeds 1mm</v>
          </cell>
          <cell r="F2833">
            <v>0</v>
          </cell>
          <cell r="G2833">
            <v>0</v>
          </cell>
          <cell r="H2833">
            <v>0</v>
          </cell>
          <cell r="I2833" t="str">
            <v>Others</v>
          </cell>
          <cell r="J2833">
            <v>3</v>
          </cell>
          <cell r="K2833" t="str">
            <v>Others</v>
          </cell>
        </row>
        <row r="2834">
          <cell r="D2834">
            <v>540490</v>
          </cell>
          <cell r="E2834" t="str">
            <v>Filament, synthetic; strip and the like (e.g.. artificial straw), of synthetic textile materials of an apparent width not exceeding 5mm</v>
          </cell>
          <cell r="F2834">
            <v>0</v>
          </cell>
          <cell r="G2834">
            <v>0</v>
          </cell>
          <cell r="H2834">
            <v>0</v>
          </cell>
          <cell r="I2834" t="str">
            <v>Others</v>
          </cell>
          <cell r="J2834">
            <v>3</v>
          </cell>
          <cell r="K2834" t="str">
            <v>Others</v>
          </cell>
        </row>
        <row r="2835">
          <cell r="D2835">
            <v>540500</v>
          </cell>
          <cell r="E2835" t="str">
            <v>Monofilament, synthetic; of 67 decitex or more and of which no cross-sectional dimension exceeds 1mm, strip and the like (e.g. artificial straw), of synthetic textile materials with width not over 5mm</v>
          </cell>
          <cell r="F2835">
            <v>0</v>
          </cell>
          <cell r="G2835">
            <v>0</v>
          </cell>
          <cell r="H2835">
            <v>0</v>
          </cell>
          <cell r="I2835" t="str">
            <v>Others</v>
          </cell>
          <cell r="J2835">
            <v>3</v>
          </cell>
          <cell r="K2835" t="str">
            <v>Others</v>
          </cell>
        </row>
        <row r="2836">
          <cell r="D2836">
            <v>540600</v>
          </cell>
          <cell r="E2836" t="str">
            <v>Man-made filament yarn (other than sewing thread), put up for retail sale</v>
          </cell>
          <cell r="F2836">
            <v>0</v>
          </cell>
          <cell r="G2836">
            <v>0</v>
          </cell>
          <cell r="H2836">
            <v>0</v>
          </cell>
          <cell r="I2836" t="str">
            <v>Others</v>
          </cell>
          <cell r="J2836">
            <v>3</v>
          </cell>
          <cell r="K2836" t="str">
            <v>Others</v>
          </cell>
        </row>
        <row r="2837">
          <cell r="D2837">
            <v>540710</v>
          </cell>
          <cell r="E2837" t="str">
            <v>Fabrics, woven; from high tenacity yarn, of nylon, other polyamides or of polyesters</v>
          </cell>
          <cell r="F2837">
            <v>0</v>
          </cell>
          <cell r="G2837">
            <v>0</v>
          </cell>
          <cell r="H2837">
            <v>0</v>
          </cell>
          <cell r="I2837" t="str">
            <v>Others</v>
          </cell>
          <cell r="J2837">
            <v>3</v>
          </cell>
          <cell r="K2837" t="str">
            <v>Others</v>
          </cell>
        </row>
        <row r="2838">
          <cell r="D2838">
            <v>540720</v>
          </cell>
          <cell r="E2838" t="str">
            <v>Fabrics, woven; from strip or the like, of synthetic textile materials</v>
          </cell>
          <cell r="F2838">
            <v>0</v>
          </cell>
          <cell r="G2838">
            <v>0</v>
          </cell>
          <cell r="H2838">
            <v>0</v>
          </cell>
          <cell r="I2838" t="str">
            <v>Others</v>
          </cell>
          <cell r="J2838">
            <v>3</v>
          </cell>
          <cell r="K2838" t="str">
            <v>Others</v>
          </cell>
        </row>
        <row r="2839">
          <cell r="D2839">
            <v>540730</v>
          </cell>
          <cell r="E2839" t="str">
            <v>Fabrics, woven; from synthetic filament yarn, adhesive or thermal bonded</v>
          </cell>
          <cell r="F2839">
            <v>0</v>
          </cell>
          <cell r="G2839">
            <v>0</v>
          </cell>
          <cell r="H2839">
            <v>0</v>
          </cell>
          <cell r="I2839" t="str">
            <v>Others</v>
          </cell>
          <cell r="J2839">
            <v>3</v>
          </cell>
          <cell r="K2839" t="str">
            <v>Others</v>
          </cell>
        </row>
        <row r="2840">
          <cell r="D2840">
            <v>540741</v>
          </cell>
          <cell r="E2840" t="str">
            <v>Fabrics, woven; containing 85% or more by weight of filaments of nylon or other polyamides, unbleached or bleached</v>
          </cell>
          <cell r="F2840">
            <v>0</v>
          </cell>
          <cell r="G2840">
            <v>0</v>
          </cell>
          <cell r="H2840">
            <v>0</v>
          </cell>
          <cell r="I2840" t="str">
            <v>Others</v>
          </cell>
          <cell r="J2840">
            <v>3</v>
          </cell>
          <cell r="K2840" t="str">
            <v>Others</v>
          </cell>
        </row>
        <row r="2841">
          <cell r="D2841">
            <v>540742</v>
          </cell>
          <cell r="E2841" t="str">
            <v>Fabrics, woven; containing 85% or more by weight of filaments of nylon or other polyamides, dyed</v>
          </cell>
          <cell r="F2841">
            <v>0</v>
          </cell>
          <cell r="G2841">
            <v>0</v>
          </cell>
          <cell r="H2841">
            <v>0</v>
          </cell>
          <cell r="I2841" t="str">
            <v>Others</v>
          </cell>
          <cell r="J2841">
            <v>3</v>
          </cell>
          <cell r="K2841" t="str">
            <v>Others</v>
          </cell>
        </row>
        <row r="2842">
          <cell r="D2842">
            <v>540743</v>
          </cell>
          <cell r="E2842" t="str">
            <v>Fabrics, woven; containing 85% or more by weight of filaments of nylon or other polyamides, of yarns of different colours</v>
          </cell>
          <cell r="F2842">
            <v>0</v>
          </cell>
          <cell r="G2842">
            <v>0</v>
          </cell>
          <cell r="H2842">
            <v>0</v>
          </cell>
          <cell r="I2842" t="str">
            <v>Others</v>
          </cell>
          <cell r="J2842">
            <v>3</v>
          </cell>
          <cell r="K2842" t="str">
            <v>Others</v>
          </cell>
        </row>
        <row r="2843">
          <cell r="D2843">
            <v>540744</v>
          </cell>
          <cell r="E2843" t="str">
            <v>Fabrics, woven; containing 85% or more by weight of filaments of nylon or other polyamides, printed</v>
          </cell>
          <cell r="F2843">
            <v>0</v>
          </cell>
          <cell r="G2843">
            <v>0</v>
          </cell>
          <cell r="H2843">
            <v>0</v>
          </cell>
          <cell r="I2843" t="str">
            <v>Others</v>
          </cell>
          <cell r="J2843">
            <v>3</v>
          </cell>
          <cell r="K2843" t="str">
            <v>Others</v>
          </cell>
        </row>
        <row r="2844">
          <cell r="D2844">
            <v>540751</v>
          </cell>
          <cell r="E2844" t="str">
            <v>Fabrics, woven; containing 85% or more by weight of textured polyester filaments, unbleached or bleached</v>
          </cell>
          <cell r="F2844">
            <v>0</v>
          </cell>
          <cell r="G2844">
            <v>0</v>
          </cell>
          <cell r="H2844">
            <v>0</v>
          </cell>
          <cell r="I2844" t="str">
            <v>Others</v>
          </cell>
          <cell r="J2844">
            <v>3</v>
          </cell>
          <cell r="K2844" t="str">
            <v>Others</v>
          </cell>
        </row>
        <row r="2845">
          <cell r="D2845">
            <v>540752</v>
          </cell>
          <cell r="E2845" t="str">
            <v>Fabrics, woven; containing 85% or more by weight of textured polyester filaments, dyed</v>
          </cell>
          <cell r="F2845">
            <v>0</v>
          </cell>
          <cell r="G2845">
            <v>0</v>
          </cell>
          <cell r="H2845">
            <v>0</v>
          </cell>
          <cell r="I2845" t="str">
            <v>Others</v>
          </cell>
          <cell r="J2845">
            <v>3</v>
          </cell>
          <cell r="K2845" t="str">
            <v>Others</v>
          </cell>
        </row>
        <row r="2846">
          <cell r="D2846">
            <v>540753</v>
          </cell>
          <cell r="E2846" t="str">
            <v>Fabrics, woven; containing 85% or more by weight of textured polyester filaments, of yarns of different colours</v>
          </cell>
          <cell r="F2846">
            <v>0</v>
          </cell>
          <cell r="G2846">
            <v>0</v>
          </cell>
          <cell r="H2846">
            <v>0</v>
          </cell>
          <cell r="I2846" t="str">
            <v>Others</v>
          </cell>
          <cell r="J2846">
            <v>3</v>
          </cell>
          <cell r="K2846" t="str">
            <v>Others</v>
          </cell>
        </row>
        <row r="2847">
          <cell r="D2847">
            <v>540754</v>
          </cell>
          <cell r="E2847" t="str">
            <v>Fabrics, woven; containing 85% or more by weight of textured polyester filaments, printed</v>
          </cell>
          <cell r="F2847">
            <v>0</v>
          </cell>
          <cell r="G2847">
            <v>0</v>
          </cell>
          <cell r="H2847">
            <v>0</v>
          </cell>
          <cell r="I2847" t="str">
            <v>Others</v>
          </cell>
          <cell r="J2847">
            <v>3</v>
          </cell>
          <cell r="K2847" t="str">
            <v>Others</v>
          </cell>
        </row>
        <row r="2848">
          <cell r="D2848">
            <v>540761</v>
          </cell>
          <cell r="E2848" t="str">
            <v>Fabrics, woven; containing 85% or more by weight of non-textured polyester filaments</v>
          </cell>
          <cell r="F2848">
            <v>0</v>
          </cell>
          <cell r="G2848">
            <v>0</v>
          </cell>
          <cell r="H2848">
            <v>0</v>
          </cell>
          <cell r="I2848" t="str">
            <v>Others</v>
          </cell>
          <cell r="J2848">
            <v>3</v>
          </cell>
          <cell r="K2848" t="str">
            <v>Others</v>
          </cell>
        </row>
        <row r="2849">
          <cell r="D2849">
            <v>540769</v>
          </cell>
          <cell r="E2849" t="str">
            <v>Fabrics, woven; containing less than 85% by weight of non-textured polyester filaments</v>
          </cell>
          <cell r="F2849">
            <v>0</v>
          </cell>
          <cell r="G2849">
            <v>0</v>
          </cell>
          <cell r="H2849">
            <v>0</v>
          </cell>
          <cell r="I2849" t="str">
            <v>Others</v>
          </cell>
          <cell r="J2849">
            <v>3</v>
          </cell>
          <cell r="K2849" t="str">
            <v>Others</v>
          </cell>
        </row>
        <row r="2850">
          <cell r="D2850">
            <v>540771</v>
          </cell>
          <cell r="E2850" t="str">
            <v>Fabrics, woven; containing 85% or more by weight of synthetic filaments (excluding nylon or other polyamides and polyesters), unbleached or bleached</v>
          </cell>
          <cell r="F2850">
            <v>0</v>
          </cell>
          <cell r="G2850">
            <v>0</v>
          </cell>
          <cell r="H2850">
            <v>0</v>
          </cell>
          <cell r="I2850" t="str">
            <v>Others</v>
          </cell>
          <cell r="J2850">
            <v>3</v>
          </cell>
          <cell r="K2850" t="str">
            <v>Others</v>
          </cell>
        </row>
        <row r="2851">
          <cell r="D2851">
            <v>540772</v>
          </cell>
          <cell r="E2851" t="str">
            <v>Fabrics, woven; containing 85% or more by weight of synthetic filaments (excluding nylon or other polyamides and polyesters), dyed</v>
          </cell>
          <cell r="F2851">
            <v>0</v>
          </cell>
          <cell r="G2851">
            <v>0</v>
          </cell>
          <cell r="H2851">
            <v>0</v>
          </cell>
          <cell r="I2851" t="str">
            <v>Others</v>
          </cell>
          <cell r="J2851">
            <v>3</v>
          </cell>
          <cell r="K2851" t="str">
            <v>Others</v>
          </cell>
        </row>
        <row r="2852">
          <cell r="D2852">
            <v>540773</v>
          </cell>
          <cell r="E2852" t="str">
            <v>Fabrics, woven; containing 85% or more by weight of synthetic filaments (excluding nylon or other polyamides and polyesters), of yarns of different colours</v>
          </cell>
          <cell r="F2852">
            <v>0</v>
          </cell>
          <cell r="G2852">
            <v>0</v>
          </cell>
          <cell r="H2852">
            <v>0</v>
          </cell>
          <cell r="I2852" t="str">
            <v>Others</v>
          </cell>
          <cell r="J2852">
            <v>3</v>
          </cell>
          <cell r="K2852" t="str">
            <v>Others</v>
          </cell>
        </row>
        <row r="2853">
          <cell r="D2853">
            <v>540774</v>
          </cell>
          <cell r="E2853" t="str">
            <v>Fabrics, woven; containing 85% or more by weight of synthetic filaments (excluding nylon or other polyamides and polyesters), printed</v>
          </cell>
          <cell r="F2853">
            <v>0</v>
          </cell>
          <cell r="G2853">
            <v>0</v>
          </cell>
          <cell r="H2853">
            <v>0</v>
          </cell>
          <cell r="I2853" t="str">
            <v>Others</v>
          </cell>
          <cell r="J2853">
            <v>3</v>
          </cell>
          <cell r="K2853" t="str">
            <v>Others</v>
          </cell>
        </row>
        <row r="2854">
          <cell r="D2854">
            <v>540781</v>
          </cell>
          <cell r="E2854" t="str">
            <v>Fabrics, woven; of synthetic filament yarn, containing less than 85% by weight of synthetic filaments, mixed mainly or solely with cotton, bleached or unbleached</v>
          </cell>
          <cell r="F2854">
            <v>0</v>
          </cell>
          <cell r="G2854">
            <v>0</v>
          </cell>
          <cell r="H2854">
            <v>0</v>
          </cell>
          <cell r="I2854" t="str">
            <v>Others</v>
          </cell>
          <cell r="J2854">
            <v>3</v>
          </cell>
          <cell r="K2854" t="str">
            <v>Others</v>
          </cell>
        </row>
        <row r="2855">
          <cell r="D2855">
            <v>540782</v>
          </cell>
          <cell r="E2855" t="str">
            <v>Fabrics, woven; of synthetic filament yarn, containing less than 85% by weight of synthetic filaments, mixed mainly or solely with cotton, dyed</v>
          </cell>
          <cell r="F2855">
            <v>0</v>
          </cell>
          <cell r="G2855">
            <v>0</v>
          </cell>
          <cell r="H2855">
            <v>0</v>
          </cell>
          <cell r="I2855" t="str">
            <v>Others</v>
          </cell>
          <cell r="J2855">
            <v>3</v>
          </cell>
          <cell r="K2855" t="str">
            <v>Others</v>
          </cell>
        </row>
        <row r="2856">
          <cell r="D2856">
            <v>540783</v>
          </cell>
          <cell r="E2856" t="str">
            <v>Fabrics, woven; of synthetic filament yarn, containing less than 85% by weight of synthetic filaments, mixed mainly or solely with cotton, of yarns of different colours</v>
          </cell>
          <cell r="F2856">
            <v>0</v>
          </cell>
          <cell r="G2856">
            <v>0</v>
          </cell>
          <cell r="H2856">
            <v>0</v>
          </cell>
          <cell r="I2856" t="str">
            <v>Others</v>
          </cell>
          <cell r="J2856">
            <v>3</v>
          </cell>
          <cell r="K2856" t="str">
            <v>Others</v>
          </cell>
        </row>
        <row r="2857">
          <cell r="D2857">
            <v>540784</v>
          </cell>
          <cell r="E2857" t="str">
            <v>Fabrics, woven; of synthetic filament yarn, containing less than 85% by weight of synthetic filaments, printed</v>
          </cell>
          <cell r="F2857">
            <v>0</v>
          </cell>
          <cell r="G2857">
            <v>0</v>
          </cell>
          <cell r="H2857">
            <v>0</v>
          </cell>
          <cell r="I2857" t="str">
            <v>Others</v>
          </cell>
          <cell r="J2857">
            <v>3</v>
          </cell>
          <cell r="K2857" t="str">
            <v>Others</v>
          </cell>
        </row>
        <row r="2858">
          <cell r="D2858">
            <v>540791</v>
          </cell>
          <cell r="E2858" t="str">
            <v>Fabrics, woven; of synthetic filament yarn, bleached or unbleached, n.e.c. in heading no. 5407</v>
          </cell>
          <cell r="F2858">
            <v>0</v>
          </cell>
          <cell r="G2858">
            <v>0</v>
          </cell>
          <cell r="H2858">
            <v>0</v>
          </cell>
          <cell r="I2858" t="str">
            <v>Others</v>
          </cell>
          <cell r="J2858">
            <v>3</v>
          </cell>
          <cell r="K2858" t="str">
            <v>Others</v>
          </cell>
        </row>
        <row r="2859">
          <cell r="D2859">
            <v>540792</v>
          </cell>
          <cell r="E2859" t="str">
            <v>Fabrics, woven; of synthetic filament yarn, dyed, n.e.c. in heading 5407</v>
          </cell>
          <cell r="F2859">
            <v>0</v>
          </cell>
          <cell r="G2859">
            <v>0</v>
          </cell>
          <cell r="H2859">
            <v>0</v>
          </cell>
          <cell r="I2859" t="str">
            <v>Others</v>
          </cell>
          <cell r="J2859">
            <v>3</v>
          </cell>
          <cell r="K2859" t="str">
            <v>Others</v>
          </cell>
        </row>
        <row r="2860">
          <cell r="D2860">
            <v>540793</v>
          </cell>
          <cell r="E2860" t="str">
            <v>Fabrics, woven; of synthetic filament yarn, of yarns of different colours, n.e.c. in heading no. 5407</v>
          </cell>
          <cell r="F2860">
            <v>0</v>
          </cell>
          <cell r="G2860">
            <v>0</v>
          </cell>
          <cell r="H2860">
            <v>0</v>
          </cell>
          <cell r="I2860" t="str">
            <v>Others</v>
          </cell>
          <cell r="J2860">
            <v>3</v>
          </cell>
          <cell r="K2860" t="str">
            <v>Others</v>
          </cell>
        </row>
        <row r="2861">
          <cell r="D2861">
            <v>540794</v>
          </cell>
          <cell r="E2861" t="str">
            <v>Fabrics, woven; of synthetic filament yarn, printed, n.e.c. in heading no. 5407</v>
          </cell>
          <cell r="F2861">
            <v>0</v>
          </cell>
          <cell r="G2861">
            <v>0</v>
          </cell>
          <cell r="H2861">
            <v>0</v>
          </cell>
          <cell r="I2861" t="str">
            <v>Others</v>
          </cell>
          <cell r="J2861">
            <v>3</v>
          </cell>
          <cell r="K2861" t="str">
            <v>Others</v>
          </cell>
        </row>
        <row r="2862">
          <cell r="D2862">
            <v>540810</v>
          </cell>
          <cell r="E2862" t="str">
            <v>Fabrics, woven; of viscose rayon, high tenacity, artificial filament yarn</v>
          </cell>
          <cell r="F2862">
            <v>0</v>
          </cell>
          <cell r="G2862">
            <v>0</v>
          </cell>
          <cell r="H2862">
            <v>0</v>
          </cell>
          <cell r="I2862" t="str">
            <v>Others</v>
          </cell>
          <cell r="J2862">
            <v>3</v>
          </cell>
          <cell r="K2862" t="str">
            <v>Others</v>
          </cell>
        </row>
        <row r="2863">
          <cell r="D2863">
            <v>540821</v>
          </cell>
          <cell r="E2863" t="str">
            <v>Fabrics, woven; of artificial filament yarn, containing 85% or more by weight of artificial filament, strip or the like, bleached or unbleached</v>
          </cell>
          <cell r="F2863">
            <v>0</v>
          </cell>
          <cell r="G2863">
            <v>0</v>
          </cell>
          <cell r="H2863">
            <v>0</v>
          </cell>
          <cell r="I2863" t="str">
            <v>Others</v>
          </cell>
          <cell r="J2863">
            <v>3</v>
          </cell>
          <cell r="K2863" t="str">
            <v>Others</v>
          </cell>
        </row>
        <row r="2864">
          <cell r="D2864">
            <v>540822</v>
          </cell>
          <cell r="E2864" t="str">
            <v>Fabrics, woven; of artificial filament yarn, containing 85% or more by weight of artificial filament, strip or the like, dyed</v>
          </cell>
          <cell r="F2864">
            <v>0</v>
          </cell>
          <cell r="G2864">
            <v>0</v>
          </cell>
          <cell r="H2864">
            <v>0</v>
          </cell>
          <cell r="I2864" t="str">
            <v>Others</v>
          </cell>
          <cell r="J2864">
            <v>3</v>
          </cell>
          <cell r="K2864" t="str">
            <v>Others</v>
          </cell>
        </row>
        <row r="2865">
          <cell r="D2865">
            <v>540823</v>
          </cell>
          <cell r="E2865" t="str">
            <v>Fabrics, woven; containing 85% or more by weight of artificial filament, strip or the like, of yarns of different colours</v>
          </cell>
          <cell r="F2865">
            <v>0</v>
          </cell>
          <cell r="G2865">
            <v>0</v>
          </cell>
          <cell r="H2865">
            <v>0</v>
          </cell>
          <cell r="I2865" t="str">
            <v>Others</v>
          </cell>
          <cell r="J2865">
            <v>3</v>
          </cell>
          <cell r="K2865" t="str">
            <v>Others</v>
          </cell>
        </row>
        <row r="2866">
          <cell r="D2866">
            <v>540824</v>
          </cell>
          <cell r="E2866" t="str">
            <v>Fabrics, woven; of artificial filament yarn, containing 85% or more by weight of artificial filament, strip or the like, printed</v>
          </cell>
          <cell r="F2866">
            <v>0</v>
          </cell>
          <cell r="G2866">
            <v>0</v>
          </cell>
          <cell r="H2866">
            <v>0</v>
          </cell>
          <cell r="I2866" t="str">
            <v>Others</v>
          </cell>
          <cell r="J2866">
            <v>3</v>
          </cell>
          <cell r="K2866" t="str">
            <v>Others</v>
          </cell>
        </row>
        <row r="2867">
          <cell r="D2867">
            <v>540831</v>
          </cell>
          <cell r="E2867" t="str">
            <v>Fabrics, woven; of artificial filament yarn, of artificial monofilament, strip and the like, n.e.c. in heading no. 5408, unbleached or bleached</v>
          </cell>
          <cell r="F2867">
            <v>0</v>
          </cell>
          <cell r="G2867">
            <v>0</v>
          </cell>
          <cell r="H2867">
            <v>0</v>
          </cell>
          <cell r="I2867" t="str">
            <v>Others</v>
          </cell>
          <cell r="J2867">
            <v>3</v>
          </cell>
          <cell r="K2867" t="str">
            <v>Others</v>
          </cell>
        </row>
        <row r="2868">
          <cell r="D2868">
            <v>540832</v>
          </cell>
          <cell r="E2868" t="str">
            <v>Fabrics, woven; of artificial filament yarn, of artificial monofilament, strip and the like, n.e.c. in heading no. 5408, dyed</v>
          </cell>
          <cell r="F2868">
            <v>0</v>
          </cell>
          <cell r="G2868">
            <v>0</v>
          </cell>
          <cell r="H2868">
            <v>0</v>
          </cell>
          <cell r="I2868" t="str">
            <v>Others</v>
          </cell>
          <cell r="J2868">
            <v>3</v>
          </cell>
          <cell r="K2868" t="str">
            <v>Others</v>
          </cell>
        </row>
        <row r="2869">
          <cell r="D2869">
            <v>540833</v>
          </cell>
          <cell r="E2869" t="str">
            <v>Fabrics, woven; of artificial filament yarn, of artificial monofilament, strip and the like, n.e.c. in heading no. 5408, of yarns of different colours</v>
          </cell>
          <cell r="F2869">
            <v>0</v>
          </cell>
          <cell r="G2869">
            <v>0</v>
          </cell>
          <cell r="H2869">
            <v>0</v>
          </cell>
          <cell r="I2869" t="str">
            <v>Others</v>
          </cell>
          <cell r="J2869">
            <v>3</v>
          </cell>
          <cell r="K2869" t="str">
            <v>Others</v>
          </cell>
        </row>
        <row r="2870">
          <cell r="D2870">
            <v>540834</v>
          </cell>
          <cell r="E2870" t="str">
            <v>Fabrics, woven; of artificial filament yarn, of artificial monofilament, strip and the like, n.e.c. in heading no. 5408, printed</v>
          </cell>
          <cell r="F2870">
            <v>0</v>
          </cell>
          <cell r="G2870">
            <v>0</v>
          </cell>
          <cell r="H2870">
            <v>0</v>
          </cell>
          <cell r="I2870" t="str">
            <v>Others</v>
          </cell>
          <cell r="J2870">
            <v>3</v>
          </cell>
          <cell r="K2870" t="str">
            <v>Others</v>
          </cell>
        </row>
        <row r="2871">
          <cell r="D2871">
            <v>550111</v>
          </cell>
          <cell r="E2871" t="str">
            <v>Fibres; synthetic filament tow, of nylon or other polyamides, of aramids</v>
          </cell>
          <cell r="F2871">
            <v>0</v>
          </cell>
          <cell r="G2871">
            <v>0</v>
          </cell>
          <cell r="H2871">
            <v>0</v>
          </cell>
          <cell r="I2871" t="str">
            <v>Others</v>
          </cell>
          <cell r="J2871">
            <v>3</v>
          </cell>
          <cell r="K2871" t="str">
            <v>Others</v>
          </cell>
        </row>
        <row r="2872">
          <cell r="D2872">
            <v>550119</v>
          </cell>
          <cell r="E2872" t="str">
            <v>Fibres; synthetic filament tow, of nylon or other polyamides, of other than aramids</v>
          </cell>
          <cell r="F2872">
            <v>0</v>
          </cell>
          <cell r="G2872">
            <v>0</v>
          </cell>
          <cell r="H2872">
            <v>0</v>
          </cell>
          <cell r="I2872" t="str">
            <v>Others</v>
          </cell>
          <cell r="J2872">
            <v>3</v>
          </cell>
          <cell r="K2872" t="str">
            <v>Others</v>
          </cell>
        </row>
        <row r="2873">
          <cell r="D2873">
            <v>550120</v>
          </cell>
          <cell r="E2873" t="str">
            <v>Fibres; synthetic filament tow, of polyesters</v>
          </cell>
          <cell r="F2873">
            <v>0</v>
          </cell>
          <cell r="G2873">
            <v>0</v>
          </cell>
          <cell r="H2873">
            <v>0</v>
          </cell>
          <cell r="I2873" t="str">
            <v>Others</v>
          </cell>
          <cell r="J2873">
            <v>3</v>
          </cell>
          <cell r="K2873" t="str">
            <v>Others</v>
          </cell>
        </row>
        <row r="2874">
          <cell r="D2874">
            <v>550130</v>
          </cell>
          <cell r="E2874" t="str">
            <v>Fibres; synthetic filament tow, acrylic or modacrylic</v>
          </cell>
          <cell r="F2874">
            <v>0</v>
          </cell>
          <cell r="G2874">
            <v>0</v>
          </cell>
          <cell r="H2874">
            <v>0</v>
          </cell>
          <cell r="I2874" t="str">
            <v>Others</v>
          </cell>
          <cell r="J2874">
            <v>3</v>
          </cell>
          <cell r="K2874" t="str">
            <v>Others</v>
          </cell>
        </row>
        <row r="2875">
          <cell r="D2875">
            <v>550140</v>
          </cell>
          <cell r="E2875" t="str">
            <v>Fibres; synthetic filament tow, of polypropylene</v>
          </cell>
          <cell r="F2875">
            <v>0</v>
          </cell>
          <cell r="G2875">
            <v>0</v>
          </cell>
          <cell r="H2875">
            <v>0</v>
          </cell>
          <cell r="I2875" t="str">
            <v>Others</v>
          </cell>
          <cell r="J2875">
            <v>3</v>
          </cell>
          <cell r="K2875" t="str">
            <v>Others</v>
          </cell>
        </row>
        <row r="2876">
          <cell r="D2876">
            <v>550190</v>
          </cell>
          <cell r="E2876" t="str">
            <v>Fibres; synthetic filament tow, of synthetic materials n.e.c. in heading no. 5501</v>
          </cell>
          <cell r="F2876">
            <v>0</v>
          </cell>
          <cell r="G2876">
            <v>0</v>
          </cell>
          <cell r="H2876">
            <v>0</v>
          </cell>
          <cell r="I2876" t="str">
            <v>Others</v>
          </cell>
          <cell r="J2876">
            <v>3</v>
          </cell>
          <cell r="K2876" t="str">
            <v>Others</v>
          </cell>
        </row>
        <row r="2877">
          <cell r="D2877">
            <v>550210</v>
          </cell>
          <cell r="E2877" t="str">
            <v>Fibres; artificial filament tow of cellulose acetate</v>
          </cell>
          <cell r="F2877">
            <v>0</v>
          </cell>
          <cell r="G2877">
            <v>0</v>
          </cell>
          <cell r="H2877">
            <v>0</v>
          </cell>
          <cell r="I2877" t="str">
            <v>Others</v>
          </cell>
          <cell r="J2877">
            <v>3</v>
          </cell>
          <cell r="K2877" t="str">
            <v>Others</v>
          </cell>
        </row>
        <row r="2878">
          <cell r="D2878">
            <v>550290</v>
          </cell>
          <cell r="E2878" t="str">
            <v>Fibres; artificial filament tow, other than cellulose acetate</v>
          </cell>
          <cell r="F2878">
            <v>0</v>
          </cell>
          <cell r="G2878">
            <v>0</v>
          </cell>
          <cell r="H2878">
            <v>0</v>
          </cell>
          <cell r="I2878" t="str">
            <v>Others</v>
          </cell>
          <cell r="J2878">
            <v>3</v>
          </cell>
          <cell r="K2878" t="str">
            <v>Others</v>
          </cell>
        </row>
        <row r="2879">
          <cell r="D2879">
            <v>550311</v>
          </cell>
          <cell r="E2879" t="str">
            <v>Fibres; synthetic staple fibres, of aramids, not carded, combed or otherwise processed for spinning</v>
          </cell>
          <cell r="F2879">
            <v>0</v>
          </cell>
          <cell r="G2879">
            <v>0</v>
          </cell>
          <cell r="H2879">
            <v>0</v>
          </cell>
          <cell r="I2879" t="str">
            <v>Others</v>
          </cell>
          <cell r="J2879">
            <v>3</v>
          </cell>
          <cell r="K2879" t="str">
            <v>Others</v>
          </cell>
        </row>
        <row r="2880">
          <cell r="D2880">
            <v>550319</v>
          </cell>
          <cell r="E2880" t="str">
            <v>Fibres; synthetic staple fibres, of nylon or other polyamides other than aramids, not carded, combed or otherwise processed for spinning</v>
          </cell>
          <cell r="F2880">
            <v>0</v>
          </cell>
          <cell r="G2880">
            <v>0</v>
          </cell>
          <cell r="H2880">
            <v>0</v>
          </cell>
          <cell r="I2880" t="str">
            <v>Others</v>
          </cell>
          <cell r="J2880">
            <v>3</v>
          </cell>
          <cell r="K2880" t="str">
            <v>Others</v>
          </cell>
        </row>
        <row r="2881">
          <cell r="D2881">
            <v>550320</v>
          </cell>
          <cell r="E2881" t="str">
            <v>Fibres; synthetic staple fibres, of polyesters, not carded, combed or otherwise processed for spinning</v>
          </cell>
          <cell r="F2881">
            <v>0</v>
          </cell>
          <cell r="G2881">
            <v>0</v>
          </cell>
          <cell r="H2881">
            <v>0</v>
          </cell>
          <cell r="I2881" t="str">
            <v>Others</v>
          </cell>
          <cell r="J2881">
            <v>3</v>
          </cell>
          <cell r="K2881" t="str">
            <v>Others</v>
          </cell>
        </row>
        <row r="2882">
          <cell r="D2882">
            <v>550330</v>
          </cell>
          <cell r="E2882" t="str">
            <v>Fibres; synthetic staple fibres, acrylic or modacrylic, not carded, combed or otherwise processed for spinning</v>
          </cell>
          <cell r="F2882">
            <v>0</v>
          </cell>
          <cell r="G2882">
            <v>0</v>
          </cell>
          <cell r="H2882">
            <v>0</v>
          </cell>
          <cell r="I2882" t="str">
            <v>Others</v>
          </cell>
          <cell r="J2882">
            <v>3</v>
          </cell>
          <cell r="K2882" t="str">
            <v>Others</v>
          </cell>
        </row>
        <row r="2883">
          <cell r="D2883">
            <v>550340</v>
          </cell>
          <cell r="E2883" t="str">
            <v>Fibres; synthetic staple fibres, of polypropylene, not carded, combed or otherwise processed for spinning</v>
          </cell>
          <cell r="F2883">
            <v>0</v>
          </cell>
          <cell r="G2883">
            <v>0</v>
          </cell>
          <cell r="H2883">
            <v>0</v>
          </cell>
          <cell r="I2883" t="str">
            <v>Others</v>
          </cell>
          <cell r="J2883">
            <v>3</v>
          </cell>
          <cell r="K2883" t="str">
            <v>Others</v>
          </cell>
        </row>
        <row r="2884">
          <cell r="D2884">
            <v>550390</v>
          </cell>
          <cell r="E2884" t="str">
            <v>Fibres; synthetic staple fibres, of synthetic materials n.e.c. in heading no. 5503, not carded, combed or otherwise processed for spinning</v>
          </cell>
          <cell r="F2884">
            <v>0</v>
          </cell>
          <cell r="G2884">
            <v>0</v>
          </cell>
          <cell r="H2884">
            <v>0</v>
          </cell>
          <cell r="I2884" t="str">
            <v>Others</v>
          </cell>
          <cell r="J2884">
            <v>3</v>
          </cell>
          <cell r="K2884" t="str">
            <v>Others</v>
          </cell>
        </row>
        <row r="2885">
          <cell r="D2885">
            <v>550410</v>
          </cell>
          <cell r="E2885" t="str">
            <v>Fibres; artificial staple fibres, of viscose, not carded, combed or otherwise processed for spinning</v>
          </cell>
          <cell r="F2885">
            <v>0</v>
          </cell>
          <cell r="G2885">
            <v>0</v>
          </cell>
          <cell r="H2885">
            <v>0</v>
          </cell>
          <cell r="I2885" t="str">
            <v>Others</v>
          </cell>
          <cell r="J2885">
            <v>3</v>
          </cell>
          <cell r="K2885" t="str">
            <v>Others</v>
          </cell>
        </row>
        <row r="2886">
          <cell r="D2886">
            <v>550490</v>
          </cell>
          <cell r="E2886" t="str">
            <v>Fibres; artificial staple fibres, other than of viscose, not carded, combed or otherwise processed for spinning</v>
          </cell>
          <cell r="F2886">
            <v>0</v>
          </cell>
          <cell r="G2886">
            <v>0</v>
          </cell>
          <cell r="H2886">
            <v>0</v>
          </cell>
          <cell r="I2886" t="str">
            <v>Others</v>
          </cell>
          <cell r="J2886">
            <v>3</v>
          </cell>
          <cell r="K2886" t="str">
            <v>Others</v>
          </cell>
        </row>
        <row r="2887">
          <cell r="D2887">
            <v>550510</v>
          </cell>
          <cell r="E2887" t="str">
            <v>Fibres; waste (including noils, yarn waste and garnetted stock), of synthetic fibres</v>
          </cell>
          <cell r="F2887">
            <v>0</v>
          </cell>
          <cell r="G2887">
            <v>0</v>
          </cell>
          <cell r="H2887">
            <v>0</v>
          </cell>
          <cell r="I2887" t="str">
            <v>Others</v>
          </cell>
          <cell r="J2887">
            <v>3</v>
          </cell>
          <cell r="K2887" t="str">
            <v>Others</v>
          </cell>
        </row>
        <row r="2888">
          <cell r="D2888">
            <v>550520</v>
          </cell>
          <cell r="E2888" t="str">
            <v>Fibres; waste (including noils, yarn waste and garnetted stock), of artificial fibres</v>
          </cell>
          <cell r="F2888">
            <v>0</v>
          </cell>
          <cell r="G2888">
            <v>0</v>
          </cell>
          <cell r="H2888">
            <v>0</v>
          </cell>
          <cell r="I2888" t="str">
            <v>Others</v>
          </cell>
          <cell r="J2888">
            <v>3</v>
          </cell>
          <cell r="K2888" t="str">
            <v>Others</v>
          </cell>
        </row>
        <row r="2889">
          <cell r="D2889">
            <v>550610</v>
          </cell>
          <cell r="E2889" t="str">
            <v>Fibres; synthetic staple fibres, of nylon or other polyamides, carded, combed or otherwise processed for spinning</v>
          </cell>
          <cell r="F2889">
            <v>0</v>
          </cell>
          <cell r="G2889">
            <v>0</v>
          </cell>
          <cell r="H2889">
            <v>0</v>
          </cell>
          <cell r="I2889" t="str">
            <v>Others</v>
          </cell>
          <cell r="J2889">
            <v>3</v>
          </cell>
          <cell r="K2889" t="str">
            <v>Others</v>
          </cell>
        </row>
        <row r="2890">
          <cell r="D2890">
            <v>550620</v>
          </cell>
          <cell r="E2890" t="str">
            <v>Fibres; synthetic staple fibres, of polyesters, carded, combed or otherwise processed for spinning</v>
          </cell>
          <cell r="F2890">
            <v>0</v>
          </cell>
          <cell r="G2890">
            <v>0</v>
          </cell>
          <cell r="H2890">
            <v>0</v>
          </cell>
          <cell r="I2890" t="str">
            <v>Others</v>
          </cell>
          <cell r="J2890">
            <v>3</v>
          </cell>
          <cell r="K2890" t="str">
            <v>Others</v>
          </cell>
        </row>
        <row r="2891">
          <cell r="D2891">
            <v>550630</v>
          </cell>
          <cell r="E2891" t="str">
            <v>Fibres; synthetic staple fibres, acrylic or modacrylic, carded, combed or otherwise processed for spinning</v>
          </cell>
          <cell r="F2891">
            <v>0</v>
          </cell>
          <cell r="G2891">
            <v>0</v>
          </cell>
          <cell r="H2891">
            <v>0</v>
          </cell>
          <cell r="I2891" t="str">
            <v>Others</v>
          </cell>
          <cell r="J2891">
            <v>3</v>
          </cell>
          <cell r="K2891" t="str">
            <v>Others</v>
          </cell>
        </row>
        <row r="2892">
          <cell r="D2892">
            <v>550640</v>
          </cell>
          <cell r="E2892" t="str">
            <v>Fibres; synthetic staple fibres, of polypropylene, carded, combed or otherwise processed for spinning</v>
          </cell>
          <cell r="F2892">
            <v>0</v>
          </cell>
          <cell r="G2892">
            <v>0</v>
          </cell>
          <cell r="H2892">
            <v>0</v>
          </cell>
          <cell r="I2892" t="str">
            <v>Others</v>
          </cell>
          <cell r="J2892">
            <v>3</v>
          </cell>
          <cell r="K2892" t="str">
            <v>Others</v>
          </cell>
        </row>
        <row r="2893">
          <cell r="D2893">
            <v>550690</v>
          </cell>
          <cell r="E2893" t="str">
            <v>Fibres; synthetic staple fibres, n.e.c. in heading no. 5506, carded, combed or otherwise processed for spinning</v>
          </cell>
          <cell r="F2893">
            <v>0</v>
          </cell>
          <cell r="G2893">
            <v>0</v>
          </cell>
          <cell r="H2893">
            <v>0</v>
          </cell>
          <cell r="I2893" t="str">
            <v>Others</v>
          </cell>
          <cell r="J2893">
            <v>3</v>
          </cell>
          <cell r="K2893" t="str">
            <v>Others</v>
          </cell>
        </row>
        <row r="2894">
          <cell r="D2894">
            <v>550700</v>
          </cell>
          <cell r="E2894" t="str">
            <v>Fibres; artificial staple fibres, carded, combed or otherwise processed for spinning</v>
          </cell>
          <cell r="F2894">
            <v>0</v>
          </cell>
          <cell r="G2894">
            <v>0</v>
          </cell>
          <cell r="H2894">
            <v>0</v>
          </cell>
          <cell r="I2894" t="str">
            <v>Others</v>
          </cell>
          <cell r="J2894">
            <v>3</v>
          </cell>
          <cell r="K2894" t="str">
            <v>Others</v>
          </cell>
        </row>
        <row r="2895">
          <cell r="D2895">
            <v>550810</v>
          </cell>
          <cell r="E2895" t="str">
            <v>Sewing thread; of synthetic staple fibres, whether or not put up for retail sale</v>
          </cell>
          <cell r="F2895">
            <v>0</v>
          </cell>
          <cell r="G2895">
            <v>0</v>
          </cell>
          <cell r="H2895">
            <v>0</v>
          </cell>
          <cell r="I2895" t="str">
            <v>Others</v>
          </cell>
          <cell r="J2895">
            <v>3</v>
          </cell>
          <cell r="K2895" t="str">
            <v>Others</v>
          </cell>
        </row>
        <row r="2896">
          <cell r="D2896">
            <v>550820</v>
          </cell>
          <cell r="E2896" t="str">
            <v>Sewing thread; of artificial staple fibres, whether or not put up for retail sale</v>
          </cell>
          <cell r="F2896">
            <v>0</v>
          </cell>
          <cell r="G2896">
            <v>0</v>
          </cell>
          <cell r="H2896">
            <v>0</v>
          </cell>
          <cell r="I2896" t="str">
            <v>Others</v>
          </cell>
          <cell r="J2896">
            <v>3</v>
          </cell>
          <cell r="K2896" t="str">
            <v>Others</v>
          </cell>
        </row>
        <row r="2897">
          <cell r="D2897">
            <v>550911</v>
          </cell>
          <cell r="E2897" t="str">
            <v>Yarn; (not sewing thread), single, of synthetic staple fibres, containing 85% or more by weight of nylon or other polyamides, not put up for retail sale</v>
          </cell>
          <cell r="F2897">
            <v>0</v>
          </cell>
          <cell r="G2897">
            <v>0</v>
          </cell>
          <cell r="H2897">
            <v>0</v>
          </cell>
          <cell r="I2897" t="str">
            <v>Others</v>
          </cell>
          <cell r="J2897">
            <v>3</v>
          </cell>
          <cell r="K2897" t="str">
            <v>Others</v>
          </cell>
        </row>
        <row r="2898">
          <cell r="D2898">
            <v>550912</v>
          </cell>
          <cell r="E2898" t="str">
            <v>Yarn; (not sewing thread), multiple (folded) or cabled yarn, of synthetic staple fibres, containing 85% or more by weight of nylon or other polyamides, not put up for retail sale</v>
          </cell>
          <cell r="F2898">
            <v>0</v>
          </cell>
          <cell r="G2898">
            <v>0</v>
          </cell>
          <cell r="H2898">
            <v>0</v>
          </cell>
          <cell r="I2898" t="str">
            <v>Others</v>
          </cell>
          <cell r="J2898">
            <v>3</v>
          </cell>
          <cell r="K2898" t="str">
            <v>Others</v>
          </cell>
        </row>
        <row r="2899">
          <cell r="D2899">
            <v>550921</v>
          </cell>
          <cell r="E2899" t="str">
            <v>Yarn; (not sewing thread), single, of synthetic staple fibres, containing 85% or more by weight of polyester, not put up for retail sale</v>
          </cell>
          <cell r="F2899">
            <v>0</v>
          </cell>
          <cell r="G2899">
            <v>0</v>
          </cell>
          <cell r="H2899">
            <v>0</v>
          </cell>
          <cell r="I2899" t="str">
            <v>Others</v>
          </cell>
          <cell r="J2899">
            <v>3</v>
          </cell>
          <cell r="K2899" t="str">
            <v>Others</v>
          </cell>
        </row>
        <row r="2900">
          <cell r="D2900">
            <v>550922</v>
          </cell>
          <cell r="E2900" t="str">
            <v>Yarn; (not sewing thread), multiple (folded) or cabled yarn, of synthetic staple fibres, containing 85% or more by weight of polyester, not put up for retail sale</v>
          </cell>
          <cell r="F2900">
            <v>0</v>
          </cell>
          <cell r="G2900">
            <v>0</v>
          </cell>
          <cell r="H2900">
            <v>0</v>
          </cell>
          <cell r="I2900" t="str">
            <v>Others</v>
          </cell>
          <cell r="J2900">
            <v>3</v>
          </cell>
          <cell r="K2900" t="str">
            <v>Others</v>
          </cell>
        </row>
        <row r="2901">
          <cell r="D2901">
            <v>550931</v>
          </cell>
          <cell r="E2901" t="str">
            <v>Yarn; (not sewing thread), single, of synthetic staple fibres, containing 85% or more by weight of acrylic or modacrylic, not put up for retail sale</v>
          </cell>
          <cell r="F2901">
            <v>0</v>
          </cell>
          <cell r="G2901">
            <v>0</v>
          </cell>
          <cell r="H2901">
            <v>0</v>
          </cell>
          <cell r="I2901" t="str">
            <v>Others</v>
          </cell>
          <cell r="J2901">
            <v>3</v>
          </cell>
          <cell r="K2901" t="str">
            <v>Others</v>
          </cell>
        </row>
        <row r="2902">
          <cell r="D2902">
            <v>550932</v>
          </cell>
          <cell r="E2902" t="str">
            <v>Yarn; (not sewing thread), multiple (folded) or cabled, of synthetic staple fibres, containing 85% or more by weight of acrylic or modacrylic, not put up for retail sale</v>
          </cell>
          <cell r="F2902">
            <v>0</v>
          </cell>
          <cell r="G2902">
            <v>0</v>
          </cell>
          <cell r="H2902">
            <v>0</v>
          </cell>
          <cell r="I2902" t="str">
            <v>Others</v>
          </cell>
          <cell r="J2902">
            <v>3</v>
          </cell>
          <cell r="K2902" t="str">
            <v>Others</v>
          </cell>
        </row>
        <row r="2903">
          <cell r="D2903">
            <v>550941</v>
          </cell>
          <cell r="E2903" t="str">
            <v>Yarn; (not sewing thread), single, containing 85% or more by weight of synthetic staple fibres, n.e.c. in heading no. 5509, not put up for retail sale</v>
          </cell>
          <cell r="F2903">
            <v>0</v>
          </cell>
          <cell r="G2903">
            <v>0</v>
          </cell>
          <cell r="H2903">
            <v>0</v>
          </cell>
          <cell r="I2903" t="str">
            <v>Others</v>
          </cell>
          <cell r="J2903">
            <v>3</v>
          </cell>
          <cell r="K2903" t="str">
            <v>Others</v>
          </cell>
        </row>
        <row r="2904">
          <cell r="D2904">
            <v>550942</v>
          </cell>
          <cell r="E2904" t="str">
            <v>Yarn; (not sewing thread), multiple (folded) or cabled yarn, containing 85% or more by weight of synthetic staple fibres, n.e.c. in heading no. 5509, not put up for retail sale</v>
          </cell>
          <cell r="F2904">
            <v>0</v>
          </cell>
          <cell r="G2904">
            <v>0</v>
          </cell>
          <cell r="H2904">
            <v>0</v>
          </cell>
          <cell r="I2904" t="str">
            <v>Others</v>
          </cell>
          <cell r="J2904">
            <v>3</v>
          </cell>
          <cell r="K2904" t="str">
            <v>Others</v>
          </cell>
        </row>
        <row r="2905">
          <cell r="D2905">
            <v>550951</v>
          </cell>
          <cell r="E2905" t="str">
            <v>Yarn; (not sewing thread), of polyester staple fibres, mixed mainly or solely with artificial staple fibres, not put up for retail sale</v>
          </cell>
          <cell r="F2905">
            <v>0</v>
          </cell>
          <cell r="G2905">
            <v>0</v>
          </cell>
          <cell r="H2905">
            <v>0</v>
          </cell>
          <cell r="I2905" t="str">
            <v>Others</v>
          </cell>
          <cell r="J2905">
            <v>3</v>
          </cell>
          <cell r="K2905" t="str">
            <v>Others</v>
          </cell>
        </row>
        <row r="2906">
          <cell r="D2906">
            <v>550952</v>
          </cell>
          <cell r="E2906" t="str">
            <v>Yarn; (not sewing thread), of polyester staple fibres, mixed mainly or solely with wool or fine animal hair, not put up for retail sale</v>
          </cell>
          <cell r="F2906">
            <v>0</v>
          </cell>
          <cell r="G2906">
            <v>0</v>
          </cell>
          <cell r="H2906">
            <v>0</v>
          </cell>
          <cell r="I2906" t="str">
            <v>Others</v>
          </cell>
          <cell r="J2906">
            <v>3</v>
          </cell>
          <cell r="K2906" t="str">
            <v>Others</v>
          </cell>
        </row>
        <row r="2907">
          <cell r="D2907">
            <v>550953</v>
          </cell>
          <cell r="E2907" t="str">
            <v>Yarn; (not sewing thread), of polyester staple fibres, mixed mainly or solely with cotton, not put up for retail sale</v>
          </cell>
          <cell r="F2907">
            <v>0</v>
          </cell>
          <cell r="G2907">
            <v>0</v>
          </cell>
          <cell r="H2907">
            <v>0</v>
          </cell>
          <cell r="I2907" t="str">
            <v>Others</v>
          </cell>
          <cell r="J2907">
            <v>3</v>
          </cell>
          <cell r="K2907" t="str">
            <v>Others</v>
          </cell>
        </row>
        <row r="2908">
          <cell r="D2908">
            <v>550959</v>
          </cell>
          <cell r="E2908" t="str">
            <v>Yarn; (not sewing thread), of polyester staple fibres, mixed mainly or solely with fibres n.e.c. in item no. 5509.5, not put up for retail sale</v>
          </cell>
          <cell r="F2908">
            <v>0</v>
          </cell>
          <cell r="G2908">
            <v>0</v>
          </cell>
          <cell r="H2908">
            <v>0</v>
          </cell>
          <cell r="I2908" t="str">
            <v>Others</v>
          </cell>
          <cell r="J2908">
            <v>3</v>
          </cell>
          <cell r="K2908" t="str">
            <v>Others</v>
          </cell>
        </row>
        <row r="2909">
          <cell r="D2909">
            <v>550961</v>
          </cell>
          <cell r="E2909" t="str">
            <v>Yarn; (not sewing thread), of acrylic or modacrylic staple fibres, mixed mainly or solely with wool or fine animal hair, not put up for retail sale</v>
          </cell>
          <cell r="F2909">
            <v>0</v>
          </cell>
          <cell r="G2909">
            <v>0</v>
          </cell>
          <cell r="H2909">
            <v>0</v>
          </cell>
          <cell r="I2909" t="str">
            <v>Others</v>
          </cell>
          <cell r="J2909">
            <v>3</v>
          </cell>
          <cell r="K2909" t="str">
            <v>Others</v>
          </cell>
        </row>
        <row r="2910">
          <cell r="D2910">
            <v>550962</v>
          </cell>
          <cell r="E2910" t="str">
            <v>Yarn; (not sewing thread), of acrylic or modacrylic staple fibres, mixed mainly or solely with cotton, not put up for retail sale</v>
          </cell>
          <cell r="F2910">
            <v>0</v>
          </cell>
          <cell r="G2910">
            <v>0</v>
          </cell>
          <cell r="H2910">
            <v>0</v>
          </cell>
          <cell r="I2910" t="str">
            <v>Others</v>
          </cell>
          <cell r="J2910">
            <v>3</v>
          </cell>
          <cell r="K2910" t="str">
            <v>Others</v>
          </cell>
        </row>
        <row r="2911">
          <cell r="D2911">
            <v>550969</v>
          </cell>
          <cell r="E2911" t="str">
            <v>Yarn; (not sewing thread), of acrylic or modacrylic staple fibres, mixed mainly or solely with fibres n.e.c. in item no. 5509.6, not put up for retail sale</v>
          </cell>
          <cell r="F2911">
            <v>0</v>
          </cell>
          <cell r="G2911">
            <v>0</v>
          </cell>
          <cell r="H2911">
            <v>0</v>
          </cell>
          <cell r="I2911" t="str">
            <v>Others</v>
          </cell>
          <cell r="J2911">
            <v>3</v>
          </cell>
          <cell r="K2911" t="str">
            <v>Others</v>
          </cell>
        </row>
        <row r="2912">
          <cell r="D2912">
            <v>550991</v>
          </cell>
          <cell r="E2912" t="str">
            <v>Yarn; (not sewing thread), of synthetic staple fibres, mixed mainly or solely with wool or fine animal hair, n.e.c. in heading no. 5509, not put up for retail sale</v>
          </cell>
          <cell r="F2912">
            <v>0</v>
          </cell>
          <cell r="G2912">
            <v>0</v>
          </cell>
          <cell r="H2912">
            <v>0</v>
          </cell>
          <cell r="I2912" t="str">
            <v>Others</v>
          </cell>
          <cell r="J2912">
            <v>3</v>
          </cell>
          <cell r="K2912" t="str">
            <v>Others</v>
          </cell>
        </row>
        <row r="2913">
          <cell r="D2913">
            <v>550992</v>
          </cell>
          <cell r="E2913" t="str">
            <v>Yarn; (not sewing thread), of synthetic staple fibres, mixed mainly or solely with cotton, n.e.c. in heading no. 5509, not put up for retail sale</v>
          </cell>
          <cell r="F2913">
            <v>0</v>
          </cell>
          <cell r="G2913">
            <v>0</v>
          </cell>
          <cell r="H2913">
            <v>0</v>
          </cell>
          <cell r="I2913" t="str">
            <v>Others</v>
          </cell>
          <cell r="J2913">
            <v>3</v>
          </cell>
          <cell r="K2913" t="str">
            <v>Others</v>
          </cell>
        </row>
        <row r="2914">
          <cell r="D2914">
            <v>550999</v>
          </cell>
          <cell r="E2914" t="str">
            <v>Yarn; (not sewing thread), of synthetic staple fibres, mixed mainly or solely with fibres (other than wool, fine animal hair or cotton), n.e.c. in heading no. 5509, not put up for retail sale</v>
          </cell>
          <cell r="F2914">
            <v>0</v>
          </cell>
          <cell r="G2914">
            <v>0</v>
          </cell>
          <cell r="H2914">
            <v>0</v>
          </cell>
          <cell r="I2914" t="str">
            <v>Others</v>
          </cell>
          <cell r="J2914">
            <v>3</v>
          </cell>
          <cell r="K2914" t="str">
            <v>Others</v>
          </cell>
        </row>
        <row r="2915">
          <cell r="D2915">
            <v>551011</v>
          </cell>
          <cell r="E2915" t="str">
            <v>Yarn; (not sewing thread), single, of artificial staple fibres, containing 85% or more by weight of artificial staple fibres, not put up for retail sale</v>
          </cell>
          <cell r="F2915">
            <v>0</v>
          </cell>
          <cell r="G2915">
            <v>0</v>
          </cell>
          <cell r="H2915">
            <v>0</v>
          </cell>
          <cell r="I2915" t="str">
            <v>Others</v>
          </cell>
          <cell r="J2915">
            <v>3</v>
          </cell>
          <cell r="K2915" t="str">
            <v>Others</v>
          </cell>
        </row>
        <row r="2916">
          <cell r="D2916">
            <v>551012</v>
          </cell>
          <cell r="E2916" t="str">
            <v>Yarn; (not sewing thread), multiple (folded) or cabled yarn, of artificial staple fibres, containing 85% or more by weight of artificial staple fibres, not put up for retail sale</v>
          </cell>
          <cell r="F2916">
            <v>0</v>
          </cell>
          <cell r="G2916">
            <v>0</v>
          </cell>
          <cell r="H2916">
            <v>0</v>
          </cell>
          <cell r="I2916" t="str">
            <v>Others</v>
          </cell>
          <cell r="J2916">
            <v>3</v>
          </cell>
          <cell r="K2916" t="str">
            <v>Others</v>
          </cell>
        </row>
        <row r="2917">
          <cell r="D2917">
            <v>551020</v>
          </cell>
          <cell r="E2917" t="str">
            <v>Yarn; (not sewing thread), of artificial staple fibres, mixed mainly or solely with wool or fine animal hair, not put up for retail sale</v>
          </cell>
          <cell r="F2917">
            <v>0</v>
          </cell>
          <cell r="G2917">
            <v>0</v>
          </cell>
          <cell r="H2917">
            <v>0</v>
          </cell>
          <cell r="I2917" t="str">
            <v>Others</v>
          </cell>
          <cell r="J2917">
            <v>3</v>
          </cell>
          <cell r="K2917" t="str">
            <v>Others</v>
          </cell>
        </row>
        <row r="2918">
          <cell r="D2918">
            <v>551030</v>
          </cell>
          <cell r="E2918" t="str">
            <v>Yarn; (not sewing thread), of artificial staple fibres, mixed mainly or solely with cotton, not put up for retail sale</v>
          </cell>
          <cell r="F2918">
            <v>0</v>
          </cell>
          <cell r="G2918">
            <v>0</v>
          </cell>
          <cell r="H2918">
            <v>0</v>
          </cell>
          <cell r="I2918" t="str">
            <v>Others</v>
          </cell>
          <cell r="J2918">
            <v>3</v>
          </cell>
          <cell r="K2918" t="str">
            <v>Others</v>
          </cell>
        </row>
        <row r="2919">
          <cell r="D2919">
            <v>551090</v>
          </cell>
          <cell r="E2919" t="str">
            <v>Yarn; (not sewing thread), of artificial staple fibres, mixed mainly or solely with fibres (other than wool, fine animal hair or cotton), not put up for retail sale</v>
          </cell>
          <cell r="F2919">
            <v>0</v>
          </cell>
          <cell r="G2919">
            <v>0</v>
          </cell>
          <cell r="H2919">
            <v>0</v>
          </cell>
          <cell r="I2919" t="str">
            <v>Others</v>
          </cell>
          <cell r="J2919">
            <v>3</v>
          </cell>
          <cell r="K2919" t="str">
            <v>Others</v>
          </cell>
        </row>
        <row r="2920">
          <cell r="D2920">
            <v>551110</v>
          </cell>
          <cell r="E2920" t="str">
            <v>Yarn; (not sewing thread), of synthetic staple fibres, containing 85% or more by weight of synthetic staple fibres, put up for retail sale</v>
          </cell>
          <cell r="F2920">
            <v>0</v>
          </cell>
          <cell r="G2920">
            <v>0</v>
          </cell>
          <cell r="H2920">
            <v>0</v>
          </cell>
          <cell r="I2920" t="str">
            <v>Others</v>
          </cell>
          <cell r="J2920">
            <v>3</v>
          </cell>
          <cell r="K2920" t="str">
            <v>Others</v>
          </cell>
        </row>
        <row r="2921">
          <cell r="D2921">
            <v>551120</v>
          </cell>
          <cell r="E2921" t="str">
            <v>Yarn; (not sewing thread), of synthetic staple fibres, containing less than 85% by weight of synthetic staple fibres, put up for retail sale</v>
          </cell>
          <cell r="F2921">
            <v>0</v>
          </cell>
          <cell r="G2921">
            <v>0</v>
          </cell>
          <cell r="H2921">
            <v>0</v>
          </cell>
          <cell r="I2921" t="str">
            <v>Others</v>
          </cell>
          <cell r="J2921">
            <v>3</v>
          </cell>
          <cell r="K2921" t="str">
            <v>Others</v>
          </cell>
        </row>
        <row r="2922">
          <cell r="D2922">
            <v>551130</v>
          </cell>
          <cell r="E2922" t="str">
            <v>Yarn; (not sewing thread), of artificial staple fibres, put up for retail sale</v>
          </cell>
          <cell r="F2922">
            <v>0</v>
          </cell>
          <cell r="G2922">
            <v>0</v>
          </cell>
          <cell r="H2922">
            <v>0</v>
          </cell>
          <cell r="I2922" t="str">
            <v>Others</v>
          </cell>
          <cell r="J2922">
            <v>3</v>
          </cell>
          <cell r="K2922" t="str">
            <v>Others</v>
          </cell>
        </row>
        <row r="2923">
          <cell r="D2923">
            <v>551211</v>
          </cell>
          <cell r="E2923" t="str">
            <v>Fabrics, woven; of synthetic staple fibres, containing 85% or more by weight of polyester staple fibres, unbleached or bleached</v>
          </cell>
          <cell r="F2923">
            <v>0</v>
          </cell>
          <cell r="G2923">
            <v>0</v>
          </cell>
          <cell r="H2923">
            <v>0</v>
          </cell>
          <cell r="I2923" t="str">
            <v>Others</v>
          </cell>
          <cell r="J2923">
            <v>3</v>
          </cell>
          <cell r="K2923" t="str">
            <v>Others</v>
          </cell>
        </row>
        <row r="2924">
          <cell r="D2924">
            <v>551219</v>
          </cell>
          <cell r="E2924" t="str">
            <v>Fabrics, woven; of synthetic staple fibres, containing 85% or more by weight of polyester staple fibres, other than unbleached or bleached</v>
          </cell>
          <cell r="F2924">
            <v>0</v>
          </cell>
          <cell r="G2924">
            <v>0</v>
          </cell>
          <cell r="H2924">
            <v>0</v>
          </cell>
          <cell r="I2924" t="str">
            <v>Others</v>
          </cell>
          <cell r="J2924">
            <v>3</v>
          </cell>
          <cell r="K2924" t="str">
            <v>Others</v>
          </cell>
        </row>
        <row r="2925">
          <cell r="D2925">
            <v>551221</v>
          </cell>
          <cell r="E2925" t="str">
            <v>Fabrics, woven; of synthetic staple fibres, containing 85% or more by weight of acrylic or modacrylic staple fibres, unbleached or bleached</v>
          </cell>
          <cell r="F2925">
            <v>0</v>
          </cell>
          <cell r="G2925">
            <v>0</v>
          </cell>
          <cell r="H2925">
            <v>0</v>
          </cell>
          <cell r="I2925" t="str">
            <v>Others</v>
          </cell>
          <cell r="J2925">
            <v>3</v>
          </cell>
          <cell r="K2925" t="str">
            <v>Others</v>
          </cell>
        </row>
        <row r="2926">
          <cell r="D2926">
            <v>551229</v>
          </cell>
          <cell r="E2926" t="str">
            <v>Fabrics, woven; of synthetic staple fibres, containing 85% or more by weight of acrylic or modacrylic staple fibres, other than unbleached or bleached</v>
          </cell>
          <cell r="F2926">
            <v>0</v>
          </cell>
          <cell r="G2926">
            <v>0</v>
          </cell>
          <cell r="H2926">
            <v>0</v>
          </cell>
          <cell r="I2926" t="str">
            <v>Others</v>
          </cell>
          <cell r="J2926">
            <v>3</v>
          </cell>
          <cell r="K2926" t="str">
            <v>Others</v>
          </cell>
        </row>
        <row r="2927">
          <cell r="D2927">
            <v>551291</v>
          </cell>
          <cell r="E2927" t="str">
            <v>Fabrics, woven; of synthetic staple fibres, containing 85% or more by weight of such fibres n.e.c. in heading no. 5512, unbleached or bleached</v>
          </cell>
          <cell r="F2927">
            <v>0</v>
          </cell>
          <cell r="G2927">
            <v>0</v>
          </cell>
          <cell r="H2927">
            <v>0</v>
          </cell>
          <cell r="I2927" t="str">
            <v>Others</v>
          </cell>
          <cell r="J2927">
            <v>3</v>
          </cell>
          <cell r="K2927" t="str">
            <v>Others</v>
          </cell>
        </row>
        <row r="2928">
          <cell r="D2928">
            <v>551299</v>
          </cell>
          <cell r="E2928" t="str">
            <v>Fabrics, woven; of synthetic staple fibres, containing 85% or more by weight of such fibres n.e.c. in heading no. 5512, other than unbleached or bleached</v>
          </cell>
          <cell r="F2928">
            <v>0</v>
          </cell>
          <cell r="G2928">
            <v>0</v>
          </cell>
          <cell r="H2928">
            <v>0</v>
          </cell>
          <cell r="I2928" t="str">
            <v>Others</v>
          </cell>
          <cell r="J2928">
            <v>3</v>
          </cell>
          <cell r="K2928" t="str">
            <v>Others</v>
          </cell>
        </row>
        <row r="2929">
          <cell r="D2929">
            <v>551311</v>
          </cell>
          <cell r="E2929" t="str">
            <v>Fabrics, woven; plain weave, of polyester staple fibres, containing less than 85% by weight of such fibres, mixed mainly or solely with cotton, of a weight not exceeding 170g/m2, unbleached or bleached</v>
          </cell>
          <cell r="F2929">
            <v>0</v>
          </cell>
          <cell r="G2929">
            <v>0</v>
          </cell>
          <cell r="H2929">
            <v>0</v>
          </cell>
          <cell r="I2929" t="str">
            <v>Others</v>
          </cell>
          <cell r="J2929">
            <v>3</v>
          </cell>
          <cell r="K2929" t="str">
            <v>Others</v>
          </cell>
        </row>
        <row r="2930">
          <cell r="D2930">
            <v>551312</v>
          </cell>
          <cell r="E2930" t="str">
            <v>Fabrics, woven; 3-thread or 4-thread twill, of polyester staple fibres, containing less than 85% by weight of such, mixed mainly or solely with cotton, not exceeding 170g/m2, unbleached or bleached</v>
          </cell>
          <cell r="F2930">
            <v>0</v>
          </cell>
          <cell r="G2930">
            <v>0</v>
          </cell>
          <cell r="H2930">
            <v>0</v>
          </cell>
          <cell r="I2930" t="str">
            <v>Others</v>
          </cell>
          <cell r="J2930">
            <v>3</v>
          </cell>
          <cell r="K2930" t="str">
            <v>Others</v>
          </cell>
        </row>
        <row r="2931">
          <cell r="D2931">
            <v>551313</v>
          </cell>
          <cell r="E2931" t="str">
            <v>Fabrics, woven; of polyester staple fibres, containing less than 85% by weight of such fibres, mixed mainly or solely with cotton, not exceeding 170g/m2, unbleached or bleached</v>
          </cell>
          <cell r="F2931">
            <v>0</v>
          </cell>
          <cell r="G2931">
            <v>0</v>
          </cell>
          <cell r="H2931">
            <v>0</v>
          </cell>
          <cell r="I2931" t="str">
            <v>Others</v>
          </cell>
          <cell r="J2931">
            <v>3</v>
          </cell>
          <cell r="K2931" t="str">
            <v>Others</v>
          </cell>
        </row>
        <row r="2932">
          <cell r="D2932">
            <v>551319</v>
          </cell>
          <cell r="E2932" t="str">
            <v>Fabrics, woven; containing less than 85% by weight of synthetic staple fibres (other than polyesters), mixed mainly or solely with cotton, not exceeding 170g/m2, unbleached or bleached</v>
          </cell>
          <cell r="F2932">
            <v>0</v>
          </cell>
          <cell r="G2932">
            <v>0</v>
          </cell>
          <cell r="H2932">
            <v>0</v>
          </cell>
          <cell r="I2932" t="str">
            <v>Others</v>
          </cell>
          <cell r="J2932">
            <v>3</v>
          </cell>
          <cell r="K2932" t="str">
            <v>Others</v>
          </cell>
        </row>
        <row r="2933">
          <cell r="D2933">
            <v>551321</v>
          </cell>
          <cell r="E2933" t="str">
            <v>Fabrics, woven; plain weave, dyed, containing less than 85% by weight of polyester staple fibres, mixed mainly or solely with cotton, not exceeding 170g/m2</v>
          </cell>
          <cell r="F2933">
            <v>0</v>
          </cell>
          <cell r="G2933">
            <v>0</v>
          </cell>
          <cell r="H2933">
            <v>0</v>
          </cell>
          <cell r="I2933" t="str">
            <v>Others</v>
          </cell>
          <cell r="J2933">
            <v>3</v>
          </cell>
          <cell r="K2933" t="str">
            <v>Others</v>
          </cell>
        </row>
        <row r="2934">
          <cell r="D2934">
            <v>551323</v>
          </cell>
          <cell r="E2934" t="str">
            <v>Fabrics, woven; dyed, containing less than 85% by weight of polyester staple fibres, mixed mainly or solely with cotton, not exceeding 170g/m2</v>
          </cell>
          <cell r="F2934">
            <v>0</v>
          </cell>
          <cell r="G2934">
            <v>0</v>
          </cell>
          <cell r="H2934">
            <v>0</v>
          </cell>
          <cell r="I2934" t="str">
            <v>Others</v>
          </cell>
          <cell r="J2934">
            <v>3</v>
          </cell>
          <cell r="K2934" t="str">
            <v>Others</v>
          </cell>
        </row>
        <row r="2935">
          <cell r="D2935">
            <v>551329</v>
          </cell>
          <cell r="E2935" t="str">
            <v>Fabrics, woven; dyed, containing less than 85% by weight of synthetic staple fibres (other than polyesters), mixed mainly or solely with cotton, not exceeding 170g/m2</v>
          </cell>
          <cell r="F2935">
            <v>0</v>
          </cell>
          <cell r="G2935">
            <v>0</v>
          </cell>
          <cell r="H2935">
            <v>0</v>
          </cell>
          <cell r="I2935" t="str">
            <v>Others</v>
          </cell>
          <cell r="J2935">
            <v>3</v>
          </cell>
          <cell r="K2935" t="str">
            <v>Others</v>
          </cell>
        </row>
        <row r="2936">
          <cell r="D2936">
            <v>551331</v>
          </cell>
          <cell r="E2936" t="str">
            <v>Fabrics, woven; plain weave, of yarns of different colours, containing less than 85% by weight of polyester staple fibres, mixed mainly or solely with cotton, not exceeding 170g/m2</v>
          </cell>
          <cell r="F2936">
            <v>0</v>
          </cell>
          <cell r="G2936">
            <v>0</v>
          </cell>
          <cell r="H2936">
            <v>0</v>
          </cell>
          <cell r="I2936" t="str">
            <v>Others</v>
          </cell>
          <cell r="J2936">
            <v>3</v>
          </cell>
          <cell r="K2936" t="str">
            <v>Others</v>
          </cell>
        </row>
        <row r="2937">
          <cell r="D2937">
            <v>551339</v>
          </cell>
          <cell r="E2937" t="str">
            <v>Fabrics, woven; of yarns of different colours, containing less than 85% of synthetic staple fibres (other than polyester, plain weave), mixed mainly or solely with cotton, not exceeding 170g/m2</v>
          </cell>
          <cell r="F2937">
            <v>0</v>
          </cell>
          <cell r="G2937">
            <v>0</v>
          </cell>
          <cell r="H2937">
            <v>0</v>
          </cell>
          <cell r="I2937" t="str">
            <v>Others</v>
          </cell>
          <cell r="J2937">
            <v>3</v>
          </cell>
          <cell r="K2937" t="str">
            <v>Others</v>
          </cell>
        </row>
        <row r="2938">
          <cell r="D2938">
            <v>551341</v>
          </cell>
          <cell r="E2938" t="str">
            <v>Fabrics, woven; plain weave, printed, of polyester staple fibres, containing less than 85% by weight of such fibres, mixed mainly or solely with cotton, not exceeding 170g/m2</v>
          </cell>
          <cell r="F2938">
            <v>0</v>
          </cell>
          <cell r="G2938">
            <v>0</v>
          </cell>
          <cell r="H2938">
            <v>0</v>
          </cell>
          <cell r="I2938" t="str">
            <v>Others</v>
          </cell>
          <cell r="J2938">
            <v>3</v>
          </cell>
          <cell r="K2938" t="str">
            <v>Others</v>
          </cell>
        </row>
        <row r="2939">
          <cell r="D2939">
            <v>551349</v>
          </cell>
          <cell r="E2939" t="str">
            <v>Fabrics, woven; printed, containing less than 85% by weight of synthetic staple fibres (other than polyester, plain weave), mixed mainly or solely with cotton, not exceeding 170g/m2</v>
          </cell>
          <cell r="F2939">
            <v>0</v>
          </cell>
          <cell r="G2939">
            <v>0</v>
          </cell>
          <cell r="H2939">
            <v>0</v>
          </cell>
          <cell r="I2939" t="str">
            <v>Others</v>
          </cell>
          <cell r="J2939">
            <v>3</v>
          </cell>
          <cell r="K2939" t="str">
            <v>Others</v>
          </cell>
        </row>
        <row r="2940">
          <cell r="D2940">
            <v>551411</v>
          </cell>
          <cell r="E2940" t="str">
            <v>Fabrics, woven; plain weave, unbleached or bleached, containing less than 85% by weight of polyester staple fibres, mixed mainly or solely with cotton, exceeding 170g/m2</v>
          </cell>
          <cell r="F2940">
            <v>0</v>
          </cell>
          <cell r="G2940">
            <v>0</v>
          </cell>
          <cell r="H2940">
            <v>0</v>
          </cell>
          <cell r="I2940" t="str">
            <v>Others</v>
          </cell>
          <cell r="J2940">
            <v>3</v>
          </cell>
          <cell r="K2940" t="str">
            <v>Others</v>
          </cell>
        </row>
        <row r="2941">
          <cell r="D2941">
            <v>551412</v>
          </cell>
          <cell r="E2941" t="str">
            <v>Fabrics, woven; 3- or 4-thread twill, including cross twill, unbleached or bleached, containing less than 85% by weight of polyester staple fibres, mixed mainly or solely with cotton, over 170g/m2</v>
          </cell>
          <cell r="F2941">
            <v>0</v>
          </cell>
          <cell r="G2941">
            <v>0</v>
          </cell>
          <cell r="H2941">
            <v>0</v>
          </cell>
          <cell r="I2941" t="str">
            <v>Others</v>
          </cell>
          <cell r="J2941">
            <v>3</v>
          </cell>
          <cell r="K2941" t="str">
            <v>Others</v>
          </cell>
        </row>
        <row r="2942">
          <cell r="D2942">
            <v>551419</v>
          </cell>
          <cell r="E2942" t="str">
            <v>Fabrics, woven; unbleached or bleached, containing less than 85% by weight of synthetic staple fibres n.e.c. in item no. 55.14.1, mixed mainly or solely with cotton, exceeding 170g/m2</v>
          </cell>
          <cell r="F2942">
            <v>0</v>
          </cell>
          <cell r="G2942">
            <v>0</v>
          </cell>
          <cell r="H2942">
            <v>0</v>
          </cell>
          <cell r="I2942" t="str">
            <v>Others</v>
          </cell>
          <cell r="J2942">
            <v>3</v>
          </cell>
          <cell r="K2942" t="str">
            <v>Others</v>
          </cell>
        </row>
        <row r="2943">
          <cell r="D2943">
            <v>551421</v>
          </cell>
          <cell r="E2943" t="str">
            <v>Fabrics, woven; plain weave, dyed, containing less than 85% by weight of polyester staple fibres, mixed mainly or solely with cotton, exceeding 170g/m2</v>
          </cell>
          <cell r="F2943">
            <v>0</v>
          </cell>
          <cell r="G2943">
            <v>0</v>
          </cell>
          <cell r="H2943">
            <v>0</v>
          </cell>
          <cell r="I2943" t="str">
            <v>Others</v>
          </cell>
          <cell r="J2943">
            <v>3</v>
          </cell>
          <cell r="K2943" t="str">
            <v>Others</v>
          </cell>
        </row>
        <row r="2944">
          <cell r="D2944">
            <v>551422</v>
          </cell>
          <cell r="E2944" t="str">
            <v>Fabrics, woven; 3- or 4-thread twill, including cross twill, dyed, containing less than 85% by weight of polyester staple fibres, mixed mainly or solely with cotton, exceeding 170g/m2</v>
          </cell>
          <cell r="F2944">
            <v>0</v>
          </cell>
          <cell r="G2944">
            <v>0</v>
          </cell>
          <cell r="H2944">
            <v>0</v>
          </cell>
          <cell r="I2944" t="str">
            <v>Others</v>
          </cell>
          <cell r="J2944">
            <v>3</v>
          </cell>
          <cell r="K2944" t="str">
            <v>Others</v>
          </cell>
        </row>
        <row r="2945">
          <cell r="D2945">
            <v>551423</v>
          </cell>
          <cell r="E2945" t="str">
            <v>Fabrics, woven; dyed, containing less than 85% by weight of polyester staple fibres, mixed mainly or solely with cotton, exceeding 170g/m2, n.e.c. in heading no. 5514</v>
          </cell>
          <cell r="F2945">
            <v>0</v>
          </cell>
          <cell r="G2945">
            <v>0</v>
          </cell>
          <cell r="H2945">
            <v>0</v>
          </cell>
          <cell r="I2945" t="str">
            <v>Others</v>
          </cell>
          <cell r="J2945">
            <v>3</v>
          </cell>
          <cell r="K2945" t="str">
            <v>Others</v>
          </cell>
        </row>
        <row r="2946">
          <cell r="D2946">
            <v>551429</v>
          </cell>
          <cell r="E2946" t="str">
            <v>Fabrics, woven; dyed, containing less than 85% by weight of synthetic staple fibres (other than polyesters), mixed mainly or solely with cotton, exceeding 170g/m2</v>
          </cell>
          <cell r="F2946">
            <v>0</v>
          </cell>
          <cell r="G2946">
            <v>0</v>
          </cell>
          <cell r="H2946">
            <v>0</v>
          </cell>
          <cell r="I2946" t="str">
            <v>Others</v>
          </cell>
          <cell r="J2946">
            <v>3</v>
          </cell>
          <cell r="K2946" t="str">
            <v>Others</v>
          </cell>
        </row>
        <row r="2947">
          <cell r="D2947">
            <v>551430</v>
          </cell>
          <cell r="E2947" t="str">
            <v>Fabrics, woven; of yarns of different colours, containing less than 85% by weight of synthetic staple fibres, mixed mainly or solely with cotton, exceeding 170g/m2</v>
          </cell>
          <cell r="F2947">
            <v>0</v>
          </cell>
          <cell r="G2947">
            <v>0</v>
          </cell>
          <cell r="H2947">
            <v>0</v>
          </cell>
          <cell r="I2947" t="str">
            <v>Others</v>
          </cell>
          <cell r="J2947">
            <v>3</v>
          </cell>
          <cell r="K2947" t="str">
            <v>Others</v>
          </cell>
        </row>
        <row r="2948">
          <cell r="D2948">
            <v>551441</v>
          </cell>
          <cell r="E2948" t="str">
            <v>Fabrics, woven; plain weave, printed, containing less than 85% by weight of polyester staple fibres, mixed mainly or solely with cotton, exceeding 170g/m2</v>
          </cell>
          <cell r="F2948">
            <v>0</v>
          </cell>
          <cell r="G2948">
            <v>0</v>
          </cell>
          <cell r="H2948">
            <v>0</v>
          </cell>
          <cell r="I2948" t="str">
            <v>Others</v>
          </cell>
          <cell r="J2948">
            <v>3</v>
          </cell>
          <cell r="K2948" t="str">
            <v>Others</v>
          </cell>
        </row>
        <row r="2949">
          <cell r="D2949">
            <v>551442</v>
          </cell>
          <cell r="E2949" t="str">
            <v>Fabrics, woven; 3- or 4-thread twill, including cross twill, printed, containing less than 85% by weight of polyester staple fibres, mixed mainly or solely with cotton, exceeding 170g/m2</v>
          </cell>
          <cell r="F2949">
            <v>0</v>
          </cell>
          <cell r="G2949">
            <v>0</v>
          </cell>
          <cell r="H2949">
            <v>0</v>
          </cell>
          <cell r="I2949" t="str">
            <v>Others</v>
          </cell>
          <cell r="J2949">
            <v>3</v>
          </cell>
          <cell r="K2949" t="str">
            <v>Others</v>
          </cell>
        </row>
        <row r="2950">
          <cell r="D2950">
            <v>551443</v>
          </cell>
          <cell r="E2950" t="str">
            <v>Fabrics, woven; printed, containing less than 85% by weight of polyester staple fibres, mixed mainly or solely with cotton, weight exceeding 170g/m2, n.e.c. in heading no. 5514</v>
          </cell>
          <cell r="F2950">
            <v>0</v>
          </cell>
          <cell r="G2950">
            <v>0</v>
          </cell>
          <cell r="H2950">
            <v>0</v>
          </cell>
          <cell r="I2950" t="str">
            <v>Others</v>
          </cell>
          <cell r="J2950">
            <v>3</v>
          </cell>
          <cell r="K2950" t="str">
            <v>Others</v>
          </cell>
        </row>
        <row r="2951">
          <cell r="D2951">
            <v>551449</v>
          </cell>
          <cell r="E2951" t="str">
            <v>Fabrics, woven; printed, containing less than 85% by weight of synthetic staple fibres (other than polyesters), mixed mainly or solely with cotton, exceeding 170g/m2</v>
          </cell>
          <cell r="F2951">
            <v>0</v>
          </cell>
          <cell r="G2951">
            <v>0</v>
          </cell>
          <cell r="H2951">
            <v>0</v>
          </cell>
          <cell r="I2951" t="str">
            <v>Others</v>
          </cell>
          <cell r="J2951">
            <v>3</v>
          </cell>
          <cell r="K2951" t="str">
            <v>Others</v>
          </cell>
        </row>
        <row r="2952">
          <cell r="D2952">
            <v>551511</v>
          </cell>
          <cell r="E2952" t="str">
            <v>Fabrics, woven; of polyester staple fibres n.e.c. in chapter 55, mixed mainly or solely with viscose rayon staple fibres</v>
          </cell>
          <cell r="F2952">
            <v>0</v>
          </cell>
          <cell r="G2952">
            <v>0</v>
          </cell>
          <cell r="H2952">
            <v>0</v>
          </cell>
          <cell r="I2952" t="str">
            <v>Others</v>
          </cell>
          <cell r="J2952">
            <v>3</v>
          </cell>
          <cell r="K2952" t="str">
            <v>Others</v>
          </cell>
        </row>
        <row r="2953">
          <cell r="D2953">
            <v>551512</v>
          </cell>
          <cell r="E2953" t="str">
            <v>Fabrics, woven; of polyester staple fibres n.e.c. in chapter 55, mixed mainly or solely with man-made filaments</v>
          </cell>
          <cell r="F2953">
            <v>0</v>
          </cell>
          <cell r="G2953">
            <v>0</v>
          </cell>
          <cell r="H2953">
            <v>0</v>
          </cell>
          <cell r="I2953" t="str">
            <v>Others</v>
          </cell>
          <cell r="J2953">
            <v>3</v>
          </cell>
          <cell r="K2953" t="str">
            <v>Others</v>
          </cell>
        </row>
        <row r="2954">
          <cell r="D2954">
            <v>551513</v>
          </cell>
          <cell r="E2954" t="str">
            <v>Fabrics, woven; of polyester staple fibres n.e.c. in chapter 55, mixed mainly or solely with wool or fine animal hair</v>
          </cell>
          <cell r="F2954">
            <v>0</v>
          </cell>
          <cell r="G2954">
            <v>0</v>
          </cell>
          <cell r="H2954">
            <v>0</v>
          </cell>
          <cell r="I2954" t="str">
            <v>Others</v>
          </cell>
          <cell r="J2954">
            <v>3</v>
          </cell>
          <cell r="K2954" t="str">
            <v>Others</v>
          </cell>
        </row>
        <row r="2955">
          <cell r="D2955">
            <v>551519</v>
          </cell>
          <cell r="E2955" t="str">
            <v>Fabrics, woven; of polyester staple fibres n.e.c. in chapter 55, mixed mainly or solely with fibres n.e.c. in item no. 5515.1</v>
          </cell>
          <cell r="F2955">
            <v>0</v>
          </cell>
          <cell r="G2955">
            <v>0</v>
          </cell>
          <cell r="H2955">
            <v>0</v>
          </cell>
          <cell r="I2955" t="str">
            <v>Others</v>
          </cell>
          <cell r="J2955">
            <v>3</v>
          </cell>
          <cell r="K2955" t="str">
            <v>Others</v>
          </cell>
        </row>
        <row r="2956">
          <cell r="D2956">
            <v>551521</v>
          </cell>
          <cell r="E2956" t="str">
            <v>Fabrics, woven; of acrylic or modacrylic staple fibres n.e.c. in chapter 55, mixed mainly or solely with man-made filaments</v>
          </cell>
          <cell r="F2956">
            <v>0</v>
          </cell>
          <cell r="G2956">
            <v>0</v>
          </cell>
          <cell r="H2956">
            <v>0</v>
          </cell>
          <cell r="I2956" t="str">
            <v>Others</v>
          </cell>
          <cell r="J2956">
            <v>3</v>
          </cell>
          <cell r="K2956" t="str">
            <v>Others</v>
          </cell>
        </row>
        <row r="2957">
          <cell r="D2957">
            <v>551522</v>
          </cell>
          <cell r="E2957" t="str">
            <v>Fabrics, woven; of acrylic or modacrylic staple fibres n.e.c. in chapter 55, mixed mainly or solely with wool or fine animal hair</v>
          </cell>
          <cell r="F2957">
            <v>0</v>
          </cell>
          <cell r="G2957">
            <v>0</v>
          </cell>
          <cell r="H2957">
            <v>0</v>
          </cell>
          <cell r="I2957" t="str">
            <v>Others</v>
          </cell>
          <cell r="J2957">
            <v>3</v>
          </cell>
          <cell r="K2957" t="str">
            <v>Others</v>
          </cell>
        </row>
        <row r="2958">
          <cell r="D2958">
            <v>551529</v>
          </cell>
          <cell r="E2958" t="str">
            <v>Fabrics, woven; of acrylic or modacrylic staple fibres n.e.c. in chapter 55, mixed mainly or solely with fibres n.e.c. in item no. 5515.2</v>
          </cell>
          <cell r="F2958">
            <v>0</v>
          </cell>
          <cell r="G2958">
            <v>0</v>
          </cell>
          <cell r="H2958">
            <v>0</v>
          </cell>
          <cell r="I2958" t="str">
            <v>Others</v>
          </cell>
          <cell r="J2958">
            <v>3</v>
          </cell>
          <cell r="K2958" t="str">
            <v>Others</v>
          </cell>
        </row>
        <row r="2959">
          <cell r="D2959">
            <v>551591</v>
          </cell>
          <cell r="E2959" t="str">
            <v>Fabrics, woven; of synthetic staple fibres n.e.c. in chapter 55, mixed mainly or solely with man-made filaments</v>
          </cell>
          <cell r="F2959">
            <v>0</v>
          </cell>
          <cell r="G2959">
            <v>0</v>
          </cell>
          <cell r="H2959">
            <v>0</v>
          </cell>
          <cell r="I2959" t="str">
            <v>Others</v>
          </cell>
          <cell r="J2959">
            <v>3</v>
          </cell>
          <cell r="K2959" t="str">
            <v>Others</v>
          </cell>
        </row>
        <row r="2960">
          <cell r="D2960">
            <v>551599</v>
          </cell>
          <cell r="E2960" t="str">
            <v>Fabrics, woven; of synthetic staple fibres n.e.c. in chapter 55, mixed mainly or solely with fibres n.e.c. in heading no. 5515</v>
          </cell>
          <cell r="F2960">
            <v>0</v>
          </cell>
          <cell r="G2960">
            <v>0</v>
          </cell>
          <cell r="H2960">
            <v>0</v>
          </cell>
          <cell r="I2960" t="str">
            <v>Others</v>
          </cell>
          <cell r="J2960">
            <v>3</v>
          </cell>
          <cell r="K2960" t="str">
            <v>Others</v>
          </cell>
        </row>
        <row r="2961">
          <cell r="D2961">
            <v>551611</v>
          </cell>
          <cell r="E2961" t="str">
            <v>Fabrics, woven; unbleached or bleached, containing 85% or more by weight of artificial staple fibres</v>
          </cell>
          <cell r="F2961">
            <v>0</v>
          </cell>
          <cell r="G2961">
            <v>0</v>
          </cell>
          <cell r="H2961">
            <v>0</v>
          </cell>
          <cell r="I2961" t="str">
            <v>Others</v>
          </cell>
          <cell r="J2961">
            <v>3</v>
          </cell>
          <cell r="K2961" t="str">
            <v>Others</v>
          </cell>
        </row>
        <row r="2962">
          <cell r="D2962">
            <v>551612</v>
          </cell>
          <cell r="E2962" t="str">
            <v>Fabrics, woven; dyed, containing 85% or more by weight of artificial staple fibres</v>
          </cell>
          <cell r="F2962">
            <v>0</v>
          </cell>
          <cell r="G2962">
            <v>0</v>
          </cell>
          <cell r="H2962">
            <v>0</v>
          </cell>
          <cell r="I2962" t="str">
            <v>Others</v>
          </cell>
          <cell r="J2962">
            <v>3</v>
          </cell>
          <cell r="K2962" t="str">
            <v>Others</v>
          </cell>
        </row>
        <row r="2963">
          <cell r="D2963">
            <v>551613</v>
          </cell>
          <cell r="E2963" t="str">
            <v>Fabrics, woven; of yarns of different colours, containing 85% or more by weight of artificial staple fibres</v>
          </cell>
          <cell r="F2963">
            <v>0</v>
          </cell>
          <cell r="G2963">
            <v>0</v>
          </cell>
          <cell r="H2963">
            <v>0</v>
          </cell>
          <cell r="I2963" t="str">
            <v>Others</v>
          </cell>
          <cell r="J2963">
            <v>3</v>
          </cell>
          <cell r="K2963" t="str">
            <v>Others</v>
          </cell>
        </row>
        <row r="2964">
          <cell r="D2964">
            <v>551614</v>
          </cell>
          <cell r="E2964" t="str">
            <v>Fabrics, woven; printed, containing 85% or more by weight of artificial staple fibres</v>
          </cell>
          <cell r="F2964">
            <v>0</v>
          </cell>
          <cell r="G2964">
            <v>0</v>
          </cell>
          <cell r="H2964">
            <v>0</v>
          </cell>
          <cell r="I2964" t="str">
            <v>Others</v>
          </cell>
          <cell r="J2964">
            <v>3</v>
          </cell>
          <cell r="K2964" t="str">
            <v>Others</v>
          </cell>
        </row>
        <row r="2965">
          <cell r="D2965">
            <v>551621</v>
          </cell>
          <cell r="E2965" t="str">
            <v>Fabrics, woven; unbleached or bleached, containing less than 85% by weight of artificial staple fibres, mixed mainly or solely with manmade filaments</v>
          </cell>
          <cell r="F2965">
            <v>0</v>
          </cell>
          <cell r="G2965">
            <v>0</v>
          </cell>
          <cell r="H2965">
            <v>0</v>
          </cell>
          <cell r="I2965" t="str">
            <v>Others</v>
          </cell>
          <cell r="J2965">
            <v>3</v>
          </cell>
          <cell r="K2965" t="str">
            <v>Others</v>
          </cell>
        </row>
        <row r="2966">
          <cell r="D2966">
            <v>551622</v>
          </cell>
          <cell r="E2966" t="str">
            <v>Fabrics, woven; dyed, containing less than 85% by weight of artificial staple fibres, mixed mainly or solely with man-made filaments</v>
          </cell>
          <cell r="F2966">
            <v>0</v>
          </cell>
          <cell r="G2966">
            <v>0</v>
          </cell>
          <cell r="H2966">
            <v>0</v>
          </cell>
          <cell r="I2966" t="str">
            <v>Others</v>
          </cell>
          <cell r="J2966">
            <v>3</v>
          </cell>
          <cell r="K2966" t="str">
            <v>Others</v>
          </cell>
        </row>
        <row r="2967">
          <cell r="D2967">
            <v>551623</v>
          </cell>
          <cell r="E2967" t="str">
            <v>Fabrics, woven; of yarns of different colours, containing less than 85% by weight of artificial staple fibres, mixed mainly or solely with man-made filaments</v>
          </cell>
          <cell r="F2967">
            <v>0</v>
          </cell>
          <cell r="G2967">
            <v>0</v>
          </cell>
          <cell r="H2967">
            <v>0</v>
          </cell>
          <cell r="I2967" t="str">
            <v>Others</v>
          </cell>
          <cell r="J2967">
            <v>3</v>
          </cell>
          <cell r="K2967" t="str">
            <v>Others</v>
          </cell>
        </row>
        <row r="2968">
          <cell r="D2968">
            <v>551624</v>
          </cell>
          <cell r="E2968" t="str">
            <v>Fabrics, woven; printed, containing less than 85% by weight of artificial staple fibres, mixed mainly or solely with man-made filaments</v>
          </cell>
          <cell r="F2968">
            <v>0</v>
          </cell>
          <cell r="G2968">
            <v>0</v>
          </cell>
          <cell r="H2968">
            <v>0</v>
          </cell>
          <cell r="I2968" t="str">
            <v>Others</v>
          </cell>
          <cell r="J2968">
            <v>3</v>
          </cell>
          <cell r="K2968" t="str">
            <v>Others</v>
          </cell>
        </row>
        <row r="2969">
          <cell r="D2969">
            <v>551631</v>
          </cell>
          <cell r="E2969" t="str">
            <v>Fabrics, woven; unbleached or bleached, containing less than 85% by weight of artificial staple fibres, mixed mainly or solely with wool or fine animal hair</v>
          </cell>
          <cell r="F2969">
            <v>0</v>
          </cell>
          <cell r="G2969">
            <v>0</v>
          </cell>
          <cell r="H2969">
            <v>0</v>
          </cell>
          <cell r="I2969" t="str">
            <v>Others</v>
          </cell>
          <cell r="J2969">
            <v>3</v>
          </cell>
          <cell r="K2969" t="str">
            <v>Others</v>
          </cell>
        </row>
        <row r="2970">
          <cell r="D2970">
            <v>551632</v>
          </cell>
          <cell r="E2970" t="str">
            <v>Fabrics, woven; dyed, containing less than 85% by weight of artificial staple fibres, mixed mainly or solely with wool or fine animal hair</v>
          </cell>
          <cell r="F2970">
            <v>0</v>
          </cell>
          <cell r="G2970">
            <v>0</v>
          </cell>
          <cell r="H2970">
            <v>0</v>
          </cell>
          <cell r="I2970" t="str">
            <v>Others</v>
          </cell>
          <cell r="J2970">
            <v>3</v>
          </cell>
          <cell r="K2970" t="str">
            <v>Others</v>
          </cell>
        </row>
        <row r="2971">
          <cell r="D2971">
            <v>551633</v>
          </cell>
          <cell r="E2971" t="str">
            <v>Fabrics, woven; of yarns of different colours, containing less than 85% by weight of artificial staple fibres, mixed mainly or solely with wool or fine animal hair</v>
          </cell>
          <cell r="F2971">
            <v>0</v>
          </cell>
          <cell r="G2971">
            <v>0</v>
          </cell>
          <cell r="H2971">
            <v>0</v>
          </cell>
          <cell r="I2971" t="str">
            <v>Others</v>
          </cell>
          <cell r="J2971">
            <v>3</v>
          </cell>
          <cell r="K2971" t="str">
            <v>Others</v>
          </cell>
        </row>
        <row r="2972">
          <cell r="D2972">
            <v>551634</v>
          </cell>
          <cell r="E2972" t="str">
            <v>Fabrics, woven; printed, containing less than 85% by weight of artificial staple fibres, mixed mainly or solely with wool or fine animal hair</v>
          </cell>
          <cell r="F2972">
            <v>0</v>
          </cell>
          <cell r="G2972">
            <v>0</v>
          </cell>
          <cell r="H2972">
            <v>0</v>
          </cell>
          <cell r="I2972" t="str">
            <v>Others</v>
          </cell>
          <cell r="J2972">
            <v>3</v>
          </cell>
          <cell r="K2972" t="str">
            <v>Others</v>
          </cell>
        </row>
        <row r="2973">
          <cell r="D2973">
            <v>551641</v>
          </cell>
          <cell r="E2973" t="str">
            <v>Fabrics, woven; unbleached or bleached, containing less than 85% by weight of artificial staple fibres, mixed mainly or solely with cotton</v>
          </cell>
          <cell r="F2973">
            <v>0</v>
          </cell>
          <cell r="G2973">
            <v>0</v>
          </cell>
          <cell r="H2973">
            <v>0</v>
          </cell>
          <cell r="I2973" t="str">
            <v>Others</v>
          </cell>
          <cell r="J2973">
            <v>3</v>
          </cell>
          <cell r="K2973" t="str">
            <v>Others</v>
          </cell>
        </row>
        <row r="2974">
          <cell r="D2974">
            <v>551642</v>
          </cell>
          <cell r="E2974" t="str">
            <v>Fabrics, woven; dyed, containing less than 85% by weight of artificial staple fibres, mixed mainly or solely with cotton</v>
          </cell>
          <cell r="F2974">
            <v>0</v>
          </cell>
          <cell r="G2974">
            <v>0</v>
          </cell>
          <cell r="H2974">
            <v>0</v>
          </cell>
          <cell r="I2974" t="str">
            <v>Others</v>
          </cell>
          <cell r="J2974">
            <v>3</v>
          </cell>
          <cell r="K2974" t="str">
            <v>Others</v>
          </cell>
        </row>
        <row r="2975">
          <cell r="D2975">
            <v>551643</v>
          </cell>
          <cell r="E2975" t="str">
            <v>Fabrics, woven; of yarns of different colours, containing less than 85% by weight of artificial staple fibres, mixed mainly or solely with cotton</v>
          </cell>
          <cell r="F2975">
            <v>0</v>
          </cell>
          <cell r="G2975">
            <v>0</v>
          </cell>
          <cell r="H2975">
            <v>0</v>
          </cell>
          <cell r="I2975" t="str">
            <v>Others</v>
          </cell>
          <cell r="J2975">
            <v>3</v>
          </cell>
          <cell r="K2975" t="str">
            <v>Others</v>
          </cell>
        </row>
        <row r="2976">
          <cell r="D2976">
            <v>551644</v>
          </cell>
          <cell r="E2976" t="str">
            <v>Fabrics, woven; printed, containing less than 85% by weight of artificial staple fibres, mixed mainly or solely with cotton</v>
          </cell>
          <cell r="F2976">
            <v>0</v>
          </cell>
          <cell r="G2976">
            <v>0</v>
          </cell>
          <cell r="H2976">
            <v>0</v>
          </cell>
          <cell r="I2976" t="str">
            <v>Others</v>
          </cell>
          <cell r="J2976">
            <v>3</v>
          </cell>
          <cell r="K2976" t="str">
            <v>Others</v>
          </cell>
        </row>
        <row r="2977">
          <cell r="D2977">
            <v>551691</v>
          </cell>
          <cell r="E2977" t="str">
            <v>Fabrics, woven; unbleached or bleached, of artificial staple fibres, n.e.c. in heading no. 5516</v>
          </cell>
          <cell r="F2977">
            <v>0</v>
          </cell>
          <cell r="G2977">
            <v>0</v>
          </cell>
          <cell r="H2977">
            <v>0</v>
          </cell>
          <cell r="I2977" t="str">
            <v>Others</v>
          </cell>
          <cell r="J2977">
            <v>3</v>
          </cell>
          <cell r="K2977" t="str">
            <v>Others</v>
          </cell>
        </row>
        <row r="2978">
          <cell r="D2978">
            <v>551692</v>
          </cell>
          <cell r="E2978" t="str">
            <v>Fabrics, woven; dyed, of artificial staple fibres, n.e.c. in heading no. 5516</v>
          </cell>
          <cell r="F2978">
            <v>0</v>
          </cell>
          <cell r="G2978">
            <v>0</v>
          </cell>
          <cell r="H2978">
            <v>0</v>
          </cell>
          <cell r="I2978" t="str">
            <v>Others</v>
          </cell>
          <cell r="J2978">
            <v>3</v>
          </cell>
          <cell r="K2978" t="str">
            <v>Others</v>
          </cell>
        </row>
        <row r="2979">
          <cell r="D2979">
            <v>551693</v>
          </cell>
          <cell r="E2979" t="str">
            <v>Fabrics, woven; of yarns of different colours, of artificial staple fibres, n.e.c. in heading no. 5516</v>
          </cell>
          <cell r="F2979">
            <v>0</v>
          </cell>
          <cell r="G2979">
            <v>0</v>
          </cell>
          <cell r="H2979">
            <v>0</v>
          </cell>
          <cell r="I2979" t="str">
            <v>Others</v>
          </cell>
          <cell r="J2979">
            <v>3</v>
          </cell>
          <cell r="K2979" t="str">
            <v>Others</v>
          </cell>
        </row>
        <row r="2980">
          <cell r="D2980">
            <v>551694</v>
          </cell>
          <cell r="E2980" t="str">
            <v>Fabrics, woven; printed, of artificial staple fibres, n.e.c. in heading no. 5516</v>
          </cell>
          <cell r="F2980">
            <v>0</v>
          </cell>
          <cell r="G2980">
            <v>0</v>
          </cell>
          <cell r="H2980">
            <v>0</v>
          </cell>
          <cell r="I2980" t="str">
            <v>Others</v>
          </cell>
          <cell r="J2980">
            <v>3</v>
          </cell>
          <cell r="K2980" t="str">
            <v>Others</v>
          </cell>
        </row>
        <row r="2981">
          <cell r="D2981">
            <v>560121</v>
          </cell>
          <cell r="E2981" t="str">
            <v>Wadding; other articles thereof, of cotton</v>
          </cell>
          <cell r="F2981" t="str">
            <v>Consumables</v>
          </cell>
          <cell r="G2981">
            <v>0</v>
          </cell>
          <cell r="H2981">
            <v>0</v>
          </cell>
          <cell r="I2981" t="str">
            <v>Others</v>
          </cell>
          <cell r="J2981">
            <v>2</v>
          </cell>
          <cell r="K2981" t="str">
            <v>Consumables - rc</v>
          </cell>
        </row>
        <row r="2982">
          <cell r="D2982">
            <v>560122</v>
          </cell>
          <cell r="E2982" t="str">
            <v>Wadding; other articles thereof, of man-made fibres</v>
          </cell>
          <cell r="F2982" t="str">
            <v>Consumables</v>
          </cell>
          <cell r="G2982">
            <v>0</v>
          </cell>
          <cell r="H2982">
            <v>0</v>
          </cell>
          <cell r="I2982" t="str">
            <v>Others</v>
          </cell>
          <cell r="J2982">
            <v>2</v>
          </cell>
          <cell r="K2982" t="str">
            <v>Consumables - rc</v>
          </cell>
        </row>
        <row r="2983">
          <cell r="D2983">
            <v>560129</v>
          </cell>
          <cell r="E2983" t="str">
            <v>Wadding; other articles thereof, other than of cotton or man-made fibres</v>
          </cell>
          <cell r="F2983" t="str">
            <v>Consumables</v>
          </cell>
          <cell r="G2983">
            <v>0</v>
          </cell>
          <cell r="H2983">
            <v>0</v>
          </cell>
          <cell r="I2983" t="str">
            <v>Others</v>
          </cell>
          <cell r="J2983">
            <v>2</v>
          </cell>
          <cell r="K2983" t="str">
            <v>Consumables - rc</v>
          </cell>
        </row>
        <row r="2984">
          <cell r="D2984">
            <v>560130</v>
          </cell>
          <cell r="E2984" t="str">
            <v>Wadding; textile flock and dust and mill neps</v>
          </cell>
          <cell r="F2984">
            <v>0</v>
          </cell>
          <cell r="G2984">
            <v>0</v>
          </cell>
          <cell r="H2984">
            <v>0</v>
          </cell>
          <cell r="I2984" t="str">
            <v>Others</v>
          </cell>
          <cell r="J2984">
            <v>3</v>
          </cell>
          <cell r="K2984" t="str">
            <v>Others</v>
          </cell>
        </row>
        <row r="2985">
          <cell r="D2985">
            <v>560210</v>
          </cell>
          <cell r="E2985" t="str">
            <v>Felt; needleloom felt and stitch-bonded fibre fabrics, whether or not impregnated, coated, covered or laminated</v>
          </cell>
          <cell r="F2985">
            <v>0</v>
          </cell>
          <cell r="G2985">
            <v>0</v>
          </cell>
          <cell r="H2985">
            <v>0</v>
          </cell>
          <cell r="I2985" t="str">
            <v>Others</v>
          </cell>
          <cell r="J2985">
            <v>3</v>
          </cell>
          <cell r="K2985" t="str">
            <v>Others</v>
          </cell>
        </row>
        <row r="2986">
          <cell r="D2986">
            <v>560221</v>
          </cell>
          <cell r="E2986" t="str">
            <v>Felt; of wool or fine animal hair (excluding needleloom felt or stitch-bonded fibre fabrics), not impregnated, coated, covered nor laminated</v>
          </cell>
          <cell r="F2986">
            <v>0</v>
          </cell>
          <cell r="G2986">
            <v>0</v>
          </cell>
          <cell r="H2986">
            <v>0</v>
          </cell>
          <cell r="I2986" t="str">
            <v>Others</v>
          </cell>
          <cell r="J2986">
            <v>3</v>
          </cell>
          <cell r="K2986" t="str">
            <v>Others</v>
          </cell>
        </row>
        <row r="2987">
          <cell r="D2987">
            <v>560229</v>
          </cell>
          <cell r="E2987" t="str">
            <v>Felt; of textile materials other than wool or fine animal hair (excluding needleloom felt and stitch-bonded fibre fabrics), not impregnated, coated, covered or laminated</v>
          </cell>
          <cell r="F2987">
            <v>0</v>
          </cell>
          <cell r="G2987">
            <v>0</v>
          </cell>
          <cell r="H2987">
            <v>0</v>
          </cell>
          <cell r="I2987" t="str">
            <v>Others</v>
          </cell>
          <cell r="J2987">
            <v>3</v>
          </cell>
          <cell r="K2987" t="str">
            <v>Others</v>
          </cell>
        </row>
        <row r="2988">
          <cell r="D2988">
            <v>560290</v>
          </cell>
          <cell r="E2988" t="str">
            <v>Felt; impregnated, coated, covered or laminated (excluding needleloom felt and stitch-bonded fibre fabrics)</v>
          </cell>
          <cell r="F2988" t="str">
            <v>Consumables</v>
          </cell>
          <cell r="G2988">
            <v>0</v>
          </cell>
          <cell r="H2988">
            <v>0</v>
          </cell>
          <cell r="I2988" t="str">
            <v>Others</v>
          </cell>
          <cell r="J2988">
            <v>2</v>
          </cell>
          <cell r="K2988" t="str">
            <v>Consumables - rc</v>
          </cell>
        </row>
        <row r="2989">
          <cell r="D2989">
            <v>560311</v>
          </cell>
          <cell r="E2989" t="str">
            <v>Nonwovens; whether or not impregnated, coated, covered or laminated, of man-made filaments, (weighing not more than 25g/m2)</v>
          </cell>
          <cell r="F2989">
            <v>0</v>
          </cell>
          <cell r="G2989">
            <v>0</v>
          </cell>
          <cell r="H2989">
            <v>0</v>
          </cell>
          <cell r="I2989" t="str">
            <v>Others</v>
          </cell>
          <cell r="J2989">
            <v>3</v>
          </cell>
          <cell r="K2989" t="str">
            <v>Others</v>
          </cell>
        </row>
        <row r="2990">
          <cell r="D2990">
            <v>560312</v>
          </cell>
          <cell r="E2990" t="str">
            <v>Nonwovens; whether or not impregnated, coated, covered or laminated, of man-made filaments, (weighing more than 25g/m2 but not more than 70g/m2)</v>
          </cell>
          <cell r="F2990">
            <v>0</v>
          </cell>
          <cell r="G2990">
            <v>0</v>
          </cell>
          <cell r="H2990">
            <v>0</v>
          </cell>
          <cell r="I2990" t="str">
            <v>Others</v>
          </cell>
          <cell r="J2990">
            <v>3</v>
          </cell>
          <cell r="K2990" t="str">
            <v>Others</v>
          </cell>
        </row>
        <row r="2991">
          <cell r="D2991">
            <v>560313</v>
          </cell>
          <cell r="E2991" t="str">
            <v>Nonwovens; whether or not impregnated, coated, covered or laminated, of man-made filaments, (weighing more than 70g/m2 but not more than 150g/m2)</v>
          </cell>
          <cell r="F2991">
            <v>0</v>
          </cell>
          <cell r="G2991">
            <v>0</v>
          </cell>
          <cell r="H2991">
            <v>0</v>
          </cell>
          <cell r="I2991" t="str">
            <v>Others</v>
          </cell>
          <cell r="J2991">
            <v>3</v>
          </cell>
          <cell r="K2991" t="str">
            <v>Others</v>
          </cell>
        </row>
        <row r="2992">
          <cell r="D2992">
            <v>560314</v>
          </cell>
          <cell r="E2992" t="str">
            <v>Nonwovens; whether or not impregnated, coated, covered or laminated, of man-made filaments, (weighing more than 150g/m2)</v>
          </cell>
          <cell r="F2992">
            <v>0</v>
          </cell>
          <cell r="G2992">
            <v>0</v>
          </cell>
          <cell r="H2992">
            <v>0</v>
          </cell>
          <cell r="I2992" t="str">
            <v>Others</v>
          </cell>
          <cell r="J2992">
            <v>3</v>
          </cell>
          <cell r="K2992" t="str">
            <v>Others</v>
          </cell>
        </row>
        <row r="2993">
          <cell r="D2993">
            <v>560391</v>
          </cell>
          <cell r="E2993" t="str">
            <v>Nonwovens; whether or not impregnated, coated, covered or laminated, not of man-made filaments, (weighing not more than 25g/m2)</v>
          </cell>
          <cell r="F2993">
            <v>0</v>
          </cell>
          <cell r="G2993">
            <v>0</v>
          </cell>
          <cell r="H2993">
            <v>0</v>
          </cell>
          <cell r="I2993" t="str">
            <v>Others</v>
          </cell>
          <cell r="J2993">
            <v>3</v>
          </cell>
          <cell r="K2993" t="str">
            <v>Others</v>
          </cell>
        </row>
        <row r="2994">
          <cell r="D2994">
            <v>560392</v>
          </cell>
          <cell r="E2994" t="str">
            <v>Nonwovens; whether or not impregnated, coated, covered or laminated, not of man-made filaments, (weighing more than 25g/m2 but not more than 70g/m2)</v>
          </cell>
          <cell r="F2994" t="str">
            <v>Consumables</v>
          </cell>
          <cell r="G2994">
            <v>0</v>
          </cell>
          <cell r="H2994">
            <v>0</v>
          </cell>
          <cell r="I2994" t="str">
            <v>Others</v>
          </cell>
          <cell r="J2994">
            <v>2</v>
          </cell>
          <cell r="K2994" t="str">
            <v>Consumables - rc</v>
          </cell>
        </row>
        <row r="2995">
          <cell r="D2995">
            <v>560393</v>
          </cell>
          <cell r="E2995" t="str">
            <v>Nonwovens; whether or not impregnated, coated, covered or laminated, not of man-made filaments, (weighing more than 70g/m2 but not more than 150g/m2)</v>
          </cell>
          <cell r="F2995">
            <v>0</v>
          </cell>
          <cell r="G2995">
            <v>0</v>
          </cell>
          <cell r="H2995">
            <v>0</v>
          </cell>
          <cell r="I2995" t="str">
            <v>Others</v>
          </cell>
          <cell r="J2995">
            <v>3</v>
          </cell>
          <cell r="K2995" t="str">
            <v>Others</v>
          </cell>
        </row>
        <row r="2996">
          <cell r="D2996">
            <v>560394</v>
          </cell>
          <cell r="E2996" t="str">
            <v>Nonwovens; whether or not impregnated, coated, covered or laminated, not of man-made filaments, (weighing more than 150g/m2)</v>
          </cell>
          <cell r="F2996" t="str">
            <v>Consumables</v>
          </cell>
          <cell r="G2996">
            <v>0</v>
          </cell>
          <cell r="H2996">
            <v>0</v>
          </cell>
          <cell r="I2996" t="str">
            <v>Others</v>
          </cell>
          <cell r="J2996">
            <v>2</v>
          </cell>
          <cell r="K2996" t="str">
            <v>Consumables - rc</v>
          </cell>
        </row>
        <row r="2997">
          <cell r="D2997">
            <v>560410</v>
          </cell>
          <cell r="E2997" t="str">
            <v>Rubber thread and cord; textile covered</v>
          </cell>
          <cell r="F2997">
            <v>0</v>
          </cell>
          <cell r="G2997">
            <v>0</v>
          </cell>
          <cell r="H2997">
            <v>0</v>
          </cell>
          <cell r="I2997" t="str">
            <v>Others</v>
          </cell>
          <cell r="J2997">
            <v>3</v>
          </cell>
          <cell r="K2997" t="str">
            <v>Others</v>
          </cell>
        </row>
        <row r="2998">
          <cell r="D2998">
            <v>560490</v>
          </cell>
          <cell r="E2998" t="str">
            <v>Yarn; textile yarn, strip, and the like of heading no. 5404 or 5405, impregnated, coated, covered, or sheathed with rubber or plastics, n.e.c. in heading no. 5604</v>
          </cell>
          <cell r="F2998">
            <v>0</v>
          </cell>
          <cell r="G2998">
            <v>0</v>
          </cell>
          <cell r="H2998">
            <v>0</v>
          </cell>
          <cell r="I2998" t="str">
            <v>Others</v>
          </cell>
          <cell r="J2998">
            <v>3</v>
          </cell>
          <cell r="K2998" t="str">
            <v>Others</v>
          </cell>
        </row>
        <row r="2999">
          <cell r="D2999">
            <v>560500</v>
          </cell>
          <cell r="E2999" t="str">
            <v>Yarn; metallised, whether or not gimped, of textile yarn, or strip or the like of heading no. 5404 or 5405, combined with metal in the form of thread, strip or powder or covered with metal</v>
          </cell>
          <cell r="F2999">
            <v>0</v>
          </cell>
          <cell r="G2999">
            <v>0</v>
          </cell>
          <cell r="H2999">
            <v>0</v>
          </cell>
          <cell r="I2999" t="str">
            <v>Others</v>
          </cell>
          <cell r="J2999">
            <v>3</v>
          </cell>
          <cell r="K2999" t="str">
            <v>Others</v>
          </cell>
        </row>
        <row r="3000">
          <cell r="D3000">
            <v>560600</v>
          </cell>
          <cell r="E3000" t="str">
            <v>Yarn and strip and the like of heading no. 5404 or 5405; gimped, (other than those of heading no. 5406 and gimped horsehair yarn); chenille yarn (including flock chenille yarn); loop wale-yarn</v>
          </cell>
          <cell r="F3000">
            <v>0</v>
          </cell>
          <cell r="G3000">
            <v>0</v>
          </cell>
          <cell r="H3000">
            <v>0</v>
          </cell>
          <cell r="I3000" t="str">
            <v>Others</v>
          </cell>
          <cell r="J3000">
            <v>3</v>
          </cell>
          <cell r="K3000" t="str">
            <v>Others</v>
          </cell>
        </row>
        <row r="3001">
          <cell r="D3001">
            <v>560721</v>
          </cell>
          <cell r="E3001" t="str">
            <v>Twine; binder or baler twine, of sisal or other textile fibres of the genus agave</v>
          </cell>
          <cell r="F3001">
            <v>0</v>
          </cell>
          <cell r="G3001">
            <v>0</v>
          </cell>
          <cell r="H3001">
            <v>0</v>
          </cell>
          <cell r="I3001" t="str">
            <v>Others</v>
          </cell>
          <cell r="J3001">
            <v>3</v>
          </cell>
          <cell r="K3001" t="str">
            <v>Others</v>
          </cell>
        </row>
        <row r="3002">
          <cell r="D3002">
            <v>560729</v>
          </cell>
          <cell r="E3002" t="str">
            <v>Twine, cordage, ropes, cables; of sisal or other textile fibres of the genus agave (excluding binder or baler twine), whether or not plaited, braided or rubber or plastic impregnated, coated, covered or sheathed</v>
          </cell>
          <cell r="F3002">
            <v>0</v>
          </cell>
          <cell r="G3002">
            <v>0</v>
          </cell>
          <cell r="H3002">
            <v>0</v>
          </cell>
          <cell r="I3002" t="str">
            <v>Others</v>
          </cell>
          <cell r="J3002">
            <v>3</v>
          </cell>
          <cell r="K3002" t="str">
            <v>Others</v>
          </cell>
        </row>
        <row r="3003">
          <cell r="D3003">
            <v>560741</v>
          </cell>
          <cell r="E3003" t="str">
            <v>Twine; binder or baler twine, of polyethylene or polypropylene</v>
          </cell>
          <cell r="F3003">
            <v>0</v>
          </cell>
          <cell r="G3003">
            <v>0</v>
          </cell>
          <cell r="H3003">
            <v>0</v>
          </cell>
          <cell r="I3003" t="str">
            <v>Others</v>
          </cell>
          <cell r="J3003">
            <v>3</v>
          </cell>
          <cell r="K3003" t="str">
            <v>Others</v>
          </cell>
        </row>
        <row r="3004">
          <cell r="D3004">
            <v>560749</v>
          </cell>
          <cell r="E3004" t="str">
            <v>Twine, cordage, ropes, cables; of polyethylene or polypropylene (excluding binder or baler twine), whether or not plaited, braided or rubber or plastic impregnated, coated, covered or sheathed</v>
          </cell>
          <cell r="F3004" t="str">
            <v>Consumables</v>
          </cell>
          <cell r="G3004">
            <v>0</v>
          </cell>
          <cell r="H3004">
            <v>0</v>
          </cell>
          <cell r="I3004" t="str">
            <v>Others</v>
          </cell>
          <cell r="J3004">
            <v>2</v>
          </cell>
          <cell r="K3004" t="str">
            <v>Consumables - rc</v>
          </cell>
        </row>
        <row r="3005">
          <cell r="D3005">
            <v>560750</v>
          </cell>
          <cell r="E3005" t="str">
            <v>Twine, cordage, ropes, cables; of synthetic fibres other than polyethylene or polypropylene, whether or not plaited, braided or impregnated, coated, covered or sheathed with rubber or plastics</v>
          </cell>
          <cell r="F3005">
            <v>0</v>
          </cell>
          <cell r="G3005">
            <v>0</v>
          </cell>
          <cell r="H3005">
            <v>0</v>
          </cell>
          <cell r="I3005" t="str">
            <v>Others</v>
          </cell>
          <cell r="J3005">
            <v>3</v>
          </cell>
          <cell r="K3005" t="str">
            <v>Others</v>
          </cell>
        </row>
        <row r="3006">
          <cell r="D3006">
            <v>560790</v>
          </cell>
          <cell r="E3006" t="str">
            <v>Twine, cordage, ropes, cables; of materials n.e.c. in heading no. 5607, whether or not plaited, braided or impregnated, coated, covered, or sheathed with rubber or plastics</v>
          </cell>
          <cell r="F3006" t="str">
            <v>Consumables</v>
          </cell>
          <cell r="G3006">
            <v>0</v>
          </cell>
          <cell r="H3006">
            <v>0</v>
          </cell>
          <cell r="I3006" t="str">
            <v>Others</v>
          </cell>
          <cell r="J3006">
            <v>2</v>
          </cell>
          <cell r="K3006" t="str">
            <v>Consumables - rc</v>
          </cell>
        </row>
        <row r="3007">
          <cell r="D3007">
            <v>560811</v>
          </cell>
          <cell r="E3007" t="str">
            <v>Twine, cordage or rope; fishing nets, made up, of man made textile materials</v>
          </cell>
          <cell r="F3007">
            <v>0</v>
          </cell>
          <cell r="G3007">
            <v>0</v>
          </cell>
          <cell r="H3007">
            <v>0</v>
          </cell>
          <cell r="I3007" t="str">
            <v>Others</v>
          </cell>
          <cell r="J3007">
            <v>3</v>
          </cell>
          <cell r="K3007" t="str">
            <v>Others</v>
          </cell>
        </row>
        <row r="3008">
          <cell r="D3008">
            <v>560819</v>
          </cell>
          <cell r="E3008" t="str">
            <v>Twine, cordage or rope; knotted netting, for other than fishing, of man-made textile materials</v>
          </cell>
          <cell r="F3008">
            <v>0</v>
          </cell>
          <cell r="G3008">
            <v>0</v>
          </cell>
          <cell r="H3008">
            <v>0</v>
          </cell>
          <cell r="I3008" t="str">
            <v>Others</v>
          </cell>
          <cell r="J3008">
            <v>3</v>
          </cell>
          <cell r="K3008" t="str">
            <v>Others</v>
          </cell>
        </row>
        <row r="3009">
          <cell r="D3009">
            <v>560890</v>
          </cell>
          <cell r="E3009" t="str">
            <v>Twine, cordage or rope; knotted netting, of other than man-made textiles</v>
          </cell>
          <cell r="F3009">
            <v>0</v>
          </cell>
          <cell r="G3009">
            <v>0</v>
          </cell>
          <cell r="H3009">
            <v>0</v>
          </cell>
          <cell r="I3009" t="str">
            <v>Others</v>
          </cell>
          <cell r="J3009">
            <v>3</v>
          </cell>
          <cell r="K3009" t="str">
            <v>Others</v>
          </cell>
        </row>
        <row r="3010">
          <cell r="D3010">
            <v>560900</v>
          </cell>
          <cell r="E3010" t="str">
            <v>Yarn; articles of yarn, strip or the like of heading no. 5404 and 5405, twine, cordage, rope or cables n.e.c. or included</v>
          </cell>
          <cell r="F3010">
            <v>0</v>
          </cell>
          <cell r="G3010">
            <v>0</v>
          </cell>
          <cell r="H3010">
            <v>0</v>
          </cell>
          <cell r="I3010" t="str">
            <v>Others</v>
          </cell>
          <cell r="J3010">
            <v>3</v>
          </cell>
          <cell r="K3010" t="str">
            <v>Others</v>
          </cell>
        </row>
        <row r="3011">
          <cell r="D3011">
            <v>570110</v>
          </cell>
          <cell r="E3011" t="str">
            <v>Carpets and other textile floor coverings; knotted, of wool or fine animal hair, whether or not made up</v>
          </cell>
          <cell r="F3011">
            <v>0</v>
          </cell>
          <cell r="G3011">
            <v>0</v>
          </cell>
          <cell r="H3011">
            <v>0</v>
          </cell>
          <cell r="I3011" t="str">
            <v>Others</v>
          </cell>
          <cell r="J3011">
            <v>3</v>
          </cell>
          <cell r="K3011" t="str">
            <v>Others</v>
          </cell>
        </row>
        <row r="3012">
          <cell r="D3012">
            <v>570190</v>
          </cell>
          <cell r="E3012" t="str">
            <v>Carpets and other textile floor coverings; knotted, of textile materials (other than wool or fine animal hair), whether or not made up</v>
          </cell>
          <cell r="F3012">
            <v>0</v>
          </cell>
          <cell r="G3012">
            <v>0</v>
          </cell>
          <cell r="H3012">
            <v>0</v>
          </cell>
          <cell r="I3012" t="str">
            <v>Others</v>
          </cell>
          <cell r="J3012">
            <v>3</v>
          </cell>
          <cell r="K3012" t="str">
            <v>Others</v>
          </cell>
        </row>
        <row r="3013">
          <cell r="D3013">
            <v>570210</v>
          </cell>
          <cell r="E3013" t="str">
            <v>Carpets and other textile floor coverings; woven, (not tufted or flocked), whether or not made up, including kelem, schumacks, karamanie and similar hand-woven rugs</v>
          </cell>
          <cell r="F3013">
            <v>0</v>
          </cell>
          <cell r="G3013">
            <v>0</v>
          </cell>
          <cell r="H3013">
            <v>0</v>
          </cell>
          <cell r="I3013" t="str">
            <v>Others</v>
          </cell>
          <cell r="J3013">
            <v>3</v>
          </cell>
          <cell r="K3013" t="str">
            <v>Others</v>
          </cell>
        </row>
        <row r="3014">
          <cell r="D3014">
            <v>570220</v>
          </cell>
          <cell r="E3014" t="str">
            <v>Carpets and other textile floor coverings; woven, (not tufted or flocked), whether or not made up, of coconut fibres (coir)</v>
          </cell>
          <cell r="F3014">
            <v>0</v>
          </cell>
          <cell r="G3014">
            <v>0</v>
          </cell>
          <cell r="H3014">
            <v>0</v>
          </cell>
          <cell r="I3014" t="str">
            <v>Others</v>
          </cell>
          <cell r="J3014">
            <v>3</v>
          </cell>
          <cell r="K3014" t="str">
            <v>Others</v>
          </cell>
        </row>
        <row r="3015">
          <cell r="D3015">
            <v>570231</v>
          </cell>
          <cell r="E3015" t="str">
            <v>Carpets and other textile floor coverings; woven, (not tufted or flocked), of wool or fine animal hair, of pile construction, not made up, n.e.c. in item no. 5702.10 or 5702.20</v>
          </cell>
          <cell r="F3015">
            <v>0</v>
          </cell>
          <cell r="G3015">
            <v>0</v>
          </cell>
          <cell r="H3015">
            <v>0</v>
          </cell>
          <cell r="I3015" t="str">
            <v>Others</v>
          </cell>
          <cell r="J3015">
            <v>3</v>
          </cell>
          <cell r="K3015" t="str">
            <v>Others</v>
          </cell>
        </row>
        <row r="3016">
          <cell r="D3016">
            <v>570232</v>
          </cell>
          <cell r="E3016" t="str">
            <v>Carpets and other textile floor coverings; woven, (not tufted or flocked), of man-made textile materials, of pile construction, not made up, n.e.c. in item no. 5702.10 or 5702.20</v>
          </cell>
          <cell r="F3016">
            <v>0</v>
          </cell>
          <cell r="G3016">
            <v>0</v>
          </cell>
          <cell r="H3016">
            <v>0</v>
          </cell>
          <cell r="I3016" t="str">
            <v>Others</v>
          </cell>
          <cell r="J3016">
            <v>3</v>
          </cell>
          <cell r="K3016" t="str">
            <v>Others</v>
          </cell>
        </row>
        <row r="3017">
          <cell r="D3017">
            <v>570239</v>
          </cell>
          <cell r="E3017" t="str">
            <v>Carpets and other textile floor coverings; woven, (not tufted or flocked), of textile materials (other than man-made, wool or fine animal hair), of pile construction, not made up, n.e.c. in item no. 5702.10 or 5702.20</v>
          </cell>
          <cell r="F3017">
            <v>0</v>
          </cell>
          <cell r="G3017">
            <v>0</v>
          </cell>
          <cell r="H3017">
            <v>0</v>
          </cell>
          <cell r="I3017" t="str">
            <v>Others</v>
          </cell>
          <cell r="J3017">
            <v>3</v>
          </cell>
          <cell r="K3017" t="str">
            <v>Others</v>
          </cell>
        </row>
        <row r="3018">
          <cell r="D3018">
            <v>570241</v>
          </cell>
          <cell r="E3018" t="str">
            <v>Carpets and other textile floor coverings; woven, (not tufted or flocked), of wool or fine animal hair, of pile construction, made up, n.e.c. in item no. 5702.10 or 5702.20</v>
          </cell>
          <cell r="F3018">
            <v>0</v>
          </cell>
          <cell r="G3018">
            <v>0</v>
          </cell>
          <cell r="H3018">
            <v>0</v>
          </cell>
          <cell r="I3018" t="str">
            <v>Others</v>
          </cell>
          <cell r="J3018">
            <v>3</v>
          </cell>
          <cell r="K3018" t="str">
            <v>Others</v>
          </cell>
        </row>
        <row r="3019">
          <cell r="D3019">
            <v>570242</v>
          </cell>
          <cell r="E3019" t="str">
            <v>Carpets and other textile floor coverings; woven, (not tufted or flocked), of man-made textile materials, of pile construction, made up, n.e.c. in item no. 5702.10 or 5702.20</v>
          </cell>
          <cell r="F3019">
            <v>0</v>
          </cell>
          <cell r="G3019">
            <v>0</v>
          </cell>
          <cell r="H3019">
            <v>0</v>
          </cell>
          <cell r="I3019" t="str">
            <v>Others</v>
          </cell>
          <cell r="J3019">
            <v>3</v>
          </cell>
          <cell r="K3019" t="str">
            <v>Others</v>
          </cell>
        </row>
        <row r="3020">
          <cell r="D3020">
            <v>570249</v>
          </cell>
          <cell r="E3020" t="str">
            <v>Carpets and other textile floor coverings; woven, (not tufted or flocked), of textile materials (other than man-made, wool or fine animal hair), of pile construction, made up, n.e.c. in item no. 5702.10 or 5702.20</v>
          </cell>
          <cell r="F3020">
            <v>0</v>
          </cell>
          <cell r="G3020">
            <v>0</v>
          </cell>
          <cell r="H3020">
            <v>0</v>
          </cell>
          <cell r="I3020" t="str">
            <v>Others</v>
          </cell>
          <cell r="J3020">
            <v>3</v>
          </cell>
          <cell r="K3020" t="str">
            <v>Others</v>
          </cell>
        </row>
        <row r="3021">
          <cell r="D3021">
            <v>570250</v>
          </cell>
          <cell r="E3021" t="str">
            <v>Carpets and other textile floor coverings; woven, (not tufted or flocked), not of pile construction, not made up, n.e.c. in item no. 5702.10 or 5702.20</v>
          </cell>
          <cell r="F3021">
            <v>0</v>
          </cell>
          <cell r="G3021">
            <v>0</v>
          </cell>
          <cell r="H3021">
            <v>0</v>
          </cell>
          <cell r="I3021" t="str">
            <v>Others</v>
          </cell>
          <cell r="J3021">
            <v>3</v>
          </cell>
          <cell r="K3021" t="str">
            <v>Others</v>
          </cell>
        </row>
        <row r="3022">
          <cell r="D3022">
            <v>570291</v>
          </cell>
          <cell r="E3022" t="str">
            <v>Carpets and other textile floor coverings; woven, (not tufted or flocked), of wool or fine animal hair, (not of pile construction), made up, n.e.c. in item no. 5702.10 or 5702.20</v>
          </cell>
          <cell r="F3022">
            <v>0</v>
          </cell>
          <cell r="G3022">
            <v>0</v>
          </cell>
          <cell r="H3022">
            <v>0</v>
          </cell>
          <cell r="I3022" t="str">
            <v>Others</v>
          </cell>
          <cell r="J3022">
            <v>3</v>
          </cell>
          <cell r="K3022" t="str">
            <v>Others</v>
          </cell>
        </row>
        <row r="3023">
          <cell r="D3023">
            <v>570292</v>
          </cell>
          <cell r="E3023" t="str">
            <v>Carpets and other textile floor coverings; woven, (not tufted or flocked), of man-made textile materials, (not of pile construction), made up, n.e.c. in item no. 5702.10 or 5702.20</v>
          </cell>
          <cell r="F3023">
            <v>0</v>
          </cell>
          <cell r="G3023">
            <v>0</v>
          </cell>
          <cell r="H3023">
            <v>0</v>
          </cell>
          <cell r="I3023" t="str">
            <v>Others</v>
          </cell>
          <cell r="J3023">
            <v>3</v>
          </cell>
          <cell r="K3023" t="str">
            <v>Others</v>
          </cell>
        </row>
        <row r="3024">
          <cell r="D3024">
            <v>570299</v>
          </cell>
          <cell r="E3024" t="str">
            <v>Carpets and other textile floor coverings; woven, (not tufted or flocked), of textile materials (other than man-made or wool or fine animal hair, not of pile construction), made up, n.e.c. in item no. 5702.10 or 5702.20</v>
          </cell>
          <cell r="F3024">
            <v>0</v>
          </cell>
          <cell r="G3024">
            <v>0</v>
          </cell>
          <cell r="H3024">
            <v>0</v>
          </cell>
          <cell r="I3024" t="str">
            <v>Others</v>
          </cell>
          <cell r="J3024">
            <v>3</v>
          </cell>
          <cell r="K3024" t="str">
            <v>Others</v>
          </cell>
        </row>
        <row r="3025">
          <cell r="D3025">
            <v>570310</v>
          </cell>
          <cell r="E3025" t="str">
            <v>Carpets and other textile floor coverings (including turf); tufted, of wool or fine animal hair, whether or not made up</v>
          </cell>
          <cell r="F3025">
            <v>0</v>
          </cell>
          <cell r="G3025">
            <v>0</v>
          </cell>
          <cell r="H3025">
            <v>0</v>
          </cell>
          <cell r="I3025" t="str">
            <v>Others</v>
          </cell>
          <cell r="J3025">
            <v>3</v>
          </cell>
          <cell r="K3025" t="str">
            <v>Others</v>
          </cell>
        </row>
        <row r="3026">
          <cell r="D3026">
            <v>570321</v>
          </cell>
          <cell r="E3026" t="str">
            <v>Carpets and other textile floor coverings; tufted, of nylon or other polyamides, whether or not made up</v>
          </cell>
          <cell r="F3026">
            <v>0</v>
          </cell>
          <cell r="G3026">
            <v>0</v>
          </cell>
          <cell r="H3026">
            <v>0</v>
          </cell>
          <cell r="I3026" t="str">
            <v>Others</v>
          </cell>
          <cell r="J3026">
            <v>3</v>
          </cell>
          <cell r="K3026" t="str">
            <v>Others</v>
          </cell>
        </row>
        <row r="3027">
          <cell r="D3027">
            <v>570329</v>
          </cell>
          <cell r="E3027" t="str">
            <v>Carpets; tufted, of nylon or other polyamides, whether or not made up</v>
          </cell>
          <cell r="F3027">
            <v>0</v>
          </cell>
          <cell r="G3027">
            <v>0</v>
          </cell>
          <cell r="H3027">
            <v>0</v>
          </cell>
          <cell r="I3027" t="str">
            <v>Others</v>
          </cell>
          <cell r="J3027">
            <v>3</v>
          </cell>
          <cell r="K3027" t="str">
            <v>Others</v>
          </cell>
        </row>
        <row r="3028">
          <cell r="D3028">
            <v>570331</v>
          </cell>
          <cell r="E3028" t="str">
            <v>Carpets and other textile floor coverings; tufted, of other man-made textile materials (other than polyamides), whether or not made up</v>
          </cell>
          <cell r="F3028">
            <v>0</v>
          </cell>
          <cell r="G3028">
            <v>0</v>
          </cell>
          <cell r="H3028">
            <v>0</v>
          </cell>
          <cell r="I3028" t="str">
            <v>Others</v>
          </cell>
          <cell r="J3028">
            <v>3</v>
          </cell>
          <cell r="K3028" t="str">
            <v>Others</v>
          </cell>
        </row>
        <row r="3029">
          <cell r="D3029">
            <v>570339</v>
          </cell>
          <cell r="E3029" t="str">
            <v>Carpets; tufted, of man-made textile materials (other than polyamides), whether of not made up</v>
          </cell>
          <cell r="F3029">
            <v>0</v>
          </cell>
          <cell r="G3029">
            <v>0</v>
          </cell>
          <cell r="H3029">
            <v>0</v>
          </cell>
          <cell r="I3029" t="str">
            <v>Others</v>
          </cell>
          <cell r="J3029">
            <v>3</v>
          </cell>
          <cell r="K3029" t="str">
            <v>Others</v>
          </cell>
        </row>
        <row r="3030">
          <cell r="D3030">
            <v>570390</v>
          </cell>
          <cell r="E3030" t="str">
            <v>Carpets and other textile floor coverings; tufted, of textile materials (other than man-made, wool or fine animal hair), whether or not made up</v>
          </cell>
          <cell r="F3030">
            <v>0</v>
          </cell>
          <cell r="G3030">
            <v>0</v>
          </cell>
          <cell r="H3030">
            <v>0</v>
          </cell>
          <cell r="I3030" t="str">
            <v>Others</v>
          </cell>
          <cell r="J3030">
            <v>3</v>
          </cell>
          <cell r="K3030" t="str">
            <v>Others</v>
          </cell>
        </row>
        <row r="3031">
          <cell r="D3031">
            <v>570410</v>
          </cell>
          <cell r="E3031" t="str">
            <v>Textile floor coverings; felt tiles, (not tufted or flocked), whether or not made up, having a maximum surface area of 0.3m2</v>
          </cell>
          <cell r="F3031">
            <v>0</v>
          </cell>
          <cell r="G3031">
            <v>0</v>
          </cell>
          <cell r="H3031">
            <v>0</v>
          </cell>
          <cell r="I3031" t="str">
            <v>Others</v>
          </cell>
          <cell r="J3031">
            <v>3</v>
          </cell>
          <cell r="K3031" t="str">
            <v>Others</v>
          </cell>
        </row>
        <row r="3032">
          <cell r="D3032">
            <v>570420</v>
          </cell>
          <cell r="E3032" t="str">
            <v>Carpets and other textile floor coverings; of felt, (not tufted or flocked), whether or not made up, having a maximum surface area exceeding 0.3 m2 but not exceeding 1 m2</v>
          </cell>
          <cell r="F3032">
            <v>0</v>
          </cell>
          <cell r="G3032">
            <v>0</v>
          </cell>
          <cell r="H3032">
            <v>0</v>
          </cell>
          <cell r="I3032" t="str">
            <v>Others</v>
          </cell>
          <cell r="J3032">
            <v>3</v>
          </cell>
          <cell r="K3032" t="str">
            <v>Others</v>
          </cell>
        </row>
        <row r="3033">
          <cell r="D3033">
            <v>570490</v>
          </cell>
          <cell r="E3033" t="str">
            <v>Carpets and other textile floor coverings; of felt, (not tufted or flocked), in the piece, whether or not made up, having a maximum surface area exceeding 1 m2</v>
          </cell>
          <cell r="F3033">
            <v>0</v>
          </cell>
          <cell r="G3033">
            <v>0</v>
          </cell>
          <cell r="H3033">
            <v>0</v>
          </cell>
          <cell r="I3033" t="str">
            <v>Others</v>
          </cell>
          <cell r="J3033">
            <v>3</v>
          </cell>
          <cell r="K3033" t="str">
            <v>Others</v>
          </cell>
        </row>
        <row r="3034">
          <cell r="D3034">
            <v>570500</v>
          </cell>
          <cell r="E3034" t="str">
            <v>Carpets and other textile floor coverings; n.e.c. in chapter 57, whether or not made up</v>
          </cell>
          <cell r="F3034">
            <v>0</v>
          </cell>
          <cell r="G3034">
            <v>0</v>
          </cell>
          <cell r="H3034">
            <v>0</v>
          </cell>
          <cell r="I3034" t="str">
            <v>Others</v>
          </cell>
          <cell r="J3034">
            <v>3</v>
          </cell>
          <cell r="K3034" t="str">
            <v>Others</v>
          </cell>
        </row>
        <row r="3035">
          <cell r="D3035">
            <v>580110</v>
          </cell>
          <cell r="E3035" t="str">
            <v>Fabrics; woven pile, of wool or fine animal hair, other than fabrics of heading no. 5802 or 5806</v>
          </cell>
          <cell r="F3035">
            <v>0</v>
          </cell>
          <cell r="G3035">
            <v>0</v>
          </cell>
          <cell r="H3035">
            <v>0</v>
          </cell>
          <cell r="I3035" t="str">
            <v>Others</v>
          </cell>
          <cell r="J3035">
            <v>3</v>
          </cell>
          <cell r="K3035" t="str">
            <v>Others</v>
          </cell>
        </row>
        <row r="3036">
          <cell r="D3036">
            <v>580121</v>
          </cell>
          <cell r="E3036" t="str">
            <v>Fabrics; woven pile, of cotton, uncut weft pile fabrics, other than fabrics of heading no. 5802 or 5806</v>
          </cell>
          <cell r="F3036">
            <v>0</v>
          </cell>
          <cell r="G3036">
            <v>0</v>
          </cell>
          <cell r="H3036">
            <v>0</v>
          </cell>
          <cell r="I3036" t="str">
            <v>Others</v>
          </cell>
          <cell r="J3036">
            <v>3</v>
          </cell>
          <cell r="K3036" t="str">
            <v>Others</v>
          </cell>
        </row>
        <row r="3037">
          <cell r="D3037">
            <v>580122</v>
          </cell>
          <cell r="E3037" t="str">
            <v>Fabrics; woven pile, of cotton, cut corduroy, other than fabrics of heading no. 5802 or 5806</v>
          </cell>
          <cell r="F3037">
            <v>0</v>
          </cell>
          <cell r="G3037">
            <v>0</v>
          </cell>
          <cell r="H3037">
            <v>0</v>
          </cell>
          <cell r="I3037" t="str">
            <v>Others</v>
          </cell>
          <cell r="J3037">
            <v>3</v>
          </cell>
          <cell r="K3037" t="str">
            <v>Others</v>
          </cell>
        </row>
        <row r="3038">
          <cell r="D3038">
            <v>580123</v>
          </cell>
          <cell r="E3038" t="str">
            <v>Fabrics; woven pile, of cotton, weft pile fabrics other than uncut and corduroy, other than fabrics of heading no. 5802 or 5806</v>
          </cell>
          <cell r="F3038">
            <v>0</v>
          </cell>
          <cell r="G3038">
            <v>0</v>
          </cell>
          <cell r="H3038">
            <v>0</v>
          </cell>
          <cell r="I3038" t="str">
            <v>Others</v>
          </cell>
          <cell r="J3038">
            <v>3</v>
          </cell>
          <cell r="K3038" t="str">
            <v>Others</v>
          </cell>
        </row>
        <row r="3039">
          <cell r="D3039">
            <v>580126</v>
          </cell>
          <cell r="E3039" t="str">
            <v>Fabrics; chenille, of cotton, other than fabrics of heading no. 5802 or 5806</v>
          </cell>
          <cell r="F3039">
            <v>0</v>
          </cell>
          <cell r="G3039">
            <v>0</v>
          </cell>
          <cell r="H3039">
            <v>0</v>
          </cell>
          <cell r="I3039" t="str">
            <v>Others</v>
          </cell>
          <cell r="J3039">
            <v>3</v>
          </cell>
          <cell r="K3039" t="str">
            <v>Others</v>
          </cell>
        </row>
        <row r="3040">
          <cell r="D3040">
            <v>580127</v>
          </cell>
          <cell r="E3040" t="str">
            <v>Fabrics; woven pile, of cotton, warp pile fabrics, other than fabrics of heading no. 5802 or 5806</v>
          </cell>
          <cell r="F3040">
            <v>0</v>
          </cell>
          <cell r="G3040">
            <v>0</v>
          </cell>
          <cell r="H3040">
            <v>0</v>
          </cell>
          <cell r="I3040" t="str">
            <v>Others</v>
          </cell>
          <cell r="J3040">
            <v>3</v>
          </cell>
          <cell r="K3040" t="str">
            <v>Others</v>
          </cell>
        </row>
        <row r="3041">
          <cell r="D3041">
            <v>580131</v>
          </cell>
          <cell r="E3041" t="str">
            <v>Fabrics; woven pile, of man-made fibres, uncut weft pile fabrics, other than fabrics of heading no. 5802 or 5806</v>
          </cell>
          <cell r="F3041">
            <v>0</v>
          </cell>
          <cell r="G3041">
            <v>0</v>
          </cell>
          <cell r="H3041">
            <v>0</v>
          </cell>
          <cell r="I3041" t="str">
            <v>Others</v>
          </cell>
          <cell r="J3041">
            <v>3</v>
          </cell>
          <cell r="K3041" t="str">
            <v>Others</v>
          </cell>
        </row>
        <row r="3042">
          <cell r="D3042">
            <v>580132</v>
          </cell>
          <cell r="E3042" t="str">
            <v>Fabrics; woven pile, of man-made fibres, cut corduroy, other than fabrics of heading no. 5802 or 5806</v>
          </cell>
          <cell r="F3042">
            <v>0</v>
          </cell>
          <cell r="G3042">
            <v>0</v>
          </cell>
          <cell r="H3042">
            <v>0</v>
          </cell>
          <cell r="I3042" t="str">
            <v>Others</v>
          </cell>
          <cell r="J3042">
            <v>3</v>
          </cell>
          <cell r="K3042" t="str">
            <v>Others</v>
          </cell>
        </row>
        <row r="3043">
          <cell r="D3043">
            <v>580133</v>
          </cell>
          <cell r="E3043" t="str">
            <v>Fabrics; woven pile, of man-made fibres, other weft pile fabrics, other than fabrics of heading no. 5802 or 5806</v>
          </cell>
          <cell r="F3043">
            <v>0</v>
          </cell>
          <cell r="G3043">
            <v>0</v>
          </cell>
          <cell r="H3043">
            <v>0</v>
          </cell>
          <cell r="I3043" t="str">
            <v>Others</v>
          </cell>
          <cell r="J3043">
            <v>3</v>
          </cell>
          <cell r="K3043" t="str">
            <v>Others</v>
          </cell>
        </row>
        <row r="3044">
          <cell r="D3044">
            <v>580136</v>
          </cell>
          <cell r="E3044" t="str">
            <v>Fabrics; chenille, of man-made fibres, other than fabrics of heading no. 5802 or 5806</v>
          </cell>
          <cell r="F3044">
            <v>0</v>
          </cell>
          <cell r="G3044">
            <v>0</v>
          </cell>
          <cell r="H3044">
            <v>0</v>
          </cell>
          <cell r="I3044" t="str">
            <v>Others</v>
          </cell>
          <cell r="J3044">
            <v>3</v>
          </cell>
          <cell r="K3044" t="str">
            <v>Others</v>
          </cell>
        </row>
        <row r="3045">
          <cell r="D3045">
            <v>580137</v>
          </cell>
          <cell r="E3045" t="str">
            <v>Fabrics; woven pile, of man-made fibres, warp pile fabrics, other than fabrics of heading no. 5802 or 5806</v>
          </cell>
          <cell r="F3045">
            <v>0</v>
          </cell>
          <cell r="G3045">
            <v>0</v>
          </cell>
          <cell r="H3045">
            <v>0</v>
          </cell>
          <cell r="I3045" t="str">
            <v>Others</v>
          </cell>
          <cell r="J3045">
            <v>3</v>
          </cell>
          <cell r="K3045" t="str">
            <v>Others</v>
          </cell>
        </row>
        <row r="3046">
          <cell r="D3046">
            <v>580190</v>
          </cell>
          <cell r="E3046" t="str">
            <v>Fabrics; woven pile and chenille, of textile materials n.e.c. in heading no. 5801, other than fabrics of heading no. 5802 or 5806</v>
          </cell>
          <cell r="F3046">
            <v>0</v>
          </cell>
          <cell r="G3046">
            <v>0</v>
          </cell>
          <cell r="H3046">
            <v>0</v>
          </cell>
          <cell r="I3046" t="str">
            <v>Others</v>
          </cell>
          <cell r="J3046">
            <v>3</v>
          </cell>
          <cell r="K3046" t="str">
            <v>Others</v>
          </cell>
        </row>
        <row r="3047">
          <cell r="D3047">
            <v>580210</v>
          </cell>
          <cell r="E3047" t="str">
            <v>Fabrics; terry towelling and similar woven terry fabrics, of cotton, whether bleached or unbleached, excluding narrow fabrics of heading no. 5806</v>
          </cell>
          <cell r="F3047">
            <v>0</v>
          </cell>
          <cell r="G3047">
            <v>0</v>
          </cell>
          <cell r="H3047">
            <v>0</v>
          </cell>
          <cell r="I3047" t="str">
            <v>Others</v>
          </cell>
          <cell r="J3047">
            <v>3</v>
          </cell>
          <cell r="K3047" t="str">
            <v>Others</v>
          </cell>
        </row>
        <row r="3048">
          <cell r="D3048">
            <v>580220</v>
          </cell>
          <cell r="E3048" t="str">
            <v>Fabrics; terry towelling and similar woven terry fabrics, of textile materials, excluding cotton, excluding narrow fabrics of heading no. 5806</v>
          </cell>
          <cell r="F3048">
            <v>0</v>
          </cell>
          <cell r="G3048">
            <v>0</v>
          </cell>
          <cell r="H3048">
            <v>0</v>
          </cell>
          <cell r="I3048" t="str">
            <v>Others</v>
          </cell>
          <cell r="J3048">
            <v>3</v>
          </cell>
          <cell r="K3048" t="str">
            <v>Others</v>
          </cell>
        </row>
        <row r="3049">
          <cell r="D3049">
            <v>580230</v>
          </cell>
          <cell r="E3049" t="str">
            <v>Fabrics; tufted textile fabrics, excluding products of heading no. 5703</v>
          </cell>
          <cell r="F3049">
            <v>0</v>
          </cell>
          <cell r="G3049">
            <v>0</v>
          </cell>
          <cell r="H3049">
            <v>0</v>
          </cell>
          <cell r="I3049" t="str">
            <v>Others</v>
          </cell>
          <cell r="J3049">
            <v>3</v>
          </cell>
          <cell r="K3049" t="str">
            <v>Others</v>
          </cell>
        </row>
        <row r="3050">
          <cell r="D3050">
            <v>580300</v>
          </cell>
          <cell r="E3050" t="str">
            <v>Gauze; other than narrow fabrics of heading no. 5806</v>
          </cell>
          <cell r="F3050">
            <v>0</v>
          </cell>
          <cell r="G3050">
            <v>0</v>
          </cell>
          <cell r="H3050">
            <v>0</v>
          </cell>
          <cell r="I3050" t="str">
            <v>Others</v>
          </cell>
          <cell r="J3050">
            <v>3</v>
          </cell>
          <cell r="K3050" t="str">
            <v>Others</v>
          </cell>
        </row>
        <row r="3051">
          <cell r="D3051">
            <v>580410</v>
          </cell>
          <cell r="E3051" t="str">
            <v>Tulles and other net fabrics; excluding woven, knitted or crocheted fabrics, (other than fabrics of headings 60.02 to 60.06)</v>
          </cell>
          <cell r="F3051">
            <v>0</v>
          </cell>
          <cell r="G3051">
            <v>0</v>
          </cell>
          <cell r="H3051">
            <v>0</v>
          </cell>
          <cell r="I3051" t="str">
            <v>Others</v>
          </cell>
          <cell r="J3051">
            <v>3</v>
          </cell>
          <cell r="K3051" t="str">
            <v>Others</v>
          </cell>
        </row>
        <row r="3052">
          <cell r="D3052">
            <v>580421</v>
          </cell>
          <cell r="E3052" t="str">
            <v>Lace; mechanically made, of man-made fibres in the piece, in strips or in motifs, (other than fabrics of headings 60.02 to 60.06)</v>
          </cell>
          <cell r="F3052">
            <v>0</v>
          </cell>
          <cell r="G3052">
            <v>0</v>
          </cell>
          <cell r="H3052">
            <v>0</v>
          </cell>
          <cell r="I3052" t="str">
            <v>Others</v>
          </cell>
          <cell r="J3052">
            <v>3</v>
          </cell>
          <cell r="K3052" t="str">
            <v>Others</v>
          </cell>
        </row>
        <row r="3053">
          <cell r="D3053">
            <v>580429</v>
          </cell>
          <cell r="E3053" t="str">
            <v>Lace; mechanically made, of textile materials, (other than man-made fibres), in the piece, in strips or motifs, (other than fabrics of headings 60.02 to 60.06)</v>
          </cell>
          <cell r="F3053">
            <v>0</v>
          </cell>
          <cell r="G3053">
            <v>0</v>
          </cell>
          <cell r="H3053">
            <v>0</v>
          </cell>
          <cell r="I3053" t="str">
            <v>Others</v>
          </cell>
          <cell r="J3053">
            <v>3</v>
          </cell>
          <cell r="K3053" t="str">
            <v>Others</v>
          </cell>
        </row>
        <row r="3054">
          <cell r="D3054">
            <v>580430</v>
          </cell>
          <cell r="E3054" t="str">
            <v>Lace; hand-made, in the piece, in strips or motifs, (other than fabrics of headings 60.02 to 60.06)</v>
          </cell>
          <cell r="F3054">
            <v>0</v>
          </cell>
          <cell r="G3054">
            <v>0</v>
          </cell>
          <cell r="H3054">
            <v>0</v>
          </cell>
          <cell r="I3054" t="str">
            <v>Others</v>
          </cell>
          <cell r="J3054">
            <v>3</v>
          </cell>
          <cell r="K3054" t="str">
            <v>Others</v>
          </cell>
        </row>
        <row r="3055">
          <cell r="D3055">
            <v>580500</v>
          </cell>
          <cell r="E3055" t="str">
            <v>Tapestries; hand-woven, (Gobelins, Flanders, Aubusson, Beauvais and the like) and needle-worked tapestries (e.g. petit point, cross-stitch) whether or not made up</v>
          </cell>
          <cell r="F3055">
            <v>0</v>
          </cell>
          <cell r="G3055">
            <v>0</v>
          </cell>
          <cell r="H3055">
            <v>0</v>
          </cell>
          <cell r="I3055" t="str">
            <v>Others</v>
          </cell>
          <cell r="J3055">
            <v>3</v>
          </cell>
          <cell r="K3055" t="str">
            <v>Others</v>
          </cell>
        </row>
        <row r="3056">
          <cell r="D3056">
            <v>580610</v>
          </cell>
          <cell r="E3056" t="str">
            <v>Fabrics; woven pile (including terry towelling and similar terry fabrics) and chenille fabrics (excluding goods of heading 5807)</v>
          </cell>
          <cell r="F3056" t="str">
            <v>Consumables</v>
          </cell>
          <cell r="G3056">
            <v>0</v>
          </cell>
          <cell r="H3056">
            <v>0</v>
          </cell>
          <cell r="I3056" t="str">
            <v>Others</v>
          </cell>
          <cell r="J3056">
            <v>2</v>
          </cell>
          <cell r="K3056" t="str">
            <v>Consumables - rc</v>
          </cell>
        </row>
        <row r="3057">
          <cell r="D3057">
            <v>580620</v>
          </cell>
          <cell r="E3057" t="str">
            <v>Fabrics; narrow (excluding pile fabrics), containing by weight 5% or more of elastomeric yarn or rubber thread</v>
          </cell>
          <cell r="F3057">
            <v>0</v>
          </cell>
          <cell r="G3057">
            <v>0</v>
          </cell>
          <cell r="H3057">
            <v>0</v>
          </cell>
          <cell r="I3057" t="str">
            <v>Others</v>
          </cell>
          <cell r="J3057">
            <v>3</v>
          </cell>
          <cell r="K3057" t="str">
            <v>Others</v>
          </cell>
        </row>
        <row r="3058">
          <cell r="D3058">
            <v>580631</v>
          </cell>
          <cell r="E3058" t="str">
            <v>Fabrics; narrow woven fabrics, n.e.c. in heading no. 5806, of cotton (excluding goods of heading no. 5807)</v>
          </cell>
          <cell r="F3058" t="str">
            <v>Consumables</v>
          </cell>
          <cell r="G3058">
            <v>0</v>
          </cell>
          <cell r="H3058">
            <v>0</v>
          </cell>
          <cell r="I3058" t="str">
            <v>Others</v>
          </cell>
          <cell r="J3058">
            <v>2</v>
          </cell>
          <cell r="K3058" t="str">
            <v>Consumables - rc</v>
          </cell>
        </row>
        <row r="3059">
          <cell r="D3059">
            <v>580632</v>
          </cell>
          <cell r="E3059" t="str">
            <v>Fabrics, narrow woven fabrics, n.e.c. in heading no. 5806, of man-made fibres (excluding goods of heading no. 5807)</v>
          </cell>
          <cell r="F3059">
            <v>0</v>
          </cell>
          <cell r="G3059">
            <v>0</v>
          </cell>
          <cell r="H3059">
            <v>0</v>
          </cell>
          <cell r="I3059" t="str">
            <v>Others</v>
          </cell>
          <cell r="J3059">
            <v>3</v>
          </cell>
          <cell r="K3059" t="str">
            <v>Others</v>
          </cell>
        </row>
        <row r="3060">
          <cell r="D3060">
            <v>580639</v>
          </cell>
          <cell r="E3060" t="str">
            <v>Fabrics; narrow woven fabrics, n.e.c. in heading no. 5806, of textile materials n.e.c. in item no. 5806.3 (excluding goods of heading no. 5807)</v>
          </cell>
          <cell r="F3060">
            <v>0</v>
          </cell>
          <cell r="G3060">
            <v>0</v>
          </cell>
          <cell r="H3060">
            <v>0</v>
          </cell>
          <cell r="I3060" t="str">
            <v>Others</v>
          </cell>
          <cell r="J3060">
            <v>3</v>
          </cell>
          <cell r="K3060" t="str">
            <v>Others</v>
          </cell>
        </row>
        <row r="3061">
          <cell r="D3061">
            <v>580640</v>
          </cell>
          <cell r="E3061" t="str">
            <v>Fabrics; narrow woven, consisting of warp without weft, assembled by means of an adhesive (bolducs)</v>
          </cell>
          <cell r="F3061">
            <v>0</v>
          </cell>
          <cell r="G3061">
            <v>0</v>
          </cell>
          <cell r="H3061">
            <v>0</v>
          </cell>
          <cell r="I3061" t="str">
            <v>Others</v>
          </cell>
          <cell r="J3061">
            <v>3</v>
          </cell>
          <cell r="K3061" t="str">
            <v>Others</v>
          </cell>
        </row>
        <row r="3062">
          <cell r="D3062">
            <v>580710</v>
          </cell>
          <cell r="E3062" t="str">
            <v>Labels, badges and similar articles; woven, of textile materials, in the piece, in strips or cut to shape or size, not embroidered</v>
          </cell>
          <cell r="F3062" t="str">
            <v>Consumables</v>
          </cell>
          <cell r="G3062">
            <v>0</v>
          </cell>
          <cell r="H3062">
            <v>0</v>
          </cell>
          <cell r="I3062" t="str">
            <v>Others</v>
          </cell>
          <cell r="J3062">
            <v>2</v>
          </cell>
          <cell r="K3062" t="str">
            <v>Consumables - rc</v>
          </cell>
        </row>
        <row r="3063">
          <cell r="D3063">
            <v>580790</v>
          </cell>
          <cell r="E3063" t="str">
            <v>Labels, badges and similar articles; (other than woven), of textile materials, in the piece, in strips or cut to shape or size, not embroidered</v>
          </cell>
          <cell r="F3063" t="str">
            <v>Consumables</v>
          </cell>
          <cell r="G3063">
            <v>0</v>
          </cell>
          <cell r="H3063">
            <v>0</v>
          </cell>
          <cell r="I3063" t="str">
            <v>Others</v>
          </cell>
          <cell r="J3063">
            <v>2</v>
          </cell>
          <cell r="K3063" t="str">
            <v>Consumables - rc</v>
          </cell>
        </row>
        <row r="3064">
          <cell r="D3064">
            <v>580810</v>
          </cell>
          <cell r="E3064" t="str">
            <v>Braids; in the piece</v>
          </cell>
          <cell r="F3064">
            <v>0</v>
          </cell>
          <cell r="G3064">
            <v>0</v>
          </cell>
          <cell r="H3064">
            <v>0</v>
          </cell>
          <cell r="I3064" t="str">
            <v>Others</v>
          </cell>
          <cell r="J3064">
            <v>3</v>
          </cell>
          <cell r="K3064" t="str">
            <v>Others</v>
          </cell>
        </row>
        <row r="3065">
          <cell r="D3065">
            <v>580890</v>
          </cell>
          <cell r="E3065" t="str">
            <v>Ornamental trimmings; tassels, pompons and similar articles; ornamental trimmings in the piece, without embroidery, other than knitted or crocheted</v>
          </cell>
          <cell r="F3065">
            <v>0</v>
          </cell>
          <cell r="G3065">
            <v>0</v>
          </cell>
          <cell r="H3065">
            <v>0</v>
          </cell>
          <cell r="I3065" t="str">
            <v>Others</v>
          </cell>
          <cell r="J3065">
            <v>3</v>
          </cell>
          <cell r="K3065" t="str">
            <v>Others</v>
          </cell>
        </row>
        <row r="3066">
          <cell r="D3066">
            <v>580900</v>
          </cell>
          <cell r="E3066" t="str">
            <v>Fabrics, woven; of metal thread and metallised yarn of heading no. 5605, of a kind used in apparel, as furnishing fabrics or similar purposes; n.e.c. or included</v>
          </cell>
          <cell r="F3066">
            <v>0</v>
          </cell>
          <cell r="G3066">
            <v>0</v>
          </cell>
          <cell r="H3066">
            <v>0</v>
          </cell>
          <cell r="I3066" t="str">
            <v>Others</v>
          </cell>
          <cell r="J3066">
            <v>3</v>
          </cell>
          <cell r="K3066" t="str">
            <v>Others</v>
          </cell>
        </row>
        <row r="3067">
          <cell r="D3067">
            <v>581010</v>
          </cell>
          <cell r="E3067" t="str">
            <v>Embroidery; without visible ground, in the piece, in strips or in motifs</v>
          </cell>
          <cell r="F3067">
            <v>0</v>
          </cell>
          <cell r="G3067">
            <v>0</v>
          </cell>
          <cell r="H3067">
            <v>0</v>
          </cell>
          <cell r="I3067" t="str">
            <v>Others</v>
          </cell>
          <cell r="J3067">
            <v>3</v>
          </cell>
          <cell r="K3067" t="str">
            <v>Others</v>
          </cell>
        </row>
        <row r="3068">
          <cell r="D3068">
            <v>581091</v>
          </cell>
          <cell r="E3068" t="str">
            <v>Embroidery; with visible ground, of cotton, in the piece, in strips or in motifs</v>
          </cell>
          <cell r="F3068">
            <v>0</v>
          </cell>
          <cell r="G3068">
            <v>0</v>
          </cell>
          <cell r="H3068">
            <v>0</v>
          </cell>
          <cell r="I3068" t="str">
            <v>Others</v>
          </cell>
          <cell r="J3068">
            <v>3</v>
          </cell>
          <cell r="K3068" t="str">
            <v>Others</v>
          </cell>
        </row>
        <row r="3069">
          <cell r="D3069">
            <v>581092</v>
          </cell>
          <cell r="E3069" t="str">
            <v>Embroidery; with visible ground, of man-made fibres, in the piece, in strips or in motifs</v>
          </cell>
          <cell r="F3069">
            <v>0</v>
          </cell>
          <cell r="G3069">
            <v>0</v>
          </cell>
          <cell r="H3069">
            <v>0</v>
          </cell>
          <cell r="I3069" t="str">
            <v>Others</v>
          </cell>
          <cell r="J3069">
            <v>3</v>
          </cell>
          <cell r="K3069" t="str">
            <v>Others</v>
          </cell>
        </row>
        <row r="3070">
          <cell r="D3070">
            <v>581099</v>
          </cell>
          <cell r="E3070" t="str">
            <v>Embroidery; with visible ground, of textile materials (other than cotton and man-made fibres), in the piece, in strips or in motifs</v>
          </cell>
          <cell r="F3070">
            <v>0</v>
          </cell>
          <cell r="G3070">
            <v>0</v>
          </cell>
          <cell r="H3070">
            <v>0</v>
          </cell>
          <cell r="I3070" t="str">
            <v>Others</v>
          </cell>
          <cell r="J3070">
            <v>3</v>
          </cell>
          <cell r="K3070" t="str">
            <v>Others</v>
          </cell>
        </row>
        <row r="3071">
          <cell r="D3071">
            <v>581100</v>
          </cell>
          <cell r="E3071" t="str">
            <v>Quilted textile products; in the piece, composed of one or more layers of textile materials assembled with padding by stitching or otherwise (excluding embroidery of heading no. 5810)</v>
          </cell>
          <cell r="F3071">
            <v>0</v>
          </cell>
          <cell r="G3071">
            <v>0</v>
          </cell>
          <cell r="H3071">
            <v>0</v>
          </cell>
          <cell r="I3071" t="str">
            <v>Others</v>
          </cell>
          <cell r="J3071">
            <v>3</v>
          </cell>
          <cell r="K3071" t="str">
            <v>Others</v>
          </cell>
        </row>
        <row r="3072">
          <cell r="D3072">
            <v>590110</v>
          </cell>
          <cell r="E3072" t="str">
            <v>Textile fabrics; coated with gum or amylaceous substances, of a kind used for the outer covers of books or the like</v>
          </cell>
          <cell r="F3072">
            <v>0</v>
          </cell>
          <cell r="G3072">
            <v>0</v>
          </cell>
          <cell r="H3072">
            <v>0</v>
          </cell>
          <cell r="I3072" t="str">
            <v>Others</v>
          </cell>
          <cell r="J3072">
            <v>3</v>
          </cell>
          <cell r="K3072" t="str">
            <v>Others</v>
          </cell>
        </row>
        <row r="3073">
          <cell r="D3073">
            <v>590190</v>
          </cell>
          <cell r="E3073" t="str">
            <v>Textile fabrics; coated with gum or amylaceous substances, tracing cloth, prepared painting canvas, buckram and similar stiffened textile fabrics for hat foundations, (excluding book covers)</v>
          </cell>
          <cell r="F3073">
            <v>0</v>
          </cell>
          <cell r="G3073">
            <v>0</v>
          </cell>
          <cell r="H3073">
            <v>0</v>
          </cell>
          <cell r="I3073" t="str">
            <v>Others</v>
          </cell>
          <cell r="J3073">
            <v>3</v>
          </cell>
          <cell r="K3073" t="str">
            <v>Others</v>
          </cell>
        </row>
        <row r="3074">
          <cell r="D3074">
            <v>590210</v>
          </cell>
          <cell r="E3074" t="str">
            <v>Textile fabrics; tyrecord of high tenacity yarn of nylon or other polyamides</v>
          </cell>
          <cell r="F3074">
            <v>0</v>
          </cell>
          <cell r="G3074">
            <v>0</v>
          </cell>
          <cell r="H3074">
            <v>0</v>
          </cell>
          <cell r="I3074" t="str">
            <v>Others</v>
          </cell>
          <cell r="J3074">
            <v>3</v>
          </cell>
          <cell r="K3074" t="str">
            <v>Others</v>
          </cell>
        </row>
        <row r="3075">
          <cell r="D3075">
            <v>590220</v>
          </cell>
          <cell r="E3075" t="str">
            <v>Textile fabrics; tyrecord of high tenacity yarn of polyester</v>
          </cell>
          <cell r="F3075">
            <v>0</v>
          </cell>
          <cell r="G3075">
            <v>0</v>
          </cell>
          <cell r="H3075">
            <v>0</v>
          </cell>
          <cell r="I3075" t="str">
            <v>Others</v>
          </cell>
          <cell r="J3075">
            <v>3</v>
          </cell>
          <cell r="K3075" t="str">
            <v>Others</v>
          </cell>
        </row>
        <row r="3076">
          <cell r="D3076">
            <v>590290</v>
          </cell>
          <cell r="E3076" t="str">
            <v>Textile fabrics; tyrecord of high tenacity yarn of viscose rayon</v>
          </cell>
          <cell r="F3076">
            <v>0</v>
          </cell>
          <cell r="G3076">
            <v>0</v>
          </cell>
          <cell r="H3076">
            <v>0</v>
          </cell>
          <cell r="I3076" t="str">
            <v>Others</v>
          </cell>
          <cell r="J3076">
            <v>3</v>
          </cell>
          <cell r="K3076" t="str">
            <v>Others</v>
          </cell>
        </row>
        <row r="3077">
          <cell r="D3077">
            <v>590310</v>
          </cell>
          <cell r="E3077" t="str">
            <v>Textile fabrics; impregnated, coated, covered or laminated with poly(vinyl chloride)</v>
          </cell>
          <cell r="F3077">
            <v>0</v>
          </cell>
          <cell r="G3077">
            <v>0</v>
          </cell>
          <cell r="H3077">
            <v>0</v>
          </cell>
          <cell r="I3077" t="str">
            <v>Others</v>
          </cell>
          <cell r="J3077">
            <v>3</v>
          </cell>
          <cell r="K3077" t="str">
            <v>Others</v>
          </cell>
        </row>
        <row r="3078">
          <cell r="D3078">
            <v>590320</v>
          </cell>
          <cell r="E3078" t="str">
            <v>Textile fabrics; impregnated, coated, covered or laminated with polyurethane</v>
          </cell>
          <cell r="F3078" t="str">
            <v>Consumables</v>
          </cell>
          <cell r="G3078">
            <v>0</v>
          </cell>
          <cell r="H3078">
            <v>0</v>
          </cell>
          <cell r="I3078" t="str">
            <v>Others</v>
          </cell>
          <cell r="J3078">
            <v>2</v>
          </cell>
          <cell r="K3078" t="str">
            <v>Consumables - rc</v>
          </cell>
        </row>
        <row r="3079">
          <cell r="D3079">
            <v>590390</v>
          </cell>
          <cell r="E3079" t="str">
            <v>Textile fabrics; impregnated, coated, covered or laminated with plastics, (excluding polyvinyl chloride, polyurethane and those of heading no. 5902)</v>
          </cell>
          <cell r="F3079" t="str">
            <v>Consumables</v>
          </cell>
          <cell r="G3079">
            <v>0</v>
          </cell>
          <cell r="H3079">
            <v>0</v>
          </cell>
          <cell r="I3079" t="str">
            <v>Others</v>
          </cell>
          <cell r="J3079">
            <v>2</v>
          </cell>
          <cell r="K3079" t="str">
            <v>Consumables - rc</v>
          </cell>
        </row>
        <row r="3080">
          <cell r="D3080">
            <v>590410</v>
          </cell>
          <cell r="E3080" t="str">
            <v>Linoleum, whether or not cut to shape</v>
          </cell>
          <cell r="F3080">
            <v>0</v>
          </cell>
          <cell r="G3080">
            <v>0</v>
          </cell>
          <cell r="H3080">
            <v>0</v>
          </cell>
          <cell r="I3080" t="str">
            <v>Others</v>
          </cell>
          <cell r="J3080">
            <v>3</v>
          </cell>
          <cell r="K3080" t="str">
            <v>Others</v>
          </cell>
        </row>
        <row r="3081">
          <cell r="D3081">
            <v>590490</v>
          </cell>
          <cell r="E3081" t="str">
            <v>Textiles floor coverings; consisting of a coating or covering applied on a textile backing, whether or not cut to shape, other than linoleum</v>
          </cell>
          <cell r="F3081">
            <v>0</v>
          </cell>
          <cell r="G3081">
            <v>0</v>
          </cell>
          <cell r="H3081">
            <v>0</v>
          </cell>
          <cell r="I3081" t="str">
            <v>Others</v>
          </cell>
          <cell r="J3081">
            <v>3</v>
          </cell>
          <cell r="K3081" t="str">
            <v>Others</v>
          </cell>
        </row>
        <row r="3082">
          <cell r="D3082">
            <v>590500</v>
          </cell>
          <cell r="E3082" t="str">
            <v>Textile wall coverings of fabrics impregnated, coated, covered or laminated</v>
          </cell>
          <cell r="F3082">
            <v>0</v>
          </cell>
          <cell r="G3082">
            <v>0</v>
          </cell>
          <cell r="H3082">
            <v>0</v>
          </cell>
          <cell r="I3082" t="str">
            <v>Others</v>
          </cell>
          <cell r="J3082">
            <v>3</v>
          </cell>
          <cell r="K3082" t="str">
            <v>Others</v>
          </cell>
        </row>
        <row r="3083">
          <cell r="D3083">
            <v>590610</v>
          </cell>
          <cell r="E3083" t="str">
            <v>Textile fabrics, rubberised; (excluding those of heading no. 5902), adhesive tape of a width not exceeding 20cm</v>
          </cell>
          <cell r="F3083" t="str">
            <v>Consumables</v>
          </cell>
          <cell r="G3083">
            <v>0</v>
          </cell>
          <cell r="H3083">
            <v>0</v>
          </cell>
          <cell r="I3083" t="str">
            <v>Others</v>
          </cell>
          <cell r="J3083">
            <v>2</v>
          </cell>
          <cell r="K3083" t="str">
            <v>Consumables - rc</v>
          </cell>
        </row>
        <row r="3084">
          <cell r="D3084">
            <v>590691</v>
          </cell>
          <cell r="E3084" t="str">
            <v>Textile fabrics, rubberised; (excluding those of heading no. 5902 and adhesive tape of a width not exceeding 20cm), knitted or crocheted</v>
          </cell>
          <cell r="F3084">
            <v>0</v>
          </cell>
          <cell r="G3084">
            <v>0</v>
          </cell>
          <cell r="H3084">
            <v>0</v>
          </cell>
          <cell r="I3084" t="str">
            <v>Others</v>
          </cell>
          <cell r="J3084">
            <v>3</v>
          </cell>
          <cell r="K3084" t="str">
            <v>Others</v>
          </cell>
        </row>
        <row r="3085">
          <cell r="D3085">
            <v>590699</v>
          </cell>
          <cell r="E3085" t="str">
            <v>Textile fabrics, rubberised; (excluding those of heading no. 5902 and adhesive tape of a width not exceeding 20cm), not knitted or crocheted</v>
          </cell>
          <cell r="F3085" t="str">
            <v>Consumables</v>
          </cell>
          <cell r="G3085">
            <v>0</v>
          </cell>
          <cell r="H3085">
            <v>0</v>
          </cell>
          <cell r="I3085" t="str">
            <v>Others</v>
          </cell>
          <cell r="J3085">
            <v>2</v>
          </cell>
          <cell r="K3085" t="str">
            <v>Consumables - rc</v>
          </cell>
        </row>
        <row r="3086">
          <cell r="D3086">
            <v>590700</v>
          </cell>
          <cell r="E3086" t="str">
            <v>Textile fabrics; otherwise impregnated, coated or covered, painted canvas being theatrical scenery, studio back-cloths or the like</v>
          </cell>
          <cell r="F3086">
            <v>0</v>
          </cell>
          <cell r="G3086">
            <v>0</v>
          </cell>
          <cell r="H3086">
            <v>0</v>
          </cell>
          <cell r="I3086" t="str">
            <v>Others</v>
          </cell>
          <cell r="J3086">
            <v>3</v>
          </cell>
          <cell r="K3086" t="str">
            <v>Others</v>
          </cell>
        </row>
        <row r="3087">
          <cell r="D3087">
            <v>590800</v>
          </cell>
          <cell r="E3087" t="str">
            <v>Textile wicks, woven, plaited or knitted; for lamps, stoves, lighters, candles or the like; incandescent gas mantles and tubular knitted gas mantle fabric therefor, whether or not impregnated</v>
          </cell>
          <cell r="F3087">
            <v>0</v>
          </cell>
          <cell r="G3087">
            <v>0</v>
          </cell>
          <cell r="H3087">
            <v>0</v>
          </cell>
          <cell r="I3087" t="str">
            <v>Others</v>
          </cell>
          <cell r="J3087">
            <v>3</v>
          </cell>
          <cell r="K3087" t="str">
            <v>Others</v>
          </cell>
        </row>
        <row r="3088">
          <cell r="D3088">
            <v>590900</v>
          </cell>
          <cell r="E3088" t="str">
            <v>Textile hosepiping and similar textile tubing; with or without lining, armour or accessories of other materials</v>
          </cell>
          <cell r="F3088">
            <v>0</v>
          </cell>
          <cell r="G3088">
            <v>0</v>
          </cell>
          <cell r="H3088">
            <v>0</v>
          </cell>
          <cell r="I3088" t="str">
            <v>Parts &amp; Accessories</v>
          </cell>
          <cell r="J3088">
            <v>3</v>
          </cell>
          <cell r="K3088" t="str">
            <v>Parts &amp; Accessories - rc</v>
          </cell>
        </row>
        <row r="3089">
          <cell r="D3089">
            <v>591000</v>
          </cell>
          <cell r="E3089" t="str">
            <v>Textiles; transmission or conveyor belts or belting, of textile material, whether or not impregnated, coated, covered or laminated with plastics, or reinforced with metal or other material</v>
          </cell>
          <cell r="F3089" t="str">
            <v>Consumables</v>
          </cell>
          <cell r="G3089">
            <v>0</v>
          </cell>
          <cell r="H3089">
            <v>0</v>
          </cell>
          <cell r="I3089" t="str">
            <v>Parts &amp; Accessories</v>
          </cell>
          <cell r="J3089">
            <v>2</v>
          </cell>
          <cell r="K3089" t="str">
            <v>Consumables</v>
          </cell>
        </row>
        <row r="3090">
          <cell r="D3090">
            <v>591110</v>
          </cell>
          <cell r="E3090" t="str">
            <v>Textile fabric, felt &amp; felt-lined woven fabrics, coated/covered/laminated with rubber, leather or other material, for card clothing, similar fabrics used for technical purposes, including rubber impregnated narrow velvet fabrics to cover weaving spindles</v>
          </cell>
          <cell r="F3090" t="str">
            <v>Consumables</v>
          </cell>
          <cell r="G3090">
            <v>0</v>
          </cell>
          <cell r="H3090">
            <v>0</v>
          </cell>
          <cell r="I3090" t="str">
            <v>Parts &amp; Accessories</v>
          </cell>
          <cell r="J3090">
            <v>2</v>
          </cell>
          <cell r="K3090" t="str">
            <v>Consumables - rc</v>
          </cell>
        </row>
        <row r="3091">
          <cell r="D3091">
            <v>591120</v>
          </cell>
          <cell r="E3091" t="str">
            <v>Textile products and articles for technical uses; bolting cloth, whether or not made up</v>
          </cell>
          <cell r="F3091" t="str">
            <v>Consumables</v>
          </cell>
          <cell r="G3091">
            <v>0</v>
          </cell>
          <cell r="H3091">
            <v>0</v>
          </cell>
          <cell r="I3091" t="str">
            <v>Parts &amp; Accessories</v>
          </cell>
          <cell r="J3091">
            <v>2</v>
          </cell>
          <cell r="K3091" t="str">
            <v>Consumables - rc</v>
          </cell>
        </row>
        <row r="3092">
          <cell r="D3092">
            <v>848190</v>
          </cell>
          <cell r="E3092" t="str">
            <v>Taps, cocks, valves and similar appliances; parts thereof</v>
          </cell>
          <cell r="F3092" t="str">
            <v>Parts &amp; Accessories</v>
          </cell>
          <cell r="G3092">
            <v>0</v>
          </cell>
          <cell r="H3092" t="str">
            <v>Parts &amp; Accessories</v>
          </cell>
          <cell r="I3092" t="str">
            <v>Parts &amp; Accessories</v>
          </cell>
          <cell r="J3092">
            <v>1</v>
          </cell>
          <cell r="K3092" t="str">
            <v>Parts &amp; Accessories</v>
          </cell>
        </row>
        <row r="3093">
          <cell r="D3093">
            <v>854442</v>
          </cell>
          <cell r="E3093" t="str">
            <v>Insulated electric conductors; for a voltage not exceeding 1000 volts, fitted with connectors</v>
          </cell>
          <cell r="F3093" t="str">
            <v>Capital Goods</v>
          </cell>
          <cell r="G3093">
            <v>0</v>
          </cell>
          <cell r="H3093">
            <v>0</v>
          </cell>
          <cell r="I3093" t="str">
            <v>Others</v>
          </cell>
          <cell r="J3093">
            <v>2</v>
          </cell>
          <cell r="K3093" t="str">
            <v>Parts &amp; Accessories</v>
          </cell>
        </row>
        <row r="3094">
          <cell r="D3094">
            <v>850790</v>
          </cell>
          <cell r="E3094" t="str">
            <v>Electric accumulators; parts n.e.c. in heading no. 8507</v>
          </cell>
          <cell r="F3094" t="str">
            <v>Parts &amp; Accessories</v>
          </cell>
          <cell r="G3094">
            <v>0</v>
          </cell>
          <cell r="H3094" t="str">
            <v>Parts &amp; Accessories</v>
          </cell>
          <cell r="I3094" t="str">
            <v>Parts &amp; Accessories</v>
          </cell>
          <cell r="J3094">
            <v>1</v>
          </cell>
          <cell r="K3094" t="str">
            <v>Parts &amp; Accessories</v>
          </cell>
        </row>
        <row r="3095">
          <cell r="D3095">
            <v>591190</v>
          </cell>
          <cell r="E3095" t="str">
            <v>Textile products and articles for technical uses; n.e.c. in heading no. 5911</v>
          </cell>
          <cell r="F3095" t="str">
            <v>Consumables</v>
          </cell>
          <cell r="G3095">
            <v>0</v>
          </cell>
          <cell r="H3095">
            <v>0</v>
          </cell>
          <cell r="I3095" t="str">
            <v>Parts &amp; Accessories</v>
          </cell>
          <cell r="J3095">
            <v>2</v>
          </cell>
          <cell r="K3095" t="str">
            <v>Consumables - rc</v>
          </cell>
        </row>
        <row r="3096">
          <cell r="D3096">
            <v>600110</v>
          </cell>
          <cell r="E3096" t="str">
            <v>Fabrics; long pile fabrics, knitted or crocheted</v>
          </cell>
          <cell r="F3096">
            <v>0</v>
          </cell>
          <cell r="G3096">
            <v>0</v>
          </cell>
          <cell r="H3096">
            <v>0</v>
          </cell>
          <cell r="I3096" t="str">
            <v>Others</v>
          </cell>
          <cell r="J3096">
            <v>3</v>
          </cell>
          <cell r="K3096" t="str">
            <v>Others</v>
          </cell>
        </row>
        <row r="3097">
          <cell r="D3097">
            <v>600121</v>
          </cell>
          <cell r="E3097" t="str">
            <v>Fabrics; looped pile fabrics, of cotton, knitted or crocheted</v>
          </cell>
          <cell r="F3097">
            <v>0</v>
          </cell>
          <cell r="G3097">
            <v>0</v>
          </cell>
          <cell r="H3097">
            <v>0</v>
          </cell>
          <cell r="I3097" t="str">
            <v>Others</v>
          </cell>
          <cell r="J3097">
            <v>3</v>
          </cell>
          <cell r="K3097" t="str">
            <v>Others</v>
          </cell>
        </row>
        <row r="3098">
          <cell r="D3098">
            <v>600122</v>
          </cell>
          <cell r="E3098" t="str">
            <v>Fabrics; looped pile fabrics, of man-made fibres, knitted or crocheted</v>
          </cell>
          <cell r="F3098">
            <v>0</v>
          </cell>
          <cell r="G3098">
            <v>0</v>
          </cell>
          <cell r="H3098">
            <v>0</v>
          </cell>
          <cell r="I3098" t="str">
            <v>Others</v>
          </cell>
          <cell r="J3098">
            <v>3</v>
          </cell>
          <cell r="K3098" t="str">
            <v>Others</v>
          </cell>
        </row>
        <row r="3099">
          <cell r="D3099">
            <v>600129</v>
          </cell>
          <cell r="E3099" t="str">
            <v>Fabrics; looped pile fabrics, of textile materials (other than cotton or man-made fibres), knitted or crocheted</v>
          </cell>
          <cell r="F3099">
            <v>0</v>
          </cell>
          <cell r="G3099">
            <v>0</v>
          </cell>
          <cell r="H3099">
            <v>0</v>
          </cell>
          <cell r="I3099" t="str">
            <v>Others</v>
          </cell>
          <cell r="J3099">
            <v>3</v>
          </cell>
          <cell r="K3099" t="str">
            <v>Others</v>
          </cell>
        </row>
        <row r="3100">
          <cell r="D3100">
            <v>600191</v>
          </cell>
          <cell r="E3100" t="str">
            <v>Fabrics; pile fabrics (excluding long pile and loop pile), of cotton, knitted or crocheted</v>
          </cell>
          <cell r="F3100">
            <v>0</v>
          </cell>
          <cell r="G3100">
            <v>0</v>
          </cell>
          <cell r="H3100">
            <v>0</v>
          </cell>
          <cell r="I3100" t="str">
            <v>Others</v>
          </cell>
          <cell r="J3100">
            <v>3</v>
          </cell>
          <cell r="K3100" t="str">
            <v>Others</v>
          </cell>
        </row>
        <row r="3101">
          <cell r="D3101">
            <v>600192</v>
          </cell>
          <cell r="E3101" t="str">
            <v>Fabrics; pile fabrics (excluding long pile and loop pile), of man-made fibres, knitted or crocheted</v>
          </cell>
          <cell r="F3101">
            <v>0</v>
          </cell>
          <cell r="G3101">
            <v>0</v>
          </cell>
          <cell r="H3101">
            <v>0</v>
          </cell>
          <cell r="I3101" t="str">
            <v>Others</v>
          </cell>
          <cell r="J3101">
            <v>3</v>
          </cell>
          <cell r="K3101" t="str">
            <v>Others</v>
          </cell>
        </row>
        <row r="3102">
          <cell r="D3102">
            <v>600199</v>
          </cell>
          <cell r="E3102" t="str">
            <v>Fabrics; pile fabrics (excluding long pile and loop pile), of textile materials (other than cotton or man-made fibres), knitted or crocheted</v>
          </cell>
          <cell r="F3102">
            <v>0</v>
          </cell>
          <cell r="G3102">
            <v>0</v>
          </cell>
          <cell r="H3102">
            <v>0</v>
          </cell>
          <cell r="I3102" t="str">
            <v>Others</v>
          </cell>
          <cell r="J3102">
            <v>3</v>
          </cell>
          <cell r="K3102" t="str">
            <v>Others</v>
          </cell>
        </row>
        <row r="3103">
          <cell r="D3103">
            <v>600240</v>
          </cell>
          <cell r="E3103" t="str">
            <v>Fabrics; knitted or crocheted, other than those of heading 60.01, of a width not exceeding 30 cm, containing by weight 5% or more of elastomeric yarn but not containing rubber thread</v>
          </cell>
          <cell r="F3103">
            <v>0</v>
          </cell>
          <cell r="G3103">
            <v>0</v>
          </cell>
          <cell r="H3103">
            <v>0</v>
          </cell>
          <cell r="I3103" t="str">
            <v>Others</v>
          </cell>
          <cell r="J3103">
            <v>3</v>
          </cell>
          <cell r="K3103" t="str">
            <v>Others</v>
          </cell>
        </row>
        <row r="3104">
          <cell r="D3104">
            <v>600290</v>
          </cell>
          <cell r="E3104" t="str">
            <v>Fabrics; knitted or crocheted, other than those of heading 60.01, of a width not exceeding 30 cm, containing by weight 5% or more of elastomeric yarn or rubber thread</v>
          </cell>
          <cell r="F3104">
            <v>0</v>
          </cell>
          <cell r="G3104">
            <v>0</v>
          </cell>
          <cell r="H3104">
            <v>0</v>
          </cell>
          <cell r="I3104" t="str">
            <v>Others</v>
          </cell>
          <cell r="J3104">
            <v>3</v>
          </cell>
          <cell r="K3104" t="str">
            <v>Others</v>
          </cell>
        </row>
        <row r="3105">
          <cell r="D3105">
            <v>600310</v>
          </cell>
          <cell r="E3105" t="str">
            <v>Fabrics; knitted or crocheted fabrics, other than those of heading 60.01 and 60.02, of a width not exceeding 30 cm, of wool or fine animal hair</v>
          </cell>
          <cell r="F3105">
            <v>0</v>
          </cell>
          <cell r="G3105">
            <v>0</v>
          </cell>
          <cell r="H3105">
            <v>0</v>
          </cell>
          <cell r="I3105" t="str">
            <v>Others</v>
          </cell>
          <cell r="J3105">
            <v>3</v>
          </cell>
          <cell r="K3105" t="str">
            <v>Others</v>
          </cell>
        </row>
        <row r="3106">
          <cell r="D3106">
            <v>600320</v>
          </cell>
          <cell r="E3106" t="str">
            <v>Fabrics; knitted or crocheted fabrics, other than those of heading 60.01 and 60.02, of a width not exceeding 30 cm, of cotton</v>
          </cell>
          <cell r="F3106">
            <v>0</v>
          </cell>
          <cell r="G3106">
            <v>0</v>
          </cell>
          <cell r="H3106">
            <v>0</v>
          </cell>
          <cell r="I3106" t="str">
            <v>Others</v>
          </cell>
          <cell r="J3106">
            <v>3</v>
          </cell>
          <cell r="K3106" t="str">
            <v>Others</v>
          </cell>
        </row>
        <row r="3107">
          <cell r="D3107">
            <v>600330</v>
          </cell>
          <cell r="E3107" t="str">
            <v>Fabrics; knitted or crocheted fabrics, other than those of heading 60.01 and 60.02, of a width not exceeding 30 cm, of synthetic fibres</v>
          </cell>
          <cell r="F3107">
            <v>0</v>
          </cell>
          <cell r="G3107">
            <v>0</v>
          </cell>
          <cell r="H3107">
            <v>0</v>
          </cell>
          <cell r="I3107" t="str">
            <v>Others</v>
          </cell>
          <cell r="J3107">
            <v>3</v>
          </cell>
          <cell r="K3107" t="str">
            <v>Others</v>
          </cell>
        </row>
        <row r="3108">
          <cell r="D3108">
            <v>600340</v>
          </cell>
          <cell r="E3108" t="str">
            <v>Fabrics; knitted or crocheted fabrics, other than those of heading 60.01 and 60.02, of a width not exceeding 30 cm, of artificial fibres</v>
          </cell>
          <cell r="F3108">
            <v>0</v>
          </cell>
          <cell r="G3108">
            <v>0</v>
          </cell>
          <cell r="H3108">
            <v>0</v>
          </cell>
          <cell r="I3108" t="str">
            <v>Others</v>
          </cell>
          <cell r="J3108">
            <v>3</v>
          </cell>
          <cell r="K3108" t="str">
            <v>Others</v>
          </cell>
        </row>
        <row r="3109">
          <cell r="D3109">
            <v>600390</v>
          </cell>
          <cell r="E3109" t="str">
            <v>Fabrics; knitted or crocheted fabrics, other than those of heading 60.01 and 60.02, of a width not exceeding 30 cm, other than of wool and fine animal hair, cotton, synthetic or artificial fibres</v>
          </cell>
          <cell r="F3109">
            <v>0</v>
          </cell>
          <cell r="G3109">
            <v>0</v>
          </cell>
          <cell r="H3109">
            <v>0</v>
          </cell>
          <cell r="I3109" t="str">
            <v>Others</v>
          </cell>
          <cell r="J3109">
            <v>3</v>
          </cell>
          <cell r="K3109" t="str">
            <v>Others</v>
          </cell>
        </row>
        <row r="3110">
          <cell r="D3110">
            <v>600410</v>
          </cell>
          <cell r="E3110" t="str">
            <v>Fabrics; knitted or crocheted fabrics of a width exceeding 30 cm, other than those of heading 60.01, containing by weight 5% or more of elastomeric yarn but not containing rubber thread</v>
          </cell>
          <cell r="F3110">
            <v>0</v>
          </cell>
          <cell r="G3110">
            <v>0</v>
          </cell>
          <cell r="H3110">
            <v>0</v>
          </cell>
          <cell r="I3110" t="str">
            <v>Others</v>
          </cell>
          <cell r="J3110">
            <v>3</v>
          </cell>
          <cell r="K3110" t="str">
            <v>Others</v>
          </cell>
        </row>
        <row r="3111">
          <cell r="D3111">
            <v>600490</v>
          </cell>
          <cell r="E3111" t="str">
            <v>Fabrics; knitted or crocheted, other than those of heading 60.01, of a width exceeding 30 cm, containing by weight 5% or more of elastomeric yarn or rubber thread,</v>
          </cell>
          <cell r="F3111">
            <v>0</v>
          </cell>
          <cell r="G3111">
            <v>0</v>
          </cell>
          <cell r="H3111">
            <v>0</v>
          </cell>
          <cell r="I3111" t="str">
            <v>Others</v>
          </cell>
          <cell r="J3111">
            <v>3</v>
          </cell>
          <cell r="K3111" t="str">
            <v>Others</v>
          </cell>
        </row>
        <row r="3112">
          <cell r="D3112">
            <v>600521</v>
          </cell>
          <cell r="E3112" t="str">
            <v>Fabrics; warp knit (including those made on galloon knitting machines), other than those of headings 60.01 to 60.04, of cotton, unbleached or bleached</v>
          </cell>
          <cell r="F3112">
            <v>0</v>
          </cell>
          <cell r="G3112">
            <v>0</v>
          </cell>
          <cell r="H3112">
            <v>0</v>
          </cell>
          <cell r="I3112" t="str">
            <v>Others</v>
          </cell>
          <cell r="J3112">
            <v>3</v>
          </cell>
          <cell r="K3112" t="str">
            <v>Others</v>
          </cell>
        </row>
        <row r="3113">
          <cell r="D3113">
            <v>600522</v>
          </cell>
          <cell r="E3113" t="str">
            <v>Fabrics; warp knit (including those made on galloon knitting machines), other than those of headings 60.01 to 60.04, of cotton, dyed</v>
          </cell>
          <cell r="F3113">
            <v>0</v>
          </cell>
          <cell r="G3113">
            <v>0</v>
          </cell>
          <cell r="H3113">
            <v>0</v>
          </cell>
          <cell r="I3113" t="str">
            <v>Others</v>
          </cell>
          <cell r="J3113">
            <v>3</v>
          </cell>
          <cell r="K3113" t="str">
            <v>Others</v>
          </cell>
        </row>
        <row r="3114">
          <cell r="D3114">
            <v>600523</v>
          </cell>
          <cell r="E3114" t="str">
            <v>Fabrics; warp knit (including those made on galloon knitting machines), other than those of headings 60.01 to 60.04, of cotton, yarns of different colours</v>
          </cell>
          <cell r="F3114">
            <v>0</v>
          </cell>
          <cell r="G3114">
            <v>0</v>
          </cell>
          <cell r="H3114">
            <v>0</v>
          </cell>
          <cell r="I3114" t="str">
            <v>Others</v>
          </cell>
          <cell r="J3114">
            <v>3</v>
          </cell>
          <cell r="K3114" t="str">
            <v>Others</v>
          </cell>
        </row>
        <row r="3115">
          <cell r="D3115">
            <v>600524</v>
          </cell>
          <cell r="E3115" t="str">
            <v>Fabrics; warp knit (including those made on galloon knitting machines), other than those of headings 60.01 to 60.04, of cotton, printed</v>
          </cell>
          <cell r="F3115">
            <v>0</v>
          </cell>
          <cell r="G3115">
            <v>0</v>
          </cell>
          <cell r="H3115">
            <v>0</v>
          </cell>
          <cell r="I3115" t="str">
            <v>Others</v>
          </cell>
          <cell r="J3115">
            <v>3</v>
          </cell>
          <cell r="K3115" t="str">
            <v>Others</v>
          </cell>
        </row>
        <row r="3116">
          <cell r="D3116">
            <v>600535</v>
          </cell>
          <cell r="E3116" t="str">
            <v>Fabrics; warp knit (including those made on galloon knitting machines), other than those of headings 60.01 to 60.04, of synthetic fibres specified in Subheading Note 1 to this Chapter</v>
          </cell>
          <cell r="F3116">
            <v>0</v>
          </cell>
          <cell r="G3116">
            <v>0</v>
          </cell>
          <cell r="H3116">
            <v>0</v>
          </cell>
          <cell r="I3116" t="str">
            <v>Others</v>
          </cell>
          <cell r="J3116">
            <v>3</v>
          </cell>
          <cell r="K3116" t="str">
            <v>Others</v>
          </cell>
        </row>
        <row r="3117">
          <cell r="D3117">
            <v>600536</v>
          </cell>
          <cell r="E3117" t="str">
            <v>Fabrics; warp knit (including those made on galloon knitting machines), other than those of headings 60.01 to 60.04, of synthetic fibres, bleached or unbleached</v>
          </cell>
          <cell r="F3117">
            <v>0</v>
          </cell>
          <cell r="G3117">
            <v>0</v>
          </cell>
          <cell r="H3117">
            <v>0</v>
          </cell>
          <cell r="I3117" t="str">
            <v>Others</v>
          </cell>
          <cell r="J3117">
            <v>3</v>
          </cell>
          <cell r="K3117" t="str">
            <v>Others</v>
          </cell>
        </row>
        <row r="3118">
          <cell r="D3118">
            <v>600537</v>
          </cell>
          <cell r="E3118" t="str">
            <v>Fabrics; warp knit (including those made on galloon knitting machines), other than those of headings 60.01 to 60.04, of synthetic fibres, dyed</v>
          </cell>
          <cell r="F3118">
            <v>0</v>
          </cell>
          <cell r="G3118">
            <v>0</v>
          </cell>
          <cell r="H3118">
            <v>0</v>
          </cell>
          <cell r="I3118" t="str">
            <v>Others</v>
          </cell>
          <cell r="J3118">
            <v>3</v>
          </cell>
          <cell r="K3118" t="str">
            <v>Others</v>
          </cell>
        </row>
        <row r="3119">
          <cell r="D3119">
            <v>600538</v>
          </cell>
          <cell r="E3119" t="str">
            <v>Fabrics; warp knit (including those made on galloon knitting machines), other than those of headings 60.01 to 60.04, of synthetic fibres, yarns of different colours</v>
          </cell>
          <cell r="F3119">
            <v>0</v>
          </cell>
          <cell r="G3119">
            <v>0</v>
          </cell>
          <cell r="H3119">
            <v>0</v>
          </cell>
          <cell r="I3119" t="str">
            <v>Others</v>
          </cell>
          <cell r="J3119">
            <v>3</v>
          </cell>
          <cell r="K3119" t="str">
            <v>Others</v>
          </cell>
        </row>
        <row r="3120">
          <cell r="D3120">
            <v>600539</v>
          </cell>
          <cell r="E3120" t="str">
            <v>Fabrics; warp knit (including those made on galloon knitting machines), other than those of headings 60.01 to 60.04, of synthetic fibres, printed</v>
          </cell>
          <cell r="F3120">
            <v>0</v>
          </cell>
          <cell r="G3120">
            <v>0</v>
          </cell>
          <cell r="H3120">
            <v>0</v>
          </cell>
          <cell r="I3120" t="str">
            <v>Others</v>
          </cell>
          <cell r="J3120">
            <v>3</v>
          </cell>
          <cell r="K3120" t="str">
            <v>Others</v>
          </cell>
        </row>
        <row r="3121">
          <cell r="D3121">
            <v>600541</v>
          </cell>
          <cell r="E3121" t="str">
            <v>Fabrics; warp knit (including those made on galloon knitting machines), other than those of headings 60.01 to 60.04, of artificial fibres, bleached or unbleached</v>
          </cell>
          <cell r="F3121">
            <v>0</v>
          </cell>
          <cell r="G3121">
            <v>0</v>
          </cell>
          <cell r="H3121">
            <v>0</v>
          </cell>
          <cell r="I3121" t="str">
            <v>Others</v>
          </cell>
          <cell r="J3121">
            <v>3</v>
          </cell>
          <cell r="K3121" t="str">
            <v>Others</v>
          </cell>
        </row>
        <row r="3122">
          <cell r="D3122">
            <v>600542</v>
          </cell>
          <cell r="E3122" t="str">
            <v>Fabrics; warp knit (including those made on galloon knitting machines), other than those of headings 60.01 to 60.04, of artificial fibres, dyed</v>
          </cell>
          <cell r="F3122">
            <v>0</v>
          </cell>
          <cell r="G3122">
            <v>0</v>
          </cell>
          <cell r="H3122">
            <v>0</v>
          </cell>
          <cell r="I3122" t="str">
            <v>Others</v>
          </cell>
          <cell r="J3122">
            <v>3</v>
          </cell>
          <cell r="K3122" t="str">
            <v>Others</v>
          </cell>
        </row>
        <row r="3123">
          <cell r="D3123">
            <v>600543</v>
          </cell>
          <cell r="E3123" t="str">
            <v>Fabrics; warp knit (including those made on galloon knitting machines), other than those of headings 60.01 to 60.04, of artificial fibres, of yarns of different colours</v>
          </cell>
          <cell r="F3123">
            <v>0</v>
          </cell>
          <cell r="G3123">
            <v>0</v>
          </cell>
          <cell r="H3123">
            <v>0</v>
          </cell>
          <cell r="I3123" t="str">
            <v>Others</v>
          </cell>
          <cell r="J3123">
            <v>3</v>
          </cell>
          <cell r="K3123" t="str">
            <v>Others</v>
          </cell>
        </row>
        <row r="3124">
          <cell r="D3124">
            <v>600544</v>
          </cell>
          <cell r="E3124" t="str">
            <v>Fabrics; warp knit (including those made on galloon knitting machines), other than those of headings 60.01 to 60.04, of artificial fibres, printed</v>
          </cell>
          <cell r="F3124">
            <v>0</v>
          </cell>
          <cell r="G3124">
            <v>0</v>
          </cell>
          <cell r="H3124">
            <v>0</v>
          </cell>
          <cell r="I3124" t="str">
            <v>Others</v>
          </cell>
          <cell r="J3124">
            <v>3</v>
          </cell>
          <cell r="K3124" t="str">
            <v>Others</v>
          </cell>
        </row>
        <row r="3125">
          <cell r="D3125">
            <v>600590</v>
          </cell>
          <cell r="E3125" t="str">
            <v>Fabrics; warp knit (including those made on galloon knitting machines), other than those of headings 60.01 to 60.04, excluding those made from cotton or synthetic or artificial fibres</v>
          </cell>
          <cell r="F3125">
            <v>0</v>
          </cell>
          <cell r="G3125">
            <v>0</v>
          </cell>
          <cell r="H3125">
            <v>0</v>
          </cell>
          <cell r="I3125" t="str">
            <v>Others</v>
          </cell>
          <cell r="J3125">
            <v>3</v>
          </cell>
          <cell r="K3125" t="str">
            <v>Others</v>
          </cell>
        </row>
        <row r="3126">
          <cell r="D3126">
            <v>600610</v>
          </cell>
          <cell r="E3126" t="str">
            <v>Fabrics; knitted or crocheted fabrics, other than those of headings 60.01 to 60.04, of wool or fine animal hair</v>
          </cell>
          <cell r="F3126">
            <v>0</v>
          </cell>
          <cell r="G3126">
            <v>0</v>
          </cell>
          <cell r="H3126">
            <v>0</v>
          </cell>
          <cell r="I3126" t="str">
            <v>Others</v>
          </cell>
          <cell r="J3126">
            <v>3</v>
          </cell>
          <cell r="K3126" t="str">
            <v>Others</v>
          </cell>
        </row>
        <row r="3127">
          <cell r="D3127">
            <v>600621</v>
          </cell>
          <cell r="E3127" t="str">
            <v>Fabrics; knitted or crocheted fabrics, other than those of headings 60.01 to 60.04, of cotton, unbleached or bleached</v>
          </cell>
          <cell r="F3127">
            <v>0</v>
          </cell>
          <cell r="G3127">
            <v>0</v>
          </cell>
          <cell r="H3127">
            <v>0</v>
          </cell>
          <cell r="I3127" t="str">
            <v>Others</v>
          </cell>
          <cell r="J3127">
            <v>3</v>
          </cell>
          <cell r="K3127" t="str">
            <v>Others</v>
          </cell>
        </row>
        <row r="3128">
          <cell r="D3128">
            <v>600622</v>
          </cell>
          <cell r="E3128" t="str">
            <v>Fabrics; knitted or crocheted fabrics, other than those of headings 60.01 to 60.04, of cotton, dyed</v>
          </cell>
          <cell r="F3128">
            <v>0</v>
          </cell>
          <cell r="G3128">
            <v>0</v>
          </cell>
          <cell r="H3128">
            <v>0</v>
          </cell>
          <cell r="I3128" t="str">
            <v>Others</v>
          </cell>
          <cell r="J3128">
            <v>3</v>
          </cell>
          <cell r="K3128" t="str">
            <v>Others</v>
          </cell>
        </row>
        <row r="3129">
          <cell r="D3129">
            <v>600623</v>
          </cell>
          <cell r="E3129" t="str">
            <v>Fabrics; knitted or crocheted fabrics, other than those of headings 60.01 to 60.04, of cotton, of yarns of different colours</v>
          </cell>
          <cell r="F3129">
            <v>0</v>
          </cell>
          <cell r="G3129">
            <v>0</v>
          </cell>
          <cell r="H3129">
            <v>0</v>
          </cell>
          <cell r="I3129" t="str">
            <v>Others</v>
          </cell>
          <cell r="J3129">
            <v>3</v>
          </cell>
          <cell r="K3129" t="str">
            <v>Others</v>
          </cell>
        </row>
        <row r="3130">
          <cell r="D3130">
            <v>600624</v>
          </cell>
          <cell r="E3130" t="str">
            <v>Fabrics; knitted or crocheted fabrics, other than those of headings 60.01 to 60.04, of cotton, printed</v>
          </cell>
          <cell r="F3130">
            <v>0</v>
          </cell>
          <cell r="G3130">
            <v>0</v>
          </cell>
          <cell r="H3130">
            <v>0</v>
          </cell>
          <cell r="I3130" t="str">
            <v>Others</v>
          </cell>
          <cell r="J3130">
            <v>3</v>
          </cell>
          <cell r="K3130" t="str">
            <v>Others</v>
          </cell>
        </row>
        <row r="3131">
          <cell r="D3131">
            <v>600631</v>
          </cell>
          <cell r="E3131" t="str">
            <v>Fabrics; knitted or crocheted fabrics, other than those of headings 60.01 to 60.04, of synthetic fibres, unbleached or bleached</v>
          </cell>
          <cell r="F3131">
            <v>0</v>
          </cell>
          <cell r="G3131">
            <v>0</v>
          </cell>
          <cell r="H3131">
            <v>0</v>
          </cell>
          <cell r="I3131" t="str">
            <v>Others</v>
          </cell>
          <cell r="J3131">
            <v>3</v>
          </cell>
          <cell r="K3131" t="str">
            <v>Others</v>
          </cell>
        </row>
        <row r="3132">
          <cell r="D3132">
            <v>600632</v>
          </cell>
          <cell r="E3132" t="str">
            <v>Fabrics; knitted or crocheted fabrics, other than those of headings 60.01 to 60.04, of synthetic fibres, dyed</v>
          </cell>
          <cell r="F3132">
            <v>0</v>
          </cell>
          <cell r="G3132">
            <v>0</v>
          </cell>
          <cell r="H3132">
            <v>0</v>
          </cell>
          <cell r="I3132" t="str">
            <v>Others</v>
          </cell>
          <cell r="J3132">
            <v>3</v>
          </cell>
          <cell r="K3132" t="str">
            <v>Others</v>
          </cell>
        </row>
        <row r="3133">
          <cell r="D3133">
            <v>600633</v>
          </cell>
          <cell r="E3133" t="str">
            <v>Fabrics; knitted or crocheted fabrics, other than those of headings 60.01 to 60.04, of synthetic fibres, of yarns of different colours</v>
          </cell>
          <cell r="F3133">
            <v>0</v>
          </cell>
          <cell r="G3133">
            <v>0</v>
          </cell>
          <cell r="H3133">
            <v>0</v>
          </cell>
          <cell r="I3133" t="str">
            <v>Others</v>
          </cell>
          <cell r="J3133">
            <v>3</v>
          </cell>
          <cell r="K3133" t="str">
            <v>Others</v>
          </cell>
        </row>
        <row r="3134">
          <cell r="D3134">
            <v>600634</v>
          </cell>
          <cell r="E3134" t="str">
            <v>Fabrics; knitted or crocheted fabrics, other than those of headings 60.01 to 60.04, of synthetic fibres, printed</v>
          </cell>
          <cell r="F3134">
            <v>0</v>
          </cell>
          <cell r="G3134">
            <v>0</v>
          </cell>
          <cell r="H3134">
            <v>0</v>
          </cell>
          <cell r="I3134" t="str">
            <v>Others</v>
          </cell>
          <cell r="J3134">
            <v>3</v>
          </cell>
          <cell r="K3134" t="str">
            <v>Others</v>
          </cell>
        </row>
        <row r="3135">
          <cell r="D3135">
            <v>600641</v>
          </cell>
          <cell r="E3135" t="str">
            <v>Fabrics; knitted or crocheted fabrics, other than those of headings 60.01 to 60.04, of artificial fibres, unbleached or bleached</v>
          </cell>
          <cell r="F3135">
            <v>0</v>
          </cell>
          <cell r="G3135">
            <v>0</v>
          </cell>
          <cell r="H3135">
            <v>0</v>
          </cell>
          <cell r="I3135" t="str">
            <v>Others</v>
          </cell>
          <cell r="J3135">
            <v>3</v>
          </cell>
          <cell r="K3135" t="str">
            <v>Others</v>
          </cell>
        </row>
        <row r="3136">
          <cell r="D3136">
            <v>600642</v>
          </cell>
          <cell r="E3136" t="str">
            <v>Fabrics; knitted or crocheted fabrics, other than those of headings 60.01 to 60.04, of artificial fibres, dyed</v>
          </cell>
          <cell r="F3136">
            <v>0</v>
          </cell>
          <cell r="G3136">
            <v>0</v>
          </cell>
          <cell r="H3136">
            <v>0</v>
          </cell>
          <cell r="I3136" t="str">
            <v>Others</v>
          </cell>
          <cell r="J3136">
            <v>3</v>
          </cell>
          <cell r="K3136" t="str">
            <v>Others</v>
          </cell>
        </row>
        <row r="3137">
          <cell r="D3137">
            <v>600643</v>
          </cell>
          <cell r="E3137" t="str">
            <v>Fabrics; knitted or crocheted fabrics, other than those of headings 60.01 to 60.04, of artificial fibres, of yarns of different colours</v>
          </cell>
          <cell r="F3137">
            <v>0</v>
          </cell>
          <cell r="G3137">
            <v>0</v>
          </cell>
          <cell r="H3137">
            <v>0</v>
          </cell>
          <cell r="I3137" t="str">
            <v>Others</v>
          </cell>
          <cell r="J3137">
            <v>3</v>
          </cell>
          <cell r="K3137" t="str">
            <v>Others</v>
          </cell>
        </row>
        <row r="3138">
          <cell r="D3138">
            <v>600644</v>
          </cell>
          <cell r="E3138" t="str">
            <v>Fabrics; knitted or crocheted fabrics, other than those of headings 60.01 to 60.04, of artificial fibres, printed</v>
          </cell>
          <cell r="F3138">
            <v>0</v>
          </cell>
          <cell r="G3138">
            <v>0</v>
          </cell>
          <cell r="H3138">
            <v>0</v>
          </cell>
          <cell r="I3138" t="str">
            <v>Others</v>
          </cell>
          <cell r="J3138">
            <v>3</v>
          </cell>
          <cell r="K3138" t="str">
            <v>Others</v>
          </cell>
        </row>
        <row r="3139">
          <cell r="D3139">
            <v>600690</v>
          </cell>
          <cell r="E3139" t="str">
            <v>Fabrics; knitted or crocheted fabrics, other than those of headings 60.01 to 60.04,and other than those made of wool, fine animal hair, cotton, synthetic or artificial fibres</v>
          </cell>
          <cell r="F3139">
            <v>0</v>
          </cell>
          <cell r="G3139">
            <v>0</v>
          </cell>
          <cell r="H3139">
            <v>0</v>
          </cell>
          <cell r="I3139" t="str">
            <v>Others</v>
          </cell>
          <cell r="J3139">
            <v>3</v>
          </cell>
          <cell r="K3139" t="str">
            <v>Others</v>
          </cell>
        </row>
        <row r="3140">
          <cell r="D3140">
            <v>610120</v>
          </cell>
          <cell r="E3140" t="str">
            <v>Coats; men's or boys' overcoats, car-coats, capes, anoraks, wind-jackets and similar articles, of cotton, knitted or crocheted (excluding those of heading no. 6103)</v>
          </cell>
          <cell r="F3140">
            <v>0</v>
          </cell>
          <cell r="G3140">
            <v>0</v>
          </cell>
          <cell r="H3140">
            <v>0</v>
          </cell>
          <cell r="I3140" t="str">
            <v>Others</v>
          </cell>
          <cell r="J3140">
            <v>3</v>
          </cell>
          <cell r="K3140" t="str">
            <v>Others</v>
          </cell>
        </row>
        <row r="3141">
          <cell r="D3141">
            <v>610130</v>
          </cell>
          <cell r="E3141" t="str">
            <v>Coats; men's or boys' overcoats, car-coats, capes, anoraks, wind-jackets and similar articles, of man-made fibres, knitted or crocheted, (excluding those of heading no. 6103)</v>
          </cell>
          <cell r="F3141">
            <v>0</v>
          </cell>
          <cell r="G3141">
            <v>0</v>
          </cell>
          <cell r="H3141">
            <v>0</v>
          </cell>
          <cell r="I3141" t="str">
            <v>Others</v>
          </cell>
          <cell r="J3141">
            <v>3</v>
          </cell>
          <cell r="K3141" t="str">
            <v>Others</v>
          </cell>
        </row>
        <row r="3142">
          <cell r="D3142">
            <v>610190</v>
          </cell>
          <cell r="E3142" t="str">
            <v>Coats; men's or boys' overcoats, car-coats, capes, anoraks, wind-jackets and similar articles, of textile materials n.e.c. in heading no. 6101, knitted or crocheted (excluding those of heading no. 6103)</v>
          </cell>
          <cell r="F3142">
            <v>0</v>
          </cell>
          <cell r="G3142">
            <v>0</v>
          </cell>
          <cell r="H3142">
            <v>0</v>
          </cell>
          <cell r="I3142" t="str">
            <v>Others</v>
          </cell>
          <cell r="J3142">
            <v>3</v>
          </cell>
          <cell r="K3142" t="str">
            <v>Others</v>
          </cell>
        </row>
        <row r="3143">
          <cell r="D3143">
            <v>610210</v>
          </cell>
          <cell r="E3143" t="str">
            <v>Coats; women's or girls' overcoats, car-coats, capes, anoraks, wind-jackets and similar articles, of wool or fine animal hair, knitted or crocheted (excluding those of heading no. 6104)</v>
          </cell>
          <cell r="F3143">
            <v>0</v>
          </cell>
          <cell r="G3143">
            <v>0</v>
          </cell>
          <cell r="H3143">
            <v>0</v>
          </cell>
          <cell r="I3143" t="str">
            <v>Others</v>
          </cell>
          <cell r="J3143">
            <v>3</v>
          </cell>
          <cell r="K3143" t="str">
            <v>Others</v>
          </cell>
        </row>
        <row r="3144">
          <cell r="D3144">
            <v>610220</v>
          </cell>
          <cell r="E3144" t="str">
            <v>Coats; women's or girls' overcoats, car-coats, capes, anoraks, wind-jackets and similar articles, of cotton, knitted or crocheted (excluding those of heading no. 6104)</v>
          </cell>
          <cell r="F3144">
            <v>0</v>
          </cell>
          <cell r="G3144">
            <v>0</v>
          </cell>
          <cell r="H3144">
            <v>0</v>
          </cell>
          <cell r="I3144" t="str">
            <v>Others</v>
          </cell>
          <cell r="J3144">
            <v>3</v>
          </cell>
          <cell r="K3144" t="str">
            <v>Others</v>
          </cell>
        </row>
        <row r="3145">
          <cell r="D3145">
            <v>610230</v>
          </cell>
          <cell r="E3145" t="str">
            <v>Coats; women's or girls' overcoats, car-coats, capes, anoraks, wind-jackets and similar articles, of man-made fibres, knitted or crocheted (excluding those of heading no. 6104)</v>
          </cell>
          <cell r="F3145">
            <v>0</v>
          </cell>
          <cell r="G3145">
            <v>0</v>
          </cell>
          <cell r="H3145">
            <v>0</v>
          </cell>
          <cell r="I3145" t="str">
            <v>Others</v>
          </cell>
          <cell r="J3145">
            <v>3</v>
          </cell>
          <cell r="K3145" t="str">
            <v>Others</v>
          </cell>
        </row>
        <row r="3146">
          <cell r="D3146">
            <v>610290</v>
          </cell>
          <cell r="E3146" t="str">
            <v>Coats; women's or girls' overcoats, car-coats, capes, anoraks, wind-jackets and similar articles, of textile materials n.e.c. in heading no. 6102, knitted or crocheted (excluding those of heading no. 6104)</v>
          </cell>
          <cell r="F3146">
            <v>0</v>
          </cell>
          <cell r="G3146">
            <v>0</v>
          </cell>
          <cell r="H3146">
            <v>0</v>
          </cell>
          <cell r="I3146" t="str">
            <v>Others</v>
          </cell>
          <cell r="J3146">
            <v>3</v>
          </cell>
          <cell r="K3146" t="str">
            <v>Others</v>
          </cell>
        </row>
        <row r="3147">
          <cell r="D3147">
            <v>610310</v>
          </cell>
          <cell r="E3147" t="str">
            <v>Suits; men's or boys', knitted or crocheted</v>
          </cell>
          <cell r="F3147">
            <v>0</v>
          </cell>
          <cell r="G3147">
            <v>0</v>
          </cell>
          <cell r="H3147">
            <v>0</v>
          </cell>
          <cell r="I3147" t="str">
            <v>Others</v>
          </cell>
          <cell r="J3147">
            <v>3</v>
          </cell>
          <cell r="K3147" t="str">
            <v>Others</v>
          </cell>
        </row>
        <row r="3148">
          <cell r="D3148">
            <v>610322</v>
          </cell>
          <cell r="E3148" t="str">
            <v>Ensembles; men's or boys', of cotton, knitted or crocheted</v>
          </cell>
          <cell r="F3148">
            <v>0</v>
          </cell>
          <cell r="G3148">
            <v>0</v>
          </cell>
          <cell r="H3148">
            <v>0</v>
          </cell>
          <cell r="I3148" t="str">
            <v>Others</v>
          </cell>
          <cell r="J3148">
            <v>3</v>
          </cell>
          <cell r="K3148" t="str">
            <v>Others</v>
          </cell>
        </row>
        <row r="3149">
          <cell r="D3149">
            <v>610323</v>
          </cell>
          <cell r="E3149" t="str">
            <v>Ensembles; men's or boys', of synthetic fibres, knitted or crocheted</v>
          </cell>
          <cell r="F3149">
            <v>0</v>
          </cell>
          <cell r="G3149">
            <v>0</v>
          </cell>
          <cell r="H3149">
            <v>0</v>
          </cell>
          <cell r="I3149" t="str">
            <v>Others</v>
          </cell>
          <cell r="J3149">
            <v>3</v>
          </cell>
          <cell r="K3149" t="str">
            <v>Others</v>
          </cell>
        </row>
        <row r="3150">
          <cell r="D3150">
            <v>610329</v>
          </cell>
          <cell r="E3150" t="str">
            <v>Ensembles; men's or boys', of textile materials (other than cotton or synthetic fibres), knitted or crocheted</v>
          </cell>
          <cell r="F3150">
            <v>0</v>
          </cell>
          <cell r="G3150">
            <v>0</v>
          </cell>
          <cell r="H3150">
            <v>0</v>
          </cell>
          <cell r="I3150" t="str">
            <v>Others</v>
          </cell>
          <cell r="J3150">
            <v>3</v>
          </cell>
          <cell r="K3150" t="str">
            <v>Others</v>
          </cell>
        </row>
        <row r="3151">
          <cell r="D3151">
            <v>610331</v>
          </cell>
          <cell r="E3151" t="str">
            <v>Jackets and blazers; men's or boys', of wool or fine animal hair, knitted or crocheted</v>
          </cell>
          <cell r="F3151">
            <v>0</v>
          </cell>
          <cell r="G3151">
            <v>0</v>
          </cell>
          <cell r="H3151">
            <v>0</v>
          </cell>
          <cell r="I3151" t="str">
            <v>Others</v>
          </cell>
          <cell r="J3151">
            <v>3</v>
          </cell>
          <cell r="K3151" t="str">
            <v>Others</v>
          </cell>
        </row>
        <row r="3152">
          <cell r="D3152">
            <v>610332</v>
          </cell>
          <cell r="E3152" t="str">
            <v>Jackets and blazers; men's or boys', of cotton, knitted or crocheted</v>
          </cell>
          <cell r="F3152">
            <v>0</v>
          </cell>
          <cell r="G3152">
            <v>0</v>
          </cell>
          <cell r="H3152">
            <v>0</v>
          </cell>
          <cell r="I3152" t="str">
            <v>Others</v>
          </cell>
          <cell r="J3152">
            <v>3</v>
          </cell>
          <cell r="K3152" t="str">
            <v>Others</v>
          </cell>
        </row>
        <row r="3153">
          <cell r="D3153">
            <v>610333</v>
          </cell>
          <cell r="E3153" t="str">
            <v>Jackets and blazers; men's or boys', of synthetic fibres, knitted or crocheted</v>
          </cell>
          <cell r="F3153">
            <v>0</v>
          </cell>
          <cell r="G3153">
            <v>0</v>
          </cell>
          <cell r="H3153">
            <v>0</v>
          </cell>
          <cell r="I3153" t="str">
            <v>Others</v>
          </cell>
          <cell r="J3153">
            <v>3</v>
          </cell>
          <cell r="K3153" t="str">
            <v>Others</v>
          </cell>
        </row>
        <row r="3154">
          <cell r="D3154">
            <v>610339</v>
          </cell>
          <cell r="E3154" t="str">
            <v>Jackets and blazers; men's or boys', of textile materials (other than wool or fine animal hair, cotton or synthetic fibres), knitted or crocheted</v>
          </cell>
          <cell r="F3154">
            <v>0</v>
          </cell>
          <cell r="G3154">
            <v>0</v>
          </cell>
          <cell r="H3154">
            <v>0</v>
          </cell>
          <cell r="I3154" t="str">
            <v>Others</v>
          </cell>
          <cell r="J3154">
            <v>3</v>
          </cell>
          <cell r="K3154" t="str">
            <v>Others</v>
          </cell>
        </row>
        <row r="3155">
          <cell r="D3155">
            <v>610341</v>
          </cell>
          <cell r="E3155" t="str">
            <v>Trousers, bib and brace overalls, breeches and shorts; men's or boys', of wool or fine animal hair, knitted or crocheted</v>
          </cell>
          <cell r="F3155">
            <v>0</v>
          </cell>
          <cell r="G3155">
            <v>0</v>
          </cell>
          <cell r="H3155">
            <v>0</v>
          </cell>
          <cell r="I3155" t="str">
            <v>Others</v>
          </cell>
          <cell r="J3155">
            <v>3</v>
          </cell>
          <cell r="K3155" t="str">
            <v>Others</v>
          </cell>
        </row>
        <row r="3156">
          <cell r="D3156">
            <v>610342</v>
          </cell>
          <cell r="E3156" t="str">
            <v>Trousers, bib and brace overalls, breeches and shorts; men's or boys', of cotton, knitted or crocheted</v>
          </cell>
          <cell r="F3156">
            <v>0</v>
          </cell>
          <cell r="G3156">
            <v>0</v>
          </cell>
          <cell r="H3156">
            <v>0</v>
          </cell>
          <cell r="I3156" t="str">
            <v>Others</v>
          </cell>
          <cell r="J3156">
            <v>3</v>
          </cell>
          <cell r="K3156" t="str">
            <v>Others</v>
          </cell>
        </row>
        <row r="3157">
          <cell r="D3157">
            <v>610343</v>
          </cell>
          <cell r="E3157" t="str">
            <v>Trousers, bib and brace overalls, breeches and shorts; men's or boys', of synthetic fibres, knitted or crocheted</v>
          </cell>
          <cell r="F3157">
            <v>0</v>
          </cell>
          <cell r="G3157">
            <v>0</v>
          </cell>
          <cell r="H3157">
            <v>0</v>
          </cell>
          <cell r="I3157" t="str">
            <v>Others</v>
          </cell>
          <cell r="J3157">
            <v>3</v>
          </cell>
          <cell r="K3157" t="str">
            <v>Others</v>
          </cell>
        </row>
        <row r="3158">
          <cell r="D3158">
            <v>610349</v>
          </cell>
          <cell r="E3158" t="str">
            <v>Trousers, bib and brace overalls, breeches and shorts; men's or boys', of textile materials (other than wool or fine animal hair, cotton or synthetic fibres), knitted or crocheted</v>
          </cell>
          <cell r="F3158" t="str">
            <v>Consumables</v>
          </cell>
          <cell r="G3158">
            <v>0</v>
          </cell>
          <cell r="H3158">
            <v>0</v>
          </cell>
          <cell r="I3158" t="str">
            <v>Others</v>
          </cell>
          <cell r="J3158">
            <v>2</v>
          </cell>
          <cell r="K3158" t="str">
            <v>Consumables - rc</v>
          </cell>
        </row>
        <row r="3159">
          <cell r="D3159">
            <v>610413</v>
          </cell>
          <cell r="E3159" t="str">
            <v>Suits; women's or girls', of synthetic fibres, knitted or crocheted</v>
          </cell>
          <cell r="F3159">
            <v>0</v>
          </cell>
          <cell r="G3159">
            <v>0</v>
          </cell>
          <cell r="H3159">
            <v>0</v>
          </cell>
          <cell r="I3159" t="str">
            <v>Others</v>
          </cell>
          <cell r="J3159">
            <v>3</v>
          </cell>
          <cell r="K3159" t="str">
            <v>Others</v>
          </cell>
        </row>
        <row r="3160">
          <cell r="D3160">
            <v>610419</v>
          </cell>
          <cell r="E3160" t="str">
            <v>Suits; women's or girls', of textile materials (other than synthetic fibres), knitted or crocheted</v>
          </cell>
          <cell r="F3160">
            <v>0</v>
          </cell>
          <cell r="G3160">
            <v>0</v>
          </cell>
          <cell r="H3160">
            <v>0</v>
          </cell>
          <cell r="I3160" t="str">
            <v>Others</v>
          </cell>
          <cell r="J3160">
            <v>3</v>
          </cell>
          <cell r="K3160" t="str">
            <v>Others</v>
          </cell>
        </row>
        <row r="3161">
          <cell r="D3161">
            <v>610422</v>
          </cell>
          <cell r="E3161" t="str">
            <v>Ensembles; women's or girls', of cotton, knitted or crocheted</v>
          </cell>
          <cell r="F3161">
            <v>0</v>
          </cell>
          <cell r="G3161">
            <v>0</v>
          </cell>
          <cell r="H3161">
            <v>0</v>
          </cell>
          <cell r="I3161" t="str">
            <v>Others</v>
          </cell>
          <cell r="J3161">
            <v>3</v>
          </cell>
          <cell r="K3161" t="str">
            <v>Others</v>
          </cell>
        </row>
        <row r="3162">
          <cell r="D3162">
            <v>610423</v>
          </cell>
          <cell r="E3162" t="str">
            <v>Ensembles; women's or girls', of synthetic fibres, knitted or crocheted</v>
          </cell>
          <cell r="F3162">
            <v>0</v>
          </cell>
          <cell r="G3162">
            <v>0</v>
          </cell>
          <cell r="H3162">
            <v>0</v>
          </cell>
          <cell r="I3162" t="str">
            <v>Others</v>
          </cell>
          <cell r="J3162">
            <v>3</v>
          </cell>
          <cell r="K3162" t="str">
            <v>Others</v>
          </cell>
        </row>
        <row r="3163">
          <cell r="D3163">
            <v>610429</v>
          </cell>
          <cell r="E3163" t="str">
            <v>Ensembles; women's or girls', of textile materials (other than cotton or synthetic fibres), knitted or crocheted</v>
          </cell>
          <cell r="F3163">
            <v>0</v>
          </cell>
          <cell r="G3163">
            <v>0</v>
          </cell>
          <cell r="H3163">
            <v>0</v>
          </cell>
          <cell r="I3163" t="str">
            <v>Others</v>
          </cell>
          <cell r="J3163">
            <v>3</v>
          </cell>
          <cell r="K3163" t="str">
            <v>Others</v>
          </cell>
        </row>
        <row r="3164">
          <cell r="D3164">
            <v>610431</v>
          </cell>
          <cell r="E3164" t="str">
            <v>Jackets; women's or girls', of wool or fine animal hair, knitted or crocheted</v>
          </cell>
          <cell r="F3164">
            <v>0</v>
          </cell>
          <cell r="G3164">
            <v>0</v>
          </cell>
          <cell r="H3164">
            <v>0</v>
          </cell>
          <cell r="I3164" t="str">
            <v>Others</v>
          </cell>
          <cell r="J3164">
            <v>3</v>
          </cell>
          <cell r="K3164" t="str">
            <v>Others</v>
          </cell>
        </row>
        <row r="3165">
          <cell r="D3165">
            <v>610432</v>
          </cell>
          <cell r="E3165" t="str">
            <v>Jackets; women's or girls', of cotton, knitted or crocheted</v>
          </cell>
          <cell r="F3165">
            <v>0</v>
          </cell>
          <cell r="G3165">
            <v>0</v>
          </cell>
          <cell r="H3165">
            <v>0</v>
          </cell>
          <cell r="I3165" t="str">
            <v>Others</v>
          </cell>
          <cell r="J3165">
            <v>3</v>
          </cell>
          <cell r="K3165" t="str">
            <v>Others</v>
          </cell>
        </row>
        <row r="3166">
          <cell r="D3166">
            <v>610433</v>
          </cell>
          <cell r="E3166" t="str">
            <v>Jackets; women's or girls', of synthetic fibres, knitted or crocheted</v>
          </cell>
          <cell r="F3166">
            <v>0</v>
          </cell>
          <cell r="G3166">
            <v>0</v>
          </cell>
          <cell r="H3166">
            <v>0</v>
          </cell>
          <cell r="I3166" t="str">
            <v>Others</v>
          </cell>
          <cell r="J3166">
            <v>3</v>
          </cell>
          <cell r="K3166" t="str">
            <v>Others</v>
          </cell>
        </row>
        <row r="3167">
          <cell r="D3167">
            <v>610439</v>
          </cell>
          <cell r="E3167" t="str">
            <v>Jackets; women's or girls', of textile materials (other than wool or fine animal hair, cotton or synthetic fibres), knitted or crocheted</v>
          </cell>
          <cell r="F3167">
            <v>0</v>
          </cell>
          <cell r="G3167">
            <v>0</v>
          </cell>
          <cell r="H3167">
            <v>0</v>
          </cell>
          <cell r="I3167" t="str">
            <v>Others</v>
          </cell>
          <cell r="J3167">
            <v>3</v>
          </cell>
          <cell r="K3167" t="str">
            <v>Others</v>
          </cell>
        </row>
        <row r="3168">
          <cell r="D3168">
            <v>610441</v>
          </cell>
          <cell r="E3168" t="str">
            <v>Dresses; women's or girls', of wool or fine animal hair, knitted or crocheted</v>
          </cell>
          <cell r="F3168">
            <v>0</v>
          </cell>
          <cell r="G3168">
            <v>0</v>
          </cell>
          <cell r="H3168">
            <v>0</v>
          </cell>
          <cell r="I3168" t="str">
            <v>Others</v>
          </cell>
          <cell r="J3168">
            <v>3</v>
          </cell>
          <cell r="K3168" t="str">
            <v>Others</v>
          </cell>
        </row>
        <row r="3169">
          <cell r="D3169">
            <v>610442</v>
          </cell>
          <cell r="E3169" t="str">
            <v>Dresses; women's or girls', of cotton, knitted or crocheted</v>
          </cell>
          <cell r="F3169">
            <v>0</v>
          </cell>
          <cell r="G3169">
            <v>0</v>
          </cell>
          <cell r="H3169">
            <v>0</v>
          </cell>
          <cell r="I3169" t="str">
            <v>Others</v>
          </cell>
          <cell r="J3169">
            <v>3</v>
          </cell>
          <cell r="K3169" t="str">
            <v>Others</v>
          </cell>
        </row>
        <row r="3170">
          <cell r="D3170">
            <v>610443</v>
          </cell>
          <cell r="E3170" t="str">
            <v>Dresses; women's or girls', of synthetic fibres, knitted or crocheted</v>
          </cell>
          <cell r="F3170">
            <v>0</v>
          </cell>
          <cell r="G3170">
            <v>0</v>
          </cell>
          <cell r="H3170">
            <v>0</v>
          </cell>
          <cell r="I3170" t="str">
            <v>Others</v>
          </cell>
          <cell r="J3170">
            <v>3</v>
          </cell>
          <cell r="K3170" t="str">
            <v>Others</v>
          </cell>
        </row>
        <row r="3171">
          <cell r="D3171">
            <v>610444</v>
          </cell>
          <cell r="E3171" t="str">
            <v>Dresses; women's or girls', of artificial fibres, knitted or crocheted</v>
          </cell>
          <cell r="F3171">
            <v>0</v>
          </cell>
          <cell r="G3171">
            <v>0</v>
          </cell>
          <cell r="H3171">
            <v>0</v>
          </cell>
          <cell r="I3171" t="str">
            <v>Others</v>
          </cell>
          <cell r="J3171">
            <v>3</v>
          </cell>
          <cell r="K3171" t="str">
            <v>Others</v>
          </cell>
        </row>
        <row r="3172">
          <cell r="D3172">
            <v>610449</v>
          </cell>
          <cell r="E3172" t="str">
            <v>Dresses; women's or girls', of textile materials (other than wool or fine animal hair, cotton, synthetic or artificial fibres), knitted or crocheted</v>
          </cell>
          <cell r="F3172">
            <v>0</v>
          </cell>
          <cell r="G3172">
            <v>0</v>
          </cell>
          <cell r="H3172">
            <v>0</v>
          </cell>
          <cell r="I3172" t="str">
            <v>Others</v>
          </cell>
          <cell r="J3172">
            <v>3</v>
          </cell>
          <cell r="K3172" t="str">
            <v>Others</v>
          </cell>
        </row>
        <row r="3173">
          <cell r="D3173">
            <v>610451</v>
          </cell>
          <cell r="E3173" t="str">
            <v>Skirts and divided skirts; women's or girls', of wool or fine animal hair, knitted or crocheted</v>
          </cell>
          <cell r="F3173">
            <v>0</v>
          </cell>
          <cell r="G3173">
            <v>0</v>
          </cell>
          <cell r="H3173">
            <v>0</v>
          </cell>
          <cell r="I3173" t="str">
            <v>Others</v>
          </cell>
          <cell r="J3173">
            <v>3</v>
          </cell>
          <cell r="K3173" t="str">
            <v>Others</v>
          </cell>
        </row>
        <row r="3174">
          <cell r="D3174">
            <v>610452</v>
          </cell>
          <cell r="E3174" t="str">
            <v>Skirts and divided skirts; women's or girls', of cotton, knitted or crocheted</v>
          </cell>
          <cell r="F3174">
            <v>0</v>
          </cell>
          <cell r="G3174">
            <v>0</v>
          </cell>
          <cell r="H3174">
            <v>0</v>
          </cell>
          <cell r="I3174" t="str">
            <v>Others</v>
          </cell>
          <cell r="J3174">
            <v>3</v>
          </cell>
          <cell r="K3174" t="str">
            <v>Others</v>
          </cell>
        </row>
        <row r="3175">
          <cell r="D3175">
            <v>610453</v>
          </cell>
          <cell r="E3175" t="str">
            <v>Skirts and divided skirts; women's or girls', of synthetic fibres, knitted or crocheted</v>
          </cell>
          <cell r="F3175">
            <v>0</v>
          </cell>
          <cell r="G3175">
            <v>0</v>
          </cell>
          <cell r="H3175">
            <v>0</v>
          </cell>
          <cell r="I3175" t="str">
            <v>Others</v>
          </cell>
          <cell r="J3175">
            <v>3</v>
          </cell>
          <cell r="K3175" t="str">
            <v>Others</v>
          </cell>
        </row>
        <row r="3176">
          <cell r="D3176">
            <v>610459</v>
          </cell>
          <cell r="E3176" t="str">
            <v>Skirts and divided skirts; women's or girls', of textile materials (other than wool or fine animal hair, cotton or synthetic fibres), knitted or crocheted</v>
          </cell>
          <cell r="F3176">
            <v>0</v>
          </cell>
          <cell r="G3176">
            <v>0</v>
          </cell>
          <cell r="H3176">
            <v>0</v>
          </cell>
          <cell r="I3176" t="str">
            <v>Others</v>
          </cell>
          <cell r="J3176">
            <v>3</v>
          </cell>
          <cell r="K3176" t="str">
            <v>Others</v>
          </cell>
        </row>
        <row r="3177">
          <cell r="D3177">
            <v>610461</v>
          </cell>
          <cell r="E3177" t="str">
            <v>Trousers, bib and brace overalls, breeches and shorts; women's or girls', of wool or fine animal hair, knitted or crocheted</v>
          </cell>
          <cell r="F3177">
            <v>0</v>
          </cell>
          <cell r="G3177">
            <v>0</v>
          </cell>
          <cell r="H3177">
            <v>0</v>
          </cell>
          <cell r="I3177" t="str">
            <v>Others</v>
          </cell>
          <cell r="J3177">
            <v>3</v>
          </cell>
          <cell r="K3177" t="str">
            <v>Others</v>
          </cell>
        </row>
        <row r="3178">
          <cell r="D3178">
            <v>610462</v>
          </cell>
          <cell r="E3178" t="str">
            <v>Trousers, bib and brace overalls, breeches and shorts; women's or girls', of cotton, knitted or crocheted</v>
          </cell>
          <cell r="F3178">
            <v>0</v>
          </cell>
          <cell r="G3178">
            <v>0</v>
          </cell>
          <cell r="H3178">
            <v>0</v>
          </cell>
          <cell r="I3178" t="str">
            <v>Others</v>
          </cell>
          <cell r="J3178">
            <v>3</v>
          </cell>
          <cell r="K3178" t="str">
            <v>Others</v>
          </cell>
        </row>
        <row r="3179">
          <cell r="D3179">
            <v>610463</v>
          </cell>
          <cell r="E3179" t="str">
            <v>Trousers, bib and brace overalls, breeches and shorts; women's or girls', of synthetic fibres, knitted or crocheted</v>
          </cell>
          <cell r="F3179">
            <v>0</v>
          </cell>
          <cell r="G3179">
            <v>0</v>
          </cell>
          <cell r="H3179">
            <v>0</v>
          </cell>
          <cell r="I3179" t="str">
            <v>Others</v>
          </cell>
          <cell r="J3179">
            <v>3</v>
          </cell>
          <cell r="K3179" t="str">
            <v>Others</v>
          </cell>
        </row>
        <row r="3180">
          <cell r="D3180">
            <v>610469</v>
          </cell>
          <cell r="E3180" t="str">
            <v>Trousers, bib and brace overalls, breeches and shorts; women's or girls', of textile materials (other than wool or fine animal hair, cotton or synthetic fibres), knitted or crocheted</v>
          </cell>
          <cell r="F3180">
            <v>0</v>
          </cell>
          <cell r="G3180">
            <v>0</v>
          </cell>
          <cell r="H3180">
            <v>0</v>
          </cell>
          <cell r="I3180" t="str">
            <v>Others</v>
          </cell>
          <cell r="J3180">
            <v>3</v>
          </cell>
          <cell r="K3180" t="str">
            <v>Others</v>
          </cell>
        </row>
        <row r="3181">
          <cell r="D3181">
            <v>610510</v>
          </cell>
          <cell r="E3181" t="str">
            <v>Shirts; men's or boys', of cotton, knitted or crocheted</v>
          </cell>
          <cell r="F3181">
            <v>0</v>
          </cell>
          <cell r="G3181">
            <v>0</v>
          </cell>
          <cell r="H3181">
            <v>0</v>
          </cell>
          <cell r="I3181" t="str">
            <v>Others</v>
          </cell>
          <cell r="J3181">
            <v>3</v>
          </cell>
          <cell r="K3181" t="str">
            <v>Others</v>
          </cell>
        </row>
        <row r="3182">
          <cell r="D3182">
            <v>610520</v>
          </cell>
          <cell r="E3182" t="str">
            <v>Shirts; men's or boys', of man-made fibres, knitted or crocheted</v>
          </cell>
          <cell r="F3182">
            <v>0</v>
          </cell>
          <cell r="G3182">
            <v>0</v>
          </cell>
          <cell r="H3182">
            <v>0</v>
          </cell>
          <cell r="I3182" t="str">
            <v>Others</v>
          </cell>
          <cell r="J3182">
            <v>3</v>
          </cell>
          <cell r="K3182" t="str">
            <v>Others</v>
          </cell>
        </row>
        <row r="3183">
          <cell r="D3183">
            <v>610590</v>
          </cell>
          <cell r="E3183" t="str">
            <v>Shirts; men's or boys', of textile materials (other than cotton or man-made fibres), knitted or crocheted</v>
          </cell>
          <cell r="F3183">
            <v>0</v>
          </cell>
          <cell r="G3183">
            <v>0</v>
          </cell>
          <cell r="H3183">
            <v>0</v>
          </cell>
          <cell r="I3183" t="str">
            <v>Others</v>
          </cell>
          <cell r="J3183">
            <v>3</v>
          </cell>
          <cell r="K3183" t="str">
            <v>Others</v>
          </cell>
        </row>
        <row r="3184">
          <cell r="D3184">
            <v>610610</v>
          </cell>
          <cell r="E3184" t="str">
            <v>Blouses, shirts and shirt-blouses; women's or girls', of cotton, knitted or crocheted</v>
          </cell>
          <cell r="F3184">
            <v>0</v>
          </cell>
          <cell r="G3184">
            <v>0</v>
          </cell>
          <cell r="H3184">
            <v>0</v>
          </cell>
          <cell r="I3184" t="str">
            <v>Others</v>
          </cell>
          <cell r="J3184">
            <v>3</v>
          </cell>
          <cell r="K3184" t="str">
            <v>Others</v>
          </cell>
        </row>
        <row r="3185">
          <cell r="D3185">
            <v>610620</v>
          </cell>
          <cell r="E3185" t="str">
            <v>Blouses, shirts and shirt-blouses; women's or girls', of man-made fibres, knitted or crocheted</v>
          </cell>
          <cell r="F3185">
            <v>0</v>
          </cell>
          <cell r="G3185">
            <v>0</v>
          </cell>
          <cell r="H3185">
            <v>0</v>
          </cell>
          <cell r="I3185" t="str">
            <v>Others</v>
          </cell>
          <cell r="J3185">
            <v>3</v>
          </cell>
          <cell r="K3185" t="str">
            <v>Others</v>
          </cell>
        </row>
        <row r="3186">
          <cell r="D3186">
            <v>610690</v>
          </cell>
          <cell r="E3186" t="str">
            <v>Blouses, shirts and shirt-blouses; women's or girls', of textile materials (other than cotton or man-made fibres), knitted or crocheted</v>
          </cell>
          <cell r="F3186">
            <v>0</v>
          </cell>
          <cell r="G3186">
            <v>0</v>
          </cell>
          <cell r="H3186">
            <v>0</v>
          </cell>
          <cell r="I3186" t="str">
            <v>Others</v>
          </cell>
          <cell r="J3186">
            <v>3</v>
          </cell>
          <cell r="K3186" t="str">
            <v>Others</v>
          </cell>
        </row>
        <row r="3187">
          <cell r="D3187">
            <v>610711</v>
          </cell>
          <cell r="E3187" t="str">
            <v>Underpants and briefs; men's or boys', of cotton, knitted or crocheted</v>
          </cell>
          <cell r="F3187">
            <v>0</v>
          </cell>
          <cell r="G3187">
            <v>0</v>
          </cell>
          <cell r="H3187">
            <v>0</v>
          </cell>
          <cell r="I3187" t="str">
            <v>Others</v>
          </cell>
          <cell r="J3187">
            <v>3</v>
          </cell>
          <cell r="K3187" t="str">
            <v>Others</v>
          </cell>
        </row>
        <row r="3188">
          <cell r="D3188">
            <v>610712</v>
          </cell>
          <cell r="E3188" t="str">
            <v>Underpants and briefs; men's or boys', of man-made fibres, knitted or crocheted</v>
          </cell>
          <cell r="F3188">
            <v>0</v>
          </cell>
          <cell r="G3188">
            <v>0</v>
          </cell>
          <cell r="H3188">
            <v>0</v>
          </cell>
          <cell r="I3188" t="str">
            <v>Others</v>
          </cell>
          <cell r="J3188">
            <v>3</v>
          </cell>
          <cell r="K3188" t="str">
            <v>Others</v>
          </cell>
        </row>
        <row r="3189">
          <cell r="D3189">
            <v>610719</v>
          </cell>
          <cell r="E3189" t="str">
            <v>Underpants and briefs; men's or boys', of textile materials (other than cotton or man-made fibres), knitted or crocheted</v>
          </cell>
          <cell r="F3189">
            <v>0</v>
          </cell>
          <cell r="G3189">
            <v>0</v>
          </cell>
          <cell r="H3189">
            <v>0</v>
          </cell>
          <cell r="I3189" t="str">
            <v>Others</v>
          </cell>
          <cell r="J3189">
            <v>3</v>
          </cell>
          <cell r="K3189" t="str">
            <v>Others</v>
          </cell>
        </row>
        <row r="3190">
          <cell r="D3190">
            <v>610721</v>
          </cell>
          <cell r="E3190" t="str">
            <v>Nightshirts and pyjamas; men's or boys', of cotton, knitted or crocheted</v>
          </cell>
          <cell r="F3190">
            <v>0</v>
          </cell>
          <cell r="G3190">
            <v>0</v>
          </cell>
          <cell r="H3190">
            <v>0</v>
          </cell>
          <cell r="I3190" t="str">
            <v>Others</v>
          </cell>
          <cell r="J3190">
            <v>3</v>
          </cell>
          <cell r="K3190" t="str">
            <v>Others</v>
          </cell>
        </row>
        <row r="3191">
          <cell r="D3191">
            <v>610722</v>
          </cell>
          <cell r="E3191" t="str">
            <v>Nightshirts and pyjamas; men's or boys', of man-made fibres, knitted or crocheted</v>
          </cell>
          <cell r="F3191">
            <v>0</v>
          </cell>
          <cell r="G3191">
            <v>0</v>
          </cell>
          <cell r="H3191">
            <v>0</v>
          </cell>
          <cell r="I3191" t="str">
            <v>Others</v>
          </cell>
          <cell r="J3191">
            <v>3</v>
          </cell>
          <cell r="K3191" t="str">
            <v>Others</v>
          </cell>
        </row>
        <row r="3192">
          <cell r="D3192">
            <v>610729</v>
          </cell>
          <cell r="E3192" t="str">
            <v>Nightshirts and pyjamas; men's or boys', of textile materials (other than cotton or man-made fibres), knitted or crocheted</v>
          </cell>
          <cell r="F3192">
            <v>0</v>
          </cell>
          <cell r="G3192">
            <v>0</v>
          </cell>
          <cell r="H3192">
            <v>0</v>
          </cell>
          <cell r="I3192" t="str">
            <v>Others</v>
          </cell>
          <cell r="J3192">
            <v>3</v>
          </cell>
          <cell r="K3192" t="str">
            <v>Others</v>
          </cell>
        </row>
        <row r="3193">
          <cell r="D3193">
            <v>610791</v>
          </cell>
          <cell r="E3193" t="str">
            <v>Bathrobes, dressing gowns and similar articles; men's or boys', of cotton, knitted or crocheted</v>
          </cell>
          <cell r="F3193">
            <v>0</v>
          </cell>
          <cell r="G3193">
            <v>0</v>
          </cell>
          <cell r="H3193">
            <v>0</v>
          </cell>
          <cell r="I3193" t="str">
            <v>Others</v>
          </cell>
          <cell r="J3193">
            <v>3</v>
          </cell>
          <cell r="K3193" t="str">
            <v>Others</v>
          </cell>
        </row>
        <row r="3194">
          <cell r="D3194">
            <v>610799</v>
          </cell>
          <cell r="E3194" t="str">
            <v>Bathrobes, dressing gowns and similar articles; men's or boys', of textile materials (other than cotton), knitted or crocheted</v>
          </cell>
          <cell r="F3194">
            <v>0</v>
          </cell>
          <cell r="G3194">
            <v>0</v>
          </cell>
          <cell r="H3194">
            <v>0</v>
          </cell>
          <cell r="I3194" t="str">
            <v>Others</v>
          </cell>
          <cell r="J3194">
            <v>3</v>
          </cell>
          <cell r="K3194" t="str">
            <v>Others</v>
          </cell>
        </row>
        <row r="3195">
          <cell r="D3195">
            <v>610811</v>
          </cell>
          <cell r="E3195" t="str">
            <v>Slips and petticoats; women's or girls', of man-made fibres, knitted or crocheted</v>
          </cell>
          <cell r="F3195">
            <v>0</v>
          </cell>
          <cell r="G3195">
            <v>0</v>
          </cell>
          <cell r="H3195">
            <v>0</v>
          </cell>
          <cell r="I3195" t="str">
            <v>Others</v>
          </cell>
          <cell r="J3195">
            <v>3</v>
          </cell>
          <cell r="K3195" t="str">
            <v>Others</v>
          </cell>
        </row>
        <row r="3196">
          <cell r="D3196">
            <v>610819</v>
          </cell>
          <cell r="E3196" t="str">
            <v>Slips and petticoats; women's or girls', of textile materials (other than man-made fibres), knitted or crocheted</v>
          </cell>
          <cell r="F3196">
            <v>0</v>
          </cell>
          <cell r="G3196">
            <v>0</v>
          </cell>
          <cell r="H3196">
            <v>0</v>
          </cell>
          <cell r="I3196" t="str">
            <v>Others</v>
          </cell>
          <cell r="J3196">
            <v>3</v>
          </cell>
          <cell r="K3196" t="str">
            <v>Others</v>
          </cell>
        </row>
        <row r="3197">
          <cell r="D3197">
            <v>610821</v>
          </cell>
          <cell r="E3197" t="str">
            <v>Briefs and panties; women's or girls', of cotton, knitted or crocheted</v>
          </cell>
          <cell r="F3197">
            <v>0</v>
          </cell>
          <cell r="G3197">
            <v>0</v>
          </cell>
          <cell r="H3197">
            <v>0</v>
          </cell>
          <cell r="I3197" t="str">
            <v>Others</v>
          </cell>
          <cell r="J3197">
            <v>3</v>
          </cell>
          <cell r="K3197" t="str">
            <v>Others</v>
          </cell>
        </row>
        <row r="3198">
          <cell r="D3198">
            <v>610822</v>
          </cell>
          <cell r="E3198" t="str">
            <v>Briefs and panties; women's or girls', of man-made fibres, knitted or crocheted</v>
          </cell>
          <cell r="F3198">
            <v>0</v>
          </cell>
          <cell r="G3198">
            <v>0</v>
          </cell>
          <cell r="H3198">
            <v>0</v>
          </cell>
          <cell r="I3198" t="str">
            <v>Others</v>
          </cell>
          <cell r="J3198">
            <v>3</v>
          </cell>
          <cell r="K3198" t="str">
            <v>Others</v>
          </cell>
        </row>
        <row r="3199">
          <cell r="D3199">
            <v>610829</v>
          </cell>
          <cell r="E3199" t="str">
            <v>Briefs and panties; women's or girls', of textile materials (other than cotton or man-made fibres), knitted or crocheted</v>
          </cell>
          <cell r="F3199">
            <v>0</v>
          </cell>
          <cell r="G3199">
            <v>0</v>
          </cell>
          <cell r="H3199">
            <v>0</v>
          </cell>
          <cell r="I3199" t="str">
            <v>Others</v>
          </cell>
          <cell r="J3199">
            <v>3</v>
          </cell>
          <cell r="K3199" t="str">
            <v>Others</v>
          </cell>
        </row>
        <row r="3200">
          <cell r="D3200">
            <v>610831</v>
          </cell>
          <cell r="E3200" t="str">
            <v>Nightdresses and pyjamas; women's or girls', of cotton, knitted or crocheted</v>
          </cell>
          <cell r="F3200">
            <v>0</v>
          </cell>
          <cell r="G3200">
            <v>0</v>
          </cell>
          <cell r="H3200">
            <v>0</v>
          </cell>
          <cell r="I3200" t="str">
            <v>Others</v>
          </cell>
          <cell r="J3200">
            <v>3</v>
          </cell>
          <cell r="K3200" t="str">
            <v>Others</v>
          </cell>
        </row>
        <row r="3201">
          <cell r="D3201">
            <v>610832</v>
          </cell>
          <cell r="E3201" t="str">
            <v>Nightdresses and pyjamas; women's or girls', of man-made fibres, knitted or crocheted</v>
          </cell>
          <cell r="F3201">
            <v>0</v>
          </cell>
          <cell r="G3201">
            <v>0</v>
          </cell>
          <cell r="H3201">
            <v>0</v>
          </cell>
          <cell r="I3201" t="str">
            <v>Others</v>
          </cell>
          <cell r="J3201">
            <v>3</v>
          </cell>
          <cell r="K3201" t="str">
            <v>Others</v>
          </cell>
        </row>
        <row r="3202">
          <cell r="D3202">
            <v>610839</v>
          </cell>
          <cell r="E3202" t="str">
            <v>Nightdresses and pyjamas; women's or girls', of textile materials (other than cotton or man-made fibres), knitted or crocheted</v>
          </cell>
          <cell r="F3202">
            <v>0</v>
          </cell>
          <cell r="G3202">
            <v>0</v>
          </cell>
          <cell r="H3202">
            <v>0</v>
          </cell>
          <cell r="I3202" t="str">
            <v>Others</v>
          </cell>
          <cell r="J3202">
            <v>3</v>
          </cell>
          <cell r="K3202" t="str">
            <v>Others</v>
          </cell>
        </row>
        <row r="3203">
          <cell r="D3203">
            <v>610891</v>
          </cell>
          <cell r="E3203" t="str">
            <v>Negligees, bathrobes, dressing gowns and similar articles; women's or girls', of cotton, knitted or crocheted</v>
          </cell>
          <cell r="F3203">
            <v>0</v>
          </cell>
          <cell r="G3203">
            <v>0</v>
          </cell>
          <cell r="H3203">
            <v>0</v>
          </cell>
          <cell r="I3203" t="str">
            <v>Others</v>
          </cell>
          <cell r="J3203">
            <v>3</v>
          </cell>
          <cell r="K3203" t="str">
            <v>Others</v>
          </cell>
        </row>
        <row r="3204">
          <cell r="D3204">
            <v>610892</v>
          </cell>
          <cell r="E3204" t="str">
            <v>Negligees, bathrobes, dressing gowns and similar articles; women's or girls', of man-made fibres, knitted or crocheted</v>
          </cell>
          <cell r="F3204">
            <v>0</v>
          </cell>
          <cell r="G3204">
            <v>0</v>
          </cell>
          <cell r="H3204">
            <v>0</v>
          </cell>
          <cell r="I3204" t="str">
            <v>Others</v>
          </cell>
          <cell r="J3204">
            <v>3</v>
          </cell>
          <cell r="K3204" t="str">
            <v>Others</v>
          </cell>
        </row>
        <row r="3205">
          <cell r="D3205">
            <v>610899</v>
          </cell>
          <cell r="E3205" t="str">
            <v>Negligees, bathrobes, dressing gowns and similar articles; women's or girls', of textile materials (other than cotton or man-made fibres), knitted or crocheted</v>
          </cell>
          <cell r="F3205">
            <v>0</v>
          </cell>
          <cell r="G3205">
            <v>0</v>
          </cell>
          <cell r="H3205">
            <v>0</v>
          </cell>
          <cell r="I3205" t="str">
            <v>Others</v>
          </cell>
          <cell r="J3205">
            <v>3</v>
          </cell>
          <cell r="K3205" t="str">
            <v>Others</v>
          </cell>
        </row>
        <row r="3206">
          <cell r="D3206">
            <v>610910</v>
          </cell>
          <cell r="E3206" t="str">
            <v>T-shirts, singlets and other vests; of cotton, knitted or crocheted</v>
          </cell>
          <cell r="F3206">
            <v>0</v>
          </cell>
          <cell r="G3206">
            <v>0</v>
          </cell>
          <cell r="H3206">
            <v>0</v>
          </cell>
          <cell r="I3206" t="str">
            <v>Others</v>
          </cell>
          <cell r="J3206">
            <v>3</v>
          </cell>
          <cell r="K3206" t="str">
            <v>Others</v>
          </cell>
        </row>
        <row r="3207">
          <cell r="D3207">
            <v>610990</v>
          </cell>
          <cell r="E3207" t="str">
            <v>T-shirts, singlets and other vests; of textile materials (other than cotton), knitted or crocheted</v>
          </cell>
          <cell r="F3207">
            <v>0</v>
          </cell>
          <cell r="G3207">
            <v>0</v>
          </cell>
          <cell r="H3207">
            <v>0</v>
          </cell>
          <cell r="I3207" t="str">
            <v>Others</v>
          </cell>
          <cell r="J3207">
            <v>3</v>
          </cell>
          <cell r="K3207" t="str">
            <v>Others</v>
          </cell>
        </row>
        <row r="3208">
          <cell r="D3208">
            <v>611011</v>
          </cell>
          <cell r="E3208" t="str">
            <v>Jerseys, pullovers, cardigans, waistcoats and similar articles; knitted or crocheted, of wool or fine animal hair</v>
          </cell>
          <cell r="F3208">
            <v>0</v>
          </cell>
          <cell r="G3208">
            <v>0</v>
          </cell>
          <cell r="H3208">
            <v>0</v>
          </cell>
          <cell r="I3208" t="str">
            <v>Others</v>
          </cell>
          <cell r="J3208">
            <v>3</v>
          </cell>
          <cell r="K3208" t="str">
            <v>Others</v>
          </cell>
        </row>
        <row r="3209">
          <cell r="D3209">
            <v>611012</v>
          </cell>
          <cell r="E3209" t="str">
            <v>Jerseys, pullovers, cardigans, waistcoats and similar articles; knitted or crocheted, of fibres from kashmir (cashmere) goats</v>
          </cell>
          <cell r="F3209">
            <v>0</v>
          </cell>
          <cell r="G3209">
            <v>0</v>
          </cell>
          <cell r="H3209">
            <v>0</v>
          </cell>
          <cell r="I3209" t="str">
            <v>Others</v>
          </cell>
          <cell r="J3209">
            <v>3</v>
          </cell>
          <cell r="K3209" t="str">
            <v>Others</v>
          </cell>
        </row>
        <row r="3210">
          <cell r="D3210">
            <v>611019</v>
          </cell>
          <cell r="E3210" t="str">
            <v>Jerseys, pullovers, cardigans, waistcoats and similar articles; knitted or crocheted, of fine animal hair other than that of kashmir (cashmere) goats</v>
          </cell>
          <cell r="F3210">
            <v>0</v>
          </cell>
          <cell r="G3210">
            <v>0</v>
          </cell>
          <cell r="H3210">
            <v>0</v>
          </cell>
          <cell r="I3210" t="str">
            <v>Others</v>
          </cell>
          <cell r="J3210">
            <v>3</v>
          </cell>
          <cell r="K3210" t="str">
            <v>Others</v>
          </cell>
        </row>
        <row r="3211">
          <cell r="D3211">
            <v>611020</v>
          </cell>
          <cell r="E3211" t="str">
            <v>Jerseys, pullovers, cardigans, waistcoats and similar articles; of cotton, knitted or crocheted</v>
          </cell>
          <cell r="F3211">
            <v>0</v>
          </cell>
          <cell r="G3211">
            <v>0</v>
          </cell>
          <cell r="H3211">
            <v>0</v>
          </cell>
          <cell r="I3211" t="str">
            <v>Others</v>
          </cell>
          <cell r="J3211">
            <v>3</v>
          </cell>
          <cell r="K3211" t="str">
            <v>Others</v>
          </cell>
        </row>
        <row r="3212">
          <cell r="D3212">
            <v>611030</v>
          </cell>
          <cell r="E3212" t="str">
            <v>Jerseys, pullovers, cardigans, waistcoats and similar articles; of man-made fibres, knitted or crocheted</v>
          </cell>
          <cell r="F3212">
            <v>0</v>
          </cell>
          <cell r="G3212">
            <v>0</v>
          </cell>
          <cell r="H3212">
            <v>0</v>
          </cell>
          <cell r="I3212" t="str">
            <v>Others</v>
          </cell>
          <cell r="J3212">
            <v>3</v>
          </cell>
          <cell r="K3212" t="str">
            <v>Others</v>
          </cell>
        </row>
        <row r="3213">
          <cell r="D3213">
            <v>611090</v>
          </cell>
          <cell r="E3213" t="str">
            <v>Jerseys, pullovers, cardigans, waistcoats and similar articles; of textile materials (other than wool or fine animal hair, cotton or man-made fibres), knitted or crocheted</v>
          </cell>
          <cell r="F3213">
            <v>0</v>
          </cell>
          <cell r="G3213">
            <v>0</v>
          </cell>
          <cell r="H3213">
            <v>0</v>
          </cell>
          <cell r="I3213" t="str">
            <v>Others</v>
          </cell>
          <cell r="J3213">
            <v>3</v>
          </cell>
          <cell r="K3213" t="str">
            <v>Others</v>
          </cell>
        </row>
        <row r="3214">
          <cell r="D3214">
            <v>611120</v>
          </cell>
          <cell r="E3214" t="str">
            <v>Garments and clothing accessories; babies', of cotton, knitted or crocheted</v>
          </cell>
          <cell r="F3214">
            <v>0</v>
          </cell>
          <cell r="G3214">
            <v>0</v>
          </cell>
          <cell r="H3214">
            <v>0</v>
          </cell>
          <cell r="I3214" t="str">
            <v>Others</v>
          </cell>
          <cell r="J3214">
            <v>3</v>
          </cell>
          <cell r="K3214" t="str">
            <v>Others</v>
          </cell>
        </row>
        <row r="3215">
          <cell r="D3215">
            <v>611130</v>
          </cell>
          <cell r="E3215" t="str">
            <v>Garments and clothing accessories; babies', of synthetic fibres, knitted or crocheted</v>
          </cell>
          <cell r="F3215">
            <v>0</v>
          </cell>
          <cell r="G3215">
            <v>0</v>
          </cell>
          <cell r="H3215">
            <v>0</v>
          </cell>
          <cell r="I3215" t="str">
            <v>Others</v>
          </cell>
          <cell r="J3215">
            <v>3</v>
          </cell>
          <cell r="K3215" t="str">
            <v>Others</v>
          </cell>
        </row>
        <row r="3216">
          <cell r="D3216">
            <v>611190</v>
          </cell>
          <cell r="E3216" t="str">
            <v>Garments and clothing accessories; babies', of textile materials (other than cotton or synthetic fibres), knitted or crocheted</v>
          </cell>
          <cell r="F3216">
            <v>0</v>
          </cell>
          <cell r="G3216">
            <v>0</v>
          </cell>
          <cell r="H3216">
            <v>0</v>
          </cell>
          <cell r="I3216" t="str">
            <v>Others</v>
          </cell>
          <cell r="J3216">
            <v>3</v>
          </cell>
          <cell r="K3216" t="str">
            <v>Others</v>
          </cell>
        </row>
        <row r="3217">
          <cell r="D3217">
            <v>611211</v>
          </cell>
          <cell r="E3217" t="str">
            <v>Track suits; of cotton, knitted or crocheted</v>
          </cell>
          <cell r="F3217">
            <v>0</v>
          </cell>
          <cell r="G3217">
            <v>0</v>
          </cell>
          <cell r="H3217">
            <v>0</v>
          </cell>
          <cell r="I3217" t="str">
            <v>Others</v>
          </cell>
          <cell r="J3217">
            <v>3</v>
          </cell>
          <cell r="K3217" t="str">
            <v>Others</v>
          </cell>
        </row>
        <row r="3218">
          <cell r="D3218">
            <v>611212</v>
          </cell>
          <cell r="E3218" t="str">
            <v>Track suits; of synthetic fibres, knitted or crocheted</v>
          </cell>
          <cell r="F3218">
            <v>0</v>
          </cell>
          <cell r="G3218">
            <v>0</v>
          </cell>
          <cell r="H3218">
            <v>0</v>
          </cell>
          <cell r="I3218" t="str">
            <v>Others</v>
          </cell>
          <cell r="J3218">
            <v>3</v>
          </cell>
          <cell r="K3218" t="str">
            <v>Others</v>
          </cell>
        </row>
        <row r="3219">
          <cell r="D3219">
            <v>611219</v>
          </cell>
          <cell r="E3219" t="str">
            <v>Track suits; of textile materials (other than cotton or synthetic fibres), knitted or crocheted</v>
          </cell>
          <cell r="F3219">
            <v>0</v>
          </cell>
          <cell r="G3219">
            <v>0</v>
          </cell>
          <cell r="H3219">
            <v>0</v>
          </cell>
          <cell r="I3219" t="str">
            <v>Others</v>
          </cell>
          <cell r="J3219">
            <v>3</v>
          </cell>
          <cell r="K3219" t="str">
            <v>Others</v>
          </cell>
        </row>
        <row r="3220">
          <cell r="D3220">
            <v>611220</v>
          </cell>
          <cell r="E3220" t="str">
            <v>Ski suits; knitted or crocheted</v>
          </cell>
          <cell r="F3220">
            <v>0</v>
          </cell>
          <cell r="G3220">
            <v>0</v>
          </cell>
          <cell r="H3220">
            <v>0</v>
          </cell>
          <cell r="I3220" t="str">
            <v>Others</v>
          </cell>
          <cell r="J3220">
            <v>3</v>
          </cell>
          <cell r="K3220" t="str">
            <v>Others</v>
          </cell>
        </row>
        <row r="3221">
          <cell r="D3221">
            <v>611231</v>
          </cell>
          <cell r="E3221" t="str">
            <v>Swimwear; men's or boys', of synthetic fibres, knitted or crocheted</v>
          </cell>
          <cell r="F3221">
            <v>0</v>
          </cell>
          <cell r="G3221">
            <v>0</v>
          </cell>
          <cell r="H3221">
            <v>0</v>
          </cell>
          <cell r="I3221" t="str">
            <v>Others</v>
          </cell>
          <cell r="J3221">
            <v>3</v>
          </cell>
          <cell r="K3221" t="str">
            <v>Others</v>
          </cell>
        </row>
        <row r="3222">
          <cell r="D3222">
            <v>611239</v>
          </cell>
          <cell r="E3222" t="str">
            <v>Swimwear; men's or boys', of textile materials (other than synthetic fibres), knitted or crocheted</v>
          </cell>
          <cell r="F3222">
            <v>0</v>
          </cell>
          <cell r="G3222">
            <v>0</v>
          </cell>
          <cell r="H3222">
            <v>0</v>
          </cell>
          <cell r="I3222" t="str">
            <v>Others</v>
          </cell>
          <cell r="J3222">
            <v>3</v>
          </cell>
          <cell r="K3222" t="str">
            <v>Others</v>
          </cell>
        </row>
        <row r="3223">
          <cell r="D3223">
            <v>611241</v>
          </cell>
          <cell r="E3223" t="str">
            <v>Swimwear; women's or girls', of synthetic fibres, knitted or crocheted</v>
          </cell>
          <cell r="F3223">
            <v>0</v>
          </cell>
          <cell r="G3223">
            <v>0</v>
          </cell>
          <cell r="H3223">
            <v>0</v>
          </cell>
          <cell r="I3223" t="str">
            <v>Others</v>
          </cell>
          <cell r="J3223">
            <v>3</v>
          </cell>
          <cell r="K3223" t="str">
            <v>Others</v>
          </cell>
        </row>
        <row r="3224">
          <cell r="D3224">
            <v>611249</v>
          </cell>
          <cell r="E3224" t="str">
            <v>Swimwear; women's or girls', of textile materials (other than synthetic fibres), knitted or crocheted</v>
          </cell>
          <cell r="F3224">
            <v>0</v>
          </cell>
          <cell r="G3224">
            <v>0</v>
          </cell>
          <cell r="H3224">
            <v>0</v>
          </cell>
          <cell r="I3224" t="str">
            <v>Others</v>
          </cell>
          <cell r="J3224">
            <v>3</v>
          </cell>
          <cell r="K3224" t="str">
            <v>Others</v>
          </cell>
        </row>
        <row r="3225">
          <cell r="D3225">
            <v>611300</v>
          </cell>
          <cell r="E3225" t="str">
            <v>Garments made up of knitted or crocheted fabrics of heading no. 5903, 5906 and 5907</v>
          </cell>
          <cell r="F3225">
            <v>0</v>
          </cell>
          <cell r="G3225">
            <v>0</v>
          </cell>
          <cell r="H3225">
            <v>0</v>
          </cell>
          <cell r="I3225" t="str">
            <v>Others</v>
          </cell>
          <cell r="J3225">
            <v>3</v>
          </cell>
          <cell r="K3225" t="str">
            <v>Others</v>
          </cell>
        </row>
        <row r="3226">
          <cell r="D3226">
            <v>611420</v>
          </cell>
          <cell r="E3226" t="str">
            <v>Garments; of cotton, knitted or crocheted, n.e.c. in chapter 61</v>
          </cell>
          <cell r="F3226">
            <v>0</v>
          </cell>
          <cell r="G3226">
            <v>0</v>
          </cell>
          <cell r="H3226">
            <v>0</v>
          </cell>
          <cell r="I3226" t="str">
            <v>Others</v>
          </cell>
          <cell r="J3226">
            <v>3</v>
          </cell>
          <cell r="K3226" t="str">
            <v>Others</v>
          </cell>
        </row>
        <row r="3227">
          <cell r="D3227">
            <v>611430</v>
          </cell>
          <cell r="E3227" t="str">
            <v>Garments; of man-made fibres, knitted or crocheted, n.e.c. in chapter 61</v>
          </cell>
          <cell r="F3227" t="str">
            <v>Consumables</v>
          </cell>
          <cell r="G3227">
            <v>0</v>
          </cell>
          <cell r="H3227">
            <v>0</v>
          </cell>
          <cell r="I3227" t="str">
            <v>Others</v>
          </cell>
          <cell r="J3227">
            <v>2</v>
          </cell>
          <cell r="K3227" t="str">
            <v>Others</v>
          </cell>
        </row>
        <row r="3228">
          <cell r="D3228">
            <v>611490</v>
          </cell>
          <cell r="E3228" t="str">
            <v>Garments; of textile materials (other than cotton or man-made fibres), knitted or crocheted, n.e.c. in chapter 61</v>
          </cell>
          <cell r="F3228">
            <v>0</v>
          </cell>
          <cell r="G3228">
            <v>0</v>
          </cell>
          <cell r="H3228">
            <v>0</v>
          </cell>
          <cell r="I3228" t="str">
            <v>Others</v>
          </cell>
          <cell r="J3228">
            <v>3</v>
          </cell>
          <cell r="K3228" t="str">
            <v>Others</v>
          </cell>
        </row>
        <row r="3229">
          <cell r="D3229">
            <v>611510</v>
          </cell>
          <cell r="E3229" t="str">
            <v>Graduated compression hosiery (for example, stockings for varicose veins), knitted or crocheted</v>
          </cell>
          <cell r="F3229">
            <v>0</v>
          </cell>
          <cell r="G3229">
            <v>0</v>
          </cell>
          <cell r="H3229">
            <v>0</v>
          </cell>
          <cell r="I3229" t="str">
            <v>Others</v>
          </cell>
          <cell r="J3229">
            <v>3</v>
          </cell>
          <cell r="K3229" t="str">
            <v>Others</v>
          </cell>
        </row>
        <row r="3230">
          <cell r="D3230">
            <v>611521</v>
          </cell>
          <cell r="E3230" t="str">
            <v>Hosiery; panty hose and tights (other than graduated compression hosiery), of synthetic fibres, measuring per single yarn less than 67 decitex, knitted or crocheted</v>
          </cell>
          <cell r="F3230">
            <v>0</v>
          </cell>
          <cell r="G3230">
            <v>0</v>
          </cell>
          <cell r="H3230">
            <v>0</v>
          </cell>
          <cell r="I3230" t="str">
            <v>Others</v>
          </cell>
          <cell r="J3230">
            <v>3</v>
          </cell>
          <cell r="K3230" t="str">
            <v>Others</v>
          </cell>
        </row>
        <row r="3231">
          <cell r="D3231">
            <v>611522</v>
          </cell>
          <cell r="E3231" t="str">
            <v>Hosiery; panty hose and tights (other than graduated compression hosiery), of synthetic fibres, measuring per single yarn 67 decitex or more, knitted or crocheted</v>
          </cell>
          <cell r="F3231">
            <v>0</v>
          </cell>
          <cell r="G3231">
            <v>0</v>
          </cell>
          <cell r="H3231">
            <v>0</v>
          </cell>
          <cell r="I3231" t="str">
            <v>Others</v>
          </cell>
          <cell r="J3231">
            <v>3</v>
          </cell>
          <cell r="K3231" t="str">
            <v>Others</v>
          </cell>
        </row>
        <row r="3232">
          <cell r="D3232">
            <v>611529</v>
          </cell>
          <cell r="E3232" t="str">
            <v>Hosiery; panty hose and tights (other than graduated compression hosiery), of textile materials (other than synthetic fibres), knitted or crocheted</v>
          </cell>
          <cell r="F3232">
            <v>0</v>
          </cell>
          <cell r="G3232">
            <v>0</v>
          </cell>
          <cell r="H3232">
            <v>0</v>
          </cell>
          <cell r="I3232" t="str">
            <v>Others</v>
          </cell>
          <cell r="J3232">
            <v>3</v>
          </cell>
          <cell r="K3232" t="str">
            <v>Others</v>
          </cell>
        </row>
        <row r="3233">
          <cell r="D3233">
            <v>611530</v>
          </cell>
          <cell r="E3233" t="str">
            <v>Hosiery; women's, full-length or knee-length (other than graduated compression hosiery), measuring per single yarn less than 67 decitex, knitted or crocheted</v>
          </cell>
          <cell r="F3233">
            <v>0</v>
          </cell>
          <cell r="G3233">
            <v>0</v>
          </cell>
          <cell r="H3233">
            <v>0</v>
          </cell>
          <cell r="I3233" t="str">
            <v>Others</v>
          </cell>
          <cell r="J3233">
            <v>3</v>
          </cell>
          <cell r="K3233" t="str">
            <v>Others</v>
          </cell>
        </row>
        <row r="3234">
          <cell r="D3234">
            <v>611594</v>
          </cell>
          <cell r="E3234" t="str">
            <v>Hosiery and footwear; without applied soles, of wool or fine animal hair, knitted or crocheted (excluding graduated compression hosiery, panty hose, tights, women's full or knee-length hosiery measuring per single yarn less than 67 decitex)</v>
          </cell>
          <cell r="F3234">
            <v>0</v>
          </cell>
          <cell r="G3234">
            <v>0</v>
          </cell>
          <cell r="H3234">
            <v>0</v>
          </cell>
          <cell r="I3234" t="str">
            <v>Others</v>
          </cell>
          <cell r="J3234">
            <v>3</v>
          </cell>
          <cell r="K3234" t="str">
            <v>Others</v>
          </cell>
        </row>
        <row r="3235">
          <cell r="D3235">
            <v>611595</v>
          </cell>
          <cell r="E3235" t="str">
            <v>Hosiery and footwear; without applied soles, of cotton, knitted or crocheted (excluding graduated compression hosiery, panty hose, tights, full or knee-length hosiery measuring per single yarn less than 67 decitex)</v>
          </cell>
          <cell r="F3235">
            <v>0</v>
          </cell>
          <cell r="G3235">
            <v>0</v>
          </cell>
          <cell r="H3235">
            <v>0</v>
          </cell>
          <cell r="I3235" t="str">
            <v>Others</v>
          </cell>
          <cell r="J3235">
            <v>3</v>
          </cell>
          <cell r="K3235" t="str">
            <v>Others</v>
          </cell>
        </row>
        <row r="3236">
          <cell r="D3236">
            <v>611596</v>
          </cell>
          <cell r="E3236" t="str">
            <v>Hosiery and footwear; without applied soles, of synthetic fibres, knitted or crocheted (excluding graduated compression hosiery, panty hose, tights, full or knee-length hosiery measuring per single yarn less than 67 decitex)</v>
          </cell>
          <cell r="F3236">
            <v>0</v>
          </cell>
          <cell r="G3236">
            <v>0</v>
          </cell>
          <cell r="H3236">
            <v>0</v>
          </cell>
          <cell r="I3236" t="str">
            <v>Others</v>
          </cell>
          <cell r="J3236">
            <v>3</v>
          </cell>
          <cell r="K3236" t="str">
            <v>Others</v>
          </cell>
        </row>
        <row r="3237">
          <cell r="D3237">
            <v>611599</v>
          </cell>
          <cell r="E3237" t="str">
            <v>Hosiery and footwear; without applied soles, of textile materials n.e.c. in item no. 6115.9, knitted or crocheted (excluding graduated compression hosiery, panty hose, tights, full or knee-length hosiery measuring per single yarn less than 67 decitex)</v>
          </cell>
          <cell r="F3237">
            <v>0</v>
          </cell>
          <cell r="G3237">
            <v>0</v>
          </cell>
          <cell r="H3237">
            <v>0</v>
          </cell>
          <cell r="I3237" t="str">
            <v>Others</v>
          </cell>
          <cell r="J3237">
            <v>3</v>
          </cell>
          <cell r="K3237" t="str">
            <v>Others</v>
          </cell>
        </row>
        <row r="3238">
          <cell r="D3238">
            <v>611610</v>
          </cell>
          <cell r="E3238" t="str">
            <v>Gloves, mittens and mitts; knitted or crocheted, impregnated, coated, covered or laminated with plastics or rubber</v>
          </cell>
          <cell r="F3238" t="str">
            <v>Consumables</v>
          </cell>
          <cell r="G3238">
            <v>0</v>
          </cell>
          <cell r="H3238">
            <v>0</v>
          </cell>
          <cell r="I3238" t="str">
            <v>Others</v>
          </cell>
          <cell r="J3238">
            <v>2</v>
          </cell>
          <cell r="K3238" t="str">
            <v>Consumables</v>
          </cell>
        </row>
        <row r="3239">
          <cell r="D3239">
            <v>611691</v>
          </cell>
          <cell r="E3239" t="str">
            <v>Gloves, mittens and mitts; of wool or fine animal hair, knitted or crocheted, (other than impregnated, coated, covered or laminated with plastics or rubber)</v>
          </cell>
          <cell r="F3239">
            <v>0</v>
          </cell>
          <cell r="G3239">
            <v>0</v>
          </cell>
          <cell r="H3239">
            <v>0</v>
          </cell>
          <cell r="I3239" t="str">
            <v>Others</v>
          </cell>
          <cell r="J3239">
            <v>3</v>
          </cell>
          <cell r="K3239" t="str">
            <v>Others</v>
          </cell>
        </row>
        <row r="3240">
          <cell r="D3240">
            <v>611692</v>
          </cell>
          <cell r="E3240" t="str">
            <v>Gloves, mittens and mitts; of cotton, knitted or crocheted, (other than impregnated, coated, covered or laminated with plastics or rubber)</v>
          </cell>
          <cell r="F3240">
            <v>0</v>
          </cell>
          <cell r="G3240">
            <v>0</v>
          </cell>
          <cell r="H3240">
            <v>0</v>
          </cell>
          <cell r="I3240" t="str">
            <v>Others</v>
          </cell>
          <cell r="J3240">
            <v>3</v>
          </cell>
          <cell r="K3240" t="str">
            <v>Others</v>
          </cell>
        </row>
        <row r="3241">
          <cell r="D3241">
            <v>611693</v>
          </cell>
          <cell r="E3241" t="str">
            <v>Gloves, mittens and mitts; of synthetic fibres, knitted or crocheted, (other than impregnated, coated, covered or laminated with plastics or rubber)</v>
          </cell>
          <cell r="F3241" t="str">
            <v>Consumables</v>
          </cell>
          <cell r="G3241">
            <v>0</v>
          </cell>
          <cell r="H3241">
            <v>0</v>
          </cell>
          <cell r="I3241" t="str">
            <v>Others</v>
          </cell>
          <cell r="J3241">
            <v>2</v>
          </cell>
          <cell r="K3241" t="str">
            <v>Consumables</v>
          </cell>
        </row>
        <row r="3242">
          <cell r="D3242">
            <v>611699</v>
          </cell>
          <cell r="E3242" t="str">
            <v>Gloves, mittens and mitts; of textile materials (other than wool or fine animal hair, cotton or synthetic fibres), knitted or crocheted, (other than impregnated, coated, covered or laminated with plastics or rubber)</v>
          </cell>
          <cell r="F3242" t="str">
            <v>Consumables</v>
          </cell>
          <cell r="G3242">
            <v>0</v>
          </cell>
          <cell r="H3242">
            <v>0</v>
          </cell>
          <cell r="I3242" t="str">
            <v>Others</v>
          </cell>
          <cell r="J3242">
            <v>2</v>
          </cell>
          <cell r="K3242" t="str">
            <v>Consumables</v>
          </cell>
        </row>
        <row r="3243">
          <cell r="D3243">
            <v>611710</v>
          </cell>
          <cell r="E3243" t="str">
            <v>Shawls, scarves, mufflers, mantillas, veils and the like; knitted or crocheted</v>
          </cell>
          <cell r="F3243">
            <v>0</v>
          </cell>
          <cell r="G3243">
            <v>0</v>
          </cell>
          <cell r="H3243">
            <v>0</v>
          </cell>
          <cell r="I3243" t="str">
            <v>Others</v>
          </cell>
          <cell r="J3243">
            <v>3</v>
          </cell>
          <cell r="K3243" t="str">
            <v>Others</v>
          </cell>
        </row>
        <row r="3244">
          <cell r="D3244">
            <v>611780</v>
          </cell>
          <cell r="E3244" t="str">
            <v>Clothing accessories; knitted or crocheted, n.e.c. in heading no. 6117</v>
          </cell>
          <cell r="F3244" t="str">
            <v>Consumables</v>
          </cell>
          <cell r="G3244">
            <v>0</v>
          </cell>
          <cell r="H3244">
            <v>0</v>
          </cell>
          <cell r="I3244" t="str">
            <v>Others</v>
          </cell>
          <cell r="J3244">
            <v>2</v>
          </cell>
          <cell r="K3244" t="str">
            <v>Consumables - rc</v>
          </cell>
        </row>
        <row r="3245">
          <cell r="D3245">
            <v>611790</v>
          </cell>
          <cell r="E3245" t="str">
            <v>Clothing; parts, knitted or crocheted</v>
          </cell>
          <cell r="F3245">
            <v>0</v>
          </cell>
          <cell r="G3245">
            <v>0</v>
          </cell>
          <cell r="H3245">
            <v>0</v>
          </cell>
          <cell r="I3245" t="str">
            <v>Others</v>
          </cell>
          <cell r="J3245">
            <v>3</v>
          </cell>
          <cell r="K3245" t="str">
            <v>Others</v>
          </cell>
        </row>
        <row r="3246">
          <cell r="D3246">
            <v>620120</v>
          </cell>
          <cell r="E3246" t="str">
            <v>Coats; men's or boys', overcoats, raincoats, car-coats, capes, cloaks, anoraks (including ski-jackets) and similar articles, of wool or fine animal hair, other than those of heading no. 6203 (not knitted or crocheted)</v>
          </cell>
          <cell r="F3246">
            <v>0</v>
          </cell>
          <cell r="G3246">
            <v>0</v>
          </cell>
          <cell r="H3246">
            <v>0</v>
          </cell>
          <cell r="I3246" t="str">
            <v>Others</v>
          </cell>
          <cell r="J3246">
            <v>3</v>
          </cell>
          <cell r="K3246" t="str">
            <v>Others</v>
          </cell>
        </row>
        <row r="3247">
          <cell r="D3247">
            <v>620130</v>
          </cell>
          <cell r="E3247" t="str">
            <v>Coats; men's or boys', overcoats, raincoats, car-coats, capes, cloaks, anoraks (including ski-jackets) and similar articles, of cotton, other than those of heading no. 6203 (not knitted or crocheted)</v>
          </cell>
          <cell r="F3247">
            <v>0</v>
          </cell>
          <cell r="G3247">
            <v>0</v>
          </cell>
          <cell r="H3247">
            <v>0</v>
          </cell>
          <cell r="I3247" t="str">
            <v>Others</v>
          </cell>
          <cell r="J3247">
            <v>3</v>
          </cell>
          <cell r="K3247" t="str">
            <v>Others</v>
          </cell>
        </row>
        <row r="3248">
          <cell r="D3248">
            <v>620140</v>
          </cell>
          <cell r="E3248" t="str">
            <v>Coats; men's or boys', overcoats, raincoats, car-coats, capes, cloaks, anoraks (including ski-jackets) and similar articles, of man-made fibres, other than those of heading no. 6203 (not knitted or crocheted)</v>
          </cell>
          <cell r="F3248">
            <v>0</v>
          </cell>
          <cell r="G3248">
            <v>0</v>
          </cell>
          <cell r="H3248">
            <v>0</v>
          </cell>
          <cell r="I3248" t="str">
            <v>Others</v>
          </cell>
          <cell r="J3248">
            <v>3</v>
          </cell>
          <cell r="K3248" t="str">
            <v>Others</v>
          </cell>
        </row>
        <row r="3249">
          <cell r="D3249">
            <v>620190</v>
          </cell>
          <cell r="E3249" t="str">
            <v>Coats; men's or boys', overcoats, rain-coats, car-coats, capes, cloaks and similar, of textile materials (other than wool, fine animal hair, cotton or man-made fibres), other than those of heading no. 6203 (not knitted or crocheted)</v>
          </cell>
          <cell r="F3249">
            <v>0</v>
          </cell>
          <cell r="G3249">
            <v>0</v>
          </cell>
          <cell r="H3249">
            <v>0</v>
          </cell>
          <cell r="I3249" t="str">
            <v>Others</v>
          </cell>
          <cell r="J3249">
            <v>3</v>
          </cell>
          <cell r="K3249" t="str">
            <v>Others</v>
          </cell>
        </row>
        <row r="3250">
          <cell r="D3250">
            <v>620220</v>
          </cell>
          <cell r="E3250" t="str">
            <v>Coats; women's or girls', overcoats, raincoats, car-coats, capes, cloaks anoraks (including ski-jackets) and similar articles, of wool or fine animal hair, other than those of heading no. 6204 (not knitted or crocheted)</v>
          </cell>
          <cell r="F3250">
            <v>0</v>
          </cell>
          <cell r="G3250">
            <v>0</v>
          </cell>
          <cell r="H3250">
            <v>0</v>
          </cell>
          <cell r="I3250" t="str">
            <v>Others</v>
          </cell>
          <cell r="J3250">
            <v>3</v>
          </cell>
          <cell r="K3250" t="str">
            <v>Others</v>
          </cell>
        </row>
        <row r="3251">
          <cell r="D3251">
            <v>620230</v>
          </cell>
          <cell r="E3251" t="str">
            <v>Coats; women's or girls', overcoats, raincoats, car-coats, capes, cloaks anoraks (including ski-jackets) and similar articles, of cotton, other than those of heading no. 6204 (not knitted or crocheted)</v>
          </cell>
          <cell r="F3251">
            <v>0</v>
          </cell>
          <cell r="G3251">
            <v>0</v>
          </cell>
          <cell r="H3251">
            <v>0</v>
          </cell>
          <cell r="I3251" t="str">
            <v>Others</v>
          </cell>
          <cell r="J3251">
            <v>3</v>
          </cell>
          <cell r="K3251" t="str">
            <v>Others</v>
          </cell>
        </row>
        <row r="3252">
          <cell r="D3252">
            <v>620240</v>
          </cell>
          <cell r="E3252" t="str">
            <v>Coats; women's or girls', overcoats, raincoats, car-coats, capes, cloaks anoraks (including ski-jackets) and similar articles, of man-made fibres, other than those of heading no. 6204 (not knitted or crocheted)</v>
          </cell>
          <cell r="F3252">
            <v>0</v>
          </cell>
          <cell r="G3252">
            <v>0</v>
          </cell>
          <cell r="H3252">
            <v>0</v>
          </cell>
          <cell r="I3252" t="str">
            <v>Others</v>
          </cell>
          <cell r="J3252">
            <v>3</v>
          </cell>
          <cell r="K3252" t="str">
            <v>Others</v>
          </cell>
        </row>
        <row r="3253">
          <cell r="D3253">
            <v>620290</v>
          </cell>
          <cell r="E3253" t="str">
            <v>Coats; women's or girls', overcoats, raincoats, car-coats, capes, cloaks and similar articles, of textile materials (other than wool, fine animal hair, cotton or man-made fibres), other than those of heading no. 6204 (not knitted or crocheted)</v>
          </cell>
          <cell r="F3253">
            <v>0</v>
          </cell>
          <cell r="G3253">
            <v>0</v>
          </cell>
          <cell r="H3253">
            <v>0</v>
          </cell>
          <cell r="I3253" t="str">
            <v>Others</v>
          </cell>
          <cell r="J3253">
            <v>3</v>
          </cell>
          <cell r="K3253" t="str">
            <v>Others</v>
          </cell>
        </row>
        <row r="3254">
          <cell r="D3254">
            <v>620311</v>
          </cell>
          <cell r="E3254" t="str">
            <v>Suits; men's or boys', of wool or fine animal hair (not knitted or crocheted)</v>
          </cell>
          <cell r="F3254">
            <v>0</v>
          </cell>
          <cell r="G3254">
            <v>0</v>
          </cell>
          <cell r="H3254">
            <v>0</v>
          </cell>
          <cell r="I3254" t="str">
            <v>Others</v>
          </cell>
          <cell r="J3254">
            <v>3</v>
          </cell>
          <cell r="K3254" t="str">
            <v>Others</v>
          </cell>
        </row>
        <row r="3255">
          <cell r="D3255">
            <v>620312</v>
          </cell>
          <cell r="E3255" t="str">
            <v>Suits; men's or boys', of synthetic fibres (not knitted or crocheted)</v>
          </cell>
          <cell r="F3255">
            <v>0</v>
          </cell>
          <cell r="G3255">
            <v>0</v>
          </cell>
          <cell r="H3255">
            <v>0</v>
          </cell>
          <cell r="I3255" t="str">
            <v>Others</v>
          </cell>
          <cell r="J3255">
            <v>3</v>
          </cell>
          <cell r="K3255" t="str">
            <v>Others</v>
          </cell>
        </row>
        <row r="3256">
          <cell r="D3256">
            <v>620319</v>
          </cell>
          <cell r="E3256" t="str">
            <v>Suits; men's or boys', of textile materials n.e.c. in item no. 6203.1 (not knitted or crocheted)</v>
          </cell>
          <cell r="F3256">
            <v>0</v>
          </cell>
          <cell r="G3256">
            <v>0</v>
          </cell>
          <cell r="H3256">
            <v>0</v>
          </cell>
          <cell r="I3256" t="str">
            <v>Others</v>
          </cell>
          <cell r="J3256">
            <v>3</v>
          </cell>
          <cell r="K3256" t="str">
            <v>Others</v>
          </cell>
        </row>
        <row r="3257">
          <cell r="D3257">
            <v>620322</v>
          </cell>
          <cell r="E3257" t="str">
            <v>Ensembles; men's or boys', of cotton (not knitted or crocheted)</v>
          </cell>
          <cell r="F3257">
            <v>0</v>
          </cell>
          <cell r="G3257">
            <v>0</v>
          </cell>
          <cell r="H3257">
            <v>0</v>
          </cell>
          <cell r="I3257" t="str">
            <v>Others</v>
          </cell>
          <cell r="J3257">
            <v>3</v>
          </cell>
          <cell r="K3257" t="str">
            <v>Others</v>
          </cell>
        </row>
        <row r="3258">
          <cell r="D3258">
            <v>620323</v>
          </cell>
          <cell r="E3258" t="str">
            <v>Ensembles; men's or boys', of synthetic fibres (not knitted or crocheted)</v>
          </cell>
          <cell r="F3258">
            <v>0</v>
          </cell>
          <cell r="G3258">
            <v>0</v>
          </cell>
          <cell r="H3258">
            <v>0</v>
          </cell>
          <cell r="I3258" t="str">
            <v>Others</v>
          </cell>
          <cell r="J3258">
            <v>3</v>
          </cell>
          <cell r="K3258" t="str">
            <v>Others</v>
          </cell>
        </row>
        <row r="3259">
          <cell r="D3259">
            <v>620329</v>
          </cell>
          <cell r="E3259" t="str">
            <v>Ensembles; men's or boys', of textile materials n.e.c. in item no. 6203.2 (not knitted or crocheted)</v>
          </cell>
          <cell r="F3259">
            <v>0</v>
          </cell>
          <cell r="G3259">
            <v>0</v>
          </cell>
          <cell r="H3259">
            <v>0</v>
          </cell>
          <cell r="I3259" t="str">
            <v>Others</v>
          </cell>
          <cell r="J3259">
            <v>3</v>
          </cell>
          <cell r="K3259" t="str">
            <v>Others</v>
          </cell>
        </row>
        <row r="3260">
          <cell r="D3260">
            <v>620331</v>
          </cell>
          <cell r="E3260" t="str">
            <v>Jackets and blazers; men's or boys', of wool or fine animal hair (not knitted or crocheted)</v>
          </cell>
          <cell r="F3260">
            <v>0</v>
          </cell>
          <cell r="G3260">
            <v>0</v>
          </cell>
          <cell r="H3260">
            <v>0</v>
          </cell>
          <cell r="I3260" t="str">
            <v>Others</v>
          </cell>
          <cell r="J3260">
            <v>3</v>
          </cell>
          <cell r="K3260" t="str">
            <v>Others</v>
          </cell>
        </row>
        <row r="3261">
          <cell r="D3261">
            <v>620332</v>
          </cell>
          <cell r="E3261" t="str">
            <v>Jackets and blazers; men's or boys', of cotton (not knitted or crocheted)</v>
          </cell>
          <cell r="F3261">
            <v>0</v>
          </cell>
          <cell r="G3261">
            <v>0</v>
          </cell>
          <cell r="H3261">
            <v>0</v>
          </cell>
          <cell r="I3261" t="str">
            <v>Others</v>
          </cell>
          <cell r="J3261">
            <v>3</v>
          </cell>
          <cell r="K3261" t="str">
            <v>Others</v>
          </cell>
        </row>
        <row r="3262">
          <cell r="D3262">
            <v>620333</v>
          </cell>
          <cell r="E3262" t="str">
            <v>Jackets and blazers; men's or boys', of synthetic fibres (not knitted or crocheted)</v>
          </cell>
          <cell r="F3262">
            <v>0</v>
          </cell>
          <cell r="G3262">
            <v>0</v>
          </cell>
          <cell r="H3262">
            <v>0</v>
          </cell>
          <cell r="I3262" t="str">
            <v>Others</v>
          </cell>
          <cell r="J3262">
            <v>3</v>
          </cell>
          <cell r="K3262" t="str">
            <v>Others</v>
          </cell>
        </row>
        <row r="3263">
          <cell r="D3263">
            <v>620339</v>
          </cell>
          <cell r="E3263" t="str">
            <v>Jackets and blazers; men's or boys', of textile materials n.e.c. in item no. 6203.3 (not knitted or crocheted)</v>
          </cell>
          <cell r="F3263">
            <v>0</v>
          </cell>
          <cell r="G3263">
            <v>0</v>
          </cell>
          <cell r="H3263">
            <v>0</v>
          </cell>
          <cell r="I3263" t="str">
            <v>Others</v>
          </cell>
          <cell r="J3263">
            <v>3</v>
          </cell>
          <cell r="K3263" t="str">
            <v>Others</v>
          </cell>
        </row>
        <row r="3264">
          <cell r="D3264">
            <v>620341</v>
          </cell>
          <cell r="E3264" t="str">
            <v>Trousers, bib and brace overalls, breeches and shorts; men's or boys', of wool or fine animal hair (not knitted or crocheted)</v>
          </cell>
          <cell r="F3264">
            <v>0</v>
          </cell>
          <cell r="G3264">
            <v>0</v>
          </cell>
          <cell r="H3264">
            <v>0</v>
          </cell>
          <cell r="I3264" t="str">
            <v>Others</v>
          </cell>
          <cell r="J3264">
            <v>3</v>
          </cell>
          <cell r="K3264" t="str">
            <v>Others</v>
          </cell>
        </row>
        <row r="3265">
          <cell r="D3265">
            <v>620342</v>
          </cell>
          <cell r="E3265" t="str">
            <v>Trousers, bib and brace overalls, breeches and shorts; men's or boys', of cotton (not knitted or crocheted)</v>
          </cell>
          <cell r="F3265">
            <v>0</v>
          </cell>
          <cell r="G3265">
            <v>0</v>
          </cell>
          <cell r="H3265">
            <v>0</v>
          </cell>
          <cell r="I3265" t="str">
            <v>Others</v>
          </cell>
          <cell r="J3265">
            <v>3</v>
          </cell>
          <cell r="K3265" t="str">
            <v>Others</v>
          </cell>
        </row>
        <row r="3266">
          <cell r="D3266">
            <v>620343</v>
          </cell>
          <cell r="E3266" t="str">
            <v>Trousers, bib and brace overalls, breeches and shorts; men's or boys', of synthetic fibres (not knitted or crocheted)</v>
          </cell>
          <cell r="F3266">
            <v>0</v>
          </cell>
          <cell r="G3266">
            <v>0</v>
          </cell>
          <cell r="H3266">
            <v>0</v>
          </cell>
          <cell r="I3266" t="str">
            <v>Others</v>
          </cell>
          <cell r="J3266">
            <v>3</v>
          </cell>
          <cell r="K3266" t="str">
            <v>Others</v>
          </cell>
        </row>
        <row r="3267">
          <cell r="D3267">
            <v>620349</v>
          </cell>
          <cell r="E3267" t="str">
            <v>Trousers, bib and brace overalls, breeches and shorts; men's or boys', of textile materials (other than wool, fine animal hair, cotton or synthetic fibres), (not knitted or crocheted)</v>
          </cell>
          <cell r="F3267">
            <v>0</v>
          </cell>
          <cell r="G3267">
            <v>0</v>
          </cell>
          <cell r="H3267">
            <v>0</v>
          </cell>
          <cell r="I3267" t="str">
            <v>Others</v>
          </cell>
          <cell r="J3267">
            <v>3</v>
          </cell>
          <cell r="K3267" t="str">
            <v>Others</v>
          </cell>
        </row>
        <row r="3268">
          <cell r="D3268">
            <v>620411</v>
          </cell>
          <cell r="E3268" t="str">
            <v>Suits; women's or girls', of wool or fine animal hair (not knitted or crocheted)</v>
          </cell>
          <cell r="F3268">
            <v>0</v>
          </cell>
          <cell r="G3268">
            <v>0</v>
          </cell>
          <cell r="H3268">
            <v>0</v>
          </cell>
          <cell r="I3268" t="str">
            <v>Others</v>
          </cell>
          <cell r="J3268">
            <v>3</v>
          </cell>
          <cell r="K3268" t="str">
            <v>Others</v>
          </cell>
        </row>
        <row r="3269">
          <cell r="D3269">
            <v>620412</v>
          </cell>
          <cell r="E3269" t="str">
            <v>Suits; women's or girls', of cotton (not knitted or crocheted)</v>
          </cell>
          <cell r="F3269">
            <v>0</v>
          </cell>
          <cell r="G3269">
            <v>0</v>
          </cell>
          <cell r="H3269">
            <v>0</v>
          </cell>
          <cell r="I3269" t="str">
            <v>Others</v>
          </cell>
          <cell r="J3269">
            <v>3</v>
          </cell>
          <cell r="K3269" t="str">
            <v>Others</v>
          </cell>
        </row>
        <row r="3270">
          <cell r="D3270">
            <v>620413</v>
          </cell>
          <cell r="E3270" t="str">
            <v>Suits; women's or girls', of synthetic fibres (not knitted or crocheted)</v>
          </cell>
          <cell r="F3270">
            <v>0</v>
          </cell>
          <cell r="G3270">
            <v>0</v>
          </cell>
          <cell r="H3270">
            <v>0</v>
          </cell>
          <cell r="I3270" t="str">
            <v>Others</v>
          </cell>
          <cell r="J3270">
            <v>3</v>
          </cell>
          <cell r="K3270" t="str">
            <v>Others</v>
          </cell>
        </row>
        <row r="3271">
          <cell r="D3271">
            <v>620419</v>
          </cell>
          <cell r="E3271" t="str">
            <v>Suits; women's or girls', of textile materials n.e.c. in item no. 6204.1 (not knitted or crocheted)</v>
          </cell>
          <cell r="F3271">
            <v>0</v>
          </cell>
          <cell r="G3271">
            <v>0</v>
          </cell>
          <cell r="H3271">
            <v>0</v>
          </cell>
          <cell r="I3271" t="str">
            <v>Others</v>
          </cell>
          <cell r="J3271">
            <v>3</v>
          </cell>
          <cell r="K3271" t="str">
            <v>Others</v>
          </cell>
        </row>
        <row r="3272">
          <cell r="D3272">
            <v>620421</v>
          </cell>
          <cell r="E3272" t="str">
            <v>Ensembles; women's or girls', of wool or fine animal hair (not knitted or crocheted)</v>
          </cell>
          <cell r="F3272">
            <v>0</v>
          </cell>
          <cell r="G3272">
            <v>0</v>
          </cell>
          <cell r="H3272">
            <v>0</v>
          </cell>
          <cell r="I3272" t="str">
            <v>Others</v>
          </cell>
          <cell r="J3272">
            <v>3</v>
          </cell>
          <cell r="K3272" t="str">
            <v>Others</v>
          </cell>
        </row>
        <row r="3273">
          <cell r="D3273">
            <v>620422</v>
          </cell>
          <cell r="E3273" t="str">
            <v>Ensembles; women's or girls', of cotton (not knitted or crocheted)</v>
          </cell>
          <cell r="F3273">
            <v>0</v>
          </cell>
          <cell r="G3273">
            <v>0</v>
          </cell>
          <cell r="H3273">
            <v>0</v>
          </cell>
          <cell r="I3273" t="str">
            <v>Others</v>
          </cell>
          <cell r="J3273">
            <v>3</v>
          </cell>
          <cell r="K3273" t="str">
            <v>Others</v>
          </cell>
        </row>
        <row r="3274">
          <cell r="D3274">
            <v>620423</v>
          </cell>
          <cell r="E3274" t="str">
            <v>Ensembles; women's or girls', of synthetic fibres (not knitted or crocheted)</v>
          </cell>
          <cell r="F3274">
            <v>0</v>
          </cell>
          <cell r="G3274">
            <v>0</v>
          </cell>
          <cell r="H3274">
            <v>0</v>
          </cell>
          <cell r="I3274" t="str">
            <v>Others</v>
          </cell>
          <cell r="J3274">
            <v>3</v>
          </cell>
          <cell r="K3274" t="str">
            <v>Others</v>
          </cell>
        </row>
        <row r="3275">
          <cell r="D3275">
            <v>620429</v>
          </cell>
          <cell r="E3275" t="str">
            <v>Ensembles; women's or girls', of textile materials n.e.c. in item no. 6204.2 (not knitted or crocheted)</v>
          </cell>
          <cell r="F3275">
            <v>0</v>
          </cell>
          <cell r="G3275">
            <v>0</v>
          </cell>
          <cell r="H3275">
            <v>0</v>
          </cell>
          <cell r="I3275" t="str">
            <v>Others</v>
          </cell>
          <cell r="J3275">
            <v>3</v>
          </cell>
          <cell r="K3275" t="str">
            <v>Others</v>
          </cell>
        </row>
        <row r="3276">
          <cell r="D3276">
            <v>620431</v>
          </cell>
          <cell r="E3276" t="str">
            <v>Jackets and blazers; women's or girls', of wool or fine animal hair (not knitted or crocheted)</v>
          </cell>
          <cell r="F3276">
            <v>0</v>
          </cell>
          <cell r="G3276">
            <v>0</v>
          </cell>
          <cell r="H3276">
            <v>0</v>
          </cell>
          <cell r="I3276" t="str">
            <v>Others</v>
          </cell>
          <cell r="J3276">
            <v>3</v>
          </cell>
          <cell r="K3276" t="str">
            <v>Others</v>
          </cell>
        </row>
        <row r="3277">
          <cell r="D3277">
            <v>620432</v>
          </cell>
          <cell r="E3277" t="str">
            <v>Jackets and blazers; women's or girls', of cotton (not knitted or crocheted)</v>
          </cell>
          <cell r="F3277">
            <v>0</v>
          </cell>
          <cell r="G3277">
            <v>0</v>
          </cell>
          <cell r="H3277">
            <v>0</v>
          </cell>
          <cell r="I3277" t="str">
            <v>Others</v>
          </cell>
          <cell r="J3277">
            <v>3</v>
          </cell>
          <cell r="K3277" t="str">
            <v>Others</v>
          </cell>
        </row>
        <row r="3278">
          <cell r="D3278">
            <v>620433</v>
          </cell>
          <cell r="E3278" t="str">
            <v>Jackets and blazers; women's or girls', of synthetic fibres (not knitted or crocheted)</v>
          </cell>
          <cell r="F3278">
            <v>0</v>
          </cell>
          <cell r="G3278">
            <v>0</v>
          </cell>
          <cell r="H3278">
            <v>0</v>
          </cell>
          <cell r="I3278" t="str">
            <v>Others</v>
          </cell>
          <cell r="J3278">
            <v>3</v>
          </cell>
          <cell r="K3278" t="str">
            <v>Others</v>
          </cell>
        </row>
        <row r="3279">
          <cell r="D3279">
            <v>620439</v>
          </cell>
          <cell r="E3279" t="str">
            <v>Jackets and blazers; women's or girls', of textile materials n.e.c. in item no. 6204.3 (not knitted or crocheted)</v>
          </cell>
          <cell r="F3279">
            <v>0</v>
          </cell>
          <cell r="G3279">
            <v>0</v>
          </cell>
          <cell r="H3279">
            <v>0</v>
          </cell>
          <cell r="I3279" t="str">
            <v>Others</v>
          </cell>
          <cell r="J3279">
            <v>3</v>
          </cell>
          <cell r="K3279" t="str">
            <v>Others</v>
          </cell>
        </row>
        <row r="3280">
          <cell r="D3280">
            <v>620441</v>
          </cell>
          <cell r="E3280" t="str">
            <v>Dresses; women's or girls', of wool or fine animal hair (not knitted or crocheted)</v>
          </cell>
          <cell r="F3280">
            <v>0</v>
          </cell>
          <cell r="G3280">
            <v>0</v>
          </cell>
          <cell r="H3280">
            <v>0</v>
          </cell>
          <cell r="I3280" t="str">
            <v>Others</v>
          </cell>
          <cell r="J3280">
            <v>3</v>
          </cell>
          <cell r="K3280" t="str">
            <v>Others</v>
          </cell>
        </row>
        <row r="3281">
          <cell r="D3281">
            <v>620442</v>
          </cell>
          <cell r="E3281" t="str">
            <v>Dresses; women's or girls', of cotton (not knitted or crocheted)</v>
          </cell>
          <cell r="F3281">
            <v>0</v>
          </cell>
          <cell r="G3281">
            <v>0</v>
          </cell>
          <cell r="H3281">
            <v>0</v>
          </cell>
          <cell r="I3281" t="str">
            <v>Others</v>
          </cell>
          <cell r="J3281">
            <v>3</v>
          </cell>
          <cell r="K3281" t="str">
            <v>Others</v>
          </cell>
        </row>
        <row r="3282">
          <cell r="D3282">
            <v>620443</v>
          </cell>
          <cell r="E3282" t="str">
            <v>Dresses; women's or girls', of synthetic fibres (not knitted or crocheted)</v>
          </cell>
          <cell r="F3282">
            <v>0</v>
          </cell>
          <cell r="G3282">
            <v>0</v>
          </cell>
          <cell r="H3282">
            <v>0</v>
          </cell>
          <cell r="I3282" t="str">
            <v>Others</v>
          </cell>
          <cell r="J3282">
            <v>3</v>
          </cell>
          <cell r="K3282" t="str">
            <v>Others</v>
          </cell>
        </row>
        <row r="3283">
          <cell r="D3283">
            <v>620444</v>
          </cell>
          <cell r="E3283" t="str">
            <v>Dresses; women's or girls', of artificial fibres (not knitted or crocheted)</v>
          </cell>
          <cell r="F3283">
            <v>0</v>
          </cell>
          <cell r="G3283">
            <v>0</v>
          </cell>
          <cell r="H3283">
            <v>0</v>
          </cell>
          <cell r="I3283" t="str">
            <v>Others</v>
          </cell>
          <cell r="J3283">
            <v>3</v>
          </cell>
          <cell r="K3283" t="str">
            <v>Others</v>
          </cell>
        </row>
        <row r="3284">
          <cell r="D3284">
            <v>620449</v>
          </cell>
          <cell r="E3284" t="str">
            <v>Dresses; women's or girls', of textile materials n.e.c. in item no. 6204.4 (not knitted or crocheted)</v>
          </cell>
          <cell r="F3284">
            <v>0</v>
          </cell>
          <cell r="G3284">
            <v>0</v>
          </cell>
          <cell r="H3284">
            <v>0</v>
          </cell>
          <cell r="I3284" t="str">
            <v>Others</v>
          </cell>
          <cell r="J3284">
            <v>3</v>
          </cell>
          <cell r="K3284" t="str">
            <v>Others</v>
          </cell>
        </row>
        <row r="3285">
          <cell r="D3285">
            <v>620451</v>
          </cell>
          <cell r="E3285" t="str">
            <v>Skirts and divided skirts; women's or girls', of wool or fine animal hair (not knitted or crocheted)</v>
          </cell>
          <cell r="F3285">
            <v>0</v>
          </cell>
          <cell r="G3285">
            <v>0</v>
          </cell>
          <cell r="H3285">
            <v>0</v>
          </cell>
          <cell r="I3285" t="str">
            <v>Others</v>
          </cell>
          <cell r="J3285">
            <v>3</v>
          </cell>
          <cell r="K3285" t="str">
            <v>Others</v>
          </cell>
        </row>
        <row r="3286">
          <cell r="D3286">
            <v>620452</v>
          </cell>
          <cell r="E3286" t="str">
            <v>Skirts and divided skirts; women's or girls', of cotton (not knitted or crocheted)</v>
          </cell>
          <cell r="F3286">
            <v>0</v>
          </cell>
          <cell r="G3286">
            <v>0</v>
          </cell>
          <cell r="H3286">
            <v>0</v>
          </cell>
          <cell r="I3286" t="str">
            <v>Others</v>
          </cell>
          <cell r="J3286">
            <v>3</v>
          </cell>
          <cell r="K3286" t="str">
            <v>Others</v>
          </cell>
        </row>
        <row r="3287">
          <cell r="D3287">
            <v>620453</v>
          </cell>
          <cell r="E3287" t="str">
            <v>Skirts and divided skirts; women's or girls', of synthetic fibres (not knitted or crocheted)</v>
          </cell>
          <cell r="F3287">
            <v>0</v>
          </cell>
          <cell r="G3287">
            <v>0</v>
          </cell>
          <cell r="H3287">
            <v>0</v>
          </cell>
          <cell r="I3287" t="str">
            <v>Others</v>
          </cell>
          <cell r="J3287">
            <v>3</v>
          </cell>
          <cell r="K3287" t="str">
            <v>Others</v>
          </cell>
        </row>
        <row r="3288">
          <cell r="D3288">
            <v>620459</v>
          </cell>
          <cell r="E3288" t="str">
            <v>Skirts and divided skirts; women's or girls', of textile materials n.e.c. in item no. 6204.5 (not knitted or crocheted)</v>
          </cell>
          <cell r="F3288">
            <v>0</v>
          </cell>
          <cell r="G3288">
            <v>0</v>
          </cell>
          <cell r="H3288">
            <v>0</v>
          </cell>
          <cell r="I3288" t="str">
            <v>Others</v>
          </cell>
          <cell r="J3288">
            <v>3</v>
          </cell>
          <cell r="K3288" t="str">
            <v>Others</v>
          </cell>
        </row>
        <row r="3289">
          <cell r="D3289">
            <v>620461</v>
          </cell>
          <cell r="E3289" t="str">
            <v>Trousers, bib and brace overalls, breeches and shorts; women's or girls', of wool or fine animal hair (not knitted or crocheted)</v>
          </cell>
          <cell r="F3289">
            <v>0</v>
          </cell>
          <cell r="G3289">
            <v>0</v>
          </cell>
          <cell r="H3289">
            <v>0</v>
          </cell>
          <cell r="I3289" t="str">
            <v>Others</v>
          </cell>
          <cell r="J3289">
            <v>3</v>
          </cell>
          <cell r="K3289" t="str">
            <v>Others</v>
          </cell>
        </row>
        <row r="3290">
          <cell r="D3290">
            <v>620462</v>
          </cell>
          <cell r="E3290" t="str">
            <v>Trousers, bib and brace overalls, breeches and shorts; women's or girls', of cotton (not knitted or crocheted)</v>
          </cell>
          <cell r="F3290">
            <v>0</v>
          </cell>
          <cell r="G3290">
            <v>0</v>
          </cell>
          <cell r="H3290">
            <v>0</v>
          </cell>
          <cell r="I3290" t="str">
            <v>Others</v>
          </cell>
          <cell r="J3290">
            <v>3</v>
          </cell>
          <cell r="K3290" t="str">
            <v>Others</v>
          </cell>
        </row>
        <row r="3291">
          <cell r="D3291">
            <v>620463</v>
          </cell>
          <cell r="E3291" t="str">
            <v>Trousers, bib and brace overalls, breeches and shorts; women's or girls', of synthetic fibres (not knitted or crocheted)</v>
          </cell>
          <cell r="F3291">
            <v>0</v>
          </cell>
          <cell r="G3291">
            <v>0</v>
          </cell>
          <cell r="H3291">
            <v>0</v>
          </cell>
          <cell r="I3291" t="str">
            <v>Others</v>
          </cell>
          <cell r="J3291">
            <v>3</v>
          </cell>
          <cell r="K3291" t="str">
            <v>Others</v>
          </cell>
        </row>
        <row r="3292">
          <cell r="D3292">
            <v>620469</v>
          </cell>
          <cell r="E3292" t="str">
            <v>Trousers, bib and brace overalls, breeches and shorts; women's or girls', of textile materials (other than wool, fine animal hair, cotton or synthetic fibres), (not knitted or crocheted)</v>
          </cell>
          <cell r="F3292">
            <v>0</v>
          </cell>
          <cell r="G3292">
            <v>0</v>
          </cell>
          <cell r="H3292">
            <v>0</v>
          </cell>
          <cell r="I3292" t="str">
            <v>Others</v>
          </cell>
          <cell r="J3292">
            <v>3</v>
          </cell>
          <cell r="K3292" t="str">
            <v>Others</v>
          </cell>
        </row>
        <row r="3293">
          <cell r="D3293">
            <v>620520</v>
          </cell>
          <cell r="E3293" t="str">
            <v>Shirts; men's or boys', of cotton (not knitted or crocheted)</v>
          </cell>
          <cell r="F3293">
            <v>0</v>
          </cell>
          <cell r="G3293">
            <v>0</v>
          </cell>
          <cell r="H3293">
            <v>0</v>
          </cell>
          <cell r="I3293" t="str">
            <v>Others</v>
          </cell>
          <cell r="J3293">
            <v>3</v>
          </cell>
          <cell r="K3293" t="str">
            <v>Others</v>
          </cell>
        </row>
        <row r="3294">
          <cell r="D3294">
            <v>620530</v>
          </cell>
          <cell r="E3294" t="str">
            <v>Shirts; men's or boys', of man-made fibres (not knitted or crocheted)</v>
          </cell>
          <cell r="F3294">
            <v>0</v>
          </cell>
          <cell r="G3294">
            <v>0</v>
          </cell>
          <cell r="H3294">
            <v>0</v>
          </cell>
          <cell r="I3294" t="str">
            <v>Others</v>
          </cell>
          <cell r="J3294">
            <v>3</v>
          </cell>
          <cell r="K3294" t="str">
            <v>Others</v>
          </cell>
        </row>
        <row r="3295">
          <cell r="D3295">
            <v>620590</v>
          </cell>
          <cell r="E3295" t="str">
            <v>Shirts; men's or boys', of textile materials n.e.c. in heading no. 6205 (not knitted or crocheted)</v>
          </cell>
          <cell r="F3295">
            <v>0</v>
          </cell>
          <cell r="G3295">
            <v>0</v>
          </cell>
          <cell r="H3295">
            <v>0</v>
          </cell>
          <cell r="I3295" t="str">
            <v>Others</v>
          </cell>
          <cell r="J3295">
            <v>3</v>
          </cell>
          <cell r="K3295" t="str">
            <v>Others</v>
          </cell>
        </row>
        <row r="3296">
          <cell r="D3296">
            <v>620610</v>
          </cell>
          <cell r="E3296" t="str">
            <v>Blouses, shirts and shirt-blouses; women's or girls', of silk or silk waste (not knitted or crocheted)</v>
          </cell>
          <cell r="F3296">
            <v>0</v>
          </cell>
          <cell r="G3296">
            <v>0</v>
          </cell>
          <cell r="H3296">
            <v>0</v>
          </cell>
          <cell r="I3296" t="str">
            <v>Others</v>
          </cell>
          <cell r="J3296">
            <v>3</v>
          </cell>
          <cell r="K3296" t="str">
            <v>Others</v>
          </cell>
        </row>
        <row r="3297">
          <cell r="D3297">
            <v>620620</v>
          </cell>
          <cell r="E3297" t="str">
            <v>Blouses, shirts and shirt-blouses; women's or girls', of wool or fine animal hair (not knitted or crocheted)</v>
          </cell>
          <cell r="F3297">
            <v>0</v>
          </cell>
          <cell r="G3297">
            <v>0</v>
          </cell>
          <cell r="H3297">
            <v>0</v>
          </cell>
          <cell r="I3297" t="str">
            <v>Others</v>
          </cell>
          <cell r="J3297">
            <v>3</v>
          </cell>
          <cell r="K3297" t="str">
            <v>Others</v>
          </cell>
        </row>
        <row r="3298">
          <cell r="D3298">
            <v>620630</v>
          </cell>
          <cell r="E3298" t="str">
            <v>Blouses, shirts and shirt-blouses; women's or girls', of cotton (not knitted or crocheted)</v>
          </cell>
          <cell r="F3298">
            <v>0</v>
          </cell>
          <cell r="G3298">
            <v>0</v>
          </cell>
          <cell r="H3298">
            <v>0</v>
          </cell>
          <cell r="I3298" t="str">
            <v>Others</v>
          </cell>
          <cell r="J3298">
            <v>3</v>
          </cell>
          <cell r="K3298" t="str">
            <v>Others</v>
          </cell>
        </row>
        <row r="3299">
          <cell r="D3299">
            <v>620640</v>
          </cell>
          <cell r="E3299" t="str">
            <v>Blouses, shirts and shirt-blouses; women's or girls', of man-made fibres (not knitted or crocheted)</v>
          </cell>
          <cell r="F3299">
            <v>0</v>
          </cell>
          <cell r="G3299">
            <v>0</v>
          </cell>
          <cell r="H3299">
            <v>0</v>
          </cell>
          <cell r="I3299" t="str">
            <v>Others</v>
          </cell>
          <cell r="J3299">
            <v>3</v>
          </cell>
          <cell r="K3299" t="str">
            <v>Others</v>
          </cell>
        </row>
        <row r="3300">
          <cell r="D3300">
            <v>620690</v>
          </cell>
          <cell r="E3300" t="str">
            <v>Blouses, shirts and shirt-blouses; women's or girls', of textile materials n.e.c. in heading no. 6206 (not knitted or crocheted)</v>
          </cell>
          <cell r="F3300">
            <v>0</v>
          </cell>
          <cell r="G3300">
            <v>0</v>
          </cell>
          <cell r="H3300">
            <v>0</v>
          </cell>
          <cell r="I3300" t="str">
            <v>Others</v>
          </cell>
          <cell r="J3300">
            <v>3</v>
          </cell>
          <cell r="K3300" t="str">
            <v>Others</v>
          </cell>
        </row>
        <row r="3301">
          <cell r="D3301">
            <v>620711</v>
          </cell>
          <cell r="E3301" t="str">
            <v>Underpants and briefs; men's or boys', of cotton (not knitted or crocheted)</v>
          </cell>
          <cell r="F3301">
            <v>0</v>
          </cell>
          <cell r="G3301">
            <v>0</v>
          </cell>
          <cell r="H3301">
            <v>0</v>
          </cell>
          <cell r="I3301" t="str">
            <v>Others</v>
          </cell>
          <cell r="J3301">
            <v>3</v>
          </cell>
          <cell r="K3301" t="str">
            <v>Others</v>
          </cell>
        </row>
        <row r="3302">
          <cell r="D3302">
            <v>620719</v>
          </cell>
          <cell r="E3302" t="str">
            <v>Underpants and briefs; men's or boys', of textile materials other than cotton (not knitted or crocheted)</v>
          </cell>
          <cell r="F3302">
            <v>0</v>
          </cell>
          <cell r="G3302">
            <v>0</v>
          </cell>
          <cell r="H3302">
            <v>0</v>
          </cell>
          <cell r="I3302" t="str">
            <v>Others</v>
          </cell>
          <cell r="J3302">
            <v>3</v>
          </cell>
          <cell r="K3302" t="str">
            <v>Others</v>
          </cell>
        </row>
        <row r="3303">
          <cell r="D3303">
            <v>620721</v>
          </cell>
          <cell r="E3303" t="str">
            <v>Nightshirts and pyjamas; men's or boys', of cotton (not knitted or crocheted)</v>
          </cell>
          <cell r="F3303">
            <v>0</v>
          </cell>
          <cell r="G3303">
            <v>0</v>
          </cell>
          <cell r="H3303">
            <v>0</v>
          </cell>
          <cell r="I3303" t="str">
            <v>Others</v>
          </cell>
          <cell r="J3303">
            <v>3</v>
          </cell>
          <cell r="K3303" t="str">
            <v>Others</v>
          </cell>
        </row>
        <row r="3304">
          <cell r="D3304">
            <v>620722</v>
          </cell>
          <cell r="E3304" t="str">
            <v>Nightshirts and pyjamas; men's or boys', of man-made fibres (not knitted or crocheted)</v>
          </cell>
          <cell r="F3304">
            <v>0</v>
          </cell>
          <cell r="G3304">
            <v>0</v>
          </cell>
          <cell r="H3304">
            <v>0</v>
          </cell>
          <cell r="I3304" t="str">
            <v>Others</v>
          </cell>
          <cell r="J3304">
            <v>3</v>
          </cell>
          <cell r="K3304" t="str">
            <v>Others</v>
          </cell>
        </row>
        <row r="3305">
          <cell r="D3305">
            <v>620729</v>
          </cell>
          <cell r="E3305" t="str">
            <v>Nightshirts and pyjamas; men's or boys', of textile materials other than cotton or man-made fibres (not knitted or crocheted)</v>
          </cell>
          <cell r="F3305">
            <v>0</v>
          </cell>
          <cell r="G3305">
            <v>0</v>
          </cell>
          <cell r="H3305">
            <v>0</v>
          </cell>
          <cell r="I3305" t="str">
            <v>Others</v>
          </cell>
          <cell r="J3305">
            <v>3</v>
          </cell>
          <cell r="K3305" t="str">
            <v>Others</v>
          </cell>
        </row>
        <row r="3306">
          <cell r="D3306">
            <v>620791</v>
          </cell>
          <cell r="E3306" t="str">
            <v>Singlets and other vests, bathrobes, dressing gowns and similar articles; men's or boys', of cotton (not knitted or crocheted)</v>
          </cell>
          <cell r="F3306">
            <v>0</v>
          </cell>
          <cell r="G3306">
            <v>0</v>
          </cell>
          <cell r="H3306">
            <v>0</v>
          </cell>
          <cell r="I3306" t="str">
            <v>Others</v>
          </cell>
          <cell r="J3306">
            <v>3</v>
          </cell>
          <cell r="K3306" t="str">
            <v>Others</v>
          </cell>
        </row>
        <row r="3307">
          <cell r="D3307">
            <v>620799</v>
          </cell>
          <cell r="E3307" t="str">
            <v>Singlets and other vests, bathrobes, dressing gowns and similar articles; men's or boys', of textile materials other than cotton (not knitted or crocheted)</v>
          </cell>
          <cell r="F3307">
            <v>0</v>
          </cell>
          <cell r="G3307">
            <v>0</v>
          </cell>
          <cell r="H3307">
            <v>0</v>
          </cell>
          <cell r="I3307" t="str">
            <v>Others</v>
          </cell>
          <cell r="J3307">
            <v>3</v>
          </cell>
          <cell r="K3307" t="str">
            <v>Others</v>
          </cell>
        </row>
        <row r="3308">
          <cell r="D3308">
            <v>620811</v>
          </cell>
          <cell r="E3308" t="str">
            <v>Slips and petticoats; women's or girls', of man-made fibres (not knitted or crocheted)</v>
          </cell>
          <cell r="F3308">
            <v>0</v>
          </cell>
          <cell r="G3308">
            <v>0</v>
          </cell>
          <cell r="H3308">
            <v>0</v>
          </cell>
          <cell r="I3308" t="str">
            <v>Others</v>
          </cell>
          <cell r="J3308">
            <v>3</v>
          </cell>
          <cell r="K3308" t="str">
            <v>Others</v>
          </cell>
        </row>
        <row r="3309">
          <cell r="D3309">
            <v>620819</v>
          </cell>
          <cell r="E3309" t="str">
            <v>Slips and petticoats; women's or girls', of textile materials other than man-made fibres (not knitted or crocheted)</v>
          </cell>
          <cell r="F3309">
            <v>0</v>
          </cell>
          <cell r="G3309">
            <v>0</v>
          </cell>
          <cell r="H3309">
            <v>0</v>
          </cell>
          <cell r="I3309" t="str">
            <v>Others</v>
          </cell>
          <cell r="J3309">
            <v>3</v>
          </cell>
          <cell r="K3309" t="str">
            <v>Others</v>
          </cell>
        </row>
        <row r="3310">
          <cell r="D3310">
            <v>620821</v>
          </cell>
          <cell r="E3310" t="str">
            <v>Nightdresses and pyjamas; women's or girls', of cotton (not knitted or crocheted)</v>
          </cell>
          <cell r="F3310">
            <v>0</v>
          </cell>
          <cell r="G3310">
            <v>0</v>
          </cell>
          <cell r="H3310">
            <v>0</v>
          </cell>
          <cell r="I3310" t="str">
            <v>Others</v>
          </cell>
          <cell r="J3310">
            <v>3</v>
          </cell>
          <cell r="K3310" t="str">
            <v>Others</v>
          </cell>
        </row>
        <row r="3311">
          <cell r="D3311">
            <v>620822</v>
          </cell>
          <cell r="E3311" t="str">
            <v>Nightdresses and pyjamas; women's or girls', of man-made fibres (not knitted or crocheted)</v>
          </cell>
          <cell r="F3311">
            <v>0</v>
          </cell>
          <cell r="G3311">
            <v>0</v>
          </cell>
          <cell r="H3311">
            <v>0</v>
          </cell>
          <cell r="I3311" t="str">
            <v>Others</v>
          </cell>
          <cell r="J3311">
            <v>3</v>
          </cell>
          <cell r="K3311" t="str">
            <v>Others</v>
          </cell>
        </row>
        <row r="3312">
          <cell r="D3312">
            <v>620829</v>
          </cell>
          <cell r="E3312" t="str">
            <v>Nightdresses and pyjamas; women's or girls', of textile materials other than cotton or man-made fibres (not knitted or crocheted)</v>
          </cell>
          <cell r="F3312">
            <v>0</v>
          </cell>
          <cell r="G3312">
            <v>0</v>
          </cell>
          <cell r="H3312">
            <v>0</v>
          </cell>
          <cell r="I3312" t="str">
            <v>Others</v>
          </cell>
          <cell r="J3312">
            <v>3</v>
          </cell>
          <cell r="K3312" t="str">
            <v>Others</v>
          </cell>
        </row>
        <row r="3313">
          <cell r="D3313">
            <v>620891</v>
          </cell>
          <cell r="E3313" t="str">
            <v>Singlets and other vests, briefs, panties, negligees, bathrobes, dressing gowns and similar articles; women's or girls', of cotton (not knitted or crocheted)</v>
          </cell>
          <cell r="F3313">
            <v>0</v>
          </cell>
          <cell r="G3313">
            <v>0</v>
          </cell>
          <cell r="H3313">
            <v>0</v>
          </cell>
          <cell r="I3313" t="str">
            <v>Others</v>
          </cell>
          <cell r="J3313">
            <v>3</v>
          </cell>
          <cell r="K3313" t="str">
            <v>Others</v>
          </cell>
        </row>
        <row r="3314">
          <cell r="D3314">
            <v>620892</v>
          </cell>
          <cell r="E3314" t="str">
            <v>Singlets and other vests, briefs, panties, negligees, bathrobes, dressing gowns etc.; women's or girls', of man-made fibres (not knitted or crocheted), excluding incontinence or other sanitary garments or garment liners of heading no. 96.19</v>
          </cell>
          <cell r="F3314">
            <v>0</v>
          </cell>
          <cell r="G3314">
            <v>0</v>
          </cell>
          <cell r="H3314">
            <v>0</v>
          </cell>
          <cell r="I3314" t="str">
            <v>Others</v>
          </cell>
          <cell r="J3314">
            <v>3</v>
          </cell>
          <cell r="K3314" t="str">
            <v>Others</v>
          </cell>
        </row>
        <row r="3315">
          <cell r="D3315">
            <v>620899</v>
          </cell>
          <cell r="E3315" t="str">
            <v>Singlets and other vests, briefs, panties, negligees, bathrobes, dressing gowns and similar articles; women's or girls', of textile materials other than cotton or man-made fibres (not knitted or crocheted)</v>
          </cell>
          <cell r="F3315">
            <v>0</v>
          </cell>
          <cell r="G3315">
            <v>0</v>
          </cell>
          <cell r="H3315">
            <v>0</v>
          </cell>
          <cell r="I3315" t="str">
            <v>Others</v>
          </cell>
          <cell r="J3315">
            <v>3</v>
          </cell>
          <cell r="K3315" t="str">
            <v>Others</v>
          </cell>
        </row>
        <row r="3316">
          <cell r="D3316">
            <v>620920</v>
          </cell>
          <cell r="E3316" t="str">
            <v>Garments and clothing accessories; babies', of cotton (not knitted or crocheted)</v>
          </cell>
          <cell r="F3316">
            <v>0</v>
          </cell>
          <cell r="G3316">
            <v>0</v>
          </cell>
          <cell r="H3316">
            <v>0</v>
          </cell>
          <cell r="I3316" t="str">
            <v>Others</v>
          </cell>
          <cell r="J3316">
            <v>3</v>
          </cell>
          <cell r="K3316" t="str">
            <v>Others</v>
          </cell>
        </row>
        <row r="3317">
          <cell r="D3317">
            <v>620930</v>
          </cell>
          <cell r="E3317" t="str">
            <v>Garments and clothing accessories; babies', of synthetic fibres (not knitted or crocheted)</v>
          </cell>
          <cell r="F3317">
            <v>0</v>
          </cell>
          <cell r="G3317">
            <v>0</v>
          </cell>
          <cell r="H3317">
            <v>0</v>
          </cell>
          <cell r="I3317" t="str">
            <v>Others</v>
          </cell>
          <cell r="J3317">
            <v>3</v>
          </cell>
          <cell r="K3317" t="str">
            <v>Others</v>
          </cell>
        </row>
        <row r="3318">
          <cell r="D3318">
            <v>620990</v>
          </cell>
          <cell r="E3318" t="str">
            <v>Garments and clothing accessories; babies', of textile materials other than cotton or synthetic fibres (not knitted or crocheted)</v>
          </cell>
          <cell r="F3318">
            <v>0</v>
          </cell>
          <cell r="G3318">
            <v>0</v>
          </cell>
          <cell r="H3318">
            <v>0</v>
          </cell>
          <cell r="I3318" t="str">
            <v>Others</v>
          </cell>
          <cell r="J3318">
            <v>3</v>
          </cell>
          <cell r="K3318" t="str">
            <v>Others</v>
          </cell>
        </row>
        <row r="3319">
          <cell r="D3319">
            <v>621010</v>
          </cell>
          <cell r="E3319" t="str">
            <v>Garments; of felt or non-wovens (not knitted or crocheted)</v>
          </cell>
          <cell r="F3319">
            <v>0</v>
          </cell>
          <cell r="G3319">
            <v>0</v>
          </cell>
          <cell r="H3319">
            <v>0</v>
          </cell>
          <cell r="I3319" t="str">
            <v>Others</v>
          </cell>
          <cell r="J3319">
            <v>3</v>
          </cell>
          <cell r="K3319" t="str">
            <v>Others</v>
          </cell>
        </row>
        <row r="3320">
          <cell r="D3320">
            <v>621020</v>
          </cell>
          <cell r="E3320" t="str">
            <v>Garments; overcoats, raincoats, car-coats, capes, cloaks, anoraks (including ski-jackets) and similar articles, men's or boys', of the fabrics of heading no. 5602, 5603, 5903, 5906 or 5907 (not knitted or crocheted)</v>
          </cell>
          <cell r="F3320">
            <v>0</v>
          </cell>
          <cell r="G3320">
            <v>0</v>
          </cell>
          <cell r="H3320">
            <v>0</v>
          </cell>
          <cell r="I3320" t="str">
            <v>Others</v>
          </cell>
          <cell r="J3320">
            <v>3</v>
          </cell>
          <cell r="K3320" t="str">
            <v>Others</v>
          </cell>
        </row>
        <row r="3321">
          <cell r="D3321">
            <v>621030</v>
          </cell>
          <cell r="E3321" t="str">
            <v>Garments; overcoats, raincoats, car-coats, capes, cloaks, anoraks (including ski-jackets) and similar articles, women's or girls', of the fabrics of heading no. 5602, 5603, 5903, 5906 or 5907 (not knitted or crocheted)</v>
          </cell>
          <cell r="F3321">
            <v>0</v>
          </cell>
          <cell r="G3321">
            <v>0</v>
          </cell>
          <cell r="H3321">
            <v>0</v>
          </cell>
          <cell r="I3321" t="str">
            <v>Others</v>
          </cell>
          <cell r="J3321">
            <v>3</v>
          </cell>
          <cell r="K3321" t="str">
            <v>Others</v>
          </cell>
        </row>
        <row r="3322">
          <cell r="D3322">
            <v>621040</v>
          </cell>
          <cell r="E3322" t="str">
            <v>Garments; men's or boys', n.e.c. in item no. 6210.2, of the fabrics of heading no. 5602, 5603, 5903, 5906 or 5907 (not knitted or crocheted)</v>
          </cell>
          <cell r="F3322">
            <v>0</v>
          </cell>
          <cell r="G3322">
            <v>0</v>
          </cell>
          <cell r="H3322">
            <v>0</v>
          </cell>
          <cell r="I3322" t="str">
            <v>Others</v>
          </cell>
          <cell r="J3322">
            <v>3</v>
          </cell>
          <cell r="K3322" t="str">
            <v>Others</v>
          </cell>
        </row>
        <row r="3323">
          <cell r="D3323">
            <v>621050</v>
          </cell>
          <cell r="E3323" t="str">
            <v>Garments; women's or girls', n.e.c. in item no. 6210.3, of the fabrics of heading no. 5602, 5603, 5903, 5906 or 5907 (not knitted or crocheted)</v>
          </cell>
          <cell r="F3323">
            <v>0</v>
          </cell>
          <cell r="G3323">
            <v>0</v>
          </cell>
          <cell r="H3323">
            <v>0</v>
          </cell>
          <cell r="I3323" t="str">
            <v>Others</v>
          </cell>
          <cell r="J3323">
            <v>3</v>
          </cell>
          <cell r="K3323" t="str">
            <v>Others</v>
          </cell>
        </row>
        <row r="3324">
          <cell r="D3324">
            <v>621111</v>
          </cell>
          <cell r="E3324" t="str">
            <v>Swimwear; men's or boys', (not knitted or crocheted)</v>
          </cell>
          <cell r="F3324">
            <v>0</v>
          </cell>
          <cell r="G3324">
            <v>0</v>
          </cell>
          <cell r="H3324">
            <v>0</v>
          </cell>
          <cell r="I3324" t="str">
            <v>Others</v>
          </cell>
          <cell r="J3324">
            <v>3</v>
          </cell>
          <cell r="K3324" t="str">
            <v>Others</v>
          </cell>
        </row>
        <row r="3325">
          <cell r="D3325">
            <v>621112</v>
          </cell>
          <cell r="E3325" t="str">
            <v>Swimwear; women's or girls', (not knitted or crocheted)</v>
          </cell>
          <cell r="F3325">
            <v>0</v>
          </cell>
          <cell r="G3325">
            <v>0</v>
          </cell>
          <cell r="H3325">
            <v>0</v>
          </cell>
          <cell r="I3325" t="str">
            <v>Others</v>
          </cell>
          <cell r="J3325">
            <v>3</v>
          </cell>
          <cell r="K3325" t="str">
            <v>Others</v>
          </cell>
        </row>
        <row r="3326">
          <cell r="D3326">
            <v>621120</v>
          </cell>
          <cell r="E3326" t="str">
            <v>Ski suits; (not knitted or crocheted)</v>
          </cell>
          <cell r="F3326">
            <v>0</v>
          </cell>
          <cell r="G3326">
            <v>0</v>
          </cell>
          <cell r="H3326">
            <v>0</v>
          </cell>
          <cell r="I3326" t="str">
            <v>Others</v>
          </cell>
          <cell r="J3326">
            <v>3</v>
          </cell>
          <cell r="K3326" t="str">
            <v>Others</v>
          </cell>
        </row>
        <row r="3327">
          <cell r="D3327">
            <v>621132</v>
          </cell>
          <cell r="E3327" t="str">
            <v>Track suits and other garments n.e.c.; men's or boys', of cotton (not knitted or crocheted)</v>
          </cell>
          <cell r="F3327">
            <v>0</v>
          </cell>
          <cell r="G3327">
            <v>0</v>
          </cell>
          <cell r="H3327">
            <v>0</v>
          </cell>
          <cell r="I3327" t="str">
            <v>Others</v>
          </cell>
          <cell r="J3327">
            <v>3</v>
          </cell>
          <cell r="K3327" t="str">
            <v>Others</v>
          </cell>
        </row>
        <row r="3328">
          <cell r="D3328">
            <v>621133</v>
          </cell>
          <cell r="E3328" t="str">
            <v>Track suits and other garments n.e.c.; men's or boys', of man-made fibres (not knitted or crocheted)</v>
          </cell>
          <cell r="F3328" t="str">
            <v>Consumables</v>
          </cell>
          <cell r="G3328">
            <v>0</v>
          </cell>
          <cell r="H3328">
            <v>0</v>
          </cell>
          <cell r="I3328" t="str">
            <v>Others</v>
          </cell>
          <cell r="J3328">
            <v>2</v>
          </cell>
          <cell r="K3328" t="str">
            <v>Others</v>
          </cell>
        </row>
        <row r="3329">
          <cell r="D3329">
            <v>621139</v>
          </cell>
          <cell r="E3329" t="str">
            <v>Track suits and other garments n.e.c.; men's or boys', of textile materials n.e.c. in item no. 6211.3 (not knitted or crocheted)</v>
          </cell>
          <cell r="F3329" t="str">
            <v>Consumables</v>
          </cell>
          <cell r="G3329">
            <v>0</v>
          </cell>
          <cell r="H3329">
            <v>0</v>
          </cell>
          <cell r="I3329" t="str">
            <v>Others</v>
          </cell>
          <cell r="J3329">
            <v>2</v>
          </cell>
          <cell r="K3329" t="str">
            <v>Consumables - rc</v>
          </cell>
        </row>
        <row r="3330">
          <cell r="D3330">
            <v>621142</v>
          </cell>
          <cell r="E3330" t="str">
            <v>Track suits and other garments n.e.c.; women's or girls', of cotton (not knitted or crocheted)</v>
          </cell>
          <cell r="F3330">
            <v>0</v>
          </cell>
          <cell r="G3330">
            <v>0</v>
          </cell>
          <cell r="H3330">
            <v>0</v>
          </cell>
          <cell r="I3330" t="str">
            <v>Others</v>
          </cell>
          <cell r="J3330">
            <v>3</v>
          </cell>
          <cell r="K3330" t="str">
            <v>Others</v>
          </cell>
        </row>
        <row r="3331">
          <cell r="D3331">
            <v>621143</v>
          </cell>
          <cell r="E3331" t="str">
            <v>Track suits and other garments n.e.c.; women's or girls', of man-made fibres (not knitted or crocheted)</v>
          </cell>
          <cell r="F3331">
            <v>0</v>
          </cell>
          <cell r="G3331">
            <v>0</v>
          </cell>
          <cell r="H3331">
            <v>0</v>
          </cell>
          <cell r="I3331" t="str">
            <v>Others</v>
          </cell>
          <cell r="J3331">
            <v>3</v>
          </cell>
          <cell r="K3331" t="str">
            <v>Others</v>
          </cell>
        </row>
        <row r="3332">
          <cell r="D3332">
            <v>621149</v>
          </cell>
          <cell r="E3332" t="str">
            <v>Track suits and other garments n.e.c.; women's or girls', of textile materials n.e.c. in item no. 6211.4 (not knitted or crocheted)</v>
          </cell>
          <cell r="F3332" t="str">
            <v>Consumables</v>
          </cell>
          <cell r="G3332">
            <v>0</v>
          </cell>
          <cell r="H3332">
            <v>0</v>
          </cell>
          <cell r="I3332" t="str">
            <v>Others</v>
          </cell>
          <cell r="J3332">
            <v>2</v>
          </cell>
          <cell r="K3332" t="str">
            <v>Consumables - rc</v>
          </cell>
        </row>
        <row r="3333">
          <cell r="D3333">
            <v>621210</v>
          </cell>
          <cell r="E3333" t="str">
            <v>Brassieres; whether or not knitted or crocheted</v>
          </cell>
          <cell r="F3333">
            <v>0</v>
          </cell>
          <cell r="G3333">
            <v>0</v>
          </cell>
          <cell r="H3333">
            <v>0</v>
          </cell>
          <cell r="I3333" t="str">
            <v>Others</v>
          </cell>
          <cell r="J3333">
            <v>3</v>
          </cell>
          <cell r="K3333" t="str">
            <v>Others</v>
          </cell>
        </row>
        <row r="3334">
          <cell r="D3334">
            <v>621220</v>
          </cell>
          <cell r="E3334" t="str">
            <v>Girdles and panty-girdles; whether or not knitted or crocheted</v>
          </cell>
          <cell r="F3334">
            <v>0</v>
          </cell>
          <cell r="G3334">
            <v>0</v>
          </cell>
          <cell r="H3334">
            <v>0</v>
          </cell>
          <cell r="I3334" t="str">
            <v>Others</v>
          </cell>
          <cell r="J3334">
            <v>3</v>
          </cell>
          <cell r="K3334" t="str">
            <v>Others</v>
          </cell>
        </row>
        <row r="3335">
          <cell r="D3335">
            <v>621230</v>
          </cell>
          <cell r="E3335" t="str">
            <v>Corselettes; whether or not knitted or crocheted</v>
          </cell>
          <cell r="F3335">
            <v>0</v>
          </cell>
          <cell r="G3335">
            <v>0</v>
          </cell>
          <cell r="H3335">
            <v>0</v>
          </cell>
          <cell r="I3335" t="str">
            <v>Others</v>
          </cell>
          <cell r="J3335">
            <v>3</v>
          </cell>
          <cell r="K3335" t="str">
            <v>Others</v>
          </cell>
        </row>
        <row r="3336">
          <cell r="D3336">
            <v>621290</v>
          </cell>
          <cell r="E3336" t="str">
            <v>Braces, suspenders, garters and similar articles; whether or not knitted or crocheted, n.e.c. in heading no. 6212</v>
          </cell>
          <cell r="F3336">
            <v>0</v>
          </cell>
          <cell r="G3336">
            <v>0</v>
          </cell>
          <cell r="H3336">
            <v>0</v>
          </cell>
          <cell r="I3336" t="str">
            <v>Others</v>
          </cell>
          <cell r="J3336">
            <v>3</v>
          </cell>
          <cell r="K3336" t="str">
            <v>Others</v>
          </cell>
        </row>
        <row r="3337">
          <cell r="D3337">
            <v>621320</v>
          </cell>
          <cell r="E3337" t="str">
            <v>Handkerchiefs; of cotton (not knitted or crocheted)</v>
          </cell>
          <cell r="F3337">
            <v>0</v>
          </cell>
          <cell r="G3337">
            <v>0</v>
          </cell>
          <cell r="H3337">
            <v>0</v>
          </cell>
          <cell r="I3337" t="str">
            <v>Others</v>
          </cell>
          <cell r="J3337">
            <v>3</v>
          </cell>
          <cell r="K3337" t="str">
            <v>Others</v>
          </cell>
        </row>
        <row r="3338">
          <cell r="D3338">
            <v>621390</v>
          </cell>
          <cell r="E3338" t="str">
            <v>Handkerchiefs; of textile materials other than cotton (not knitted or crocheted)</v>
          </cell>
          <cell r="F3338">
            <v>0</v>
          </cell>
          <cell r="G3338">
            <v>0</v>
          </cell>
          <cell r="H3338">
            <v>0</v>
          </cell>
          <cell r="I3338" t="str">
            <v>Others</v>
          </cell>
          <cell r="J3338">
            <v>3</v>
          </cell>
          <cell r="K3338" t="str">
            <v>Others</v>
          </cell>
        </row>
        <row r="3339">
          <cell r="D3339">
            <v>621410</v>
          </cell>
          <cell r="E3339" t="str">
            <v>Shawls, scarves, mufflers, mantillas, veils and the like; of silk or silk waste (not knitted or crocheted)</v>
          </cell>
          <cell r="F3339">
            <v>0</v>
          </cell>
          <cell r="G3339">
            <v>0</v>
          </cell>
          <cell r="H3339">
            <v>0</v>
          </cell>
          <cell r="I3339" t="str">
            <v>Others</v>
          </cell>
          <cell r="J3339">
            <v>3</v>
          </cell>
          <cell r="K3339" t="str">
            <v>Others</v>
          </cell>
        </row>
        <row r="3340">
          <cell r="D3340">
            <v>621420</v>
          </cell>
          <cell r="E3340" t="str">
            <v>Shawls, scarves, mufflers, mantillas, veils and the like; of wool or fine animal hair (not knitted or crocheted)</v>
          </cell>
          <cell r="F3340">
            <v>0</v>
          </cell>
          <cell r="G3340">
            <v>0</v>
          </cell>
          <cell r="H3340">
            <v>0</v>
          </cell>
          <cell r="I3340" t="str">
            <v>Others</v>
          </cell>
          <cell r="J3340">
            <v>3</v>
          </cell>
          <cell r="K3340" t="str">
            <v>Others</v>
          </cell>
        </row>
        <row r="3341">
          <cell r="D3341">
            <v>621430</v>
          </cell>
          <cell r="E3341" t="str">
            <v>Shawls, scarves, mufflers, mantillas, veils and the like; of synthetic fibres (not knitted or crocheted)</v>
          </cell>
          <cell r="F3341">
            <v>0</v>
          </cell>
          <cell r="G3341">
            <v>0</v>
          </cell>
          <cell r="H3341">
            <v>0</v>
          </cell>
          <cell r="I3341" t="str">
            <v>Others</v>
          </cell>
          <cell r="J3341">
            <v>3</v>
          </cell>
          <cell r="K3341" t="str">
            <v>Others</v>
          </cell>
        </row>
        <row r="3342">
          <cell r="D3342">
            <v>621440</v>
          </cell>
          <cell r="E3342" t="str">
            <v>Shawls, scarves, mufflers, mantillas, veils and the like; of artificial fibres (not knitted or crocheted)</v>
          </cell>
          <cell r="F3342">
            <v>0</v>
          </cell>
          <cell r="G3342">
            <v>0</v>
          </cell>
          <cell r="H3342">
            <v>0</v>
          </cell>
          <cell r="I3342" t="str">
            <v>Others</v>
          </cell>
          <cell r="J3342">
            <v>3</v>
          </cell>
          <cell r="K3342" t="str">
            <v>Others</v>
          </cell>
        </row>
        <row r="3343">
          <cell r="D3343">
            <v>621490</v>
          </cell>
          <cell r="E3343" t="str">
            <v>Shawls, scarves, mufflers, mantillas, veils and the like; of textile materials n.e.c. in heading no. 6214 (not knitted or crocheted)</v>
          </cell>
          <cell r="F3343">
            <v>0</v>
          </cell>
          <cell r="G3343">
            <v>0</v>
          </cell>
          <cell r="H3343">
            <v>0</v>
          </cell>
          <cell r="I3343" t="str">
            <v>Others</v>
          </cell>
          <cell r="J3343">
            <v>3</v>
          </cell>
          <cell r="K3343" t="str">
            <v>Others</v>
          </cell>
        </row>
        <row r="3344">
          <cell r="D3344">
            <v>621510</v>
          </cell>
          <cell r="E3344" t="str">
            <v>Ties, bow ties and cravats; of silk or silk waste (not knitted or crocheted)</v>
          </cell>
          <cell r="F3344">
            <v>0</v>
          </cell>
          <cell r="G3344">
            <v>0</v>
          </cell>
          <cell r="H3344">
            <v>0</v>
          </cell>
          <cell r="I3344" t="str">
            <v>Others</v>
          </cell>
          <cell r="J3344">
            <v>3</v>
          </cell>
          <cell r="K3344" t="str">
            <v>Others</v>
          </cell>
        </row>
        <row r="3345">
          <cell r="D3345">
            <v>621520</v>
          </cell>
          <cell r="E3345" t="str">
            <v>Ties, bow ties and cravats; of man-made fibres (not knitted or crocheted)</v>
          </cell>
          <cell r="F3345">
            <v>0</v>
          </cell>
          <cell r="G3345">
            <v>0</v>
          </cell>
          <cell r="H3345">
            <v>0</v>
          </cell>
          <cell r="I3345" t="str">
            <v>Others</v>
          </cell>
          <cell r="J3345">
            <v>3</v>
          </cell>
          <cell r="K3345" t="str">
            <v>Others</v>
          </cell>
        </row>
        <row r="3346">
          <cell r="D3346">
            <v>621590</v>
          </cell>
          <cell r="E3346" t="str">
            <v>Ties, bow ties and cravats; of textile materials other than silk or man-made fibres (not knitted or crocheted)</v>
          </cell>
          <cell r="F3346">
            <v>0</v>
          </cell>
          <cell r="G3346">
            <v>0</v>
          </cell>
          <cell r="H3346">
            <v>0</v>
          </cell>
          <cell r="I3346" t="str">
            <v>Others</v>
          </cell>
          <cell r="J3346">
            <v>3</v>
          </cell>
          <cell r="K3346" t="str">
            <v>Others</v>
          </cell>
        </row>
        <row r="3347">
          <cell r="D3347">
            <v>621600</v>
          </cell>
          <cell r="E3347" t="str">
            <v>Gloves, mittens and mitts (not knitted or crocheted)</v>
          </cell>
          <cell r="F3347" t="str">
            <v>Consumables</v>
          </cell>
          <cell r="G3347">
            <v>0</v>
          </cell>
          <cell r="H3347">
            <v>0</v>
          </cell>
          <cell r="I3347" t="str">
            <v>Others</v>
          </cell>
          <cell r="J3347">
            <v>2</v>
          </cell>
          <cell r="K3347" t="str">
            <v>Consumables</v>
          </cell>
        </row>
        <row r="3348">
          <cell r="D3348">
            <v>621710</v>
          </cell>
          <cell r="E3348" t="str">
            <v>Clothing accessories; other than those of heading no. 6212 (not knitted or crocheted)</v>
          </cell>
          <cell r="F3348">
            <v>0</v>
          </cell>
          <cell r="G3348">
            <v>0</v>
          </cell>
          <cell r="H3348">
            <v>0</v>
          </cell>
          <cell r="I3348" t="str">
            <v>Others</v>
          </cell>
          <cell r="J3348">
            <v>3</v>
          </cell>
          <cell r="K3348" t="str">
            <v>Others</v>
          </cell>
        </row>
        <row r="3349">
          <cell r="D3349">
            <v>621790</v>
          </cell>
          <cell r="E3349" t="str">
            <v>Clothing; parts of garments or of clothing accessories, other than those of heading no. 6212 (not knitted or crocheted)</v>
          </cell>
          <cell r="F3349" t="str">
            <v>Consumables</v>
          </cell>
          <cell r="G3349">
            <v>0</v>
          </cell>
          <cell r="H3349">
            <v>0</v>
          </cell>
          <cell r="I3349" t="str">
            <v>Others</v>
          </cell>
          <cell r="J3349">
            <v>2</v>
          </cell>
          <cell r="K3349" t="str">
            <v>Consumables - rc</v>
          </cell>
        </row>
        <row r="3350">
          <cell r="D3350">
            <v>630110</v>
          </cell>
          <cell r="E3350" t="str">
            <v>Blankets; electric</v>
          </cell>
          <cell r="F3350">
            <v>0</v>
          </cell>
          <cell r="G3350">
            <v>0</v>
          </cell>
          <cell r="H3350">
            <v>0</v>
          </cell>
          <cell r="I3350" t="str">
            <v>Others</v>
          </cell>
          <cell r="J3350">
            <v>3</v>
          </cell>
          <cell r="K3350" t="str">
            <v>Others</v>
          </cell>
        </row>
        <row r="3351">
          <cell r="D3351">
            <v>630120</v>
          </cell>
          <cell r="E3351" t="str">
            <v>Blankets (other than electric blankets) and travelling rugs; of wool or of fine animal hair</v>
          </cell>
          <cell r="F3351">
            <v>0</v>
          </cell>
          <cell r="G3351">
            <v>0</v>
          </cell>
          <cell r="H3351">
            <v>0</v>
          </cell>
          <cell r="I3351" t="str">
            <v>Others</v>
          </cell>
          <cell r="J3351">
            <v>3</v>
          </cell>
          <cell r="K3351" t="str">
            <v>Others</v>
          </cell>
        </row>
        <row r="3352">
          <cell r="D3352">
            <v>630130</v>
          </cell>
          <cell r="E3352" t="str">
            <v>Blankets (other than electric blankets) and travelling rugs; of cotton</v>
          </cell>
          <cell r="F3352">
            <v>0</v>
          </cell>
          <cell r="G3352">
            <v>0</v>
          </cell>
          <cell r="H3352">
            <v>0</v>
          </cell>
          <cell r="I3352" t="str">
            <v>Others</v>
          </cell>
          <cell r="J3352">
            <v>3</v>
          </cell>
          <cell r="K3352" t="str">
            <v>Others</v>
          </cell>
        </row>
        <row r="3353">
          <cell r="D3353">
            <v>630140</v>
          </cell>
          <cell r="E3353" t="str">
            <v>Blankets (other than electric blankets) and travelling rugs; of synthetic fibres</v>
          </cell>
          <cell r="F3353">
            <v>0</v>
          </cell>
          <cell r="G3353">
            <v>0</v>
          </cell>
          <cell r="H3353">
            <v>0</v>
          </cell>
          <cell r="I3353" t="str">
            <v>Others</v>
          </cell>
          <cell r="J3353">
            <v>3</v>
          </cell>
          <cell r="K3353" t="str">
            <v>Others</v>
          </cell>
        </row>
        <row r="3354">
          <cell r="D3354">
            <v>630190</v>
          </cell>
          <cell r="E3354" t="str">
            <v>Blankets and travelling rugs; n.e.c. in heading no. 6301</v>
          </cell>
          <cell r="F3354" t="str">
            <v>Consumables</v>
          </cell>
          <cell r="G3354">
            <v>0</v>
          </cell>
          <cell r="H3354">
            <v>0</v>
          </cell>
          <cell r="I3354" t="str">
            <v>Others</v>
          </cell>
          <cell r="J3354">
            <v>2</v>
          </cell>
          <cell r="K3354" t="str">
            <v>Consumables - rc</v>
          </cell>
        </row>
        <row r="3355">
          <cell r="D3355">
            <v>630210</v>
          </cell>
          <cell r="E3355" t="str">
            <v>Bed linen; knitted or crocheted</v>
          </cell>
          <cell r="F3355">
            <v>0</v>
          </cell>
          <cell r="G3355">
            <v>0</v>
          </cell>
          <cell r="H3355">
            <v>0</v>
          </cell>
          <cell r="I3355" t="str">
            <v>Others</v>
          </cell>
          <cell r="J3355">
            <v>3</v>
          </cell>
          <cell r="K3355" t="str">
            <v>Others</v>
          </cell>
        </row>
        <row r="3356">
          <cell r="D3356">
            <v>630221</v>
          </cell>
          <cell r="E3356" t="str">
            <v>Bed linen; of cotton, printed, not knitted or crocheted</v>
          </cell>
          <cell r="F3356">
            <v>0</v>
          </cell>
          <cell r="G3356">
            <v>0</v>
          </cell>
          <cell r="H3356">
            <v>0</v>
          </cell>
          <cell r="I3356" t="str">
            <v>Others</v>
          </cell>
          <cell r="J3356">
            <v>3</v>
          </cell>
          <cell r="K3356" t="str">
            <v>Others</v>
          </cell>
        </row>
        <row r="3357">
          <cell r="D3357">
            <v>630222</v>
          </cell>
          <cell r="E3357" t="str">
            <v>Bed linen; of man-made fibres, printed, not knitted or crocheted</v>
          </cell>
          <cell r="F3357">
            <v>0</v>
          </cell>
          <cell r="G3357">
            <v>0</v>
          </cell>
          <cell r="H3357">
            <v>0</v>
          </cell>
          <cell r="I3357" t="str">
            <v>Others</v>
          </cell>
          <cell r="J3357">
            <v>3</v>
          </cell>
          <cell r="K3357" t="str">
            <v>Others</v>
          </cell>
        </row>
        <row r="3358">
          <cell r="D3358">
            <v>630229</v>
          </cell>
          <cell r="E3358" t="str">
            <v>Bed linen; of textile materials (other than cotton or man-made fibres), printed, not knitted or crocheted</v>
          </cell>
          <cell r="F3358">
            <v>0</v>
          </cell>
          <cell r="G3358">
            <v>0</v>
          </cell>
          <cell r="H3358">
            <v>0</v>
          </cell>
          <cell r="I3358" t="str">
            <v>Others</v>
          </cell>
          <cell r="J3358">
            <v>3</v>
          </cell>
          <cell r="K3358" t="str">
            <v>Others</v>
          </cell>
        </row>
        <row r="3359">
          <cell r="D3359">
            <v>630231</v>
          </cell>
          <cell r="E3359" t="str">
            <v>Bed linen; of cotton (not printed, knitted or crocheted)</v>
          </cell>
          <cell r="F3359">
            <v>0</v>
          </cell>
          <cell r="G3359">
            <v>0</v>
          </cell>
          <cell r="H3359">
            <v>0</v>
          </cell>
          <cell r="I3359" t="str">
            <v>Others</v>
          </cell>
          <cell r="J3359">
            <v>3</v>
          </cell>
          <cell r="K3359" t="str">
            <v>Others</v>
          </cell>
        </row>
        <row r="3360">
          <cell r="D3360">
            <v>630232</v>
          </cell>
          <cell r="E3360" t="str">
            <v>Bed linen; of man-made fibres (not printed, knitted or crocheted)</v>
          </cell>
          <cell r="F3360">
            <v>0</v>
          </cell>
          <cell r="G3360">
            <v>0</v>
          </cell>
          <cell r="H3360">
            <v>0</v>
          </cell>
          <cell r="I3360" t="str">
            <v>Others</v>
          </cell>
          <cell r="J3360">
            <v>3</v>
          </cell>
          <cell r="K3360" t="str">
            <v>Others</v>
          </cell>
        </row>
        <row r="3361">
          <cell r="D3361">
            <v>630239</v>
          </cell>
          <cell r="E3361" t="str">
            <v>Bed linen; of textile materials other than cotton or man-made fibres (not printed, knitted or crocheted)</v>
          </cell>
          <cell r="F3361">
            <v>0</v>
          </cell>
          <cell r="G3361">
            <v>0</v>
          </cell>
          <cell r="H3361">
            <v>0</v>
          </cell>
          <cell r="I3361" t="str">
            <v>Others</v>
          </cell>
          <cell r="J3361">
            <v>3</v>
          </cell>
          <cell r="K3361" t="str">
            <v>Others</v>
          </cell>
        </row>
        <row r="3362">
          <cell r="D3362">
            <v>630240</v>
          </cell>
          <cell r="E3362" t="str">
            <v>Table linen; knitted or crocheted</v>
          </cell>
          <cell r="F3362">
            <v>0</v>
          </cell>
          <cell r="G3362">
            <v>0</v>
          </cell>
          <cell r="H3362">
            <v>0</v>
          </cell>
          <cell r="I3362" t="str">
            <v>Others</v>
          </cell>
          <cell r="J3362">
            <v>3</v>
          </cell>
          <cell r="K3362" t="str">
            <v>Others</v>
          </cell>
        </row>
        <row r="3363">
          <cell r="D3363">
            <v>630251</v>
          </cell>
          <cell r="E3363" t="str">
            <v>Table linen; of cotton, not knitted or crocheted</v>
          </cell>
          <cell r="F3363">
            <v>0</v>
          </cell>
          <cell r="G3363">
            <v>0</v>
          </cell>
          <cell r="H3363">
            <v>0</v>
          </cell>
          <cell r="I3363" t="str">
            <v>Others</v>
          </cell>
          <cell r="J3363">
            <v>3</v>
          </cell>
          <cell r="K3363" t="str">
            <v>Others</v>
          </cell>
        </row>
        <row r="3364">
          <cell r="D3364">
            <v>630253</v>
          </cell>
          <cell r="E3364" t="str">
            <v>Table linen; of man-made fibres, not knitted or crocheted</v>
          </cell>
          <cell r="F3364">
            <v>0</v>
          </cell>
          <cell r="G3364">
            <v>0</v>
          </cell>
          <cell r="H3364">
            <v>0</v>
          </cell>
          <cell r="I3364" t="str">
            <v>Others</v>
          </cell>
          <cell r="J3364">
            <v>3</v>
          </cell>
          <cell r="K3364" t="str">
            <v>Others</v>
          </cell>
        </row>
        <row r="3365">
          <cell r="D3365">
            <v>630259</v>
          </cell>
          <cell r="E3365" t="str">
            <v>Table linen; of textile materials (other than cotton or man-made fibres), not knitted or crocheted</v>
          </cell>
          <cell r="F3365">
            <v>0</v>
          </cell>
          <cell r="G3365">
            <v>0</v>
          </cell>
          <cell r="H3365">
            <v>0</v>
          </cell>
          <cell r="I3365" t="str">
            <v>Others</v>
          </cell>
          <cell r="J3365">
            <v>3</v>
          </cell>
          <cell r="K3365" t="str">
            <v>Others</v>
          </cell>
        </row>
        <row r="3366">
          <cell r="D3366">
            <v>630260</v>
          </cell>
          <cell r="E3366" t="str">
            <v>Kitchen and toilet linen; of terry towelling or similar terry fabrics, of cotton</v>
          </cell>
          <cell r="F3366">
            <v>0</v>
          </cell>
          <cell r="G3366">
            <v>0</v>
          </cell>
          <cell r="H3366">
            <v>0</v>
          </cell>
          <cell r="I3366" t="str">
            <v>Others</v>
          </cell>
          <cell r="J3366">
            <v>3</v>
          </cell>
          <cell r="K3366" t="str">
            <v>Others</v>
          </cell>
        </row>
        <row r="3367">
          <cell r="D3367">
            <v>630291</v>
          </cell>
          <cell r="E3367" t="str">
            <v>Toilet and kitchen linen; of cotton, excluding terry towelling or similar terry fabrics</v>
          </cell>
          <cell r="F3367">
            <v>0</v>
          </cell>
          <cell r="G3367">
            <v>0</v>
          </cell>
          <cell r="H3367">
            <v>0</v>
          </cell>
          <cell r="I3367" t="str">
            <v>Others</v>
          </cell>
          <cell r="J3367">
            <v>3</v>
          </cell>
          <cell r="K3367" t="str">
            <v>Others</v>
          </cell>
        </row>
        <row r="3368">
          <cell r="D3368">
            <v>630293</v>
          </cell>
          <cell r="E3368" t="str">
            <v>Toilet and kitchen linen; of man-made fibres</v>
          </cell>
          <cell r="F3368">
            <v>0</v>
          </cell>
          <cell r="G3368">
            <v>0</v>
          </cell>
          <cell r="H3368">
            <v>0</v>
          </cell>
          <cell r="I3368" t="str">
            <v>Others</v>
          </cell>
          <cell r="J3368">
            <v>3</v>
          </cell>
          <cell r="K3368" t="str">
            <v>Others</v>
          </cell>
        </row>
        <row r="3369">
          <cell r="D3369">
            <v>630299</v>
          </cell>
          <cell r="E3369" t="str">
            <v>Toilet and kitchen linen; of textile materials (other than cotton or man-made fibres)</v>
          </cell>
          <cell r="F3369">
            <v>0</v>
          </cell>
          <cell r="G3369">
            <v>0</v>
          </cell>
          <cell r="H3369">
            <v>0</v>
          </cell>
          <cell r="I3369" t="str">
            <v>Others</v>
          </cell>
          <cell r="J3369">
            <v>3</v>
          </cell>
          <cell r="K3369" t="str">
            <v>Others</v>
          </cell>
        </row>
        <row r="3370">
          <cell r="D3370">
            <v>630312</v>
          </cell>
          <cell r="E3370" t="str">
            <v>Curtains (including drapes) and interior blinds; curtain or bed valances, knitted or crocheted, of synthetic fibres</v>
          </cell>
          <cell r="F3370">
            <v>0</v>
          </cell>
          <cell r="G3370">
            <v>0</v>
          </cell>
          <cell r="H3370">
            <v>0</v>
          </cell>
          <cell r="I3370" t="str">
            <v>Others</v>
          </cell>
          <cell r="J3370">
            <v>3</v>
          </cell>
          <cell r="K3370" t="str">
            <v>Others</v>
          </cell>
        </row>
        <row r="3371">
          <cell r="D3371">
            <v>630319</v>
          </cell>
          <cell r="E3371" t="str">
            <v>Curtains (including drapes) and interior blinds; curtain or bed valances, knitted or crocheted, of textile materials other than synthetic fibres</v>
          </cell>
          <cell r="F3371">
            <v>0</v>
          </cell>
          <cell r="G3371">
            <v>0</v>
          </cell>
          <cell r="H3371">
            <v>0</v>
          </cell>
          <cell r="I3371" t="str">
            <v>Others</v>
          </cell>
          <cell r="J3371">
            <v>3</v>
          </cell>
          <cell r="K3371" t="str">
            <v>Others</v>
          </cell>
        </row>
        <row r="3372">
          <cell r="D3372">
            <v>630391</v>
          </cell>
          <cell r="E3372" t="str">
            <v>Curtains (including drapes) and interior blinds, curtain or bed valances; of cotton, not knitted or crocheted</v>
          </cell>
          <cell r="F3372">
            <v>0</v>
          </cell>
          <cell r="G3372">
            <v>0</v>
          </cell>
          <cell r="H3372">
            <v>0</v>
          </cell>
          <cell r="I3372" t="str">
            <v>Others</v>
          </cell>
          <cell r="J3372">
            <v>3</v>
          </cell>
          <cell r="K3372" t="str">
            <v>Others</v>
          </cell>
        </row>
        <row r="3373">
          <cell r="D3373">
            <v>630392</v>
          </cell>
          <cell r="E3373" t="str">
            <v>Curtains (including drapes) and interior blinds, curtain or bed valances; of synthetic fibres, not knitted or crocheted</v>
          </cell>
          <cell r="F3373">
            <v>0</v>
          </cell>
          <cell r="G3373">
            <v>0</v>
          </cell>
          <cell r="H3373">
            <v>0</v>
          </cell>
          <cell r="I3373" t="str">
            <v>Others</v>
          </cell>
          <cell r="J3373">
            <v>3</v>
          </cell>
          <cell r="K3373" t="str">
            <v>Others</v>
          </cell>
        </row>
        <row r="3374">
          <cell r="D3374">
            <v>630399</v>
          </cell>
          <cell r="E3374" t="str">
            <v>Curtains (including drapes) and interior blinds, curtain or bed valances; of textile materials other than cotton or synthetic fibres, not knitted or crocheted</v>
          </cell>
          <cell r="F3374" t="str">
            <v>Consumables</v>
          </cell>
          <cell r="G3374">
            <v>0</v>
          </cell>
          <cell r="H3374">
            <v>0</v>
          </cell>
          <cell r="I3374" t="str">
            <v>Others</v>
          </cell>
          <cell r="J3374">
            <v>2</v>
          </cell>
          <cell r="K3374" t="str">
            <v>Consumables - rc</v>
          </cell>
        </row>
        <row r="3375">
          <cell r="D3375">
            <v>630411</v>
          </cell>
          <cell r="E3375" t="str">
            <v>Bedspreads; knitted or crocheted</v>
          </cell>
          <cell r="F3375">
            <v>0</v>
          </cell>
          <cell r="G3375">
            <v>0</v>
          </cell>
          <cell r="H3375">
            <v>0</v>
          </cell>
          <cell r="I3375" t="str">
            <v>Others</v>
          </cell>
          <cell r="J3375">
            <v>3</v>
          </cell>
          <cell r="K3375" t="str">
            <v>Others</v>
          </cell>
        </row>
        <row r="3376">
          <cell r="D3376">
            <v>630419</v>
          </cell>
          <cell r="E3376" t="str">
            <v>Bedspreads; not knitted or crocheted</v>
          </cell>
          <cell r="F3376">
            <v>0</v>
          </cell>
          <cell r="G3376">
            <v>0</v>
          </cell>
          <cell r="H3376">
            <v>0</v>
          </cell>
          <cell r="I3376" t="str">
            <v>Others</v>
          </cell>
          <cell r="J3376">
            <v>3</v>
          </cell>
          <cell r="K3376" t="str">
            <v>Others</v>
          </cell>
        </row>
        <row r="3377">
          <cell r="D3377">
            <v>630420</v>
          </cell>
          <cell r="E3377" t="str">
            <v>Furnishing articles; excluding those of heading no. 9404, bed nets, specified in Subheading Note 1 to this Chapter</v>
          </cell>
          <cell r="F3377">
            <v>0</v>
          </cell>
          <cell r="G3377">
            <v>0</v>
          </cell>
          <cell r="H3377">
            <v>0</v>
          </cell>
          <cell r="I3377" t="str">
            <v>Others</v>
          </cell>
          <cell r="J3377">
            <v>3</v>
          </cell>
          <cell r="K3377" t="str">
            <v>Others</v>
          </cell>
        </row>
        <row r="3378">
          <cell r="D3378">
            <v>630491</v>
          </cell>
          <cell r="E3378" t="str">
            <v>Furnishing articles; excluding those of heading no. 9404, n.e.c. in heading 6304, knitted or crocheted</v>
          </cell>
          <cell r="F3378">
            <v>0</v>
          </cell>
          <cell r="G3378">
            <v>0</v>
          </cell>
          <cell r="H3378">
            <v>0</v>
          </cell>
          <cell r="I3378" t="str">
            <v>Others</v>
          </cell>
          <cell r="J3378">
            <v>3</v>
          </cell>
          <cell r="K3378" t="str">
            <v>Others</v>
          </cell>
        </row>
        <row r="3379">
          <cell r="D3379">
            <v>630492</v>
          </cell>
          <cell r="E3379" t="str">
            <v>Furnishing articles; of cotton, not knitted or crocheted (excluding bedspreads and articles of heading no. 9404)</v>
          </cell>
          <cell r="F3379">
            <v>0</v>
          </cell>
          <cell r="G3379">
            <v>0</v>
          </cell>
          <cell r="H3379">
            <v>0</v>
          </cell>
          <cell r="I3379" t="str">
            <v>Others</v>
          </cell>
          <cell r="J3379">
            <v>3</v>
          </cell>
          <cell r="K3379" t="str">
            <v>Others</v>
          </cell>
        </row>
        <row r="3380">
          <cell r="D3380">
            <v>630493</v>
          </cell>
          <cell r="E3380" t="str">
            <v>Furnishing articles; of synthetic fibres, not knitted or crocheted (excluding bedspreads and articles of heading no. 9404)</v>
          </cell>
          <cell r="F3380">
            <v>0</v>
          </cell>
          <cell r="G3380">
            <v>0</v>
          </cell>
          <cell r="H3380">
            <v>0</v>
          </cell>
          <cell r="I3380" t="str">
            <v>Others</v>
          </cell>
          <cell r="J3380">
            <v>3</v>
          </cell>
          <cell r="K3380" t="str">
            <v>Others</v>
          </cell>
        </row>
        <row r="3381">
          <cell r="D3381">
            <v>630499</v>
          </cell>
          <cell r="E3381" t="str">
            <v>Furnishing articles; of textile materials other than cotton or synthetic fibres, not knitted or crocheted (excluding bedspreads and articles of heading no. 9404)</v>
          </cell>
          <cell r="F3381">
            <v>0</v>
          </cell>
          <cell r="G3381">
            <v>0</v>
          </cell>
          <cell r="H3381">
            <v>0</v>
          </cell>
          <cell r="I3381" t="str">
            <v>Others</v>
          </cell>
          <cell r="J3381">
            <v>3</v>
          </cell>
          <cell r="K3381" t="str">
            <v>Others</v>
          </cell>
        </row>
        <row r="3382">
          <cell r="D3382">
            <v>630510</v>
          </cell>
          <cell r="E3382" t="str">
            <v>Sacks and bags; of a kind used for the packing of goods, of jute or of other textile bast fibres of heading no. 5303</v>
          </cell>
          <cell r="F3382">
            <v>0</v>
          </cell>
          <cell r="G3382">
            <v>0</v>
          </cell>
          <cell r="H3382">
            <v>0</v>
          </cell>
          <cell r="I3382" t="str">
            <v>Others</v>
          </cell>
          <cell r="J3382">
            <v>3</v>
          </cell>
          <cell r="K3382" t="str">
            <v>Others</v>
          </cell>
        </row>
        <row r="3383">
          <cell r="D3383">
            <v>630520</v>
          </cell>
          <cell r="E3383" t="str">
            <v>Sacks and bags; of a kind used for the packing of goods, of cotton</v>
          </cell>
          <cell r="F3383">
            <v>0</v>
          </cell>
          <cell r="G3383">
            <v>0</v>
          </cell>
          <cell r="H3383">
            <v>0</v>
          </cell>
          <cell r="I3383" t="str">
            <v>Others</v>
          </cell>
          <cell r="J3383">
            <v>3</v>
          </cell>
          <cell r="K3383" t="str">
            <v>Others</v>
          </cell>
        </row>
        <row r="3384">
          <cell r="D3384">
            <v>630532</v>
          </cell>
          <cell r="E3384" t="str">
            <v>Sacks and bags; of a kind used for the packing of goods, of man-made textile materials, flexible intermediate bulk containers</v>
          </cell>
          <cell r="F3384">
            <v>0</v>
          </cell>
          <cell r="G3384">
            <v>0</v>
          </cell>
          <cell r="H3384">
            <v>0</v>
          </cell>
          <cell r="I3384" t="str">
            <v>Others</v>
          </cell>
          <cell r="J3384">
            <v>3</v>
          </cell>
          <cell r="K3384" t="str">
            <v>Others</v>
          </cell>
        </row>
        <row r="3385">
          <cell r="D3385">
            <v>630533</v>
          </cell>
          <cell r="E3385" t="str">
            <v>Sacks and bags; of a kind used for the packing of goods, of man-made textile materials, of polyethylene or polypropylene strip or the like, not flexible intermediate bulk containers</v>
          </cell>
          <cell r="F3385">
            <v>0</v>
          </cell>
          <cell r="G3385">
            <v>0</v>
          </cell>
          <cell r="H3385">
            <v>0</v>
          </cell>
          <cell r="I3385" t="str">
            <v>Others</v>
          </cell>
          <cell r="J3385">
            <v>3</v>
          </cell>
          <cell r="K3385" t="str">
            <v>Others</v>
          </cell>
        </row>
        <row r="3386">
          <cell r="D3386">
            <v>630539</v>
          </cell>
          <cell r="E3386" t="str">
            <v>Sacks and bags; of a kind used for the packing of goods, of man-made textile materials, not of polyethylene or polypropylene strip or the like, not flexible intermediate bulk containers</v>
          </cell>
          <cell r="F3386" t="str">
            <v>Consumables</v>
          </cell>
          <cell r="G3386">
            <v>0</v>
          </cell>
          <cell r="H3386">
            <v>0</v>
          </cell>
          <cell r="I3386" t="str">
            <v>Others</v>
          </cell>
          <cell r="J3386">
            <v>2</v>
          </cell>
          <cell r="K3386" t="str">
            <v>Consumables</v>
          </cell>
        </row>
        <row r="3387">
          <cell r="D3387">
            <v>630590</v>
          </cell>
          <cell r="E3387" t="str">
            <v>Sacks and bags; of a kind used for the packing of goods, of textile materials (other than jute, cotton or man-made textile materials)</v>
          </cell>
          <cell r="F3387" t="str">
            <v>Consumables</v>
          </cell>
          <cell r="G3387">
            <v>0</v>
          </cell>
          <cell r="H3387">
            <v>0</v>
          </cell>
          <cell r="I3387" t="str">
            <v>Others</v>
          </cell>
          <cell r="J3387">
            <v>2</v>
          </cell>
          <cell r="K3387" t="str">
            <v>Consumables</v>
          </cell>
        </row>
        <row r="3388">
          <cell r="D3388">
            <v>630612</v>
          </cell>
          <cell r="E3388" t="str">
            <v>Tarpaulins, awnings and sunblinds; of synthetic fibres</v>
          </cell>
          <cell r="F3388">
            <v>0</v>
          </cell>
          <cell r="G3388">
            <v>0</v>
          </cell>
          <cell r="H3388">
            <v>0</v>
          </cell>
          <cell r="I3388" t="str">
            <v>Others</v>
          </cell>
          <cell r="J3388">
            <v>3</v>
          </cell>
          <cell r="K3388" t="str">
            <v>Others</v>
          </cell>
        </row>
        <row r="3389">
          <cell r="D3389">
            <v>630619</v>
          </cell>
          <cell r="E3389" t="str">
            <v>Tarpaulins, awnings and sunblinds; of textile materials other than synthetic fibres</v>
          </cell>
          <cell r="F3389">
            <v>0</v>
          </cell>
          <cell r="G3389">
            <v>0</v>
          </cell>
          <cell r="H3389">
            <v>0</v>
          </cell>
          <cell r="I3389" t="str">
            <v>Others</v>
          </cell>
          <cell r="J3389">
            <v>3</v>
          </cell>
          <cell r="K3389" t="str">
            <v>Others</v>
          </cell>
        </row>
        <row r="3390">
          <cell r="D3390">
            <v>630622</v>
          </cell>
          <cell r="E3390" t="str">
            <v>Tents (including temporary canopies and similar articles); of synthetic fibres</v>
          </cell>
          <cell r="F3390">
            <v>0</v>
          </cell>
          <cell r="G3390">
            <v>0</v>
          </cell>
          <cell r="H3390">
            <v>0</v>
          </cell>
          <cell r="I3390" t="str">
            <v>Others</v>
          </cell>
          <cell r="J3390">
            <v>3</v>
          </cell>
          <cell r="K3390" t="str">
            <v>Others</v>
          </cell>
        </row>
        <row r="3391">
          <cell r="D3391">
            <v>630629</v>
          </cell>
          <cell r="E3391" t="str">
            <v>Tents (including temporary canopies and similar articles); of textile materials other than synthetic fibres</v>
          </cell>
          <cell r="F3391">
            <v>0</v>
          </cell>
          <cell r="G3391">
            <v>0</v>
          </cell>
          <cell r="H3391">
            <v>0</v>
          </cell>
          <cell r="I3391" t="str">
            <v>Others</v>
          </cell>
          <cell r="J3391">
            <v>3</v>
          </cell>
          <cell r="K3391" t="str">
            <v>Others</v>
          </cell>
        </row>
        <row r="3392">
          <cell r="D3392">
            <v>630630</v>
          </cell>
          <cell r="E3392" t="str">
            <v>Sails; for boats, sailboards or landcraft</v>
          </cell>
          <cell r="F3392">
            <v>0</v>
          </cell>
          <cell r="G3392">
            <v>0</v>
          </cell>
          <cell r="H3392">
            <v>0</v>
          </cell>
          <cell r="I3392" t="str">
            <v>Others</v>
          </cell>
          <cell r="J3392">
            <v>3</v>
          </cell>
          <cell r="K3392" t="str">
            <v>Others</v>
          </cell>
        </row>
        <row r="3393">
          <cell r="D3393">
            <v>630640</v>
          </cell>
          <cell r="E3393" t="str">
            <v>Camping goods; pneumatic mattresses</v>
          </cell>
          <cell r="F3393">
            <v>0</v>
          </cell>
          <cell r="G3393">
            <v>0</v>
          </cell>
          <cell r="H3393">
            <v>0</v>
          </cell>
          <cell r="I3393" t="str">
            <v>Others</v>
          </cell>
          <cell r="J3393">
            <v>3</v>
          </cell>
          <cell r="K3393" t="str">
            <v>Others</v>
          </cell>
        </row>
        <row r="3394">
          <cell r="D3394">
            <v>630690</v>
          </cell>
          <cell r="E3394" t="str">
            <v>Camping goods; (of textile materials), n.e.c in heading no. 6306</v>
          </cell>
          <cell r="F3394">
            <v>0</v>
          </cell>
          <cell r="G3394">
            <v>0</v>
          </cell>
          <cell r="H3394">
            <v>0</v>
          </cell>
          <cell r="I3394" t="str">
            <v>Others</v>
          </cell>
          <cell r="J3394">
            <v>3</v>
          </cell>
          <cell r="K3394" t="str">
            <v>Others</v>
          </cell>
        </row>
        <row r="3395">
          <cell r="D3395">
            <v>630710</v>
          </cell>
          <cell r="E3395" t="str">
            <v>Cloths; floor cloths, dish-cloths, dusters and similar cleaning cloths</v>
          </cell>
          <cell r="F3395" t="str">
            <v>Consumables</v>
          </cell>
          <cell r="G3395">
            <v>0</v>
          </cell>
          <cell r="H3395">
            <v>0</v>
          </cell>
          <cell r="I3395" t="str">
            <v>Others</v>
          </cell>
          <cell r="J3395">
            <v>2</v>
          </cell>
          <cell r="K3395" t="str">
            <v>Consumables</v>
          </cell>
        </row>
        <row r="3396">
          <cell r="D3396">
            <v>630720</v>
          </cell>
          <cell r="E3396" t="str">
            <v>Life-jackets and life-belts</v>
          </cell>
          <cell r="F3396">
            <v>0</v>
          </cell>
          <cell r="G3396">
            <v>0</v>
          </cell>
          <cell r="H3396">
            <v>0</v>
          </cell>
          <cell r="I3396" t="str">
            <v>Others</v>
          </cell>
          <cell r="J3396">
            <v>3</v>
          </cell>
          <cell r="K3396" t="str">
            <v>Others</v>
          </cell>
        </row>
        <row r="3397">
          <cell r="D3397">
            <v>630790</v>
          </cell>
          <cell r="E3397" t="str">
            <v>Textiles; made up articles (including dress patterns), n.e.c. in chapter 63, n.e.c. in heading no. 6307</v>
          </cell>
          <cell r="F3397" t="str">
            <v>Consumables</v>
          </cell>
          <cell r="G3397">
            <v>0</v>
          </cell>
          <cell r="H3397">
            <v>0</v>
          </cell>
          <cell r="I3397" t="str">
            <v>Others</v>
          </cell>
          <cell r="J3397">
            <v>2</v>
          </cell>
          <cell r="K3397" t="str">
            <v>Consumables - rc</v>
          </cell>
        </row>
        <row r="3398">
          <cell r="D3398">
            <v>630800</v>
          </cell>
          <cell r="E3398" t="str">
            <v>Fabrics, woven and yarn; in sets, whether or not with accessories, for making up into rugs, tapestries, embroidered table cloths or serviettes or similar textile articles, packaged for retail sale</v>
          </cell>
          <cell r="F3398" t="str">
            <v>Consumables</v>
          </cell>
          <cell r="G3398">
            <v>0</v>
          </cell>
          <cell r="H3398">
            <v>0</v>
          </cell>
          <cell r="I3398" t="str">
            <v>Others</v>
          </cell>
          <cell r="J3398">
            <v>2</v>
          </cell>
          <cell r="K3398" t="str">
            <v>Consumables - rc</v>
          </cell>
        </row>
        <row r="3399">
          <cell r="D3399">
            <v>630900</v>
          </cell>
          <cell r="E3399" t="str">
            <v>Clothing; worn, and other worn articles</v>
          </cell>
          <cell r="F3399">
            <v>0</v>
          </cell>
          <cell r="G3399">
            <v>0</v>
          </cell>
          <cell r="H3399">
            <v>0</v>
          </cell>
          <cell r="I3399" t="str">
            <v>Others</v>
          </cell>
          <cell r="J3399">
            <v>3</v>
          </cell>
          <cell r="K3399" t="str">
            <v>Others</v>
          </cell>
        </row>
        <row r="3400">
          <cell r="D3400">
            <v>631010</v>
          </cell>
          <cell r="E3400" t="str">
            <v>Rags; used or new, scrap twine, cordage, rope and cables and worn out articles of twine, cordage, rope or cables, of textile materials; sorted</v>
          </cell>
          <cell r="F3400">
            <v>0</v>
          </cell>
          <cell r="G3400">
            <v>0</v>
          </cell>
          <cell r="H3400">
            <v>0</v>
          </cell>
          <cell r="I3400" t="str">
            <v>Others</v>
          </cell>
          <cell r="J3400">
            <v>3</v>
          </cell>
          <cell r="K3400" t="str">
            <v>Others</v>
          </cell>
        </row>
        <row r="3401">
          <cell r="D3401">
            <v>631090</v>
          </cell>
          <cell r="E3401" t="str">
            <v>Rags; used or new, scrap twine, cordage, rope and cables and worn out articles of twine, cordage, rope or cables, of textile materials; other than sorted</v>
          </cell>
          <cell r="F3401">
            <v>0</v>
          </cell>
          <cell r="G3401">
            <v>0</v>
          </cell>
          <cell r="H3401">
            <v>0</v>
          </cell>
          <cell r="I3401" t="str">
            <v>Others</v>
          </cell>
          <cell r="J3401">
            <v>3</v>
          </cell>
          <cell r="K3401" t="str">
            <v>Others</v>
          </cell>
        </row>
        <row r="3402">
          <cell r="D3402">
            <v>640110</v>
          </cell>
          <cell r="E3402" t="str">
            <v>Footwear; waterproof with metal toe-cap, rubber or plastic outer soles and uppers (not assembled by stitch, rivet, nail, screw, plug or similar)</v>
          </cell>
          <cell r="F3402">
            <v>0</v>
          </cell>
          <cell r="G3402">
            <v>0</v>
          </cell>
          <cell r="H3402">
            <v>0</v>
          </cell>
          <cell r="I3402" t="str">
            <v>Others</v>
          </cell>
          <cell r="J3402">
            <v>3</v>
          </cell>
          <cell r="K3402" t="str">
            <v>Others</v>
          </cell>
        </row>
        <row r="3403">
          <cell r="D3403">
            <v>640192</v>
          </cell>
          <cell r="E3403" t="str">
            <v>Footwear; waterproof, covering the ankle (but not the knee), rubber or plastic outer soles and uppers (not assembled by stitch, rivet, nail, screw, plug or similar)</v>
          </cell>
          <cell r="F3403">
            <v>0</v>
          </cell>
          <cell r="G3403">
            <v>0</v>
          </cell>
          <cell r="H3403">
            <v>0</v>
          </cell>
          <cell r="I3403" t="str">
            <v>Others</v>
          </cell>
          <cell r="J3403">
            <v>3</v>
          </cell>
          <cell r="K3403" t="str">
            <v>Others</v>
          </cell>
        </row>
        <row r="3404">
          <cell r="D3404">
            <v>640199</v>
          </cell>
          <cell r="E3404" t="str">
            <v>Footwear; waterproof, n.e.c. in heading no. 6401, rubber or plastic outer soles and uppers (not assembled by stitch, rivet, nail, screw, plug or similar)</v>
          </cell>
          <cell r="F3404" t="str">
            <v>Consumables</v>
          </cell>
          <cell r="G3404">
            <v>0</v>
          </cell>
          <cell r="H3404">
            <v>0</v>
          </cell>
          <cell r="I3404" t="str">
            <v>Others</v>
          </cell>
          <cell r="J3404">
            <v>2</v>
          </cell>
          <cell r="K3404" t="str">
            <v>Consumables - rc</v>
          </cell>
        </row>
        <row r="3405">
          <cell r="D3405">
            <v>640212</v>
          </cell>
          <cell r="E3405" t="str">
            <v>Sports footwear; with outer soles and uppers of rubber or plastics, ski-boots, cross-country ski footwear and snowboard boots</v>
          </cell>
          <cell r="F3405">
            <v>0</v>
          </cell>
          <cell r="G3405">
            <v>0</v>
          </cell>
          <cell r="H3405">
            <v>0</v>
          </cell>
          <cell r="I3405" t="str">
            <v>Others</v>
          </cell>
          <cell r="J3405">
            <v>3</v>
          </cell>
          <cell r="K3405" t="str">
            <v>Others</v>
          </cell>
        </row>
        <row r="3406">
          <cell r="D3406">
            <v>640219</v>
          </cell>
          <cell r="E3406" t="str">
            <v>Sports footwear; (other than ski-boots, snowboard boots or cross-country ski footwear), with outer soles and uppers of rubber or plastics</v>
          </cell>
          <cell r="F3406">
            <v>0</v>
          </cell>
          <cell r="G3406">
            <v>0</v>
          </cell>
          <cell r="H3406">
            <v>0</v>
          </cell>
          <cell r="I3406" t="str">
            <v>Others</v>
          </cell>
          <cell r="J3406">
            <v>3</v>
          </cell>
          <cell r="K3406" t="str">
            <v>Others</v>
          </cell>
        </row>
        <row r="3407">
          <cell r="D3407">
            <v>640220</v>
          </cell>
          <cell r="E3407" t="str">
            <v>Footwear; with outer soles and uppers of rubber or plastics, upper straps or thongs assembled to the sole by plugs</v>
          </cell>
          <cell r="F3407">
            <v>0</v>
          </cell>
          <cell r="G3407">
            <v>0</v>
          </cell>
          <cell r="H3407">
            <v>0</v>
          </cell>
          <cell r="I3407" t="str">
            <v>Others</v>
          </cell>
          <cell r="J3407">
            <v>3</v>
          </cell>
          <cell r="K3407" t="str">
            <v>Others</v>
          </cell>
        </row>
        <row r="3408">
          <cell r="D3408">
            <v>640291</v>
          </cell>
          <cell r="E3408" t="str">
            <v>Footwear; n.e.c. in heading no. 6402, covering the ankle, with outer soles and uppers of rubber or plastics</v>
          </cell>
          <cell r="F3408">
            <v>0</v>
          </cell>
          <cell r="G3408">
            <v>0</v>
          </cell>
          <cell r="H3408">
            <v>0</v>
          </cell>
          <cell r="I3408" t="str">
            <v>Others</v>
          </cell>
          <cell r="J3408">
            <v>3</v>
          </cell>
          <cell r="K3408" t="str">
            <v>Others</v>
          </cell>
        </row>
        <row r="3409">
          <cell r="D3409">
            <v>640299</v>
          </cell>
          <cell r="E3409" t="str">
            <v>Footwear; n.e.c. in heading no. 6402, (other than just covering the ankle), with outer soles and uppers of rubber or plastics</v>
          </cell>
          <cell r="F3409" t="str">
            <v>Consumables</v>
          </cell>
          <cell r="G3409">
            <v>0</v>
          </cell>
          <cell r="H3409">
            <v>0</v>
          </cell>
          <cell r="I3409" t="str">
            <v>Others</v>
          </cell>
          <cell r="J3409">
            <v>2</v>
          </cell>
          <cell r="K3409" t="str">
            <v>Consumables - rc</v>
          </cell>
        </row>
        <row r="3410">
          <cell r="D3410">
            <v>640312</v>
          </cell>
          <cell r="E3410" t="str">
            <v>Sports footwear; with outer soles of rubber, plastics, leather or composition leather and uppers of leather, ski-boots, snowboard boots and cross-country ski footwear</v>
          </cell>
          <cell r="F3410">
            <v>0</v>
          </cell>
          <cell r="G3410">
            <v>0</v>
          </cell>
          <cell r="H3410">
            <v>0</v>
          </cell>
          <cell r="I3410" t="str">
            <v>Others</v>
          </cell>
          <cell r="J3410">
            <v>3</v>
          </cell>
          <cell r="K3410" t="str">
            <v>Others</v>
          </cell>
        </row>
        <row r="3411">
          <cell r="D3411">
            <v>640319</v>
          </cell>
          <cell r="E3411" t="str">
            <v>Sports footwear; (other than ski-boots, snowboard boots or cross-country ski footwear), with outer soles of rubber, plastics, leather or composition leather and uppers of leather</v>
          </cell>
          <cell r="F3411">
            <v>0</v>
          </cell>
          <cell r="G3411">
            <v>0</v>
          </cell>
          <cell r="H3411">
            <v>0</v>
          </cell>
          <cell r="I3411" t="str">
            <v>Others</v>
          </cell>
          <cell r="J3411">
            <v>3</v>
          </cell>
          <cell r="K3411" t="str">
            <v>Others</v>
          </cell>
        </row>
        <row r="3412">
          <cell r="D3412">
            <v>640320</v>
          </cell>
          <cell r="E3412" t="str">
            <v>Footwear; with outer soles of leather, uppers consisting of leather straps across instep and around the big toe</v>
          </cell>
          <cell r="F3412" t="str">
            <v>Consumables</v>
          </cell>
          <cell r="G3412">
            <v>0</v>
          </cell>
          <cell r="H3412">
            <v>0</v>
          </cell>
          <cell r="I3412" t="str">
            <v>Others</v>
          </cell>
          <cell r="J3412">
            <v>2</v>
          </cell>
          <cell r="K3412" t="str">
            <v>Consumables - rc</v>
          </cell>
        </row>
        <row r="3413">
          <cell r="D3413">
            <v>640340</v>
          </cell>
          <cell r="E3413" t="str">
            <v>Footwear; with metal toe-cap, outer soles of rubber, plastics, leather or composition leather, uppers of leather</v>
          </cell>
          <cell r="F3413" t="str">
            <v>Consumables</v>
          </cell>
          <cell r="G3413">
            <v>0</v>
          </cell>
          <cell r="H3413">
            <v>0</v>
          </cell>
          <cell r="I3413" t="str">
            <v>Others</v>
          </cell>
          <cell r="J3413">
            <v>2</v>
          </cell>
          <cell r="K3413" t="str">
            <v>Consumables</v>
          </cell>
        </row>
        <row r="3414">
          <cell r="D3414">
            <v>640351</v>
          </cell>
          <cell r="E3414" t="str">
            <v>Footwear; n.e.c. in heading no. 6403, with outer soles and uppers of leather, covering the ankle</v>
          </cell>
          <cell r="F3414">
            <v>0</v>
          </cell>
          <cell r="G3414">
            <v>0</v>
          </cell>
          <cell r="H3414">
            <v>0</v>
          </cell>
          <cell r="I3414" t="str">
            <v>Others</v>
          </cell>
          <cell r="J3414">
            <v>3</v>
          </cell>
          <cell r="K3414" t="str">
            <v>Others</v>
          </cell>
        </row>
        <row r="3415">
          <cell r="D3415">
            <v>640359</v>
          </cell>
          <cell r="E3415" t="str">
            <v>Footwear; n.e.c. in heading no. 6403, (not covering the ankle), outer soles and uppers of leather</v>
          </cell>
          <cell r="F3415">
            <v>0</v>
          </cell>
          <cell r="G3415">
            <v>0</v>
          </cell>
          <cell r="H3415">
            <v>0</v>
          </cell>
          <cell r="I3415" t="str">
            <v>Others</v>
          </cell>
          <cell r="J3415">
            <v>3</v>
          </cell>
          <cell r="K3415" t="str">
            <v>Others</v>
          </cell>
        </row>
        <row r="3416">
          <cell r="D3416">
            <v>640391</v>
          </cell>
          <cell r="E3416" t="str">
            <v>Footwear; n.e.c. in heading no. 6403, covering the ankle, outer soles of rubber, plastics or composition leather, uppers of leather</v>
          </cell>
          <cell r="F3416">
            <v>0</v>
          </cell>
          <cell r="G3416">
            <v>0</v>
          </cell>
          <cell r="H3416">
            <v>0</v>
          </cell>
          <cell r="I3416" t="str">
            <v>Others</v>
          </cell>
          <cell r="J3416">
            <v>3</v>
          </cell>
          <cell r="K3416" t="str">
            <v>Others</v>
          </cell>
        </row>
        <row r="3417">
          <cell r="D3417">
            <v>640399</v>
          </cell>
          <cell r="E3417" t="str">
            <v>Footwear; n.e.c. in heading no. 6403, (not covering the ankle), outer soles of rubber, plastics or composition leather, uppers of leather</v>
          </cell>
          <cell r="F3417">
            <v>0</v>
          </cell>
          <cell r="G3417">
            <v>0</v>
          </cell>
          <cell r="H3417">
            <v>0</v>
          </cell>
          <cell r="I3417" t="str">
            <v>Others</v>
          </cell>
          <cell r="J3417">
            <v>3</v>
          </cell>
          <cell r="K3417" t="str">
            <v>Others</v>
          </cell>
        </row>
        <row r="3418">
          <cell r="D3418">
            <v>640411</v>
          </cell>
          <cell r="E3418" t="str">
            <v>Sports footwear; tennis shoes, basketball shoes, gym shoes, training shoes and the like, with outer soles of rubber or plastics and uppers of textile materials</v>
          </cell>
          <cell r="F3418">
            <v>0</v>
          </cell>
          <cell r="G3418">
            <v>0</v>
          </cell>
          <cell r="H3418">
            <v>0</v>
          </cell>
          <cell r="I3418" t="str">
            <v>Others</v>
          </cell>
          <cell r="J3418">
            <v>3</v>
          </cell>
          <cell r="K3418" t="str">
            <v>Others</v>
          </cell>
        </row>
        <row r="3419">
          <cell r="D3419">
            <v>640419</v>
          </cell>
          <cell r="E3419" t="str">
            <v>Footwear; (other than sportswear), with outer soles of rubber or plastics and uppers of textile materials</v>
          </cell>
          <cell r="F3419">
            <v>0</v>
          </cell>
          <cell r="G3419">
            <v>0</v>
          </cell>
          <cell r="H3419">
            <v>0</v>
          </cell>
          <cell r="I3419" t="str">
            <v>Others</v>
          </cell>
          <cell r="J3419">
            <v>3</v>
          </cell>
          <cell r="K3419" t="str">
            <v>Others</v>
          </cell>
        </row>
        <row r="3420">
          <cell r="D3420">
            <v>640420</v>
          </cell>
          <cell r="E3420" t="str">
            <v>Footwear; outer soles of leather or composition leather, uppers of textile materials</v>
          </cell>
          <cell r="F3420">
            <v>0</v>
          </cell>
          <cell r="G3420">
            <v>0</v>
          </cell>
          <cell r="H3420">
            <v>0</v>
          </cell>
          <cell r="I3420" t="str">
            <v>Others</v>
          </cell>
          <cell r="J3420">
            <v>3</v>
          </cell>
          <cell r="K3420" t="str">
            <v>Others</v>
          </cell>
        </row>
        <row r="3421">
          <cell r="D3421">
            <v>640510</v>
          </cell>
          <cell r="E3421" t="str">
            <v>Footwear; with uppers of leather or composition leather, n.e.c. in chapter 64</v>
          </cell>
          <cell r="F3421">
            <v>0</v>
          </cell>
          <cell r="G3421">
            <v>0</v>
          </cell>
          <cell r="H3421">
            <v>0</v>
          </cell>
          <cell r="I3421" t="str">
            <v>Others</v>
          </cell>
          <cell r="J3421">
            <v>3</v>
          </cell>
          <cell r="K3421" t="str">
            <v>Others</v>
          </cell>
        </row>
        <row r="3422">
          <cell r="D3422">
            <v>640520</v>
          </cell>
          <cell r="E3422" t="str">
            <v>Footwear; with uppers of textile materials, n.e.c. in chapter 64</v>
          </cell>
          <cell r="F3422" t="str">
            <v>Consumables</v>
          </cell>
          <cell r="G3422">
            <v>0</v>
          </cell>
          <cell r="H3422">
            <v>0</v>
          </cell>
          <cell r="I3422" t="str">
            <v>Others</v>
          </cell>
          <cell r="J3422">
            <v>2</v>
          </cell>
          <cell r="K3422" t="str">
            <v>Consumables - rc</v>
          </cell>
        </row>
        <row r="3423">
          <cell r="D3423">
            <v>640590</v>
          </cell>
          <cell r="E3423" t="str">
            <v>Footwear; n.e.c. in chapter 64</v>
          </cell>
          <cell r="F3423" t="str">
            <v>Consumables</v>
          </cell>
          <cell r="G3423">
            <v>0</v>
          </cell>
          <cell r="H3423">
            <v>0</v>
          </cell>
          <cell r="I3423" t="str">
            <v>Others</v>
          </cell>
          <cell r="J3423">
            <v>2</v>
          </cell>
          <cell r="K3423" t="str">
            <v>Consumables - rc</v>
          </cell>
        </row>
        <row r="3424">
          <cell r="D3424">
            <v>640610</v>
          </cell>
          <cell r="E3424" t="str">
            <v>Footwear; parts, uppers and parts thereof, other than stiffeners</v>
          </cell>
          <cell r="F3424">
            <v>0</v>
          </cell>
          <cell r="G3424">
            <v>0</v>
          </cell>
          <cell r="H3424">
            <v>0</v>
          </cell>
          <cell r="I3424" t="str">
            <v>Others</v>
          </cell>
          <cell r="J3424">
            <v>3</v>
          </cell>
          <cell r="K3424" t="str">
            <v>Others</v>
          </cell>
        </row>
        <row r="3425">
          <cell r="D3425">
            <v>640620</v>
          </cell>
          <cell r="E3425" t="str">
            <v>Footwear; parts, outer soles and heels, of rubber or plastics</v>
          </cell>
          <cell r="F3425">
            <v>0</v>
          </cell>
          <cell r="G3425">
            <v>0</v>
          </cell>
          <cell r="H3425">
            <v>0</v>
          </cell>
          <cell r="I3425" t="str">
            <v>Others</v>
          </cell>
          <cell r="J3425">
            <v>3</v>
          </cell>
          <cell r="K3425" t="str">
            <v>Others</v>
          </cell>
        </row>
        <row r="3426">
          <cell r="D3426">
            <v>640690</v>
          </cell>
          <cell r="E3426" t="str">
            <v>Footwear; parts, n.e.c. in heading 6406</v>
          </cell>
          <cell r="F3426" t="str">
            <v>Consumables</v>
          </cell>
          <cell r="G3426">
            <v>0</v>
          </cell>
          <cell r="H3426">
            <v>0</v>
          </cell>
          <cell r="I3426" t="str">
            <v>Others</v>
          </cell>
          <cell r="J3426">
            <v>2</v>
          </cell>
          <cell r="K3426" t="str">
            <v>Consumables - rc</v>
          </cell>
        </row>
        <row r="3427">
          <cell r="D3427">
            <v>650100</v>
          </cell>
          <cell r="E3427" t="str">
            <v>Hat-forms, hat bodies and hoods of felt, neither blocked to shape nor with made brims; plateaux and manchons (including slit manchons) of felt</v>
          </cell>
          <cell r="F3427">
            <v>0</v>
          </cell>
          <cell r="G3427">
            <v>0</v>
          </cell>
          <cell r="H3427">
            <v>0</v>
          </cell>
          <cell r="I3427" t="str">
            <v>Others</v>
          </cell>
          <cell r="J3427">
            <v>3</v>
          </cell>
          <cell r="K3427" t="str">
            <v>Others</v>
          </cell>
        </row>
        <row r="3428">
          <cell r="D3428">
            <v>650200</v>
          </cell>
          <cell r="E3428" t="str">
            <v>Hat-shapes; plaited or made by assembling strips of any material, neither blocked to shape, nor with made brims, nor lined, nor trimmed</v>
          </cell>
          <cell r="F3428">
            <v>0</v>
          </cell>
          <cell r="G3428">
            <v>0</v>
          </cell>
          <cell r="H3428">
            <v>0</v>
          </cell>
          <cell r="I3428" t="str">
            <v>Others</v>
          </cell>
          <cell r="J3428">
            <v>3</v>
          </cell>
          <cell r="K3428" t="str">
            <v>Others</v>
          </cell>
        </row>
        <row r="3429">
          <cell r="D3429">
            <v>650400</v>
          </cell>
          <cell r="E3429" t="str">
            <v>Hats and other headgear; plaited or made by assembling strips of any material, whether or not lined or trimmed</v>
          </cell>
          <cell r="F3429">
            <v>0</v>
          </cell>
          <cell r="G3429">
            <v>0</v>
          </cell>
          <cell r="H3429">
            <v>0</v>
          </cell>
          <cell r="I3429" t="str">
            <v>Others</v>
          </cell>
          <cell r="J3429">
            <v>3</v>
          </cell>
          <cell r="K3429" t="str">
            <v>Others</v>
          </cell>
        </row>
        <row r="3430">
          <cell r="D3430">
            <v>650500</v>
          </cell>
          <cell r="E3430" t="str">
            <v>Hats and other headgear; knitted or crocheted, or made up from lace, felt or other textile fabric, in the piece (but not in strips), whether or not lined or trimmed; hair-nets of any material, whether or not lined or trimmed</v>
          </cell>
          <cell r="F3430" t="str">
            <v>Consumables</v>
          </cell>
          <cell r="G3430">
            <v>0</v>
          </cell>
          <cell r="H3430">
            <v>0</v>
          </cell>
          <cell r="I3430" t="str">
            <v>Others</v>
          </cell>
          <cell r="J3430">
            <v>2</v>
          </cell>
          <cell r="K3430" t="str">
            <v>Consumables</v>
          </cell>
        </row>
        <row r="3431">
          <cell r="D3431">
            <v>650610</v>
          </cell>
          <cell r="E3431" t="str">
            <v>Headgear; safety, whether or not lined or trimmed</v>
          </cell>
          <cell r="F3431" t="str">
            <v>Consumables</v>
          </cell>
          <cell r="G3431">
            <v>0</v>
          </cell>
          <cell r="H3431">
            <v>0</v>
          </cell>
          <cell r="I3431" t="str">
            <v>Others</v>
          </cell>
          <cell r="J3431">
            <v>2</v>
          </cell>
          <cell r="K3431" t="str">
            <v>Consumables</v>
          </cell>
        </row>
        <row r="3432">
          <cell r="D3432">
            <v>650691</v>
          </cell>
          <cell r="E3432" t="str">
            <v>Headgear; (other than safety headgear), of rubber or plastics, whether or not lined or trimmed</v>
          </cell>
          <cell r="F3432" t="str">
            <v>Consumables</v>
          </cell>
          <cell r="G3432">
            <v>0</v>
          </cell>
          <cell r="H3432">
            <v>0</v>
          </cell>
          <cell r="I3432" t="str">
            <v>Others</v>
          </cell>
          <cell r="J3432">
            <v>2</v>
          </cell>
          <cell r="K3432" t="str">
            <v>Consumables</v>
          </cell>
        </row>
        <row r="3433">
          <cell r="D3433">
            <v>650699</v>
          </cell>
          <cell r="E3433" t="str">
            <v>Headgear; (other than safety headgear), (of materials other than rubber or plastic), whether or not lined or trimmed</v>
          </cell>
          <cell r="F3433" t="str">
            <v>Consumables</v>
          </cell>
          <cell r="G3433">
            <v>0</v>
          </cell>
          <cell r="H3433">
            <v>0</v>
          </cell>
          <cell r="I3433" t="str">
            <v>Others</v>
          </cell>
          <cell r="J3433">
            <v>2</v>
          </cell>
          <cell r="K3433" t="str">
            <v>Consumables</v>
          </cell>
        </row>
        <row r="3434">
          <cell r="D3434">
            <v>650700</v>
          </cell>
          <cell r="E3434" t="str">
            <v>Head-bands, linings, covers, hat foundations, hat frames, peaks and chinstraps; for headgear</v>
          </cell>
          <cell r="F3434">
            <v>0</v>
          </cell>
          <cell r="G3434">
            <v>0</v>
          </cell>
          <cell r="H3434">
            <v>0</v>
          </cell>
          <cell r="I3434" t="str">
            <v>Others</v>
          </cell>
          <cell r="J3434">
            <v>3</v>
          </cell>
          <cell r="K3434" t="str">
            <v>Others</v>
          </cell>
        </row>
        <row r="3435">
          <cell r="D3435">
            <v>660110</v>
          </cell>
          <cell r="E3435" t="str">
            <v>Umbrellas and sun umbrellas; garden or similar umbrellas</v>
          </cell>
          <cell r="F3435">
            <v>0</v>
          </cell>
          <cell r="G3435">
            <v>0</v>
          </cell>
          <cell r="H3435">
            <v>0</v>
          </cell>
          <cell r="I3435" t="str">
            <v>Others</v>
          </cell>
          <cell r="J3435">
            <v>3</v>
          </cell>
          <cell r="K3435" t="str">
            <v>Others</v>
          </cell>
        </row>
        <row r="3436">
          <cell r="D3436">
            <v>660191</v>
          </cell>
          <cell r="E3436" t="str">
            <v>Umbrellas and sun umbrellas; having a telescopic shaft, (excluding garden or similar umbrellas)</v>
          </cell>
          <cell r="F3436">
            <v>0</v>
          </cell>
          <cell r="G3436">
            <v>0</v>
          </cell>
          <cell r="H3436">
            <v>0</v>
          </cell>
          <cell r="I3436" t="str">
            <v>Others</v>
          </cell>
          <cell r="J3436">
            <v>3</v>
          </cell>
          <cell r="K3436" t="str">
            <v>Others</v>
          </cell>
        </row>
        <row r="3437">
          <cell r="D3437">
            <v>660199</v>
          </cell>
          <cell r="E3437" t="str">
            <v>Umbrellas and sun umbrellas; n.e.c. in heading no. 6601 (including walking stick umbrellas)</v>
          </cell>
          <cell r="F3437">
            <v>0</v>
          </cell>
          <cell r="G3437">
            <v>0</v>
          </cell>
          <cell r="H3437">
            <v>0</v>
          </cell>
          <cell r="I3437" t="str">
            <v>Others</v>
          </cell>
          <cell r="J3437">
            <v>3</v>
          </cell>
          <cell r="K3437" t="str">
            <v>Others</v>
          </cell>
        </row>
        <row r="3438">
          <cell r="D3438">
            <v>660200</v>
          </cell>
          <cell r="E3438" t="str">
            <v>Walking-sticks, seat-sticks, whips, riding-crops and the like</v>
          </cell>
          <cell r="F3438">
            <v>0</v>
          </cell>
          <cell r="G3438">
            <v>0</v>
          </cell>
          <cell r="H3438">
            <v>0</v>
          </cell>
          <cell r="I3438" t="str">
            <v>Others</v>
          </cell>
          <cell r="J3438">
            <v>3</v>
          </cell>
          <cell r="K3438" t="str">
            <v>Others</v>
          </cell>
        </row>
        <row r="3439">
          <cell r="D3439">
            <v>660320</v>
          </cell>
          <cell r="E3439" t="str">
            <v>Umbrella frames; including frames mounted on shafts (sticks)</v>
          </cell>
          <cell r="F3439">
            <v>0</v>
          </cell>
          <cell r="G3439">
            <v>0</v>
          </cell>
          <cell r="H3439">
            <v>0</v>
          </cell>
          <cell r="I3439" t="str">
            <v>Others</v>
          </cell>
          <cell r="J3439">
            <v>3</v>
          </cell>
          <cell r="K3439" t="str">
            <v>Others</v>
          </cell>
        </row>
        <row r="3440">
          <cell r="D3440">
            <v>660390</v>
          </cell>
          <cell r="E3440" t="str">
            <v>Trimmings, accessories and parts of articles of heading no. 6601 or 6602; n.e.c. in heading no. 6603</v>
          </cell>
          <cell r="F3440">
            <v>0</v>
          </cell>
          <cell r="G3440">
            <v>0</v>
          </cell>
          <cell r="H3440">
            <v>0</v>
          </cell>
          <cell r="I3440" t="str">
            <v>Others</v>
          </cell>
          <cell r="J3440">
            <v>3</v>
          </cell>
          <cell r="K3440" t="str">
            <v>Others</v>
          </cell>
        </row>
        <row r="3441">
          <cell r="D3441">
            <v>670100</v>
          </cell>
          <cell r="E3441" t="str">
            <v>Skins and other parts of birds with their feathers or down; feathers, parts of feathers, down and articles thereof (other than goods of heading no. 0505 and worked quills and scapes)</v>
          </cell>
          <cell r="F3441">
            <v>0</v>
          </cell>
          <cell r="G3441">
            <v>0</v>
          </cell>
          <cell r="H3441">
            <v>0</v>
          </cell>
          <cell r="I3441" t="str">
            <v>Others</v>
          </cell>
          <cell r="J3441">
            <v>3</v>
          </cell>
          <cell r="K3441" t="str">
            <v>Others</v>
          </cell>
        </row>
        <row r="3442">
          <cell r="D3442">
            <v>670210</v>
          </cell>
          <cell r="E3442" t="str">
            <v>Flowers, foliage and fruit, artificial, and parts thereof; articles made of artificial flowers, foliage or fruit, of plastics</v>
          </cell>
          <cell r="F3442">
            <v>0</v>
          </cell>
          <cell r="G3442">
            <v>0</v>
          </cell>
          <cell r="H3442">
            <v>0</v>
          </cell>
          <cell r="I3442" t="str">
            <v>Others</v>
          </cell>
          <cell r="J3442">
            <v>3</v>
          </cell>
          <cell r="K3442" t="str">
            <v>Others</v>
          </cell>
        </row>
        <row r="3443">
          <cell r="D3443">
            <v>670290</v>
          </cell>
          <cell r="E3443" t="str">
            <v>Flowers, foliage and fruit, artificial, and parts thereof; articles made of artificial flowers, foliage or fruit, of materials other than plastics</v>
          </cell>
          <cell r="F3443">
            <v>0</v>
          </cell>
          <cell r="G3443">
            <v>0</v>
          </cell>
          <cell r="H3443">
            <v>0</v>
          </cell>
          <cell r="I3443" t="str">
            <v>Others</v>
          </cell>
          <cell r="J3443">
            <v>3</v>
          </cell>
          <cell r="K3443" t="str">
            <v>Others</v>
          </cell>
        </row>
        <row r="3444">
          <cell r="D3444">
            <v>670300</v>
          </cell>
          <cell r="E3444" t="str">
            <v>Human hair, dressed, thinned, bleached or otherwise worked; wool or other animal hair or other textile materials, prepared for use in making wigs or the like</v>
          </cell>
          <cell r="F3444">
            <v>0</v>
          </cell>
          <cell r="G3444">
            <v>0</v>
          </cell>
          <cell r="H3444">
            <v>0</v>
          </cell>
          <cell r="I3444" t="str">
            <v>Others</v>
          </cell>
          <cell r="J3444">
            <v>3</v>
          </cell>
          <cell r="K3444" t="str">
            <v>Others</v>
          </cell>
        </row>
        <row r="3445">
          <cell r="D3445">
            <v>670411</v>
          </cell>
          <cell r="E3445" t="str">
            <v>Wigs; complete, of synthetic textile materials</v>
          </cell>
          <cell r="F3445">
            <v>0</v>
          </cell>
          <cell r="G3445">
            <v>0</v>
          </cell>
          <cell r="H3445">
            <v>0</v>
          </cell>
          <cell r="I3445" t="str">
            <v>Others</v>
          </cell>
          <cell r="J3445">
            <v>3</v>
          </cell>
          <cell r="K3445" t="str">
            <v>Others</v>
          </cell>
        </row>
        <row r="3446">
          <cell r="D3446">
            <v>670419</v>
          </cell>
          <cell r="E3446" t="str">
            <v>False beards, eyebrows and eyelashes, switches and the like; of synthetic textile materials</v>
          </cell>
          <cell r="F3446">
            <v>0</v>
          </cell>
          <cell r="G3446">
            <v>0</v>
          </cell>
          <cell r="H3446">
            <v>0</v>
          </cell>
          <cell r="I3446" t="str">
            <v>Others</v>
          </cell>
          <cell r="J3446">
            <v>3</v>
          </cell>
          <cell r="K3446" t="str">
            <v>Others</v>
          </cell>
        </row>
        <row r="3447">
          <cell r="D3447">
            <v>670420</v>
          </cell>
          <cell r="E3447" t="str">
            <v>Wigs, false beards, eyebrows and eyelashes, switches and the like and other articles n.e.c.; of human hair</v>
          </cell>
          <cell r="F3447">
            <v>0</v>
          </cell>
          <cell r="G3447">
            <v>0</v>
          </cell>
          <cell r="H3447">
            <v>0</v>
          </cell>
          <cell r="I3447" t="str">
            <v>Others</v>
          </cell>
          <cell r="J3447">
            <v>3</v>
          </cell>
          <cell r="K3447" t="str">
            <v>Others</v>
          </cell>
        </row>
        <row r="3448">
          <cell r="D3448">
            <v>670490</v>
          </cell>
          <cell r="E3448" t="str">
            <v>Wigs, false beards, eyebrows and eyelashes, switches and the like and other articles n.e.c.; of animal hair or of textile materials other than synthetic</v>
          </cell>
          <cell r="F3448">
            <v>0</v>
          </cell>
          <cell r="G3448">
            <v>0</v>
          </cell>
          <cell r="H3448">
            <v>0</v>
          </cell>
          <cell r="I3448" t="str">
            <v>Others</v>
          </cell>
          <cell r="J3448">
            <v>3</v>
          </cell>
          <cell r="K3448" t="str">
            <v>Others</v>
          </cell>
        </row>
        <row r="3449">
          <cell r="D3449">
            <v>680100</v>
          </cell>
          <cell r="E3449" t="str">
            <v>Stone; setts, curbstones and flagstones, of natural stone (except slate)</v>
          </cell>
          <cell r="F3449">
            <v>0</v>
          </cell>
          <cell r="G3449">
            <v>0</v>
          </cell>
          <cell r="H3449">
            <v>0</v>
          </cell>
          <cell r="I3449" t="str">
            <v>Others</v>
          </cell>
          <cell r="J3449">
            <v>3</v>
          </cell>
          <cell r="K3449" t="str">
            <v>Others</v>
          </cell>
        </row>
        <row r="3450">
          <cell r="D3450">
            <v>680210</v>
          </cell>
          <cell r="E3450" t="str">
            <v>Tiles, cubes and similar articles; whether or not rectangular (including square), largest face of which is capable of being enclosed in square, side less than 7cm, coloured granules, chippings, powder</v>
          </cell>
          <cell r="F3450">
            <v>0</v>
          </cell>
          <cell r="G3450">
            <v>0</v>
          </cell>
          <cell r="H3450">
            <v>0</v>
          </cell>
          <cell r="I3450" t="str">
            <v>Others</v>
          </cell>
          <cell r="J3450">
            <v>3</v>
          </cell>
          <cell r="K3450" t="str">
            <v>Others</v>
          </cell>
        </row>
        <row r="3451">
          <cell r="D3451">
            <v>680221</v>
          </cell>
          <cell r="E3451" t="str">
            <v>Marble, travertine and alabaster; simply cut or sawn, with a flat or even surface</v>
          </cell>
          <cell r="F3451">
            <v>0</v>
          </cell>
          <cell r="G3451">
            <v>0</v>
          </cell>
          <cell r="H3451">
            <v>0</v>
          </cell>
          <cell r="I3451" t="str">
            <v>Others</v>
          </cell>
          <cell r="J3451">
            <v>3</v>
          </cell>
          <cell r="K3451" t="str">
            <v>Others</v>
          </cell>
        </row>
        <row r="3452">
          <cell r="D3452">
            <v>680223</v>
          </cell>
          <cell r="E3452" t="str">
            <v>Granite; articles thereof, simply cut or sawn, with a flat or even surface</v>
          </cell>
          <cell r="F3452">
            <v>0</v>
          </cell>
          <cell r="G3452">
            <v>0</v>
          </cell>
          <cell r="H3452">
            <v>0</v>
          </cell>
          <cell r="I3452" t="str">
            <v>Others</v>
          </cell>
          <cell r="J3452">
            <v>3</v>
          </cell>
          <cell r="K3452" t="str">
            <v>Others</v>
          </cell>
        </row>
        <row r="3453">
          <cell r="D3453">
            <v>680229</v>
          </cell>
          <cell r="E3453" t="str">
            <v>Stone; monumental or building stone, n.e.c. in item no. 6802.2, articles thereof, simply cut or sawn, with a flat or even surface</v>
          </cell>
          <cell r="F3453">
            <v>0</v>
          </cell>
          <cell r="G3453">
            <v>0</v>
          </cell>
          <cell r="H3453">
            <v>0</v>
          </cell>
          <cell r="I3453" t="str">
            <v>Others</v>
          </cell>
          <cell r="J3453">
            <v>3</v>
          </cell>
          <cell r="K3453" t="str">
            <v>Others</v>
          </cell>
        </row>
        <row r="3454">
          <cell r="D3454">
            <v>680291</v>
          </cell>
          <cell r="E3454" t="str">
            <v>Marble, travertine and alabaster; articles thereof, (other than simply cut or sawn, with a flat or even surface)</v>
          </cell>
          <cell r="F3454" t="str">
            <v>Consumables</v>
          </cell>
          <cell r="G3454">
            <v>0</v>
          </cell>
          <cell r="H3454">
            <v>0</v>
          </cell>
          <cell r="I3454" t="str">
            <v>Others</v>
          </cell>
          <cell r="J3454">
            <v>2</v>
          </cell>
          <cell r="K3454" t="str">
            <v>Consumables - rc</v>
          </cell>
        </row>
        <row r="3455">
          <cell r="D3455">
            <v>680292</v>
          </cell>
          <cell r="E3455" t="str">
            <v>Stone; calcareous (excluding marble, travertine, alabaster) articles thereof, (other than simply cut or sawn, with a flat or even surface)</v>
          </cell>
          <cell r="F3455">
            <v>0</v>
          </cell>
          <cell r="G3455">
            <v>0</v>
          </cell>
          <cell r="H3455">
            <v>0</v>
          </cell>
          <cell r="I3455" t="str">
            <v>Others</v>
          </cell>
          <cell r="J3455">
            <v>3</v>
          </cell>
          <cell r="K3455" t="str">
            <v>Others</v>
          </cell>
        </row>
        <row r="3456">
          <cell r="D3456">
            <v>680293</v>
          </cell>
          <cell r="E3456" t="str">
            <v>Granite; articles thereof, (other than simply cut or sawn, with a flat or even surface)</v>
          </cell>
          <cell r="F3456" t="str">
            <v>Consumables</v>
          </cell>
          <cell r="G3456">
            <v>0</v>
          </cell>
          <cell r="H3456">
            <v>0</v>
          </cell>
          <cell r="I3456" t="str">
            <v>Others</v>
          </cell>
          <cell r="J3456">
            <v>2</v>
          </cell>
          <cell r="K3456" t="str">
            <v>Consumables - rc</v>
          </cell>
        </row>
        <row r="3457">
          <cell r="D3457">
            <v>680299</v>
          </cell>
          <cell r="E3457" t="str">
            <v>Stone; natural (excluding marble, travertine, alabaster, other calcareous stone or granite), monumental or building stone, (other than simply cut or sawn, with a flat or even surface)</v>
          </cell>
          <cell r="F3457">
            <v>0</v>
          </cell>
          <cell r="G3457">
            <v>0</v>
          </cell>
          <cell r="H3457">
            <v>0</v>
          </cell>
          <cell r="I3457" t="str">
            <v>Others</v>
          </cell>
          <cell r="J3457">
            <v>3</v>
          </cell>
          <cell r="K3457" t="str">
            <v>Others</v>
          </cell>
        </row>
        <row r="3458">
          <cell r="D3458">
            <v>680300</v>
          </cell>
          <cell r="E3458" t="str">
            <v>Slate, worked; and articles of slate or of agglomerated slate</v>
          </cell>
          <cell r="F3458">
            <v>0</v>
          </cell>
          <cell r="G3458">
            <v>0</v>
          </cell>
          <cell r="H3458">
            <v>0</v>
          </cell>
          <cell r="I3458" t="str">
            <v>Others</v>
          </cell>
          <cell r="J3458">
            <v>3</v>
          </cell>
          <cell r="K3458" t="str">
            <v>Others</v>
          </cell>
        </row>
        <row r="3459">
          <cell r="D3459">
            <v>680410</v>
          </cell>
          <cell r="E3459" t="str">
            <v>Millstones and grindstones; for milling, grinding or pulping</v>
          </cell>
          <cell r="F3459">
            <v>0</v>
          </cell>
          <cell r="G3459">
            <v>0</v>
          </cell>
          <cell r="H3459">
            <v>0</v>
          </cell>
          <cell r="I3459" t="str">
            <v>Others</v>
          </cell>
          <cell r="J3459">
            <v>3</v>
          </cell>
          <cell r="K3459" t="str">
            <v>Others</v>
          </cell>
        </row>
        <row r="3460">
          <cell r="D3460">
            <v>853650</v>
          </cell>
          <cell r="E3460" t="str">
            <v>Electrical apparatus; switches n.e.c. in heading no. 8536, for a voltage not exceeding 1000 volts</v>
          </cell>
          <cell r="F3460" t="str">
            <v>Capital Goods</v>
          </cell>
          <cell r="G3460">
            <v>0</v>
          </cell>
          <cell r="H3460" t="str">
            <v>Parts &amp; Accessories</v>
          </cell>
          <cell r="I3460" t="str">
            <v>Parts &amp; Accessories</v>
          </cell>
          <cell r="J3460">
            <v>1</v>
          </cell>
          <cell r="K3460" t="str">
            <v>Parts &amp; Accessories</v>
          </cell>
        </row>
        <row r="3461">
          <cell r="D3461">
            <v>680422</v>
          </cell>
          <cell r="E3461" t="str">
            <v>Millstones, grindstones, grinding wheels and the like; of other agglomerated abrasives or of ceramics</v>
          </cell>
          <cell r="F3461" t="str">
            <v>Capital Goods</v>
          </cell>
          <cell r="G3461">
            <v>0</v>
          </cell>
          <cell r="H3461" t="str">
            <v>Parts &amp; Accessories</v>
          </cell>
          <cell r="I3461" t="str">
            <v>Others</v>
          </cell>
          <cell r="J3461">
            <v>1</v>
          </cell>
          <cell r="K3461" t="str">
            <v>Consumables</v>
          </cell>
        </row>
        <row r="3462">
          <cell r="D3462">
            <v>680423</v>
          </cell>
          <cell r="E3462" t="str">
            <v>Millstones, grindstones, grinding wheels and the like; of natural stone</v>
          </cell>
          <cell r="F3462" t="str">
            <v>Consumables</v>
          </cell>
          <cell r="G3462">
            <v>0</v>
          </cell>
          <cell r="H3462">
            <v>0</v>
          </cell>
          <cell r="I3462" t="str">
            <v>Others</v>
          </cell>
          <cell r="J3462">
            <v>2</v>
          </cell>
          <cell r="K3462" t="str">
            <v>Consumables - rc</v>
          </cell>
        </row>
        <row r="3463">
          <cell r="D3463">
            <v>848071</v>
          </cell>
          <cell r="E3463" t="str">
            <v>Moulds; for rubber or plastics, injection or compression types</v>
          </cell>
          <cell r="F3463" t="str">
            <v>Capital Goods</v>
          </cell>
          <cell r="G3463">
            <v>0</v>
          </cell>
          <cell r="H3463" t="str">
            <v>Capital Goods</v>
          </cell>
          <cell r="I3463" t="str">
            <v>Capital Goods</v>
          </cell>
          <cell r="J3463">
            <v>1</v>
          </cell>
          <cell r="K3463" t="str">
            <v>Parts &amp; Accessories</v>
          </cell>
        </row>
        <row r="3464">
          <cell r="D3464">
            <v>680510</v>
          </cell>
          <cell r="E3464" t="str">
            <v>Abrasive powder or grain; natural or artificial, on a base of woven textile fabric only, whether or not cut to shape or sewn or otherwise made up</v>
          </cell>
          <cell r="F3464" t="str">
            <v>Consumables</v>
          </cell>
          <cell r="G3464">
            <v>0</v>
          </cell>
          <cell r="H3464">
            <v>0</v>
          </cell>
          <cell r="I3464" t="str">
            <v>Others</v>
          </cell>
          <cell r="J3464">
            <v>2</v>
          </cell>
          <cell r="K3464" t="str">
            <v>Consumables - rc</v>
          </cell>
        </row>
        <row r="3465">
          <cell r="D3465">
            <v>680520</v>
          </cell>
          <cell r="E3465" t="str">
            <v>Abrasive powder or grain; natural or artificial, on a base of paper or paperboard only, whether or not cut to shape or sewn or otherwise made up</v>
          </cell>
          <cell r="F3465" t="str">
            <v>Consumables</v>
          </cell>
          <cell r="G3465">
            <v>0</v>
          </cell>
          <cell r="H3465">
            <v>0</v>
          </cell>
          <cell r="I3465" t="str">
            <v>Others</v>
          </cell>
          <cell r="J3465">
            <v>2</v>
          </cell>
          <cell r="K3465" t="str">
            <v>Consumables - rc</v>
          </cell>
        </row>
        <row r="3466">
          <cell r="D3466">
            <v>680530</v>
          </cell>
          <cell r="E3466" t="str">
            <v>Abrasive powder or grain; natural or artificial, on a base of materials n.e.c. in heading no. 6805, whether or not cut to shape or sewn or otherwise made up</v>
          </cell>
          <cell r="F3466" t="str">
            <v>Consumables</v>
          </cell>
          <cell r="G3466">
            <v>0</v>
          </cell>
          <cell r="H3466">
            <v>0</v>
          </cell>
          <cell r="I3466" t="str">
            <v>Others</v>
          </cell>
          <cell r="J3466">
            <v>2</v>
          </cell>
          <cell r="K3466" t="str">
            <v>Consumables</v>
          </cell>
        </row>
        <row r="3467">
          <cell r="D3467">
            <v>680610</v>
          </cell>
          <cell r="E3467" t="str">
            <v>Slag wool, rock wool and similar mineral wools (including intermixtures thereof), in bulk, sheets or rolls</v>
          </cell>
          <cell r="F3467">
            <v>0</v>
          </cell>
          <cell r="G3467">
            <v>0</v>
          </cell>
          <cell r="H3467">
            <v>0</v>
          </cell>
          <cell r="I3467" t="str">
            <v>Others</v>
          </cell>
          <cell r="J3467">
            <v>3</v>
          </cell>
          <cell r="K3467" t="str">
            <v>Others</v>
          </cell>
        </row>
        <row r="3468">
          <cell r="D3468">
            <v>680620</v>
          </cell>
          <cell r="E3468" t="str">
            <v>Exfoliated vermiculite, expanded clays, foamed slag and similar expanded mineral materials (including intermixtures thereof)</v>
          </cell>
          <cell r="F3468">
            <v>0</v>
          </cell>
          <cell r="G3468">
            <v>0</v>
          </cell>
          <cell r="H3468">
            <v>0</v>
          </cell>
          <cell r="I3468" t="str">
            <v>Others</v>
          </cell>
          <cell r="J3468">
            <v>3</v>
          </cell>
          <cell r="K3468" t="str">
            <v>Others</v>
          </cell>
        </row>
        <row r="3469">
          <cell r="D3469">
            <v>680690</v>
          </cell>
          <cell r="E3469" t="str">
            <v>Minerals; mixtures and articles of heat-insulating, sound-insulating or sound-absorbing mineral materials, other than those of heading no. 6811 or 6812 or of chapter 69</v>
          </cell>
          <cell r="F3469" t="str">
            <v>Consumables</v>
          </cell>
          <cell r="G3469">
            <v>0</v>
          </cell>
          <cell r="H3469">
            <v>0</v>
          </cell>
          <cell r="I3469" t="str">
            <v>Others</v>
          </cell>
          <cell r="J3469">
            <v>2</v>
          </cell>
          <cell r="K3469" t="str">
            <v>Consumables - rc</v>
          </cell>
        </row>
        <row r="3470">
          <cell r="D3470">
            <v>680710</v>
          </cell>
          <cell r="E3470" t="str">
            <v>Asphalt or similar material; articles (e.g. petroleum bitumen or coal tar pitch) in rolls</v>
          </cell>
          <cell r="F3470">
            <v>0</v>
          </cell>
          <cell r="G3470">
            <v>0</v>
          </cell>
          <cell r="H3470">
            <v>0</v>
          </cell>
          <cell r="I3470" t="str">
            <v>Others</v>
          </cell>
          <cell r="J3470">
            <v>3</v>
          </cell>
          <cell r="K3470" t="str">
            <v>Others</v>
          </cell>
        </row>
        <row r="3471">
          <cell r="D3471">
            <v>680790</v>
          </cell>
          <cell r="E3471" t="str">
            <v>Asphalt or similar material; articles (e.g. petroleum bitumen or coal tar pitch) other than in rolls</v>
          </cell>
          <cell r="F3471">
            <v>0</v>
          </cell>
          <cell r="G3471">
            <v>0</v>
          </cell>
          <cell r="H3471">
            <v>0</v>
          </cell>
          <cell r="I3471" t="str">
            <v>Others</v>
          </cell>
          <cell r="J3471">
            <v>3</v>
          </cell>
          <cell r="K3471" t="str">
            <v>Others</v>
          </cell>
        </row>
        <row r="3472">
          <cell r="D3472">
            <v>680800</v>
          </cell>
          <cell r="E3472" t="str">
            <v>Panels, boards, tiles, blocks and the like; of vegetable fibre, of straw, shavings, chips, particles, sawdust or other waste, of wood, agglomerated with cement, plaster or other mineral binders</v>
          </cell>
          <cell r="F3472">
            <v>0</v>
          </cell>
          <cell r="G3472">
            <v>0</v>
          </cell>
          <cell r="H3472">
            <v>0</v>
          </cell>
          <cell r="I3472" t="str">
            <v>Others</v>
          </cell>
          <cell r="J3472">
            <v>3</v>
          </cell>
          <cell r="K3472" t="str">
            <v>Others</v>
          </cell>
        </row>
        <row r="3473">
          <cell r="D3473">
            <v>680911</v>
          </cell>
          <cell r="E3473" t="str">
            <v>Plaster, or plaster compositions; boards, sheets, panels, tiles and similar articles, faced or reinforced with paper or paperboard only, not ornamented</v>
          </cell>
          <cell r="F3473">
            <v>0</v>
          </cell>
          <cell r="G3473">
            <v>0</v>
          </cell>
          <cell r="H3473">
            <v>0</v>
          </cell>
          <cell r="I3473" t="str">
            <v>Others</v>
          </cell>
          <cell r="J3473">
            <v>3</v>
          </cell>
          <cell r="K3473" t="str">
            <v>Others</v>
          </cell>
        </row>
        <row r="3474">
          <cell r="D3474">
            <v>680919</v>
          </cell>
          <cell r="E3474" t="str">
            <v>Plaster, or plaster compositions; boards, sheets, panels, tiles and similar articles, (other than faced or reinforced with paper or paperboard only), not ornamented</v>
          </cell>
          <cell r="F3474">
            <v>0</v>
          </cell>
          <cell r="G3474">
            <v>0</v>
          </cell>
          <cell r="H3474">
            <v>0</v>
          </cell>
          <cell r="I3474" t="str">
            <v>Others</v>
          </cell>
          <cell r="J3474">
            <v>3</v>
          </cell>
          <cell r="K3474" t="str">
            <v>Others</v>
          </cell>
        </row>
        <row r="3475">
          <cell r="D3475">
            <v>680990</v>
          </cell>
          <cell r="E3475" t="str">
            <v>Plaster articles or articles of compositions based on plaster; n.e.c. in heading no. 6809</v>
          </cell>
          <cell r="F3475">
            <v>0</v>
          </cell>
          <cell r="G3475">
            <v>0</v>
          </cell>
          <cell r="H3475">
            <v>0</v>
          </cell>
          <cell r="I3475" t="str">
            <v>Others</v>
          </cell>
          <cell r="J3475">
            <v>3</v>
          </cell>
          <cell r="K3475" t="str">
            <v>Others</v>
          </cell>
        </row>
        <row r="3476">
          <cell r="D3476">
            <v>681011</v>
          </cell>
          <cell r="E3476" t="str">
            <v>Cement, concrete or artificial stone; building blocks or bricks, whether or not reinforced</v>
          </cell>
          <cell r="F3476">
            <v>0</v>
          </cell>
          <cell r="G3476">
            <v>0</v>
          </cell>
          <cell r="H3476">
            <v>0</v>
          </cell>
          <cell r="I3476" t="str">
            <v>Others</v>
          </cell>
          <cell r="J3476">
            <v>3</v>
          </cell>
          <cell r="K3476" t="str">
            <v>Others</v>
          </cell>
        </row>
        <row r="3477">
          <cell r="D3477">
            <v>681019</v>
          </cell>
          <cell r="E3477" t="str">
            <v>Cement, concrete or artificial stone; tiles, flagstones and similar, (excluding building blocks and bricks) whether or not reinforced</v>
          </cell>
          <cell r="F3477" t="str">
            <v>Consumables</v>
          </cell>
          <cell r="G3477">
            <v>0</v>
          </cell>
          <cell r="H3477">
            <v>0</v>
          </cell>
          <cell r="I3477" t="str">
            <v>Others</v>
          </cell>
          <cell r="J3477">
            <v>2</v>
          </cell>
          <cell r="K3477" t="str">
            <v>Consumables - rc</v>
          </cell>
        </row>
        <row r="3478">
          <cell r="D3478">
            <v>681091</v>
          </cell>
          <cell r="E3478" t="str">
            <v>Cement, concrete or artificial stone; prefabricated structural components for building or civil engineering, whether or not reinforced</v>
          </cell>
          <cell r="F3478">
            <v>0</v>
          </cell>
          <cell r="G3478">
            <v>0</v>
          </cell>
          <cell r="H3478">
            <v>0</v>
          </cell>
          <cell r="I3478" t="str">
            <v>Others</v>
          </cell>
          <cell r="J3478">
            <v>3</v>
          </cell>
          <cell r="K3478" t="str">
            <v>Others</v>
          </cell>
        </row>
        <row r="3479">
          <cell r="D3479">
            <v>681099</v>
          </cell>
          <cell r="E3479" t="str">
            <v>Cement, concrete or artificial stone; articles (other than prefabricated structural components for building or civil engineering), whether or not reinforced, n.e.c. in heading no. 6810</v>
          </cell>
          <cell r="F3479" t="str">
            <v>Consumables</v>
          </cell>
          <cell r="G3479">
            <v>0</v>
          </cell>
          <cell r="H3479">
            <v>0</v>
          </cell>
          <cell r="I3479" t="str">
            <v>Others</v>
          </cell>
          <cell r="J3479">
            <v>2</v>
          </cell>
          <cell r="K3479" t="str">
            <v>Consumables - rc</v>
          </cell>
        </row>
        <row r="3480">
          <cell r="D3480">
            <v>681140</v>
          </cell>
          <cell r="E3480" t="str">
            <v>Asbestos-cement; articles or the like, containing asbestos</v>
          </cell>
          <cell r="F3480">
            <v>0</v>
          </cell>
          <cell r="G3480">
            <v>0</v>
          </cell>
          <cell r="H3480">
            <v>0</v>
          </cell>
          <cell r="I3480" t="str">
            <v>Others</v>
          </cell>
          <cell r="J3480">
            <v>3</v>
          </cell>
          <cell r="K3480" t="str">
            <v>Others</v>
          </cell>
        </row>
        <row r="3481">
          <cell r="D3481">
            <v>681181</v>
          </cell>
          <cell r="E3481" t="str">
            <v>Cellulose fibre-cement; articles or the like; corrugated sheets, not containing asbestos</v>
          </cell>
          <cell r="F3481">
            <v>0</v>
          </cell>
          <cell r="G3481">
            <v>0</v>
          </cell>
          <cell r="H3481">
            <v>0</v>
          </cell>
          <cell r="I3481" t="str">
            <v>Others</v>
          </cell>
          <cell r="J3481">
            <v>3</v>
          </cell>
          <cell r="K3481" t="str">
            <v>Others</v>
          </cell>
        </row>
        <row r="3482">
          <cell r="D3482">
            <v>681182</v>
          </cell>
          <cell r="E3482" t="str">
            <v>Cellulose fibre-cement; articles or the like, sheets, panels, tiles and similar articles (other than corrugated sheets), not containing asbestos</v>
          </cell>
          <cell r="F3482">
            <v>0</v>
          </cell>
          <cell r="G3482">
            <v>0</v>
          </cell>
          <cell r="H3482">
            <v>0</v>
          </cell>
          <cell r="I3482" t="str">
            <v>Others</v>
          </cell>
          <cell r="J3482">
            <v>3</v>
          </cell>
          <cell r="K3482" t="str">
            <v>Others</v>
          </cell>
        </row>
        <row r="3483">
          <cell r="D3483">
            <v>681189</v>
          </cell>
          <cell r="E3483" t="str">
            <v>Cellulose fibre-cement; articles or the like, other than corrugated sheets and other sheets, panels, tiles and similar articles, not containing asbestos</v>
          </cell>
          <cell r="F3483">
            <v>0</v>
          </cell>
          <cell r="G3483">
            <v>0</v>
          </cell>
          <cell r="H3483">
            <v>0</v>
          </cell>
          <cell r="I3483" t="str">
            <v>Others</v>
          </cell>
          <cell r="J3483">
            <v>3</v>
          </cell>
          <cell r="K3483" t="str">
            <v>Others</v>
          </cell>
        </row>
        <row r="3484">
          <cell r="D3484">
            <v>681280</v>
          </cell>
          <cell r="E3484" t="str">
            <v>Fabricated crocidolite (blue asbestos) fibres, mixtures with a basis of crocidolite (blue asbestos), articles of crocidolite (blue asbestos), whether or not reinforced, not goods of heading 6811 or 6813</v>
          </cell>
          <cell r="F3484">
            <v>0</v>
          </cell>
          <cell r="G3484">
            <v>0</v>
          </cell>
          <cell r="H3484">
            <v>0</v>
          </cell>
          <cell r="I3484" t="str">
            <v>Others</v>
          </cell>
          <cell r="J3484">
            <v>3</v>
          </cell>
          <cell r="K3484" t="str">
            <v>Others</v>
          </cell>
        </row>
        <row r="3485">
          <cell r="D3485">
            <v>681291</v>
          </cell>
          <cell r="E3485" t="str">
            <v>Asbestos or mixtures with a basis of asbestos (other than crocidolite); clothing, clothing accessories, footwear and headgear, whether or not reinforced, not goods of heading 6811 or 6813</v>
          </cell>
          <cell r="F3485">
            <v>0</v>
          </cell>
          <cell r="G3485">
            <v>0</v>
          </cell>
          <cell r="H3485">
            <v>0</v>
          </cell>
          <cell r="I3485" t="str">
            <v>Others</v>
          </cell>
          <cell r="J3485">
            <v>3</v>
          </cell>
          <cell r="K3485" t="str">
            <v>Others</v>
          </cell>
        </row>
        <row r="3486">
          <cell r="D3486">
            <v>681299</v>
          </cell>
          <cell r="E3486" t="str">
            <v>Asbestos or mixtures with a basis of asbestos (other than crocidolite); fibres, mixtures or articles n.e.c. in heading no. 6812, whether or not reinforced, not goods of heading 6811 or 6813</v>
          </cell>
          <cell r="F3486">
            <v>0</v>
          </cell>
          <cell r="G3486">
            <v>0</v>
          </cell>
          <cell r="H3486">
            <v>0</v>
          </cell>
          <cell r="I3486" t="str">
            <v>Others</v>
          </cell>
          <cell r="J3486">
            <v>3</v>
          </cell>
          <cell r="K3486" t="str">
            <v>Others</v>
          </cell>
        </row>
        <row r="3487">
          <cell r="D3487">
            <v>681320</v>
          </cell>
          <cell r="E3487" t="str">
            <v>Friction material and articles thereof (e.g. sheets, rolls, strips, segments, discs, washers, pads) not mounted; for brakes, clutches or the like, with a basis of asbestos</v>
          </cell>
          <cell r="F3487">
            <v>0</v>
          </cell>
          <cell r="G3487">
            <v>0</v>
          </cell>
          <cell r="H3487">
            <v>0</v>
          </cell>
          <cell r="I3487" t="str">
            <v>Others</v>
          </cell>
          <cell r="J3487">
            <v>3</v>
          </cell>
          <cell r="K3487" t="str">
            <v>Others</v>
          </cell>
        </row>
        <row r="3488">
          <cell r="D3488">
            <v>681381</v>
          </cell>
          <cell r="E3488" t="str">
            <v>Brake linings and pads; with a basis of mineral substances or cellulose (other than asbestos)</v>
          </cell>
          <cell r="F3488">
            <v>0</v>
          </cell>
          <cell r="G3488">
            <v>0</v>
          </cell>
          <cell r="H3488">
            <v>0</v>
          </cell>
          <cell r="I3488" t="str">
            <v>Others</v>
          </cell>
          <cell r="J3488">
            <v>3</v>
          </cell>
          <cell r="K3488" t="str">
            <v>Others</v>
          </cell>
        </row>
        <row r="3489">
          <cell r="D3489">
            <v>681389</v>
          </cell>
          <cell r="E3489" t="str">
            <v>Friction material and articles thereof (e.g. sheets, rolls, strips, segments, discs, washers, pads) not mounted; for clutches or the like (not brake linings and pads), with a basis of mineral substances or cellulose (other than asbestos)</v>
          </cell>
          <cell r="F3489">
            <v>0</v>
          </cell>
          <cell r="G3489">
            <v>0</v>
          </cell>
          <cell r="H3489">
            <v>0</v>
          </cell>
          <cell r="I3489" t="str">
            <v>Others</v>
          </cell>
          <cell r="J3489">
            <v>3</v>
          </cell>
          <cell r="K3489" t="str">
            <v>Others</v>
          </cell>
        </row>
        <row r="3490">
          <cell r="D3490">
            <v>681410</v>
          </cell>
          <cell r="E3490" t="str">
            <v>Mica; plates, sheets and strips of agglomerated or reconstituted mica, whether or not on a support of paper, paperboard or other materials</v>
          </cell>
          <cell r="F3490" t="str">
            <v>Consumables</v>
          </cell>
          <cell r="G3490">
            <v>0</v>
          </cell>
          <cell r="H3490">
            <v>0</v>
          </cell>
          <cell r="I3490" t="str">
            <v>Others</v>
          </cell>
          <cell r="J3490">
            <v>2</v>
          </cell>
          <cell r="K3490" t="str">
            <v>Consumables - rc</v>
          </cell>
        </row>
        <row r="3491">
          <cell r="D3491">
            <v>681490</v>
          </cell>
          <cell r="E3491" t="str">
            <v>Mica; worked mica and articles of mica (excluding plates, sheets and strips) whether or not on a support of paper, paperboard or other materials</v>
          </cell>
          <cell r="F3491">
            <v>0</v>
          </cell>
          <cell r="G3491">
            <v>0</v>
          </cell>
          <cell r="H3491">
            <v>0</v>
          </cell>
          <cell r="I3491" t="str">
            <v>Others</v>
          </cell>
          <cell r="J3491">
            <v>3</v>
          </cell>
          <cell r="K3491" t="str">
            <v>Others</v>
          </cell>
        </row>
        <row r="3492">
          <cell r="D3492">
            <v>681510</v>
          </cell>
          <cell r="E3492" t="str">
            <v>Articles of graphite or Others carbon, incl. carbon fibres, for non-electrical purposes</v>
          </cell>
          <cell r="F3492">
            <v>0</v>
          </cell>
          <cell r="G3492">
            <v>0</v>
          </cell>
          <cell r="H3492" t="str">
            <v>Parts &amp; Accessories</v>
          </cell>
          <cell r="I3492">
            <v>0</v>
          </cell>
          <cell r="J3492">
            <v>3</v>
          </cell>
          <cell r="K3492" t="str">
            <v>Consumables - rc</v>
          </cell>
        </row>
        <row r="3493">
          <cell r="D3493">
            <v>681511</v>
          </cell>
          <cell r="E3493" t="str">
            <v>Stone or other mineral substances not elsewhere specified or included; carbon fibres for non-electrical uses</v>
          </cell>
          <cell r="F3493">
            <v>0</v>
          </cell>
          <cell r="G3493">
            <v>0</v>
          </cell>
          <cell r="H3493">
            <v>0</v>
          </cell>
          <cell r="I3493" t="str">
            <v>Others</v>
          </cell>
          <cell r="J3493">
            <v>3</v>
          </cell>
          <cell r="K3493" t="str">
            <v>Others</v>
          </cell>
        </row>
        <row r="3494">
          <cell r="D3494">
            <v>681512</v>
          </cell>
          <cell r="E3494" t="str">
            <v>Stone or other mineral substances not elsewhere specified or included; fabrics of carbon fibres for non-electrical uses</v>
          </cell>
          <cell r="F3494">
            <v>0</v>
          </cell>
          <cell r="G3494">
            <v>0</v>
          </cell>
          <cell r="H3494">
            <v>0</v>
          </cell>
          <cell r="I3494" t="str">
            <v>Others</v>
          </cell>
          <cell r="J3494">
            <v>3</v>
          </cell>
          <cell r="K3494" t="str">
            <v>Others</v>
          </cell>
        </row>
        <row r="3495">
          <cell r="D3495">
            <v>681513</v>
          </cell>
          <cell r="E3495" t="str">
            <v>Stone or other mineral substances not elsewhere specified or included; articles of carbon fibres for non-electrical uses</v>
          </cell>
          <cell r="F3495" t="str">
            <v>Consumables</v>
          </cell>
          <cell r="G3495">
            <v>0</v>
          </cell>
          <cell r="H3495">
            <v>0</v>
          </cell>
          <cell r="I3495" t="str">
            <v>Others</v>
          </cell>
          <cell r="J3495">
            <v>2</v>
          </cell>
          <cell r="K3495" t="str">
            <v>Consumables - rc</v>
          </cell>
        </row>
        <row r="3496">
          <cell r="D3496">
            <v>681519</v>
          </cell>
          <cell r="E3496" t="str">
            <v>Stone or other mineral substances not elsewhere specified or included; non-electrical articles of graphite or carbon n.e.c. in heading 6815</v>
          </cell>
          <cell r="F3496" t="str">
            <v>Consumables</v>
          </cell>
          <cell r="G3496">
            <v>0</v>
          </cell>
          <cell r="H3496">
            <v>0</v>
          </cell>
          <cell r="I3496" t="str">
            <v>Others</v>
          </cell>
          <cell r="J3496">
            <v>2</v>
          </cell>
          <cell r="K3496" t="str">
            <v>Consumables - rc</v>
          </cell>
        </row>
        <row r="3497">
          <cell r="D3497">
            <v>681520</v>
          </cell>
          <cell r="E3497" t="str">
            <v>Peat; articles of peat n.e.c. or included</v>
          </cell>
          <cell r="F3497">
            <v>0</v>
          </cell>
          <cell r="G3497">
            <v>0</v>
          </cell>
          <cell r="H3497">
            <v>0</v>
          </cell>
          <cell r="I3497" t="str">
            <v>Others</v>
          </cell>
          <cell r="J3497">
            <v>3</v>
          </cell>
          <cell r="K3497" t="str">
            <v>Others</v>
          </cell>
        </row>
        <row r="3498">
          <cell r="D3498">
            <v>681591</v>
          </cell>
          <cell r="E3498" t="str">
            <v>Stone articles and articles of other mineral substances; containing magnesite, magnesia in the form of periclase, dolomite including in the form of dolime, or chromite</v>
          </cell>
          <cell r="F3498">
            <v>0</v>
          </cell>
          <cell r="G3498">
            <v>0</v>
          </cell>
          <cell r="H3498">
            <v>0</v>
          </cell>
          <cell r="I3498" t="str">
            <v>Others</v>
          </cell>
          <cell r="J3498">
            <v>3</v>
          </cell>
          <cell r="K3498" t="str">
            <v>Others</v>
          </cell>
        </row>
        <row r="3499">
          <cell r="D3499">
            <v>681599</v>
          </cell>
          <cell r="E3499" t="str">
            <v>Stone articles and articles of other mineral substances; n.e.c. or included in heading no. 6815</v>
          </cell>
          <cell r="F3499" t="str">
            <v>Capital Goods</v>
          </cell>
          <cell r="G3499">
            <v>0</v>
          </cell>
          <cell r="H3499" t="str">
            <v>Parts &amp; Accessories</v>
          </cell>
          <cell r="I3499" t="str">
            <v>Others</v>
          </cell>
          <cell r="J3499">
            <v>1</v>
          </cell>
          <cell r="K3499" t="str">
            <v>Capital Goods - rc</v>
          </cell>
        </row>
        <row r="3500">
          <cell r="D3500">
            <v>690100</v>
          </cell>
          <cell r="E3500" t="str">
            <v>Bricks, blocks, tiles and other ceramic goods of siliceous fossil meals (e.g. kieselguhr, tripolite or diatomite) or of similar siliceous earths</v>
          </cell>
          <cell r="F3500">
            <v>0</v>
          </cell>
          <cell r="G3500">
            <v>0</v>
          </cell>
          <cell r="H3500">
            <v>0</v>
          </cell>
          <cell r="I3500" t="str">
            <v>Others</v>
          </cell>
          <cell r="J3500">
            <v>3</v>
          </cell>
          <cell r="K3500" t="str">
            <v>Others</v>
          </cell>
        </row>
        <row r="3501">
          <cell r="D3501">
            <v>690210</v>
          </cell>
          <cell r="E3501" t="str">
            <v>Refractory bricks, blocks, tiles and similar refractory ceramic constructional goods; containing by weight, singly or together, more than 50% of the elements Mg, Ca or Cr, expressed as MgO, CaO or Cr2o3</v>
          </cell>
          <cell r="F3501">
            <v>0</v>
          </cell>
          <cell r="G3501">
            <v>0</v>
          </cell>
          <cell r="H3501">
            <v>0</v>
          </cell>
          <cell r="I3501" t="str">
            <v>Others</v>
          </cell>
          <cell r="J3501">
            <v>3</v>
          </cell>
          <cell r="K3501" t="str">
            <v>Others</v>
          </cell>
        </row>
        <row r="3502">
          <cell r="D3502">
            <v>690220</v>
          </cell>
          <cell r="E3502" t="str">
            <v>Refractory bricks, blocks, tiles and similar refractory ceramic constructional goods; containing by weight more than 50% of alumina (Al2o3), of silica (SiO2) or of a mixture or compound of these</v>
          </cell>
          <cell r="F3502">
            <v>0</v>
          </cell>
          <cell r="G3502">
            <v>0</v>
          </cell>
          <cell r="H3502">
            <v>0</v>
          </cell>
          <cell r="I3502" t="str">
            <v>Others</v>
          </cell>
          <cell r="J3502">
            <v>3</v>
          </cell>
          <cell r="K3502" t="str">
            <v>Others</v>
          </cell>
        </row>
        <row r="3503">
          <cell r="D3503">
            <v>690290</v>
          </cell>
          <cell r="E3503" t="str">
            <v>Refractory bricks, blocks, tiles and similar refractory ceramic constructional goods; n.e.c. in item no. 6902.1 or 6902.2</v>
          </cell>
          <cell r="F3503">
            <v>0</v>
          </cell>
          <cell r="G3503">
            <v>0</v>
          </cell>
          <cell r="H3503">
            <v>0</v>
          </cell>
          <cell r="I3503" t="str">
            <v>Others</v>
          </cell>
          <cell r="J3503">
            <v>3</v>
          </cell>
          <cell r="K3503" t="str">
            <v>Others</v>
          </cell>
        </row>
        <row r="3504">
          <cell r="D3504">
            <v>690310</v>
          </cell>
          <cell r="E3504" t="str">
            <v>Refractory ceramic goods; containing, by weight, more than 50% of free carbon, excluding those of siliceous fossil meals or similar earths</v>
          </cell>
          <cell r="F3504">
            <v>0</v>
          </cell>
          <cell r="G3504">
            <v>0</v>
          </cell>
          <cell r="H3504">
            <v>0</v>
          </cell>
          <cell r="I3504" t="str">
            <v>Others</v>
          </cell>
          <cell r="J3504">
            <v>3</v>
          </cell>
          <cell r="K3504" t="str">
            <v>Others</v>
          </cell>
        </row>
        <row r="3505">
          <cell r="D3505">
            <v>690320</v>
          </cell>
          <cell r="E3505" t="str">
            <v>Refractory ceramic goods; containing by weight more than 50% of alumina or of a mixture or compound of alumina and of silica, excluding those of siliceous fossil meals or similar earths</v>
          </cell>
          <cell r="F3505">
            <v>0</v>
          </cell>
          <cell r="G3505">
            <v>0</v>
          </cell>
          <cell r="H3505">
            <v>0</v>
          </cell>
          <cell r="I3505" t="str">
            <v>Others</v>
          </cell>
          <cell r="J3505">
            <v>3</v>
          </cell>
          <cell r="K3505" t="str">
            <v>Others</v>
          </cell>
        </row>
        <row r="3506">
          <cell r="D3506">
            <v>690390</v>
          </cell>
          <cell r="E3506" t="str">
            <v>Refractory ceramic goods; composition of which n.e.c. in heading no. 6903, other than those of siliceous fossil meals or similar earths</v>
          </cell>
          <cell r="F3506">
            <v>0</v>
          </cell>
          <cell r="G3506">
            <v>0</v>
          </cell>
          <cell r="H3506">
            <v>0</v>
          </cell>
          <cell r="I3506" t="str">
            <v>Others</v>
          </cell>
          <cell r="J3506">
            <v>3</v>
          </cell>
          <cell r="K3506" t="str">
            <v>Others</v>
          </cell>
        </row>
        <row r="3507">
          <cell r="D3507">
            <v>690410</v>
          </cell>
          <cell r="E3507" t="str">
            <v>Ceramic building bricks</v>
          </cell>
          <cell r="F3507">
            <v>0</v>
          </cell>
          <cell r="G3507">
            <v>0</v>
          </cell>
          <cell r="H3507">
            <v>0</v>
          </cell>
          <cell r="I3507" t="str">
            <v>Others</v>
          </cell>
          <cell r="J3507">
            <v>3</v>
          </cell>
          <cell r="K3507" t="str">
            <v>Others</v>
          </cell>
        </row>
        <row r="3508">
          <cell r="D3508">
            <v>690490</v>
          </cell>
          <cell r="E3508" t="str">
            <v>Ceramic flooring blocks, supports or filler tiles and the like (excluding building bricks)</v>
          </cell>
          <cell r="F3508">
            <v>0</v>
          </cell>
          <cell r="G3508">
            <v>0</v>
          </cell>
          <cell r="H3508">
            <v>0</v>
          </cell>
          <cell r="I3508" t="str">
            <v>Others</v>
          </cell>
          <cell r="J3508">
            <v>3</v>
          </cell>
          <cell r="K3508" t="str">
            <v>Others</v>
          </cell>
        </row>
        <row r="3509">
          <cell r="D3509">
            <v>690510</v>
          </cell>
          <cell r="E3509" t="str">
            <v>Ceramic roofing tiles</v>
          </cell>
          <cell r="F3509">
            <v>0</v>
          </cell>
          <cell r="G3509">
            <v>0</v>
          </cell>
          <cell r="H3509">
            <v>0</v>
          </cell>
          <cell r="I3509" t="str">
            <v>Others</v>
          </cell>
          <cell r="J3509">
            <v>3</v>
          </cell>
          <cell r="K3509" t="str">
            <v>Others</v>
          </cell>
        </row>
        <row r="3510">
          <cell r="D3510">
            <v>690590</v>
          </cell>
          <cell r="E3510" t="str">
            <v>Ceramic chimney-pots, cowls, chimney liners, architectural ornaments and other constructional goods (excluding roofing tiles)</v>
          </cell>
          <cell r="F3510">
            <v>0</v>
          </cell>
          <cell r="G3510">
            <v>0</v>
          </cell>
          <cell r="H3510">
            <v>0</v>
          </cell>
          <cell r="I3510" t="str">
            <v>Others</v>
          </cell>
          <cell r="J3510">
            <v>3</v>
          </cell>
          <cell r="K3510" t="str">
            <v>Others</v>
          </cell>
        </row>
        <row r="3511">
          <cell r="D3511">
            <v>690600</v>
          </cell>
          <cell r="E3511" t="str">
            <v>Ceramic pipes, conduits, guttering and pipe fittings</v>
          </cell>
          <cell r="F3511">
            <v>0</v>
          </cell>
          <cell r="G3511">
            <v>0</v>
          </cell>
          <cell r="H3511">
            <v>0</v>
          </cell>
          <cell r="I3511" t="str">
            <v>Others</v>
          </cell>
          <cell r="J3511">
            <v>3</v>
          </cell>
          <cell r="K3511" t="str">
            <v>Others</v>
          </cell>
        </row>
        <row r="3512">
          <cell r="D3512">
            <v>690721</v>
          </cell>
          <cell r="E3512" t="str">
            <v>Ceramic tiles; flags and paving, hearth or wall tiles other than those of subheadings 6907.30 and 6907.40, of a water absorption coefficient by weight not over 0.5%</v>
          </cell>
          <cell r="F3512">
            <v>0</v>
          </cell>
          <cell r="G3512">
            <v>0</v>
          </cell>
          <cell r="H3512">
            <v>0</v>
          </cell>
          <cell r="I3512" t="str">
            <v>Others</v>
          </cell>
          <cell r="J3512">
            <v>3</v>
          </cell>
          <cell r="K3512" t="str">
            <v>Others</v>
          </cell>
        </row>
        <row r="3513">
          <cell r="D3513">
            <v>690722</v>
          </cell>
          <cell r="E3513" t="str">
            <v>Ceramic tiles; flags and paving, hearth or wall tiles other than those of subheadings 6907.30 and 6907.40, of a water absorption coefficient by weight over 0.5% but not over 10%</v>
          </cell>
          <cell r="F3513">
            <v>0</v>
          </cell>
          <cell r="G3513">
            <v>0</v>
          </cell>
          <cell r="H3513">
            <v>0</v>
          </cell>
          <cell r="I3513" t="str">
            <v>Others</v>
          </cell>
          <cell r="J3513">
            <v>3</v>
          </cell>
          <cell r="K3513" t="str">
            <v>Others</v>
          </cell>
        </row>
        <row r="3514">
          <cell r="D3514">
            <v>690723</v>
          </cell>
          <cell r="E3514" t="str">
            <v>Ceramic tiles; flags and paving, hearth or wall tiles other than those of subheadings 6907.30 and 6907.40, of a water absorption coefficient by weight over 10%</v>
          </cell>
          <cell r="F3514">
            <v>0</v>
          </cell>
          <cell r="G3514">
            <v>0</v>
          </cell>
          <cell r="H3514">
            <v>0</v>
          </cell>
          <cell r="I3514" t="str">
            <v>Others</v>
          </cell>
          <cell r="J3514">
            <v>3</v>
          </cell>
          <cell r="K3514" t="str">
            <v>Others</v>
          </cell>
        </row>
        <row r="3515">
          <cell r="D3515">
            <v>690730</v>
          </cell>
          <cell r="E3515" t="str">
            <v>Mosaic cubes and the like, other than those of subheading 6907.40</v>
          </cell>
          <cell r="F3515">
            <v>0</v>
          </cell>
          <cell r="G3515">
            <v>0</v>
          </cell>
          <cell r="H3515">
            <v>0</v>
          </cell>
          <cell r="I3515" t="str">
            <v>Others</v>
          </cell>
          <cell r="J3515">
            <v>3</v>
          </cell>
          <cell r="K3515" t="str">
            <v>Others</v>
          </cell>
        </row>
        <row r="3516">
          <cell r="D3516">
            <v>690740</v>
          </cell>
          <cell r="E3516" t="str">
            <v>Finishing ceramics</v>
          </cell>
          <cell r="F3516">
            <v>0</v>
          </cell>
          <cell r="G3516">
            <v>0</v>
          </cell>
          <cell r="H3516">
            <v>0</v>
          </cell>
          <cell r="I3516" t="str">
            <v>Others</v>
          </cell>
          <cell r="J3516">
            <v>3</v>
          </cell>
          <cell r="K3516" t="str">
            <v>Others</v>
          </cell>
        </row>
        <row r="3517">
          <cell r="D3517">
            <v>854449</v>
          </cell>
          <cell r="E3517" t="str">
            <v>Insulated electric conductors; for a voltage not exceeding 1000 volts, not fitted with connectors</v>
          </cell>
          <cell r="F3517" t="str">
            <v>Capital Goods</v>
          </cell>
          <cell r="G3517">
            <v>0</v>
          </cell>
          <cell r="H3517" t="str">
            <v>Parts &amp; Accessories</v>
          </cell>
          <cell r="I3517" t="str">
            <v>Others</v>
          </cell>
          <cell r="J3517">
            <v>1</v>
          </cell>
          <cell r="K3517" t="str">
            <v>Parts &amp; Accessories</v>
          </cell>
        </row>
        <row r="3518">
          <cell r="D3518">
            <v>690912</v>
          </cell>
          <cell r="E3518" t="str">
            <v>Ceramic wares; for laboratory, chemical or other technical uses, articles having a hardness equivalent to 9 or more on the Mohs scale</v>
          </cell>
          <cell r="F3518">
            <v>0</v>
          </cell>
          <cell r="G3518">
            <v>0</v>
          </cell>
          <cell r="H3518">
            <v>0</v>
          </cell>
          <cell r="I3518" t="str">
            <v>Others</v>
          </cell>
          <cell r="J3518">
            <v>3</v>
          </cell>
          <cell r="K3518" t="str">
            <v>Others</v>
          </cell>
        </row>
        <row r="3519">
          <cell r="D3519">
            <v>902790</v>
          </cell>
          <cell r="E3519" t="str">
            <v>Microtomes and parts and accessories thereof</v>
          </cell>
          <cell r="F3519" t="str">
            <v>Parts &amp; Accessories</v>
          </cell>
          <cell r="G3519">
            <v>0</v>
          </cell>
          <cell r="H3519">
            <v>0</v>
          </cell>
          <cell r="I3519" t="str">
            <v>Capital Goods</v>
          </cell>
          <cell r="J3519">
            <v>2</v>
          </cell>
          <cell r="K3519" t="str">
            <v>Parts &amp; Accessories</v>
          </cell>
        </row>
        <row r="3520">
          <cell r="D3520">
            <v>690990</v>
          </cell>
          <cell r="E3520" t="str">
            <v>Ceramic wares; pots, jars and similar articles of a kind used for the conveyance or packing of goods and ceramic troughs, tubs and similar receptacles used in agriculture</v>
          </cell>
          <cell r="F3520">
            <v>0</v>
          </cell>
          <cell r="G3520">
            <v>0</v>
          </cell>
          <cell r="H3520">
            <v>0</v>
          </cell>
          <cell r="I3520" t="str">
            <v>Others</v>
          </cell>
          <cell r="J3520">
            <v>3</v>
          </cell>
          <cell r="K3520" t="str">
            <v>Others</v>
          </cell>
        </row>
        <row r="3521">
          <cell r="D3521">
            <v>691010</v>
          </cell>
          <cell r="E3521" t="str">
            <v>Ceramic sinks, wash basins, wash basin pedestals, baths, bidets, water closet pans, flushing cisterns, urinals and similar sanitary fixtures; of porcelain or china</v>
          </cell>
          <cell r="F3521">
            <v>0</v>
          </cell>
          <cell r="G3521">
            <v>0</v>
          </cell>
          <cell r="H3521">
            <v>0</v>
          </cell>
          <cell r="I3521" t="str">
            <v>Others</v>
          </cell>
          <cell r="J3521">
            <v>3</v>
          </cell>
          <cell r="K3521" t="str">
            <v>Others</v>
          </cell>
        </row>
        <row r="3522">
          <cell r="D3522">
            <v>691090</v>
          </cell>
          <cell r="E3522" t="str">
            <v>Ceramic sinks, wash basins, wash basin pedestals, baths, bidets, water closet pans, flushing cisterns, urinals and similar sanitary fixtures; of other than porcelain or china</v>
          </cell>
          <cell r="F3522">
            <v>0</v>
          </cell>
          <cell r="G3522">
            <v>0</v>
          </cell>
          <cell r="H3522">
            <v>0</v>
          </cell>
          <cell r="I3522" t="str">
            <v>Others</v>
          </cell>
          <cell r="J3522">
            <v>3</v>
          </cell>
          <cell r="K3522" t="str">
            <v>Others</v>
          </cell>
        </row>
        <row r="3523">
          <cell r="D3523">
            <v>691110</v>
          </cell>
          <cell r="E3523" t="str">
            <v>Tableware and kitchenware; of porcelain or china</v>
          </cell>
          <cell r="F3523">
            <v>0</v>
          </cell>
          <cell r="G3523">
            <v>0</v>
          </cell>
          <cell r="H3523">
            <v>0</v>
          </cell>
          <cell r="I3523" t="str">
            <v>Others</v>
          </cell>
          <cell r="J3523">
            <v>3</v>
          </cell>
          <cell r="K3523" t="str">
            <v>Others</v>
          </cell>
        </row>
        <row r="3524">
          <cell r="D3524">
            <v>691190</v>
          </cell>
          <cell r="E3524" t="str">
            <v>Household and toilet articles; n.e.c. in heading no. 6911, of porcelain or china</v>
          </cell>
          <cell r="F3524">
            <v>0</v>
          </cell>
          <cell r="G3524">
            <v>0</v>
          </cell>
          <cell r="H3524">
            <v>0</v>
          </cell>
          <cell r="I3524" t="str">
            <v>Others</v>
          </cell>
          <cell r="J3524">
            <v>3</v>
          </cell>
          <cell r="K3524" t="str">
            <v>Others</v>
          </cell>
        </row>
        <row r="3525">
          <cell r="D3525">
            <v>691200</v>
          </cell>
          <cell r="E3525" t="str">
            <v>Ceramic tableware, kitchenware, other household articles and toilet articles; other than of porcelain or china</v>
          </cell>
          <cell r="F3525">
            <v>0</v>
          </cell>
          <cell r="G3525">
            <v>0</v>
          </cell>
          <cell r="H3525">
            <v>0</v>
          </cell>
          <cell r="I3525" t="str">
            <v>Others</v>
          </cell>
          <cell r="J3525">
            <v>3</v>
          </cell>
          <cell r="K3525" t="str">
            <v>Others</v>
          </cell>
        </row>
        <row r="3526">
          <cell r="D3526">
            <v>691310</v>
          </cell>
          <cell r="E3526" t="str">
            <v>Ceramic statuettes and other ornamental ceramic articles, of porcelain or china</v>
          </cell>
          <cell r="F3526">
            <v>0</v>
          </cell>
          <cell r="G3526">
            <v>0</v>
          </cell>
          <cell r="H3526">
            <v>0</v>
          </cell>
          <cell r="I3526" t="str">
            <v>Others</v>
          </cell>
          <cell r="J3526">
            <v>3</v>
          </cell>
          <cell r="K3526" t="str">
            <v>Others</v>
          </cell>
        </row>
        <row r="3527">
          <cell r="D3527">
            <v>691390</v>
          </cell>
          <cell r="E3527" t="str">
            <v>Ceramic statuettes and other ornamental ceramic articles; other than of porcelain or china</v>
          </cell>
          <cell r="F3527">
            <v>0</v>
          </cell>
          <cell r="G3527">
            <v>0</v>
          </cell>
          <cell r="H3527">
            <v>0</v>
          </cell>
          <cell r="I3527" t="str">
            <v>Others</v>
          </cell>
          <cell r="J3527">
            <v>3</v>
          </cell>
          <cell r="K3527" t="str">
            <v>Others</v>
          </cell>
        </row>
        <row r="3528">
          <cell r="D3528">
            <v>691410</v>
          </cell>
          <cell r="E3528" t="str">
            <v>Ceramic articles n.e.c. in chapter 69; of porcelain or china</v>
          </cell>
          <cell r="F3528">
            <v>0</v>
          </cell>
          <cell r="G3528">
            <v>0</v>
          </cell>
          <cell r="H3528">
            <v>0</v>
          </cell>
          <cell r="I3528" t="str">
            <v>Others</v>
          </cell>
          <cell r="J3528">
            <v>3</v>
          </cell>
          <cell r="K3528" t="str">
            <v>Others</v>
          </cell>
        </row>
        <row r="3529">
          <cell r="D3529">
            <v>691490</v>
          </cell>
          <cell r="E3529" t="str">
            <v>Ceramic articles n.e.c. in chapter 69; other than of porcelain or china</v>
          </cell>
          <cell r="F3529" t="str">
            <v>Capital Goods</v>
          </cell>
          <cell r="G3529">
            <v>0</v>
          </cell>
          <cell r="H3529">
            <v>0</v>
          </cell>
          <cell r="I3529" t="str">
            <v>Others</v>
          </cell>
          <cell r="J3529">
            <v>2</v>
          </cell>
          <cell r="K3529" t="str">
            <v>Capital Goods - rc</v>
          </cell>
        </row>
        <row r="3530">
          <cell r="D3530">
            <v>700100</v>
          </cell>
          <cell r="E3530" t="str">
            <v>Glass; cullet and other waste and scrap of glass, excluding glass from cathode ray tubes or other activated glass of heading 85.49, glass in the mass</v>
          </cell>
          <cell r="F3530" t="str">
            <v>Capital Goods</v>
          </cell>
          <cell r="G3530">
            <v>0</v>
          </cell>
          <cell r="H3530">
            <v>0</v>
          </cell>
          <cell r="I3530" t="str">
            <v>Others</v>
          </cell>
          <cell r="J3530">
            <v>2</v>
          </cell>
          <cell r="K3530" t="str">
            <v>Capital Goods - rc</v>
          </cell>
        </row>
        <row r="3531">
          <cell r="D3531">
            <v>700210</v>
          </cell>
          <cell r="E3531" t="str">
            <v>Glass; unworked, in balls (other than microspheres of heading no. 7018)</v>
          </cell>
          <cell r="F3531">
            <v>0</v>
          </cell>
          <cell r="G3531">
            <v>0</v>
          </cell>
          <cell r="H3531">
            <v>0</v>
          </cell>
          <cell r="I3531" t="str">
            <v>Others</v>
          </cell>
          <cell r="J3531">
            <v>3</v>
          </cell>
          <cell r="K3531" t="str">
            <v>Others</v>
          </cell>
        </row>
        <row r="3532">
          <cell r="D3532">
            <v>700220</v>
          </cell>
          <cell r="E3532" t="str">
            <v>Glass; unworked, in rods</v>
          </cell>
          <cell r="F3532">
            <v>0</v>
          </cell>
          <cell r="G3532">
            <v>0</v>
          </cell>
          <cell r="H3532">
            <v>0</v>
          </cell>
          <cell r="I3532" t="str">
            <v>Others</v>
          </cell>
          <cell r="J3532">
            <v>3</v>
          </cell>
          <cell r="K3532" t="str">
            <v>Others</v>
          </cell>
        </row>
        <row r="3533">
          <cell r="D3533">
            <v>700231</v>
          </cell>
          <cell r="E3533" t="str">
            <v>Glass; unworked, in tubes, of fused quartz or other fused silica</v>
          </cell>
          <cell r="F3533">
            <v>0</v>
          </cell>
          <cell r="G3533">
            <v>0</v>
          </cell>
          <cell r="H3533">
            <v>0</v>
          </cell>
          <cell r="I3533" t="str">
            <v>Others</v>
          </cell>
          <cell r="J3533">
            <v>3</v>
          </cell>
          <cell r="K3533" t="str">
            <v>Others</v>
          </cell>
        </row>
        <row r="3534">
          <cell r="D3534">
            <v>700232</v>
          </cell>
          <cell r="E3534" t="str">
            <v>Glass; unworked, tubes, of glass having a linear coefficient of expansion not exceeding 5 x 10 (to the minus 6), (or 0.000005) per Kelvin within a temperature range of 0-300 degrees C</v>
          </cell>
          <cell r="F3534">
            <v>0</v>
          </cell>
          <cell r="G3534">
            <v>0</v>
          </cell>
          <cell r="H3534">
            <v>0</v>
          </cell>
          <cell r="I3534" t="str">
            <v>Others</v>
          </cell>
          <cell r="J3534">
            <v>3</v>
          </cell>
          <cell r="K3534" t="str">
            <v>Others</v>
          </cell>
        </row>
        <row r="3535">
          <cell r="D3535">
            <v>700239</v>
          </cell>
          <cell r="E3535" t="str">
            <v>Glass; unworked, in tubes, other than of glass having a linear coefficient of expansion not exceeding 5 x 10 (to the minus 6, (or 0.000005) ) per Kelvin within a temperature range of 0-300 degrees C, not fused quartz or other fused silica</v>
          </cell>
          <cell r="F3535">
            <v>0</v>
          </cell>
          <cell r="G3535">
            <v>0</v>
          </cell>
          <cell r="H3535">
            <v>0</v>
          </cell>
          <cell r="I3535" t="str">
            <v>Others</v>
          </cell>
          <cell r="J3535">
            <v>3</v>
          </cell>
          <cell r="K3535" t="str">
            <v>Others</v>
          </cell>
        </row>
        <row r="3536">
          <cell r="D3536">
            <v>700312</v>
          </cell>
          <cell r="E3536" t="str">
            <v>Glass; cast glass and rolled glass, non-wired sheets, coloured through the mass (body tinted), opacified, flashed or having an absorbent, reflecting or non-reflecting layer</v>
          </cell>
          <cell r="F3536">
            <v>0</v>
          </cell>
          <cell r="G3536">
            <v>0</v>
          </cell>
          <cell r="H3536">
            <v>0</v>
          </cell>
          <cell r="I3536" t="str">
            <v>Others</v>
          </cell>
          <cell r="J3536">
            <v>3</v>
          </cell>
          <cell r="K3536" t="str">
            <v>Others</v>
          </cell>
        </row>
        <row r="3537">
          <cell r="D3537">
            <v>700319</v>
          </cell>
          <cell r="E3537" t="str">
            <v>Glass; cast glass and rolled glass, non-wired sheets, (excluding those coloured throughout the mass (body tinted) opacified, flashed or having an absorbent or reflecting layer)</v>
          </cell>
          <cell r="F3537">
            <v>0</v>
          </cell>
          <cell r="G3537">
            <v>0</v>
          </cell>
          <cell r="H3537">
            <v>0</v>
          </cell>
          <cell r="I3537" t="str">
            <v>Others</v>
          </cell>
          <cell r="J3537">
            <v>3</v>
          </cell>
          <cell r="K3537" t="str">
            <v>Others</v>
          </cell>
        </row>
        <row r="3538">
          <cell r="D3538">
            <v>700320</v>
          </cell>
          <cell r="E3538" t="str">
            <v>Glass; cast glass and rolled glass, wired sheets, whether or not having an absorbent or reflecting layer but not otherwise worked</v>
          </cell>
          <cell r="F3538">
            <v>0</v>
          </cell>
          <cell r="G3538">
            <v>0</v>
          </cell>
          <cell r="H3538">
            <v>0</v>
          </cell>
          <cell r="I3538" t="str">
            <v>Others</v>
          </cell>
          <cell r="J3538">
            <v>3</v>
          </cell>
          <cell r="K3538" t="str">
            <v>Others</v>
          </cell>
        </row>
        <row r="3539">
          <cell r="D3539">
            <v>700330</v>
          </cell>
          <cell r="E3539" t="str">
            <v>Glass; cast glass and rolled glass, profiles, not otherwise worked</v>
          </cell>
          <cell r="F3539">
            <v>0</v>
          </cell>
          <cell r="G3539">
            <v>0</v>
          </cell>
          <cell r="H3539">
            <v>0</v>
          </cell>
          <cell r="I3539" t="str">
            <v>Others</v>
          </cell>
          <cell r="J3539">
            <v>3</v>
          </cell>
          <cell r="K3539" t="str">
            <v>Others</v>
          </cell>
        </row>
        <row r="3540">
          <cell r="D3540">
            <v>700420</v>
          </cell>
          <cell r="E3540" t="str">
            <v>Glass; drawn and blown, in sheets, coloured throughout the mass (body tinted), opacified, flashed or having an absorbent, reflecting or non-reflecting layer, but not otherwise worked</v>
          </cell>
          <cell r="F3540" t="str">
            <v>Capital Goods</v>
          </cell>
          <cell r="G3540">
            <v>0</v>
          </cell>
          <cell r="H3540">
            <v>0</v>
          </cell>
          <cell r="I3540" t="str">
            <v>Others</v>
          </cell>
          <cell r="J3540">
            <v>2</v>
          </cell>
          <cell r="K3540" t="str">
            <v>Capital Goods - rc</v>
          </cell>
        </row>
        <row r="3541">
          <cell r="D3541">
            <v>700490</v>
          </cell>
          <cell r="E3541" t="str">
            <v>Glass; drawn and blown, in sheets, (other than glass coloured throughout the mass (body tinted), opacified, flashed or having an absorbent, reflecting or non-reflecting layer)</v>
          </cell>
          <cell r="F3541" t="str">
            <v>Capital Goods</v>
          </cell>
          <cell r="G3541">
            <v>0</v>
          </cell>
          <cell r="H3541">
            <v>0</v>
          </cell>
          <cell r="I3541" t="str">
            <v>Others</v>
          </cell>
          <cell r="J3541">
            <v>2</v>
          </cell>
          <cell r="K3541" t="str">
            <v>Capital Goods - rc</v>
          </cell>
        </row>
        <row r="3542">
          <cell r="D3542">
            <v>700510</v>
          </cell>
          <cell r="E3542" t="str">
            <v>Glass; float glass and surface ground or polished glass, in sheets, non-wired, having an absorbent reflecting or non-reflecting layer</v>
          </cell>
          <cell r="F3542" t="str">
            <v>Capital Goods</v>
          </cell>
          <cell r="G3542">
            <v>0</v>
          </cell>
          <cell r="H3542">
            <v>0</v>
          </cell>
          <cell r="I3542" t="str">
            <v>Others</v>
          </cell>
          <cell r="J3542">
            <v>2</v>
          </cell>
          <cell r="K3542" t="str">
            <v>Capital Goods - rc</v>
          </cell>
        </row>
        <row r="3543">
          <cell r="D3543">
            <v>700521</v>
          </cell>
          <cell r="E3543" t="str">
            <v>Glass; float glass and surface ground or polished glass, in sheets, non-wired, coloured throughout the mass (body tinted), opacified, flashed or merely surface ground</v>
          </cell>
          <cell r="F3543">
            <v>0</v>
          </cell>
          <cell r="G3543">
            <v>0</v>
          </cell>
          <cell r="H3543">
            <v>0</v>
          </cell>
          <cell r="I3543" t="str">
            <v>Others</v>
          </cell>
          <cell r="J3543">
            <v>3</v>
          </cell>
          <cell r="K3543" t="str">
            <v>Others</v>
          </cell>
        </row>
        <row r="3544">
          <cell r="D3544">
            <v>700529</v>
          </cell>
          <cell r="E3544" t="str">
            <v>Glass; float glass and surface ground or polished glass, in sheets, non-wired, (other than coloured throughout the mass (body tinted), opacified, flashed or merely surface ground)</v>
          </cell>
          <cell r="F3544">
            <v>0</v>
          </cell>
          <cell r="G3544">
            <v>0</v>
          </cell>
          <cell r="H3544">
            <v>0</v>
          </cell>
          <cell r="I3544" t="str">
            <v>Others</v>
          </cell>
          <cell r="J3544">
            <v>3</v>
          </cell>
          <cell r="K3544" t="str">
            <v>Others</v>
          </cell>
        </row>
        <row r="3545">
          <cell r="D3545">
            <v>700530</v>
          </cell>
          <cell r="E3545" t="str">
            <v>Glass; float glass and surface ground or polished glass, in sheets, wired glass, whether or not having an absorbent or reflecting layer</v>
          </cell>
          <cell r="F3545">
            <v>0</v>
          </cell>
          <cell r="G3545">
            <v>0</v>
          </cell>
          <cell r="H3545">
            <v>0</v>
          </cell>
          <cell r="I3545" t="str">
            <v>Others</v>
          </cell>
          <cell r="J3545">
            <v>3</v>
          </cell>
          <cell r="K3545" t="str">
            <v>Others</v>
          </cell>
        </row>
        <row r="3546">
          <cell r="D3546">
            <v>700600</v>
          </cell>
          <cell r="E3546" t="str">
            <v>Glass of heading no. 7003, 7004 or 7005; bent, edge-worked, engraved, drilled, enamelled or otherwise worked, but not framed or fitted with other materials</v>
          </cell>
          <cell r="F3546">
            <v>0</v>
          </cell>
          <cell r="G3546">
            <v>0</v>
          </cell>
          <cell r="H3546">
            <v>0</v>
          </cell>
          <cell r="I3546" t="str">
            <v>Others</v>
          </cell>
          <cell r="J3546">
            <v>3</v>
          </cell>
          <cell r="K3546" t="str">
            <v>Others</v>
          </cell>
        </row>
        <row r="3547">
          <cell r="D3547">
            <v>700711</v>
          </cell>
          <cell r="E3547" t="str">
            <v>Glass; safety glass, toughened (tempered), of size and shape suitable for incorporation in vehicles, aircraft, spacecraft or vessels</v>
          </cell>
          <cell r="F3547">
            <v>0</v>
          </cell>
          <cell r="G3547">
            <v>0</v>
          </cell>
          <cell r="H3547">
            <v>0</v>
          </cell>
          <cell r="I3547" t="str">
            <v>Others</v>
          </cell>
          <cell r="J3547">
            <v>3</v>
          </cell>
          <cell r="K3547" t="str">
            <v>Others</v>
          </cell>
        </row>
        <row r="3548">
          <cell r="D3548">
            <v>700719</v>
          </cell>
          <cell r="E3548" t="str">
            <v>Glass; safety glass, toughened (tempered), (not of a size and shape suitable for incorporation in vehicles, aircraft, spacecraft or vessels)</v>
          </cell>
          <cell r="F3548" t="str">
            <v>Consumables</v>
          </cell>
          <cell r="G3548">
            <v>0</v>
          </cell>
          <cell r="H3548">
            <v>0</v>
          </cell>
          <cell r="I3548" t="str">
            <v>Others</v>
          </cell>
          <cell r="J3548">
            <v>2</v>
          </cell>
          <cell r="K3548" t="str">
            <v>Consumables - rc</v>
          </cell>
        </row>
        <row r="3549">
          <cell r="D3549">
            <v>700721</v>
          </cell>
          <cell r="E3549" t="str">
            <v>Glass; safety glass, laminated, of size and shape suitable for incorporation in vehicles, aircraft, spacecraft or vessels</v>
          </cell>
          <cell r="F3549">
            <v>0</v>
          </cell>
          <cell r="G3549">
            <v>0</v>
          </cell>
          <cell r="H3549">
            <v>0</v>
          </cell>
          <cell r="I3549" t="str">
            <v>Others</v>
          </cell>
          <cell r="J3549">
            <v>3</v>
          </cell>
          <cell r="K3549" t="str">
            <v>Others</v>
          </cell>
        </row>
        <row r="3550">
          <cell r="D3550">
            <v>700729</v>
          </cell>
          <cell r="E3550" t="str">
            <v>Glass; safety glass, laminated, (not of a size and shape suitable for incorporation in vehicles, aircraft, spacecraft or vessels)</v>
          </cell>
          <cell r="F3550" t="str">
            <v>Consumables</v>
          </cell>
          <cell r="G3550">
            <v>0</v>
          </cell>
          <cell r="H3550">
            <v>0</v>
          </cell>
          <cell r="I3550" t="str">
            <v>Others</v>
          </cell>
          <cell r="J3550">
            <v>2</v>
          </cell>
          <cell r="K3550" t="str">
            <v>Consumables</v>
          </cell>
        </row>
        <row r="3551">
          <cell r="D3551">
            <v>700800</v>
          </cell>
          <cell r="E3551" t="str">
            <v>Glass; multiple-walled insulating units of glass</v>
          </cell>
          <cell r="F3551">
            <v>0</v>
          </cell>
          <cell r="G3551">
            <v>0</v>
          </cell>
          <cell r="H3551">
            <v>0</v>
          </cell>
          <cell r="I3551" t="str">
            <v>Others</v>
          </cell>
          <cell r="J3551">
            <v>3</v>
          </cell>
          <cell r="K3551" t="str">
            <v>Others</v>
          </cell>
        </row>
        <row r="3552">
          <cell r="D3552">
            <v>700910</v>
          </cell>
          <cell r="E3552" t="str">
            <v>Glass; rear-view mirrors for vehicles</v>
          </cell>
          <cell r="F3552" t="str">
            <v>Consumables</v>
          </cell>
          <cell r="G3552">
            <v>0</v>
          </cell>
          <cell r="H3552">
            <v>0</v>
          </cell>
          <cell r="I3552" t="str">
            <v>Others</v>
          </cell>
          <cell r="J3552">
            <v>2</v>
          </cell>
          <cell r="K3552" t="str">
            <v>Consumables - rc</v>
          </cell>
        </row>
        <row r="3553">
          <cell r="D3553">
            <v>700991</v>
          </cell>
          <cell r="E3553" t="str">
            <v>Glass mirrors; unframed, excluding rear-view mirrors for vehicles</v>
          </cell>
          <cell r="F3553" t="str">
            <v>Consumables</v>
          </cell>
          <cell r="G3553">
            <v>0</v>
          </cell>
          <cell r="H3553">
            <v>0</v>
          </cell>
          <cell r="I3553" t="str">
            <v>Others</v>
          </cell>
          <cell r="J3553">
            <v>2</v>
          </cell>
          <cell r="K3553" t="str">
            <v>Consumables - rc</v>
          </cell>
        </row>
        <row r="3554">
          <cell r="D3554">
            <v>700992</v>
          </cell>
          <cell r="E3554" t="str">
            <v>Glass mirrors; framed, excluding rear-view mirrors for vehicles</v>
          </cell>
          <cell r="F3554" t="str">
            <v>Consumables</v>
          </cell>
          <cell r="G3554">
            <v>0</v>
          </cell>
          <cell r="H3554">
            <v>0</v>
          </cell>
          <cell r="I3554" t="str">
            <v>Others</v>
          </cell>
          <cell r="J3554">
            <v>2</v>
          </cell>
          <cell r="K3554" t="str">
            <v>Consumables - rc</v>
          </cell>
        </row>
        <row r="3555">
          <cell r="D3555">
            <v>701010</v>
          </cell>
          <cell r="E3555" t="str">
            <v>Glass; ampoules, of a kind used for the conveyance or packing of goods</v>
          </cell>
          <cell r="F3555">
            <v>0</v>
          </cell>
          <cell r="G3555">
            <v>0</v>
          </cell>
          <cell r="H3555">
            <v>0</v>
          </cell>
          <cell r="I3555" t="str">
            <v>Others</v>
          </cell>
          <cell r="J3555">
            <v>3</v>
          </cell>
          <cell r="K3555" t="str">
            <v>Others</v>
          </cell>
        </row>
        <row r="3556">
          <cell r="D3556">
            <v>701020</v>
          </cell>
          <cell r="E3556" t="str">
            <v>Glass; stoppers, lids and other closures</v>
          </cell>
          <cell r="F3556">
            <v>0</v>
          </cell>
          <cell r="G3556">
            <v>0</v>
          </cell>
          <cell r="H3556">
            <v>0</v>
          </cell>
          <cell r="I3556" t="str">
            <v>Others</v>
          </cell>
          <cell r="J3556">
            <v>3</v>
          </cell>
          <cell r="K3556" t="str">
            <v>Others</v>
          </cell>
        </row>
        <row r="3557">
          <cell r="D3557">
            <v>701090</v>
          </cell>
          <cell r="E3557" t="str">
            <v>Glass; carboys, bottles, flasks, jars, pots, phials and other containers of glass, (not ampoules), used for the conveyance or packing of goods</v>
          </cell>
          <cell r="F3557" t="str">
            <v>Consumables</v>
          </cell>
          <cell r="G3557">
            <v>0</v>
          </cell>
          <cell r="H3557">
            <v>0</v>
          </cell>
          <cell r="I3557" t="str">
            <v>Others</v>
          </cell>
          <cell r="J3557">
            <v>2</v>
          </cell>
          <cell r="K3557" t="str">
            <v>Consumables - rc</v>
          </cell>
        </row>
        <row r="3558">
          <cell r="D3558">
            <v>701110</v>
          </cell>
          <cell r="E3558" t="str">
            <v>Glass envelopes (including bulbs and tubes); open, and glass parts thereof, without fittings, for electric lighting</v>
          </cell>
          <cell r="F3558">
            <v>0</v>
          </cell>
          <cell r="G3558">
            <v>0</v>
          </cell>
          <cell r="H3558">
            <v>0</v>
          </cell>
          <cell r="I3558" t="str">
            <v>Others</v>
          </cell>
          <cell r="J3558">
            <v>3</v>
          </cell>
          <cell r="K3558" t="str">
            <v>Others</v>
          </cell>
        </row>
        <row r="3559">
          <cell r="D3559">
            <v>701120</v>
          </cell>
          <cell r="E3559" t="str">
            <v>Glass envelopes (including bulbs and tubes); open, and glass parts thereof, without fittings, for cathode-ray tubes</v>
          </cell>
          <cell r="F3559">
            <v>0</v>
          </cell>
          <cell r="G3559">
            <v>0</v>
          </cell>
          <cell r="H3559">
            <v>0</v>
          </cell>
          <cell r="I3559" t="str">
            <v>Others</v>
          </cell>
          <cell r="J3559">
            <v>3</v>
          </cell>
          <cell r="K3559" t="str">
            <v>Others</v>
          </cell>
        </row>
        <row r="3560">
          <cell r="D3560">
            <v>701190</v>
          </cell>
          <cell r="E3560" t="str">
            <v>Glass envelopes (including bulbs and tubes); open, and glass parts thereof, without fittings, other than for electric lighting and cathode-ray tubes</v>
          </cell>
          <cell r="F3560">
            <v>0</v>
          </cell>
          <cell r="G3560">
            <v>0</v>
          </cell>
          <cell r="H3560">
            <v>0</v>
          </cell>
          <cell r="I3560" t="str">
            <v>Others</v>
          </cell>
          <cell r="J3560">
            <v>3</v>
          </cell>
          <cell r="K3560" t="str">
            <v>Others</v>
          </cell>
        </row>
        <row r="3561">
          <cell r="D3561">
            <v>701310</v>
          </cell>
          <cell r="E3561" t="str">
            <v>Glassware; of a kind used for table, kitchen, toilet, office, indoor decoration or similar purposes (other than of heading no. 7010 or 7018), of glass-ceramics</v>
          </cell>
          <cell r="F3561">
            <v>0</v>
          </cell>
          <cell r="G3561">
            <v>0</v>
          </cell>
          <cell r="H3561">
            <v>0</v>
          </cell>
          <cell r="I3561" t="str">
            <v>Others</v>
          </cell>
          <cell r="J3561">
            <v>3</v>
          </cell>
          <cell r="K3561" t="str">
            <v>Others</v>
          </cell>
        </row>
        <row r="3562">
          <cell r="D3562">
            <v>701322</v>
          </cell>
          <cell r="E3562" t="str">
            <v>Stemware drinking glasses, of lead crystal</v>
          </cell>
          <cell r="F3562">
            <v>0</v>
          </cell>
          <cell r="G3562">
            <v>0</v>
          </cell>
          <cell r="H3562">
            <v>0</v>
          </cell>
          <cell r="I3562" t="str">
            <v>Others</v>
          </cell>
          <cell r="J3562">
            <v>3</v>
          </cell>
          <cell r="K3562" t="str">
            <v>Others</v>
          </cell>
        </row>
        <row r="3563">
          <cell r="D3563">
            <v>701328</v>
          </cell>
          <cell r="E3563" t="str">
            <v>Stemware drinking glasses, other than of lead crystal or glass-ceramics</v>
          </cell>
          <cell r="F3563">
            <v>0</v>
          </cell>
          <cell r="G3563">
            <v>0</v>
          </cell>
          <cell r="H3563">
            <v>0</v>
          </cell>
          <cell r="I3563" t="str">
            <v>Others</v>
          </cell>
          <cell r="J3563">
            <v>3</v>
          </cell>
          <cell r="K3563" t="str">
            <v>Others</v>
          </cell>
        </row>
        <row r="3564">
          <cell r="D3564">
            <v>701333</v>
          </cell>
          <cell r="E3564" t="str">
            <v>Glassware; drinking glasses (not stemware), of lead crystal</v>
          </cell>
          <cell r="F3564">
            <v>0</v>
          </cell>
          <cell r="G3564">
            <v>0</v>
          </cell>
          <cell r="H3564">
            <v>0</v>
          </cell>
          <cell r="I3564" t="str">
            <v>Others</v>
          </cell>
          <cell r="J3564">
            <v>3</v>
          </cell>
          <cell r="K3564" t="str">
            <v>Others</v>
          </cell>
        </row>
        <row r="3565">
          <cell r="D3565">
            <v>701337</v>
          </cell>
          <cell r="E3565" t="str">
            <v>Glassware; drinking glasses (not stemware), other than of lead crystal or glass-ceramics</v>
          </cell>
          <cell r="F3565">
            <v>0</v>
          </cell>
          <cell r="G3565">
            <v>0</v>
          </cell>
          <cell r="H3565">
            <v>0</v>
          </cell>
          <cell r="I3565" t="str">
            <v>Others</v>
          </cell>
          <cell r="J3565">
            <v>3</v>
          </cell>
          <cell r="K3565" t="str">
            <v>Others</v>
          </cell>
        </row>
        <row r="3566">
          <cell r="D3566">
            <v>701341</v>
          </cell>
          <cell r="E3566" t="str">
            <v>Glassware of a kind used for table or kitchen purposes (not drinking glasses), of lead crystal</v>
          </cell>
          <cell r="F3566">
            <v>0</v>
          </cell>
          <cell r="G3566">
            <v>0</v>
          </cell>
          <cell r="H3566">
            <v>0</v>
          </cell>
          <cell r="I3566" t="str">
            <v>Others</v>
          </cell>
          <cell r="J3566">
            <v>3</v>
          </cell>
          <cell r="K3566" t="str">
            <v>Others</v>
          </cell>
        </row>
        <row r="3567">
          <cell r="D3567">
            <v>701342</v>
          </cell>
          <cell r="E3567" t="str">
            <v>Glassware of a kind used for table or kitchen purposes (not drinking glasses), of glass having a linear coefficient of expansion not exceeding 5 x 10 (to the minus 6), (or 0.000005) per Kelvin within a temperature range of 0-300 degrees C</v>
          </cell>
          <cell r="F3567">
            <v>0</v>
          </cell>
          <cell r="G3567">
            <v>0</v>
          </cell>
          <cell r="H3567">
            <v>0</v>
          </cell>
          <cell r="I3567" t="str">
            <v>Others</v>
          </cell>
          <cell r="J3567">
            <v>3</v>
          </cell>
          <cell r="K3567" t="str">
            <v>Others</v>
          </cell>
        </row>
        <row r="3568">
          <cell r="D3568">
            <v>701349</v>
          </cell>
          <cell r="E3568" t="str">
            <v>Glassware of a kind used for table or kitchen purposes (not drinking glasses or of glass-ceramics), of glass n.e.c. in item no. 7013.4</v>
          </cell>
          <cell r="F3568" t="str">
            <v>Consumables</v>
          </cell>
          <cell r="G3568">
            <v>0</v>
          </cell>
          <cell r="H3568">
            <v>0</v>
          </cell>
          <cell r="I3568" t="str">
            <v>Others</v>
          </cell>
          <cell r="J3568">
            <v>2</v>
          </cell>
          <cell r="K3568" t="str">
            <v>Consumables - rc</v>
          </cell>
        </row>
        <row r="3569">
          <cell r="D3569">
            <v>701391</v>
          </cell>
          <cell r="E3569" t="str">
            <v>Glassware; n.e.c. in heading no. 7013, of lead crystal</v>
          </cell>
          <cell r="F3569">
            <v>0</v>
          </cell>
          <cell r="G3569">
            <v>0</v>
          </cell>
          <cell r="H3569">
            <v>0</v>
          </cell>
          <cell r="I3569" t="str">
            <v>Others</v>
          </cell>
          <cell r="J3569">
            <v>3</v>
          </cell>
          <cell r="K3569" t="str">
            <v>Others</v>
          </cell>
        </row>
        <row r="3570">
          <cell r="D3570">
            <v>701399</v>
          </cell>
          <cell r="E3570" t="str">
            <v>Glassware; n.e.c. in heading no. 7013, other than of lead crystal</v>
          </cell>
          <cell r="F3570" t="str">
            <v>Consumables</v>
          </cell>
          <cell r="G3570">
            <v>0</v>
          </cell>
          <cell r="H3570">
            <v>0</v>
          </cell>
          <cell r="I3570" t="str">
            <v>Others</v>
          </cell>
          <cell r="J3570">
            <v>2</v>
          </cell>
          <cell r="K3570" t="str">
            <v>Consumables - rc</v>
          </cell>
        </row>
        <row r="3571">
          <cell r="D3571">
            <v>701400</v>
          </cell>
          <cell r="E3571" t="str">
            <v>Glassware; signalling, (not optically worked)</v>
          </cell>
          <cell r="F3571">
            <v>0</v>
          </cell>
          <cell r="G3571">
            <v>0</v>
          </cell>
          <cell r="H3571">
            <v>0</v>
          </cell>
          <cell r="I3571" t="str">
            <v>Others</v>
          </cell>
          <cell r="J3571">
            <v>3</v>
          </cell>
          <cell r="K3571" t="str">
            <v>Others</v>
          </cell>
        </row>
        <row r="3572">
          <cell r="D3572">
            <v>701510</v>
          </cell>
          <cell r="E3572" t="str">
            <v>Glasses for corrective spectacles; curved, bent, hollowed or the like, not optically worked</v>
          </cell>
          <cell r="F3572">
            <v>0</v>
          </cell>
          <cell r="G3572">
            <v>0</v>
          </cell>
          <cell r="H3572">
            <v>0</v>
          </cell>
          <cell r="I3572" t="str">
            <v>Others</v>
          </cell>
          <cell r="J3572">
            <v>3</v>
          </cell>
          <cell r="K3572" t="str">
            <v>Others</v>
          </cell>
        </row>
        <row r="3573">
          <cell r="D3573">
            <v>701590</v>
          </cell>
          <cell r="E3573" t="str">
            <v>Glasses; clock or watch and similar, glasses for non-corrective spectacles, curved, bent, hollowed etc, (not optically worked), hollow glass spheres and segments, for the manufacture of such glasses</v>
          </cell>
          <cell r="F3573">
            <v>0</v>
          </cell>
          <cell r="G3573">
            <v>0</v>
          </cell>
          <cell r="H3573">
            <v>0</v>
          </cell>
          <cell r="I3573" t="str">
            <v>Others</v>
          </cell>
          <cell r="J3573">
            <v>3</v>
          </cell>
          <cell r="K3573" t="str">
            <v>Others</v>
          </cell>
        </row>
        <row r="3574">
          <cell r="D3574">
            <v>701610</v>
          </cell>
          <cell r="E3574" t="str">
            <v>Glass cubes and other glass smallwares; whether or not on a backing, for mosaics or similar decorative purposes</v>
          </cell>
          <cell r="F3574">
            <v>0</v>
          </cell>
          <cell r="G3574">
            <v>0</v>
          </cell>
          <cell r="H3574">
            <v>0</v>
          </cell>
          <cell r="I3574" t="str">
            <v>Others</v>
          </cell>
          <cell r="J3574">
            <v>3</v>
          </cell>
          <cell r="K3574" t="str">
            <v>Others</v>
          </cell>
        </row>
        <row r="3575">
          <cell r="D3575">
            <v>701690</v>
          </cell>
          <cell r="E3575" t="str">
            <v>Multicellular or foam glass; in blocks, panels, plates, shells or similar forms; paving blocks, slabs, bricks and other articles of pressed or moulded glass</v>
          </cell>
          <cell r="F3575">
            <v>0</v>
          </cell>
          <cell r="G3575">
            <v>0</v>
          </cell>
          <cell r="H3575">
            <v>0</v>
          </cell>
          <cell r="I3575" t="str">
            <v>Others</v>
          </cell>
          <cell r="J3575">
            <v>3</v>
          </cell>
          <cell r="K3575" t="str">
            <v>Others</v>
          </cell>
        </row>
        <row r="3576">
          <cell r="D3576">
            <v>701710</v>
          </cell>
          <cell r="E3576" t="str">
            <v>Glassware; laboratory, hygienic or pharmaceutical, whether or not graduated or calibrated, of fused quartz or other fused silica</v>
          </cell>
          <cell r="F3576" t="str">
            <v>Consumables</v>
          </cell>
          <cell r="G3576">
            <v>0</v>
          </cell>
          <cell r="H3576">
            <v>0</v>
          </cell>
          <cell r="I3576" t="str">
            <v>Others</v>
          </cell>
          <cell r="J3576">
            <v>2</v>
          </cell>
          <cell r="K3576" t="str">
            <v>Consumables - rc</v>
          </cell>
        </row>
        <row r="3577">
          <cell r="D3577">
            <v>701720</v>
          </cell>
          <cell r="E3577" t="str">
            <v>Glassware; laboratory, hygienic or pharmaceutical, whether or not graduated or calibrated, having a linear co-efficient of expansion not over 5 x 10 (to the minus 6), (or 0.000005)) per Kelvin with a temperature of 0-300 degrees C</v>
          </cell>
          <cell r="F3577">
            <v>0</v>
          </cell>
          <cell r="G3577">
            <v>0</v>
          </cell>
          <cell r="H3577">
            <v>0</v>
          </cell>
          <cell r="I3577" t="str">
            <v>Others</v>
          </cell>
          <cell r="J3577">
            <v>3</v>
          </cell>
          <cell r="K3577" t="str">
            <v>Others</v>
          </cell>
        </row>
        <row r="3578">
          <cell r="D3578">
            <v>701790</v>
          </cell>
          <cell r="E3578" t="str">
            <v>Glassware; laboratory, hygienic or pharmaceutical, whether or not graduated or calibrated, of glass n.e.c. in heading no. 7017</v>
          </cell>
          <cell r="F3578" t="str">
            <v>Consumables</v>
          </cell>
          <cell r="G3578">
            <v>0</v>
          </cell>
          <cell r="H3578">
            <v>0</v>
          </cell>
          <cell r="I3578" t="str">
            <v>Others</v>
          </cell>
          <cell r="J3578">
            <v>2</v>
          </cell>
          <cell r="K3578" t="str">
            <v>Consumables</v>
          </cell>
        </row>
        <row r="3579">
          <cell r="D3579">
            <v>701810</v>
          </cell>
          <cell r="E3579" t="str">
            <v>Glass; beads, imitation pearls, imitation precious or semi-precious stones and similar glass smallwares</v>
          </cell>
          <cell r="F3579" t="str">
            <v>Consumables</v>
          </cell>
          <cell r="G3579">
            <v>0</v>
          </cell>
          <cell r="H3579">
            <v>0</v>
          </cell>
          <cell r="I3579" t="str">
            <v>Others</v>
          </cell>
          <cell r="J3579">
            <v>2</v>
          </cell>
          <cell r="K3579" t="str">
            <v>Consumables - rc</v>
          </cell>
        </row>
        <row r="3580">
          <cell r="D3580">
            <v>701820</v>
          </cell>
          <cell r="E3580" t="str">
            <v>Glass microspheres; not exceeding 1mm in diameter</v>
          </cell>
          <cell r="F3580">
            <v>0</v>
          </cell>
          <cell r="G3580">
            <v>0</v>
          </cell>
          <cell r="H3580">
            <v>0</v>
          </cell>
          <cell r="I3580" t="str">
            <v>Others</v>
          </cell>
          <cell r="J3580">
            <v>3</v>
          </cell>
          <cell r="K3580" t="str">
            <v>Others</v>
          </cell>
        </row>
        <row r="3581">
          <cell r="D3581">
            <v>701890</v>
          </cell>
          <cell r="E3581" t="str">
            <v>Glass; articles thereof, statuettes and other ornaments of lamp worked glass, other than imitation jewellery</v>
          </cell>
          <cell r="F3581">
            <v>0</v>
          </cell>
          <cell r="G3581">
            <v>0</v>
          </cell>
          <cell r="H3581">
            <v>0</v>
          </cell>
          <cell r="I3581" t="str">
            <v>Others</v>
          </cell>
          <cell r="J3581">
            <v>3</v>
          </cell>
          <cell r="K3581" t="str">
            <v>Others</v>
          </cell>
        </row>
        <row r="3582">
          <cell r="D3582">
            <v>701911</v>
          </cell>
          <cell r="E3582" t="str">
            <v>Glass fibres; (including glass wool), chopped strands, of a length of not more than 50mm</v>
          </cell>
          <cell r="F3582">
            <v>0</v>
          </cell>
          <cell r="G3582">
            <v>0</v>
          </cell>
          <cell r="H3582">
            <v>0</v>
          </cell>
          <cell r="I3582" t="str">
            <v>Others</v>
          </cell>
          <cell r="J3582">
            <v>3</v>
          </cell>
          <cell r="K3582" t="str">
            <v>Others</v>
          </cell>
        </row>
        <row r="3583">
          <cell r="D3583">
            <v>701912</v>
          </cell>
          <cell r="E3583" t="str">
            <v>Glass fibres; (including glass wool), rovings</v>
          </cell>
          <cell r="F3583">
            <v>0</v>
          </cell>
          <cell r="G3583">
            <v>0</v>
          </cell>
          <cell r="H3583">
            <v>0</v>
          </cell>
          <cell r="I3583" t="str">
            <v>Others</v>
          </cell>
          <cell r="J3583">
            <v>3</v>
          </cell>
          <cell r="K3583" t="str">
            <v>Others</v>
          </cell>
        </row>
        <row r="3584">
          <cell r="D3584">
            <v>701913</v>
          </cell>
          <cell r="E3584" t="str">
            <v>Glass fibres; (including glass wool), yarns and slivers</v>
          </cell>
          <cell r="F3584">
            <v>0</v>
          </cell>
          <cell r="G3584">
            <v>0</v>
          </cell>
          <cell r="H3584">
            <v>0</v>
          </cell>
          <cell r="I3584" t="str">
            <v>Others</v>
          </cell>
          <cell r="J3584">
            <v>3</v>
          </cell>
          <cell r="K3584" t="str">
            <v>Others</v>
          </cell>
        </row>
        <row r="3585">
          <cell r="D3585">
            <v>701914</v>
          </cell>
          <cell r="E3585" t="str">
            <v>Glass fibres; (including glass wool), mechanically bonded mats</v>
          </cell>
          <cell r="F3585">
            <v>0</v>
          </cell>
          <cell r="G3585">
            <v>0</v>
          </cell>
          <cell r="H3585">
            <v>0</v>
          </cell>
          <cell r="I3585" t="str">
            <v>Others</v>
          </cell>
          <cell r="J3585">
            <v>3</v>
          </cell>
          <cell r="K3585" t="str">
            <v>Others</v>
          </cell>
        </row>
        <row r="3586">
          <cell r="D3586">
            <v>701915</v>
          </cell>
          <cell r="E3586" t="str">
            <v>Glass fibres; (including glass wool), chemically bonded mats</v>
          </cell>
          <cell r="F3586">
            <v>0</v>
          </cell>
          <cell r="G3586">
            <v>0</v>
          </cell>
          <cell r="H3586">
            <v>0</v>
          </cell>
          <cell r="I3586" t="str">
            <v>Others</v>
          </cell>
          <cell r="J3586">
            <v>3</v>
          </cell>
          <cell r="K3586" t="str">
            <v>Others</v>
          </cell>
        </row>
        <row r="3587">
          <cell r="D3587">
            <v>701919</v>
          </cell>
          <cell r="E3587" t="str">
            <v>Glass fibres; (including glass wool), threads and mats, other than mechanically or chemically bonded mats</v>
          </cell>
          <cell r="F3587">
            <v>0</v>
          </cell>
          <cell r="G3587">
            <v>0</v>
          </cell>
          <cell r="H3587">
            <v>0</v>
          </cell>
          <cell r="I3587" t="str">
            <v>Others</v>
          </cell>
          <cell r="J3587">
            <v>3</v>
          </cell>
          <cell r="K3587" t="str">
            <v>Others</v>
          </cell>
        </row>
        <row r="3588">
          <cell r="D3588">
            <v>701961</v>
          </cell>
          <cell r="E3588" t="str">
            <v>Glass fibres; mechanically bonded fabrics and closed woven fabrics of rovings</v>
          </cell>
          <cell r="F3588">
            <v>0</v>
          </cell>
          <cell r="G3588">
            <v>0</v>
          </cell>
          <cell r="H3588">
            <v>0</v>
          </cell>
          <cell r="I3588" t="str">
            <v>Others</v>
          </cell>
          <cell r="J3588">
            <v>3</v>
          </cell>
          <cell r="K3588" t="str">
            <v>Others</v>
          </cell>
        </row>
        <row r="3589">
          <cell r="D3589">
            <v>701962</v>
          </cell>
          <cell r="E3589" t="str">
            <v>Glass fibres; non-woven mechanically bonded fabrics and closed fabrics of rovings</v>
          </cell>
          <cell r="F3589">
            <v>0</v>
          </cell>
          <cell r="G3589">
            <v>0</v>
          </cell>
          <cell r="H3589">
            <v>0</v>
          </cell>
          <cell r="I3589" t="str">
            <v>Others</v>
          </cell>
          <cell r="J3589">
            <v>3</v>
          </cell>
          <cell r="K3589" t="str">
            <v>Others</v>
          </cell>
        </row>
        <row r="3590">
          <cell r="D3590">
            <v>701963</v>
          </cell>
          <cell r="E3590" t="str">
            <v>Glass fibres; mechanically bonded fabrics and closed woven fabrics, plain weave, of yarns, not coated or laminated (other than rovings)</v>
          </cell>
          <cell r="F3590">
            <v>0</v>
          </cell>
          <cell r="G3590">
            <v>0</v>
          </cell>
          <cell r="H3590">
            <v>0</v>
          </cell>
          <cell r="I3590" t="str">
            <v>Others</v>
          </cell>
          <cell r="J3590">
            <v>3</v>
          </cell>
          <cell r="K3590" t="str">
            <v>Others</v>
          </cell>
        </row>
        <row r="3591">
          <cell r="D3591">
            <v>701964</v>
          </cell>
          <cell r="E3591" t="str">
            <v>Glass fibres; closed woven fabrics, plain weave, of yarns, coated or laminated, (other than rovings)</v>
          </cell>
          <cell r="F3591">
            <v>0</v>
          </cell>
          <cell r="G3591">
            <v>0</v>
          </cell>
          <cell r="H3591">
            <v>0</v>
          </cell>
          <cell r="I3591" t="str">
            <v>Others</v>
          </cell>
          <cell r="J3591">
            <v>3</v>
          </cell>
          <cell r="K3591" t="str">
            <v>Others</v>
          </cell>
        </row>
        <row r="3592">
          <cell r="D3592">
            <v>701965</v>
          </cell>
          <cell r="E3592" t="str">
            <v>Glass fibres; open woven fabrics of a width not exceeding 30cm</v>
          </cell>
          <cell r="F3592">
            <v>0</v>
          </cell>
          <cell r="G3592">
            <v>0</v>
          </cell>
          <cell r="H3592">
            <v>0</v>
          </cell>
          <cell r="I3592" t="str">
            <v>Others</v>
          </cell>
          <cell r="J3592">
            <v>3</v>
          </cell>
          <cell r="K3592" t="str">
            <v>Others</v>
          </cell>
        </row>
        <row r="3593">
          <cell r="D3593">
            <v>701966</v>
          </cell>
          <cell r="E3593" t="str">
            <v>Glass fibres; open woven fabrics of a width exceeding 30cm</v>
          </cell>
          <cell r="F3593">
            <v>0</v>
          </cell>
          <cell r="G3593">
            <v>0</v>
          </cell>
          <cell r="H3593">
            <v>0</v>
          </cell>
          <cell r="I3593" t="str">
            <v>Others</v>
          </cell>
          <cell r="J3593">
            <v>3</v>
          </cell>
          <cell r="K3593" t="str">
            <v>Others</v>
          </cell>
        </row>
        <row r="3594">
          <cell r="D3594">
            <v>701969</v>
          </cell>
          <cell r="E3594" t="str">
            <v>Glass fibres; fabrics n.e.c. in item no. 7019.6</v>
          </cell>
          <cell r="F3594" t="str">
            <v>Consumables</v>
          </cell>
          <cell r="G3594">
            <v>0</v>
          </cell>
          <cell r="H3594">
            <v>0</v>
          </cell>
          <cell r="I3594" t="str">
            <v>Others</v>
          </cell>
          <cell r="J3594">
            <v>2</v>
          </cell>
          <cell r="K3594" t="str">
            <v>Consumables - rc</v>
          </cell>
        </row>
        <row r="3595">
          <cell r="D3595">
            <v>701971</v>
          </cell>
          <cell r="E3595" t="str">
            <v>Glass fibres; chemically bonded fabrics</v>
          </cell>
          <cell r="F3595">
            <v>0</v>
          </cell>
          <cell r="G3595">
            <v>0</v>
          </cell>
          <cell r="H3595">
            <v>0</v>
          </cell>
          <cell r="I3595" t="str">
            <v>Others</v>
          </cell>
          <cell r="J3595">
            <v>3</v>
          </cell>
          <cell r="K3595" t="str">
            <v>Others</v>
          </cell>
        </row>
        <row r="3596">
          <cell r="D3596">
            <v>701972</v>
          </cell>
          <cell r="E3596" t="str">
            <v>Glass fibres; chemically bonded fabrics, closed fabrics n.e.c. in heading 7019</v>
          </cell>
          <cell r="F3596">
            <v>0</v>
          </cell>
          <cell r="G3596">
            <v>0</v>
          </cell>
          <cell r="H3596">
            <v>0</v>
          </cell>
          <cell r="I3596" t="str">
            <v>Others</v>
          </cell>
          <cell r="J3596">
            <v>3</v>
          </cell>
          <cell r="K3596" t="str">
            <v>Others</v>
          </cell>
        </row>
        <row r="3597">
          <cell r="D3597">
            <v>701973</v>
          </cell>
          <cell r="E3597" t="str">
            <v>Glass fibres; chemically bonded fabrics, open fabrics n.e.c. in heading 7019</v>
          </cell>
          <cell r="F3597">
            <v>0</v>
          </cell>
          <cell r="G3597">
            <v>0</v>
          </cell>
          <cell r="H3597">
            <v>0</v>
          </cell>
          <cell r="I3597" t="str">
            <v>Others</v>
          </cell>
          <cell r="J3597">
            <v>3</v>
          </cell>
          <cell r="K3597" t="str">
            <v>Others</v>
          </cell>
        </row>
        <row r="3598">
          <cell r="D3598">
            <v>701980</v>
          </cell>
          <cell r="E3598" t="str">
            <v>Glass fibres; glass wool and articles thereof</v>
          </cell>
          <cell r="F3598" t="str">
            <v>Consumables</v>
          </cell>
          <cell r="G3598">
            <v>0</v>
          </cell>
          <cell r="H3598">
            <v>0</v>
          </cell>
          <cell r="I3598" t="str">
            <v>Others</v>
          </cell>
          <cell r="J3598">
            <v>2</v>
          </cell>
          <cell r="K3598" t="str">
            <v>Capital Goods - rc</v>
          </cell>
        </row>
        <row r="3599">
          <cell r="D3599">
            <v>701990</v>
          </cell>
          <cell r="E3599" t="str">
            <v>Glass fibres; n.e.c. in heading no. 7019</v>
          </cell>
          <cell r="F3599" t="str">
            <v>Consumables</v>
          </cell>
          <cell r="G3599">
            <v>0</v>
          </cell>
          <cell r="H3599">
            <v>0</v>
          </cell>
          <cell r="I3599" t="str">
            <v>Others</v>
          </cell>
          <cell r="J3599">
            <v>2</v>
          </cell>
          <cell r="K3599" t="str">
            <v>Consumables - rc</v>
          </cell>
        </row>
        <row r="3600">
          <cell r="D3600">
            <v>702000</v>
          </cell>
          <cell r="E3600" t="str">
            <v>Glass; articles n.e.c. in chapter 70</v>
          </cell>
          <cell r="F3600" t="str">
            <v>Consumables</v>
          </cell>
          <cell r="G3600">
            <v>0</v>
          </cell>
          <cell r="H3600">
            <v>0</v>
          </cell>
          <cell r="I3600" t="str">
            <v>Others</v>
          </cell>
          <cell r="J3600">
            <v>2</v>
          </cell>
          <cell r="K3600" t="str">
            <v>Consumables - rc</v>
          </cell>
        </row>
        <row r="3601">
          <cell r="D3601">
            <v>710110</v>
          </cell>
          <cell r="E3601" t="str">
            <v>Pearls; natural, whether or not worked or graded (but not strung, mounted or set), temporarily strung for the convenience of transport</v>
          </cell>
          <cell r="F3601">
            <v>0</v>
          </cell>
          <cell r="G3601">
            <v>0</v>
          </cell>
          <cell r="H3601">
            <v>0</v>
          </cell>
          <cell r="I3601" t="str">
            <v>Others</v>
          </cell>
          <cell r="J3601">
            <v>3</v>
          </cell>
          <cell r="K3601" t="str">
            <v>Others</v>
          </cell>
        </row>
        <row r="3602">
          <cell r="D3602">
            <v>710121</v>
          </cell>
          <cell r="E3602" t="str">
            <v>Pearls; cultured, unworked, whether or not graded (but not strung, mounted or set), temporarily strung for the convenience of transport</v>
          </cell>
          <cell r="F3602">
            <v>0</v>
          </cell>
          <cell r="G3602">
            <v>0</v>
          </cell>
          <cell r="H3602">
            <v>0</v>
          </cell>
          <cell r="I3602" t="str">
            <v>Others</v>
          </cell>
          <cell r="J3602">
            <v>3</v>
          </cell>
          <cell r="K3602" t="str">
            <v>Others</v>
          </cell>
        </row>
        <row r="3603">
          <cell r="D3603">
            <v>710122</v>
          </cell>
          <cell r="E3603" t="str">
            <v>Pearls; cultured, worked, whether or not graded (but not strung, mounted or set), temporarily strung for the convenience of transport</v>
          </cell>
          <cell r="F3603">
            <v>0</v>
          </cell>
          <cell r="G3603">
            <v>0</v>
          </cell>
          <cell r="H3603">
            <v>0</v>
          </cell>
          <cell r="I3603" t="str">
            <v>Others</v>
          </cell>
          <cell r="J3603">
            <v>3</v>
          </cell>
          <cell r="K3603" t="str">
            <v>Others</v>
          </cell>
        </row>
        <row r="3604">
          <cell r="D3604">
            <v>710210</v>
          </cell>
          <cell r="E3604" t="str">
            <v>Diamonds; whether or not worked, but not mounted or set, unsorted</v>
          </cell>
          <cell r="F3604">
            <v>0</v>
          </cell>
          <cell r="G3604">
            <v>0</v>
          </cell>
          <cell r="H3604">
            <v>0</v>
          </cell>
          <cell r="I3604" t="str">
            <v>Others</v>
          </cell>
          <cell r="J3604">
            <v>3</v>
          </cell>
          <cell r="K3604" t="str">
            <v>Others</v>
          </cell>
        </row>
        <row r="3605">
          <cell r="D3605">
            <v>710221</v>
          </cell>
          <cell r="E3605" t="str">
            <v>Diamonds; industrial, unworked or simply sawn, cleaved or bruted, but not mounted or set</v>
          </cell>
          <cell r="F3605">
            <v>0</v>
          </cell>
          <cell r="G3605">
            <v>0</v>
          </cell>
          <cell r="H3605">
            <v>0</v>
          </cell>
          <cell r="I3605" t="str">
            <v>Others</v>
          </cell>
          <cell r="J3605">
            <v>3</v>
          </cell>
          <cell r="K3605" t="str">
            <v>Others</v>
          </cell>
        </row>
        <row r="3606">
          <cell r="D3606">
            <v>710229</v>
          </cell>
          <cell r="E3606" t="str">
            <v>Diamonds; industrial, (other than unworked or simply sawn, cleaved or bruted), but not mounted or set</v>
          </cell>
          <cell r="F3606">
            <v>0</v>
          </cell>
          <cell r="G3606">
            <v>0</v>
          </cell>
          <cell r="H3606">
            <v>0</v>
          </cell>
          <cell r="I3606" t="str">
            <v>Others</v>
          </cell>
          <cell r="J3606">
            <v>3</v>
          </cell>
          <cell r="K3606" t="str">
            <v>Others</v>
          </cell>
        </row>
        <row r="3607">
          <cell r="D3607">
            <v>710231</v>
          </cell>
          <cell r="E3607" t="str">
            <v>Diamonds; non-industrial, unworked or simply sawn, cleaved or bruted, but not mounted or set</v>
          </cell>
          <cell r="F3607">
            <v>0</v>
          </cell>
          <cell r="G3607">
            <v>0</v>
          </cell>
          <cell r="H3607">
            <v>0</v>
          </cell>
          <cell r="I3607" t="str">
            <v>Others</v>
          </cell>
          <cell r="J3607">
            <v>3</v>
          </cell>
          <cell r="K3607" t="str">
            <v>Others</v>
          </cell>
        </row>
        <row r="3608">
          <cell r="D3608">
            <v>710239</v>
          </cell>
          <cell r="E3608" t="str">
            <v>Diamonds; non-industrial, (other than unworked or simply sawn, cleaved or bruted), but not mounted or set</v>
          </cell>
          <cell r="F3608">
            <v>0</v>
          </cell>
          <cell r="G3608">
            <v>0</v>
          </cell>
          <cell r="H3608">
            <v>0</v>
          </cell>
          <cell r="I3608" t="str">
            <v>Others</v>
          </cell>
          <cell r="J3608">
            <v>3</v>
          </cell>
          <cell r="K3608" t="str">
            <v>Others</v>
          </cell>
        </row>
        <row r="3609">
          <cell r="D3609">
            <v>710310</v>
          </cell>
          <cell r="E3609" t="str">
            <v>Stones; precious (other than diamonds) and semi-precious stones, unworked or simply sawn or roughly shaped, not strung, mounted or set</v>
          </cell>
          <cell r="F3609">
            <v>0</v>
          </cell>
          <cell r="G3609">
            <v>0</v>
          </cell>
          <cell r="H3609">
            <v>0</v>
          </cell>
          <cell r="I3609" t="str">
            <v>Others</v>
          </cell>
          <cell r="J3609">
            <v>3</v>
          </cell>
          <cell r="K3609" t="str">
            <v>Others</v>
          </cell>
        </row>
        <row r="3610">
          <cell r="D3610">
            <v>710391</v>
          </cell>
          <cell r="E3610" t="str">
            <v>Stones; rubies, sapphires and emeralds, worked (other than simply sawn or roughly shaped), not strung, mounted or set</v>
          </cell>
          <cell r="F3610">
            <v>0</v>
          </cell>
          <cell r="G3610">
            <v>0</v>
          </cell>
          <cell r="H3610">
            <v>0</v>
          </cell>
          <cell r="I3610" t="str">
            <v>Others</v>
          </cell>
          <cell r="J3610">
            <v>3</v>
          </cell>
          <cell r="K3610" t="str">
            <v>Others</v>
          </cell>
        </row>
        <row r="3611">
          <cell r="D3611">
            <v>710399</v>
          </cell>
          <cell r="E3611" t="str">
            <v>Stones; precious (other than diamonds) and semi-precious stones, (other than rubies, sapphires and emeralds), worked other than simply sawn or roughly shaped, not strung, mounted or set</v>
          </cell>
          <cell r="F3611">
            <v>0</v>
          </cell>
          <cell r="G3611">
            <v>0</v>
          </cell>
          <cell r="H3611">
            <v>0</v>
          </cell>
          <cell r="I3611" t="str">
            <v>Others</v>
          </cell>
          <cell r="J3611">
            <v>3</v>
          </cell>
          <cell r="K3611" t="str">
            <v>Others</v>
          </cell>
        </row>
        <row r="3612">
          <cell r="D3612">
            <v>710410</v>
          </cell>
          <cell r="E3612" t="str">
            <v>Stones; piezo-electric quartz, whether or not worked or graded but not strung, mounted or set; ungraded synthetic or reconstructed precious or semi-precious stones, temporarily strung for convenience of transport</v>
          </cell>
          <cell r="F3612">
            <v>0</v>
          </cell>
          <cell r="G3612">
            <v>0</v>
          </cell>
          <cell r="H3612">
            <v>0</v>
          </cell>
          <cell r="I3612" t="str">
            <v>Others</v>
          </cell>
          <cell r="J3612">
            <v>3</v>
          </cell>
          <cell r="K3612" t="str">
            <v>Others</v>
          </cell>
        </row>
        <row r="3613">
          <cell r="D3613">
            <v>710421</v>
          </cell>
          <cell r="E3613" t="str">
            <v>Stones; diamonds, unworked or simply sawn or roughly shaped</v>
          </cell>
          <cell r="F3613">
            <v>0</v>
          </cell>
          <cell r="G3613">
            <v>0</v>
          </cell>
          <cell r="H3613">
            <v>0</v>
          </cell>
          <cell r="I3613" t="str">
            <v>Others</v>
          </cell>
          <cell r="J3613">
            <v>3</v>
          </cell>
          <cell r="K3613" t="str">
            <v>Others</v>
          </cell>
        </row>
        <row r="3614">
          <cell r="D3614">
            <v>710429</v>
          </cell>
          <cell r="E3614" t="str">
            <v>Stones; synthetic or reconstructed precious or semi-precious n.e.c. in heading 7104, unworked or simply sawn or roughly shaped</v>
          </cell>
          <cell r="F3614">
            <v>0</v>
          </cell>
          <cell r="G3614">
            <v>0</v>
          </cell>
          <cell r="H3614">
            <v>0</v>
          </cell>
          <cell r="I3614" t="str">
            <v>Others</v>
          </cell>
          <cell r="J3614">
            <v>3</v>
          </cell>
          <cell r="K3614" t="str">
            <v>Others</v>
          </cell>
        </row>
        <row r="3615">
          <cell r="D3615">
            <v>710491</v>
          </cell>
          <cell r="E3615" t="str">
            <v>Stones; diamonds, n.e.c. in heading 7104, worked or graded but not strung, mounted or set; ungraded synthetic or reconstructed precious or semi-precious stones, temporarily strung for convenience of transport</v>
          </cell>
          <cell r="F3615">
            <v>0</v>
          </cell>
          <cell r="G3615">
            <v>0</v>
          </cell>
          <cell r="H3615">
            <v>0</v>
          </cell>
          <cell r="I3615" t="str">
            <v>Others</v>
          </cell>
          <cell r="J3615">
            <v>3</v>
          </cell>
          <cell r="K3615" t="str">
            <v>Others</v>
          </cell>
        </row>
        <row r="3616">
          <cell r="D3616">
            <v>710499</v>
          </cell>
          <cell r="E3616" t="str">
            <v>Stones; synthetic or reconstructed precious or semi-precious n.e.c. in heading 7104, worked or graded but not strung, mounted or set; ungraded synthetic or reconstructed precious or semi-precious stones, temporarily strung for convenience of transport</v>
          </cell>
          <cell r="F3616">
            <v>0</v>
          </cell>
          <cell r="G3616">
            <v>0</v>
          </cell>
          <cell r="H3616">
            <v>0</v>
          </cell>
          <cell r="I3616" t="str">
            <v>Others</v>
          </cell>
          <cell r="J3616">
            <v>3</v>
          </cell>
          <cell r="K3616" t="str">
            <v>Others</v>
          </cell>
        </row>
        <row r="3617">
          <cell r="D3617">
            <v>710510</v>
          </cell>
          <cell r="E3617" t="str">
            <v>Stones; precious and semi-precious, dust and powder, of diamonds</v>
          </cell>
          <cell r="F3617">
            <v>0</v>
          </cell>
          <cell r="G3617">
            <v>0</v>
          </cell>
          <cell r="H3617">
            <v>0</v>
          </cell>
          <cell r="I3617" t="str">
            <v>Others</v>
          </cell>
          <cell r="J3617">
            <v>3</v>
          </cell>
          <cell r="K3617" t="str">
            <v>Others</v>
          </cell>
        </row>
        <row r="3618">
          <cell r="D3618">
            <v>710590</v>
          </cell>
          <cell r="E3618" t="str">
            <v>Stones; precious and semi-precious, dust and powder, of natural or synthetic precious or semi-precious stones, excluding diamonds</v>
          </cell>
          <cell r="F3618">
            <v>0</v>
          </cell>
          <cell r="G3618">
            <v>0</v>
          </cell>
          <cell r="H3618">
            <v>0</v>
          </cell>
          <cell r="I3618" t="str">
            <v>Others</v>
          </cell>
          <cell r="J3618">
            <v>3</v>
          </cell>
          <cell r="K3618" t="str">
            <v>Others</v>
          </cell>
        </row>
        <row r="3619">
          <cell r="D3619">
            <v>710610</v>
          </cell>
          <cell r="E3619" t="str">
            <v>Metals; silver powder</v>
          </cell>
          <cell r="F3619">
            <v>0</v>
          </cell>
          <cell r="G3619">
            <v>0</v>
          </cell>
          <cell r="H3619">
            <v>0</v>
          </cell>
          <cell r="I3619" t="str">
            <v>Others</v>
          </cell>
          <cell r="J3619">
            <v>3</v>
          </cell>
          <cell r="K3619" t="str">
            <v>Others</v>
          </cell>
        </row>
        <row r="3620">
          <cell r="D3620">
            <v>710691</v>
          </cell>
          <cell r="E3620" t="str">
            <v>Metals; silver, unwrought, (but not powder)</v>
          </cell>
          <cell r="F3620">
            <v>0</v>
          </cell>
          <cell r="G3620">
            <v>0</v>
          </cell>
          <cell r="H3620">
            <v>0</v>
          </cell>
          <cell r="I3620" t="str">
            <v>Others</v>
          </cell>
          <cell r="J3620">
            <v>3</v>
          </cell>
          <cell r="K3620" t="str">
            <v>Others</v>
          </cell>
        </row>
        <row r="3621">
          <cell r="D3621">
            <v>710692</v>
          </cell>
          <cell r="E3621" t="str">
            <v>Metals; silver, semi-manufactured</v>
          </cell>
          <cell r="F3621" t="str">
            <v>Consumables</v>
          </cell>
          <cell r="G3621">
            <v>0</v>
          </cell>
          <cell r="H3621">
            <v>0</v>
          </cell>
          <cell r="I3621" t="str">
            <v>Others</v>
          </cell>
          <cell r="J3621">
            <v>2</v>
          </cell>
          <cell r="K3621" t="str">
            <v>Consumables - rc</v>
          </cell>
        </row>
        <row r="3622">
          <cell r="D3622">
            <v>710700</v>
          </cell>
          <cell r="E3622" t="str">
            <v>Base metals clad with silver; not further worked than semi-manufactured</v>
          </cell>
          <cell r="F3622">
            <v>0</v>
          </cell>
          <cell r="G3622">
            <v>0</v>
          </cell>
          <cell r="H3622">
            <v>0</v>
          </cell>
          <cell r="I3622" t="str">
            <v>Others</v>
          </cell>
          <cell r="J3622">
            <v>3</v>
          </cell>
          <cell r="K3622" t="str">
            <v>Others</v>
          </cell>
        </row>
        <row r="3623">
          <cell r="D3623">
            <v>710811</v>
          </cell>
          <cell r="E3623" t="str">
            <v>Metals; gold, non-monetary, powder</v>
          </cell>
          <cell r="F3623">
            <v>0</v>
          </cell>
          <cell r="G3623">
            <v>0</v>
          </cell>
          <cell r="H3623">
            <v>0</v>
          </cell>
          <cell r="I3623" t="str">
            <v>Others</v>
          </cell>
          <cell r="J3623">
            <v>3</v>
          </cell>
          <cell r="K3623" t="str">
            <v>Others</v>
          </cell>
        </row>
        <row r="3624">
          <cell r="D3624">
            <v>710812</v>
          </cell>
          <cell r="E3624" t="str">
            <v>Metals; gold, non-monetary, unwrought (but not powder)</v>
          </cell>
          <cell r="F3624">
            <v>0</v>
          </cell>
          <cell r="G3624">
            <v>0</v>
          </cell>
          <cell r="H3624">
            <v>0</v>
          </cell>
          <cell r="I3624" t="str">
            <v>Others</v>
          </cell>
          <cell r="J3624">
            <v>3</v>
          </cell>
          <cell r="K3624" t="str">
            <v>Others</v>
          </cell>
        </row>
        <row r="3625">
          <cell r="D3625">
            <v>710813</v>
          </cell>
          <cell r="E3625" t="str">
            <v>Metals; gold, semi-manufactured</v>
          </cell>
          <cell r="F3625">
            <v>0</v>
          </cell>
          <cell r="G3625">
            <v>0</v>
          </cell>
          <cell r="H3625">
            <v>0</v>
          </cell>
          <cell r="I3625" t="str">
            <v>Others</v>
          </cell>
          <cell r="J3625">
            <v>3</v>
          </cell>
          <cell r="K3625" t="str">
            <v>Others</v>
          </cell>
        </row>
        <row r="3626">
          <cell r="D3626">
            <v>710900</v>
          </cell>
          <cell r="E3626" t="str">
            <v>Base metals or silver; clad with gold, not further worked than semi-manufactured</v>
          </cell>
          <cell r="F3626">
            <v>0</v>
          </cell>
          <cell r="G3626">
            <v>0</v>
          </cell>
          <cell r="H3626">
            <v>0</v>
          </cell>
          <cell r="I3626" t="str">
            <v>Others</v>
          </cell>
          <cell r="J3626">
            <v>3</v>
          </cell>
          <cell r="K3626" t="str">
            <v>Others</v>
          </cell>
        </row>
        <row r="3627">
          <cell r="D3627">
            <v>711011</v>
          </cell>
          <cell r="E3627" t="str">
            <v>Metals; platinum, unwrought or in powder form</v>
          </cell>
          <cell r="F3627">
            <v>0</v>
          </cell>
          <cell r="G3627">
            <v>0</v>
          </cell>
          <cell r="H3627">
            <v>0</v>
          </cell>
          <cell r="I3627" t="str">
            <v>Others</v>
          </cell>
          <cell r="J3627">
            <v>3</v>
          </cell>
          <cell r="K3627" t="str">
            <v>Others</v>
          </cell>
        </row>
        <row r="3628">
          <cell r="D3628">
            <v>711019</v>
          </cell>
          <cell r="E3628" t="str">
            <v>Metals; platinum, semi-manufactured</v>
          </cell>
          <cell r="F3628">
            <v>0</v>
          </cell>
          <cell r="G3628">
            <v>0</v>
          </cell>
          <cell r="H3628">
            <v>0</v>
          </cell>
          <cell r="I3628" t="str">
            <v>Others</v>
          </cell>
          <cell r="J3628">
            <v>3</v>
          </cell>
          <cell r="K3628" t="str">
            <v>Others</v>
          </cell>
        </row>
        <row r="3629">
          <cell r="D3629">
            <v>711021</v>
          </cell>
          <cell r="E3629" t="str">
            <v>Metals; palladium, unwrought or in powder form</v>
          </cell>
          <cell r="F3629">
            <v>0</v>
          </cell>
          <cell r="G3629">
            <v>0</v>
          </cell>
          <cell r="H3629">
            <v>0</v>
          </cell>
          <cell r="I3629" t="str">
            <v>Others</v>
          </cell>
          <cell r="J3629">
            <v>3</v>
          </cell>
          <cell r="K3629" t="str">
            <v>Others</v>
          </cell>
        </row>
        <row r="3630">
          <cell r="D3630">
            <v>711029</v>
          </cell>
          <cell r="E3630" t="str">
            <v>Metals; palladium, semi-manufactured</v>
          </cell>
          <cell r="F3630">
            <v>0</v>
          </cell>
          <cell r="G3630">
            <v>0</v>
          </cell>
          <cell r="H3630">
            <v>0</v>
          </cell>
          <cell r="I3630" t="str">
            <v>Others</v>
          </cell>
          <cell r="J3630">
            <v>3</v>
          </cell>
          <cell r="K3630" t="str">
            <v>Others</v>
          </cell>
        </row>
        <row r="3631">
          <cell r="D3631">
            <v>711031</v>
          </cell>
          <cell r="E3631" t="str">
            <v>Metals; rhodium, unwrought or in powder form</v>
          </cell>
          <cell r="F3631">
            <v>0</v>
          </cell>
          <cell r="G3631">
            <v>0</v>
          </cell>
          <cell r="H3631">
            <v>0</v>
          </cell>
          <cell r="I3631" t="str">
            <v>Others</v>
          </cell>
          <cell r="J3631">
            <v>3</v>
          </cell>
          <cell r="K3631" t="str">
            <v>Others</v>
          </cell>
        </row>
        <row r="3632">
          <cell r="D3632">
            <v>711039</v>
          </cell>
          <cell r="E3632" t="str">
            <v>Metals; rhodium, semi-manufactured</v>
          </cell>
          <cell r="F3632">
            <v>0</v>
          </cell>
          <cell r="G3632">
            <v>0</v>
          </cell>
          <cell r="H3632">
            <v>0</v>
          </cell>
          <cell r="I3632" t="str">
            <v>Others</v>
          </cell>
          <cell r="J3632">
            <v>3</v>
          </cell>
          <cell r="K3632" t="str">
            <v>Others</v>
          </cell>
        </row>
        <row r="3633">
          <cell r="D3633">
            <v>711041</v>
          </cell>
          <cell r="E3633" t="str">
            <v>Metals; iridium, osmium, ruthenium, unwrought or in powder form</v>
          </cell>
          <cell r="F3633">
            <v>0</v>
          </cell>
          <cell r="G3633">
            <v>0</v>
          </cell>
          <cell r="H3633">
            <v>0</v>
          </cell>
          <cell r="I3633" t="str">
            <v>Others</v>
          </cell>
          <cell r="J3633">
            <v>3</v>
          </cell>
          <cell r="K3633" t="str">
            <v>Others</v>
          </cell>
        </row>
        <row r="3634">
          <cell r="D3634">
            <v>711049</v>
          </cell>
          <cell r="E3634" t="str">
            <v>Metals; iridium, osmium, ruthenium, semi-manufactured</v>
          </cell>
          <cell r="F3634">
            <v>0</v>
          </cell>
          <cell r="G3634">
            <v>0</v>
          </cell>
          <cell r="H3634">
            <v>0</v>
          </cell>
          <cell r="I3634" t="str">
            <v>Others</v>
          </cell>
          <cell r="J3634">
            <v>3</v>
          </cell>
          <cell r="K3634" t="str">
            <v>Others</v>
          </cell>
        </row>
        <row r="3635">
          <cell r="D3635">
            <v>711100</v>
          </cell>
          <cell r="E3635" t="str">
            <v>Base metals, silver or gold, clad with platinum; not further worked than semi-manufactured</v>
          </cell>
          <cell r="F3635">
            <v>0</v>
          </cell>
          <cell r="G3635">
            <v>0</v>
          </cell>
          <cell r="H3635">
            <v>0</v>
          </cell>
          <cell r="I3635" t="str">
            <v>Others</v>
          </cell>
          <cell r="J3635">
            <v>3</v>
          </cell>
          <cell r="K3635" t="str">
            <v>Others</v>
          </cell>
        </row>
        <row r="3636">
          <cell r="D3636">
            <v>711230</v>
          </cell>
          <cell r="E3636" t="str">
            <v>Waste and scrap of precious metal or of metal clad with precious metal; ash containing precious metal or precious metal compounds</v>
          </cell>
          <cell r="F3636">
            <v>0</v>
          </cell>
          <cell r="G3636">
            <v>0</v>
          </cell>
          <cell r="H3636">
            <v>0</v>
          </cell>
          <cell r="I3636" t="str">
            <v>Others</v>
          </cell>
          <cell r="J3636">
            <v>3</v>
          </cell>
          <cell r="K3636" t="str">
            <v>Others</v>
          </cell>
        </row>
        <row r="3637">
          <cell r="D3637">
            <v>711291</v>
          </cell>
          <cell r="E3637" t="str">
            <v>Waste and scrap of precious metals; of gold, including metal clad with gold but excluding sweepings containing other precious metals</v>
          </cell>
          <cell r="F3637">
            <v>0</v>
          </cell>
          <cell r="G3637">
            <v>0</v>
          </cell>
          <cell r="H3637">
            <v>0</v>
          </cell>
          <cell r="I3637" t="str">
            <v>Others</v>
          </cell>
          <cell r="J3637">
            <v>3</v>
          </cell>
          <cell r="K3637" t="str">
            <v>Others</v>
          </cell>
        </row>
        <row r="3638">
          <cell r="D3638">
            <v>711292</v>
          </cell>
          <cell r="E3638" t="str">
            <v>Waste and scrap of precious metals; of platinum, including metal clad with platinum but excluding sweepings containing other precious metals</v>
          </cell>
          <cell r="F3638">
            <v>0</v>
          </cell>
          <cell r="G3638">
            <v>0</v>
          </cell>
          <cell r="H3638">
            <v>0</v>
          </cell>
          <cell r="I3638" t="str">
            <v>Others</v>
          </cell>
          <cell r="J3638">
            <v>3</v>
          </cell>
          <cell r="K3638" t="str">
            <v>Others</v>
          </cell>
        </row>
        <row r="3639">
          <cell r="D3639">
            <v>711299</v>
          </cell>
          <cell r="E3639" t="str">
            <v>Waste and scrap of precious metals; waste and scrap of precious metals including metal clad with precious metals, other than that of gold and platinum and excluding ash which contains precious metal or precious metal compounds</v>
          </cell>
          <cell r="F3639">
            <v>0</v>
          </cell>
          <cell r="G3639">
            <v>0</v>
          </cell>
          <cell r="H3639">
            <v>0</v>
          </cell>
          <cell r="I3639" t="str">
            <v>Others</v>
          </cell>
          <cell r="J3639">
            <v>3</v>
          </cell>
          <cell r="K3639" t="str">
            <v>Others</v>
          </cell>
        </row>
        <row r="3640">
          <cell r="D3640">
            <v>711311</v>
          </cell>
          <cell r="E3640" t="str">
            <v>Jewellery; of silver, whether or not plated or clad with other precious metal, and parts thereof</v>
          </cell>
          <cell r="F3640">
            <v>0</v>
          </cell>
          <cell r="G3640">
            <v>0</v>
          </cell>
          <cell r="H3640">
            <v>0</v>
          </cell>
          <cell r="I3640" t="str">
            <v>Others</v>
          </cell>
          <cell r="J3640">
            <v>3</v>
          </cell>
          <cell r="K3640" t="str">
            <v>Others</v>
          </cell>
        </row>
        <row r="3641">
          <cell r="D3641">
            <v>711319</v>
          </cell>
          <cell r="E3641" t="str">
            <v>Jewellery; of precious metal (excluding silver) whether or not plated or clad with precious metal, and parts thereof</v>
          </cell>
          <cell r="F3641">
            <v>0</v>
          </cell>
          <cell r="G3641">
            <v>0</v>
          </cell>
          <cell r="H3641">
            <v>0</v>
          </cell>
          <cell r="I3641" t="str">
            <v>Others</v>
          </cell>
          <cell r="J3641">
            <v>3</v>
          </cell>
          <cell r="K3641" t="str">
            <v>Others</v>
          </cell>
        </row>
        <row r="3642">
          <cell r="D3642">
            <v>711320</v>
          </cell>
          <cell r="E3642" t="str">
            <v>Jewellery; of base metal clad with precious metal, and parts thereof</v>
          </cell>
          <cell r="F3642">
            <v>0</v>
          </cell>
          <cell r="G3642">
            <v>0</v>
          </cell>
          <cell r="H3642">
            <v>0</v>
          </cell>
          <cell r="I3642" t="str">
            <v>Others</v>
          </cell>
          <cell r="J3642">
            <v>3</v>
          </cell>
          <cell r="K3642" t="str">
            <v>Others</v>
          </cell>
        </row>
        <row r="3643">
          <cell r="D3643">
            <v>711411</v>
          </cell>
          <cell r="E3643" t="str">
            <v>Silversmiths' wares; and parts thereof, of silver, whether or not plated or clad with other precious metal</v>
          </cell>
          <cell r="F3643">
            <v>0</v>
          </cell>
          <cell r="G3643">
            <v>0</v>
          </cell>
          <cell r="H3643">
            <v>0</v>
          </cell>
          <cell r="I3643" t="str">
            <v>Others</v>
          </cell>
          <cell r="J3643">
            <v>3</v>
          </cell>
          <cell r="K3643" t="str">
            <v>Others</v>
          </cell>
        </row>
        <row r="3644">
          <cell r="D3644">
            <v>711419</v>
          </cell>
          <cell r="E3644" t="str">
            <v>Goldsmiths' wares; articles of and parts thereof, of precious metal (excluding silver) whether or not plated or clad with precious metal</v>
          </cell>
          <cell r="F3644">
            <v>0</v>
          </cell>
          <cell r="G3644">
            <v>0</v>
          </cell>
          <cell r="H3644">
            <v>0</v>
          </cell>
          <cell r="I3644" t="str">
            <v>Others</v>
          </cell>
          <cell r="J3644">
            <v>3</v>
          </cell>
          <cell r="K3644" t="str">
            <v>Others</v>
          </cell>
        </row>
        <row r="3645">
          <cell r="D3645">
            <v>711420</v>
          </cell>
          <cell r="E3645" t="str">
            <v>Goldsmiths' and silversmiths' wares; articles of and parts thereof, of base metal clad with precious metal</v>
          </cell>
          <cell r="F3645">
            <v>0</v>
          </cell>
          <cell r="G3645">
            <v>0</v>
          </cell>
          <cell r="H3645">
            <v>0</v>
          </cell>
          <cell r="I3645" t="str">
            <v>Others</v>
          </cell>
          <cell r="J3645">
            <v>3</v>
          </cell>
          <cell r="K3645" t="str">
            <v>Others</v>
          </cell>
        </row>
        <row r="3646">
          <cell r="D3646">
            <v>711510</v>
          </cell>
          <cell r="E3646" t="str">
            <v>Metal; catalysts in the form of wire cloth or grill, of platinum</v>
          </cell>
          <cell r="F3646">
            <v>0</v>
          </cell>
          <cell r="G3646">
            <v>0</v>
          </cell>
          <cell r="H3646">
            <v>0</v>
          </cell>
          <cell r="I3646" t="str">
            <v>Consumables</v>
          </cell>
          <cell r="J3646">
            <v>3</v>
          </cell>
          <cell r="K3646" t="str">
            <v>Consumables - rc</v>
          </cell>
        </row>
        <row r="3647">
          <cell r="D3647">
            <v>711590</v>
          </cell>
          <cell r="E3647" t="str">
            <v>Metal; precious or metal clad with precious metal, other than that of item no. 7115.10</v>
          </cell>
          <cell r="F3647">
            <v>0</v>
          </cell>
          <cell r="G3647">
            <v>0</v>
          </cell>
          <cell r="H3647">
            <v>0</v>
          </cell>
          <cell r="I3647" t="str">
            <v>Consumables</v>
          </cell>
          <cell r="J3647">
            <v>3</v>
          </cell>
          <cell r="K3647" t="str">
            <v>Consumables - rc</v>
          </cell>
        </row>
        <row r="3648">
          <cell r="D3648">
            <v>711610</v>
          </cell>
          <cell r="E3648" t="str">
            <v>Pearls; articles of natural or cultured pearls</v>
          </cell>
          <cell r="F3648">
            <v>0</v>
          </cell>
          <cell r="G3648">
            <v>0</v>
          </cell>
          <cell r="H3648">
            <v>0</v>
          </cell>
          <cell r="I3648" t="str">
            <v>Others</v>
          </cell>
          <cell r="J3648">
            <v>3</v>
          </cell>
          <cell r="K3648" t="str">
            <v>Others</v>
          </cell>
        </row>
        <row r="3649">
          <cell r="D3649">
            <v>711620</v>
          </cell>
          <cell r="E3649" t="str">
            <v>Stones; precious or semi-precious stones (natural, synthetic or reconstructed) articles of</v>
          </cell>
          <cell r="F3649">
            <v>0</v>
          </cell>
          <cell r="G3649">
            <v>0</v>
          </cell>
          <cell r="H3649">
            <v>0</v>
          </cell>
          <cell r="I3649" t="str">
            <v>Others</v>
          </cell>
          <cell r="J3649">
            <v>3</v>
          </cell>
          <cell r="K3649" t="str">
            <v>Others</v>
          </cell>
        </row>
        <row r="3650">
          <cell r="D3650">
            <v>711711</v>
          </cell>
          <cell r="E3650" t="str">
            <v>Jewellery; imitation, cuff links and studs, of base metal, whether or not plated with precious metal</v>
          </cell>
          <cell r="F3650">
            <v>0</v>
          </cell>
          <cell r="G3650">
            <v>0</v>
          </cell>
          <cell r="H3650">
            <v>0</v>
          </cell>
          <cell r="I3650" t="str">
            <v>Others</v>
          </cell>
          <cell r="J3650">
            <v>3</v>
          </cell>
          <cell r="K3650" t="str">
            <v>Others</v>
          </cell>
        </row>
        <row r="3651">
          <cell r="D3651">
            <v>711719</v>
          </cell>
          <cell r="E3651" t="str">
            <v>Jewellery; imitation, (excluding cuff links and studs), of base metal, whether or not plated with precious metal</v>
          </cell>
          <cell r="F3651">
            <v>0</v>
          </cell>
          <cell r="G3651">
            <v>0</v>
          </cell>
          <cell r="H3651">
            <v>0</v>
          </cell>
          <cell r="I3651" t="str">
            <v>Others</v>
          </cell>
          <cell r="J3651">
            <v>3</v>
          </cell>
          <cell r="K3651" t="str">
            <v>Others</v>
          </cell>
        </row>
        <row r="3652">
          <cell r="D3652">
            <v>711790</v>
          </cell>
          <cell r="E3652" t="str">
            <v>Jewellery; imitation, of other than base metal, whether or not plated with precious metal</v>
          </cell>
          <cell r="F3652">
            <v>0</v>
          </cell>
          <cell r="G3652">
            <v>0</v>
          </cell>
          <cell r="H3652">
            <v>0</v>
          </cell>
          <cell r="I3652" t="str">
            <v>Others</v>
          </cell>
          <cell r="J3652">
            <v>3</v>
          </cell>
          <cell r="K3652" t="str">
            <v>Others</v>
          </cell>
        </row>
        <row r="3653">
          <cell r="D3653">
            <v>711810</v>
          </cell>
          <cell r="E3653" t="str">
            <v>Coin (other than gold coin), not being legal tender</v>
          </cell>
          <cell r="F3653">
            <v>0</v>
          </cell>
          <cell r="G3653">
            <v>0</v>
          </cell>
          <cell r="H3653">
            <v>0</v>
          </cell>
          <cell r="I3653" t="str">
            <v>Others</v>
          </cell>
          <cell r="J3653">
            <v>3</v>
          </cell>
          <cell r="K3653" t="str">
            <v>Others</v>
          </cell>
        </row>
        <row r="3654">
          <cell r="D3654">
            <v>720110</v>
          </cell>
          <cell r="E3654" t="str">
            <v>Iron; non-alloy pig iron containing by weight 0.5% or less of phosphorus, in pigs, blocks or other primary forms</v>
          </cell>
          <cell r="F3654">
            <v>0</v>
          </cell>
          <cell r="G3654">
            <v>0</v>
          </cell>
          <cell r="H3654">
            <v>0</v>
          </cell>
          <cell r="I3654" t="str">
            <v>Others</v>
          </cell>
          <cell r="J3654">
            <v>3</v>
          </cell>
          <cell r="K3654" t="str">
            <v>Others</v>
          </cell>
        </row>
        <row r="3655">
          <cell r="D3655">
            <v>720120</v>
          </cell>
          <cell r="E3655" t="str">
            <v>Iron; non-alloy pig iron containing by weight more than 0.5% of phosphorus, in pigs, blocks or other primary forms</v>
          </cell>
          <cell r="F3655">
            <v>0</v>
          </cell>
          <cell r="G3655">
            <v>0</v>
          </cell>
          <cell r="H3655">
            <v>0</v>
          </cell>
          <cell r="I3655" t="str">
            <v>Others</v>
          </cell>
          <cell r="J3655">
            <v>3</v>
          </cell>
          <cell r="K3655" t="str">
            <v>Others</v>
          </cell>
        </row>
        <row r="3656">
          <cell r="D3656">
            <v>720150</v>
          </cell>
          <cell r="E3656" t="str">
            <v>Iron; alloy pig iron; spiegeleisen, in pigs, blocks or other primary forms</v>
          </cell>
          <cell r="F3656">
            <v>0</v>
          </cell>
          <cell r="G3656">
            <v>0</v>
          </cell>
          <cell r="H3656">
            <v>0</v>
          </cell>
          <cell r="I3656" t="str">
            <v>Others</v>
          </cell>
          <cell r="J3656">
            <v>3</v>
          </cell>
          <cell r="K3656" t="str">
            <v>Others</v>
          </cell>
        </row>
        <row r="3657">
          <cell r="D3657">
            <v>720211</v>
          </cell>
          <cell r="E3657" t="str">
            <v>Ferro-alloys; ferro-manganese, containing by weight more than 2% of carbon</v>
          </cell>
          <cell r="F3657">
            <v>0</v>
          </cell>
          <cell r="G3657">
            <v>0</v>
          </cell>
          <cell r="H3657">
            <v>0</v>
          </cell>
          <cell r="I3657" t="str">
            <v>Others</v>
          </cell>
          <cell r="J3657">
            <v>3</v>
          </cell>
          <cell r="K3657" t="str">
            <v>Others</v>
          </cell>
        </row>
        <row r="3658">
          <cell r="D3658">
            <v>720219</v>
          </cell>
          <cell r="E3658" t="str">
            <v>Ferro-alloys; ferro-manganese, containing by weight 2% or less of carbon</v>
          </cell>
          <cell r="F3658">
            <v>0</v>
          </cell>
          <cell r="G3658">
            <v>0</v>
          </cell>
          <cell r="H3658">
            <v>0</v>
          </cell>
          <cell r="I3658" t="str">
            <v>Others</v>
          </cell>
          <cell r="J3658">
            <v>3</v>
          </cell>
          <cell r="K3658" t="str">
            <v>Others</v>
          </cell>
        </row>
        <row r="3659">
          <cell r="D3659">
            <v>720221</v>
          </cell>
          <cell r="E3659" t="str">
            <v>Ferro-alloys; ferro-silicon, containing by weight more than 55% of silicon</v>
          </cell>
          <cell r="F3659">
            <v>0</v>
          </cell>
          <cell r="G3659">
            <v>0</v>
          </cell>
          <cell r="H3659">
            <v>0</v>
          </cell>
          <cell r="I3659" t="str">
            <v>Others</v>
          </cell>
          <cell r="J3659">
            <v>3</v>
          </cell>
          <cell r="K3659" t="str">
            <v>Others</v>
          </cell>
        </row>
        <row r="3660">
          <cell r="D3660">
            <v>720229</v>
          </cell>
          <cell r="E3660" t="str">
            <v>Ferro-alloys; ferro-silicon, containing by weight 55% or less of silicon</v>
          </cell>
          <cell r="F3660">
            <v>0</v>
          </cell>
          <cell r="G3660">
            <v>0</v>
          </cell>
          <cell r="H3660">
            <v>0</v>
          </cell>
          <cell r="I3660" t="str">
            <v>Others</v>
          </cell>
          <cell r="J3660">
            <v>3</v>
          </cell>
          <cell r="K3660" t="str">
            <v>Others</v>
          </cell>
        </row>
        <row r="3661">
          <cell r="D3661">
            <v>720230</v>
          </cell>
          <cell r="E3661" t="str">
            <v>Ferro-alloys; ferro-silico-manganese</v>
          </cell>
          <cell r="F3661">
            <v>0</v>
          </cell>
          <cell r="G3661">
            <v>0</v>
          </cell>
          <cell r="H3661">
            <v>0</v>
          </cell>
          <cell r="I3661" t="str">
            <v>Others</v>
          </cell>
          <cell r="J3661">
            <v>3</v>
          </cell>
          <cell r="K3661" t="str">
            <v>Others</v>
          </cell>
        </row>
        <row r="3662">
          <cell r="D3662">
            <v>720241</v>
          </cell>
          <cell r="E3662" t="str">
            <v>Ferro-alloys; ferro-chromium, containing by weight more than 4% of carbon</v>
          </cell>
          <cell r="F3662">
            <v>0</v>
          </cell>
          <cell r="G3662">
            <v>0</v>
          </cell>
          <cell r="H3662">
            <v>0</v>
          </cell>
          <cell r="I3662" t="str">
            <v>Others</v>
          </cell>
          <cell r="J3662">
            <v>3</v>
          </cell>
          <cell r="K3662" t="str">
            <v>Others</v>
          </cell>
        </row>
        <row r="3663">
          <cell r="D3663">
            <v>720249</v>
          </cell>
          <cell r="E3663" t="str">
            <v>Ferro-alloys; ferro-chromium, containing by weight 4% or less of carbon</v>
          </cell>
          <cell r="F3663">
            <v>0</v>
          </cell>
          <cell r="G3663">
            <v>0</v>
          </cell>
          <cell r="H3663">
            <v>0</v>
          </cell>
          <cell r="I3663" t="str">
            <v>Others</v>
          </cell>
          <cell r="J3663">
            <v>3</v>
          </cell>
          <cell r="K3663" t="str">
            <v>Others</v>
          </cell>
        </row>
        <row r="3664">
          <cell r="D3664">
            <v>720250</v>
          </cell>
          <cell r="E3664" t="str">
            <v>Ferro-alloys; ferro-silico-chromium</v>
          </cell>
          <cell r="F3664">
            <v>0</v>
          </cell>
          <cell r="G3664">
            <v>0</v>
          </cell>
          <cell r="H3664">
            <v>0</v>
          </cell>
          <cell r="I3664" t="str">
            <v>Others</v>
          </cell>
          <cell r="J3664">
            <v>3</v>
          </cell>
          <cell r="K3664" t="str">
            <v>Others</v>
          </cell>
        </row>
        <row r="3665">
          <cell r="D3665">
            <v>720260</v>
          </cell>
          <cell r="E3665" t="str">
            <v>Ferro-alloys; ferro-nickel</v>
          </cell>
          <cell r="F3665">
            <v>0</v>
          </cell>
          <cell r="G3665">
            <v>0</v>
          </cell>
          <cell r="H3665">
            <v>0</v>
          </cell>
          <cell r="I3665" t="str">
            <v>Others</v>
          </cell>
          <cell r="J3665">
            <v>3</v>
          </cell>
          <cell r="K3665" t="str">
            <v>Others</v>
          </cell>
        </row>
        <row r="3666">
          <cell r="D3666">
            <v>720270</v>
          </cell>
          <cell r="E3666" t="str">
            <v>Ferro-alloys; ferro-molybdenum</v>
          </cell>
          <cell r="F3666">
            <v>0</v>
          </cell>
          <cell r="G3666">
            <v>0</v>
          </cell>
          <cell r="H3666">
            <v>0</v>
          </cell>
          <cell r="I3666" t="str">
            <v>Others</v>
          </cell>
          <cell r="J3666">
            <v>3</v>
          </cell>
          <cell r="K3666" t="str">
            <v>Others</v>
          </cell>
        </row>
        <row r="3667">
          <cell r="D3667">
            <v>720280</v>
          </cell>
          <cell r="E3667" t="str">
            <v>Ferro-alloys; ferro-tungsten and ferro-silico-tungsten</v>
          </cell>
          <cell r="F3667">
            <v>0</v>
          </cell>
          <cell r="G3667">
            <v>0</v>
          </cell>
          <cell r="H3667">
            <v>0</v>
          </cell>
          <cell r="I3667" t="str">
            <v>Others</v>
          </cell>
          <cell r="J3667">
            <v>3</v>
          </cell>
          <cell r="K3667" t="str">
            <v>Others</v>
          </cell>
        </row>
        <row r="3668">
          <cell r="D3668">
            <v>720291</v>
          </cell>
          <cell r="E3668" t="str">
            <v>Ferro-alloys; ferro-titanium and ferro-silico-titanium</v>
          </cell>
          <cell r="F3668">
            <v>0</v>
          </cell>
          <cell r="G3668">
            <v>0</v>
          </cell>
          <cell r="H3668">
            <v>0</v>
          </cell>
          <cell r="I3668" t="str">
            <v>Others</v>
          </cell>
          <cell r="J3668">
            <v>3</v>
          </cell>
          <cell r="K3668" t="str">
            <v>Others</v>
          </cell>
        </row>
        <row r="3669">
          <cell r="D3669">
            <v>720292</v>
          </cell>
          <cell r="E3669" t="str">
            <v>Ferro-alloys; ferro-vanadium</v>
          </cell>
          <cell r="F3669">
            <v>0</v>
          </cell>
          <cell r="G3669">
            <v>0</v>
          </cell>
          <cell r="H3669">
            <v>0</v>
          </cell>
          <cell r="I3669" t="str">
            <v>Others</v>
          </cell>
          <cell r="J3669">
            <v>3</v>
          </cell>
          <cell r="K3669" t="str">
            <v>Others</v>
          </cell>
        </row>
        <row r="3670">
          <cell r="D3670">
            <v>720293</v>
          </cell>
          <cell r="E3670" t="str">
            <v>Ferro-alloys; ferro-niobium</v>
          </cell>
          <cell r="F3670">
            <v>0</v>
          </cell>
          <cell r="G3670">
            <v>0</v>
          </cell>
          <cell r="H3670">
            <v>0</v>
          </cell>
          <cell r="I3670" t="str">
            <v>Others</v>
          </cell>
          <cell r="J3670">
            <v>3</v>
          </cell>
          <cell r="K3670" t="str">
            <v>Others</v>
          </cell>
        </row>
        <row r="3671">
          <cell r="D3671">
            <v>720299</v>
          </cell>
          <cell r="E3671" t="str">
            <v>Ferro-alloys; n.e.c. in heading no. 7202</v>
          </cell>
          <cell r="F3671">
            <v>0</v>
          </cell>
          <cell r="G3671">
            <v>0</v>
          </cell>
          <cell r="H3671">
            <v>0</v>
          </cell>
          <cell r="I3671" t="str">
            <v>Others</v>
          </cell>
          <cell r="J3671">
            <v>3</v>
          </cell>
          <cell r="K3671" t="str">
            <v>Others</v>
          </cell>
        </row>
        <row r="3672">
          <cell r="D3672">
            <v>720310</v>
          </cell>
          <cell r="E3672" t="str">
            <v>Ferrous products; obtained by direct reduction of iron ore, in lumps, pellets or similar forms</v>
          </cell>
          <cell r="F3672">
            <v>0</v>
          </cell>
          <cell r="G3672">
            <v>0</v>
          </cell>
          <cell r="H3672">
            <v>0</v>
          </cell>
          <cell r="I3672" t="str">
            <v>Others</v>
          </cell>
          <cell r="J3672">
            <v>3</v>
          </cell>
          <cell r="K3672" t="str">
            <v>Others</v>
          </cell>
        </row>
        <row r="3673">
          <cell r="D3673">
            <v>720390</v>
          </cell>
          <cell r="E3673" t="str">
            <v>Ferrous products; spongy ferrous products and iron having a minimum purity by weight of 99.94%, in lumps, pellets or similar forms</v>
          </cell>
          <cell r="F3673">
            <v>0</v>
          </cell>
          <cell r="G3673">
            <v>0</v>
          </cell>
          <cell r="H3673">
            <v>0</v>
          </cell>
          <cell r="I3673" t="str">
            <v>Others</v>
          </cell>
          <cell r="J3673">
            <v>3</v>
          </cell>
          <cell r="K3673" t="str">
            <v>Others</v>
          </cell>
        </row>
        <row r="3674">
          <cell r="D3674">
            <v>720410</v>
          </cell>
          <cell r="E3674" t="str">
            <v>Ferrous waste and scrap; of cast iron</v>
          </cell>
          <cell r="F3674">
            <v>0</v>
          </cell>
          <cell r="G3674">
            <v>0</v>
          </cell>
          <cell r="H3674">
            <v>0</v>
          </cell>
          <cell r="I3674" t="str">
            <v>Others</v>
          </cell>
          <cell r="J3674">
            <v>3</v>
          </cell>
          <cell r="K3674" t="str">
            <v>Others</v>
          </cell>
        </row>
        <row r="3675">
          <cell r="D3675">
            <v>720421</v>
          </cell>
          <cell r="E3675" t="str">
            <v>Ferrous waste and scrap; of stainless steel</v>
          </cell>
          <cell r="F3675">
            <v>0</v>
          </cell>
          <cell r="G3675">
            <v>0</v>
          </cell>
          <cell r="H3675">
            <v>0</v>
          </cell>
          <cell r="I3675" t="str">
            <v>Others</v>
          </cell>
          <cell r="J3675">
            <v>3</v>
          </cell>
          <cell r="K3675" t="str">
            <v>Others</v>
          </cell>
        </row>
        <row r="3676">
          <cell r="D3676">
            <v>720429</v>
          </cell>
          <cell r="E3676" t="str">
            <v>Ferrous waste and scrap; of alloy steel (excluding stainless)</v>
          </cell>
          <cell r="F3676">
            <v>0</v>
          </cell>
          <cell r="G3676">
            <v>0</v>
          </cell>
          <cell r="H3676">
            <v>0</v>
          </cell>
          <cell r="I3676" t="str">
            <v>Others</v>
          </cell>
          <cell r="J3676">
            <v>3</v>
          </cell>
          <cell r="K3676" t="str">
            <v>Others</v>
          </cell>
        </row>
        <row r="3677">
          <cell r="D3677">
            <v>720430</v>
          </cell>
          <cell r="E3677" t="str">
            <v>Ferrous waste and scrap; of tinned iron or steel</v>
          </cell>
          <cell r="F3677">
            <v>0</v>
          </cell>
          <cell r="G3677">
            <v>0</v>
          </cell>
          <cell r="H3677">
            <v>0</v>
          </cell>
          <cell r="I3677" t="str">
            <v>Others</v>
          </cell>
          <cell r="J3677">
            <v>3</v>
          </cell>
          <cell r="K3677" t="str">
            <v>Others</v>
          </cell>
        </row>
        <row r="3678">
          <cell r="D3678">
            <v>720441</v>
          </cell>
          <cell r="E3678" t="str">
            <v>Ferrous waste and scrap; turnings, shavings, chips, milling waste, sawdust, filings, trimmings and stampings, whether or not in bundles</v>
          </cell>
          <cell r="F3678">
            <v>0</v>
          </cell>
          <cell r="G3678">
            <v>0</v>
          </cell>
          <cell r="H3678">
            <v>0</v>
          </cell>
          <cell r="I3678" t="str">
            <v>Others</v>
          </cell>
          <cell r="J3678">
            <v>3</v>
          </cell>
          <cell r="K3678" t="str">
            <v>Others</v>
          </cell>
        </row>
        <row r="3679">
          <cell r="D3679">
            <v>720449</v>
          </cell>
          <cell r="E3679" t="str">
            <v>Ferrous waste and scrap; n.e.c. in heading no. 7204</v>
          </cell>
          <cell r="F3679">
            <v>0</v>
          </cell>
          <cell r="G3679">
            <v>0</v>
          </cell>
          <cell r="H3679">
            <v>0</v>
          </cell>
          <cell r="I3679" t="str">
            <v>Others</v>
          </cell>
          <cell r="J3679">
            <v>3</v>
          </cell>
          <cell r="K3679" t="str">
            <v>Others</v>
          </cell>
        </row>
        <row r="3680">
          <cell r="D3680">
            <v>720450</v>
          </cell>
          <cell r="E3680" t="str">
            <v>Ferrous products; remelting scrap ingots</v>
          </cell>
          <cell r="F3680">
            <v>0</v>
          </cell>
          <cell r="G3680">
            <v>0</v>
          </cell>
          <cell r="H3680">
            <v>0</v>
          </cell>
          <cell r="I3680" t="str">
            <v>Others</v>
          </cell>
          <cell r="J3680">
            <v>3</v>
          </cell>
          <cell r="K3680" t="str">
            <v>Others</v>
          </cell>
        </row>
        <row r="3681">
          <cell r="D3681">
            <v>720510</v>
          </cell>
          <cell r="E3681" t="str">
            <v>Iron or steel, pig iron, spiegeleisen; granules thereof</v>
          </cell>
          <cell r="F3681">
            <v>0</v>
          </cell>
          <cell r="G3681">
            <v>0</v>
          </cell>
          <cell r="H3681">
            <v>0</v>
          </cell>
          <cell r="I3681" t="str">
            <v>Others</v>
          </cell>
          <cell r="J3681">
            <v>3</v>
          </cell>
          <cell r="K3681" t="str">
            <v>Others</v>
          </cell>
        </row>
        <row r="3682">
          <cell r="D3682">
            <v>720521</v>
          </cell>
          <cell r="E3682" t="str">
            <v>Alloy steel powders</v>
          </cell>
          <cell r="F3682">
            <v>0</v>
          </cell>
          <cell r="G3682">
            <v>0</v>
          </cell>
          <cell r="H3682">
            <v>0</v>
          </cell>
          <cell r="I3682" t="str">
            <v>Others</v>
          </cell>
          <cell r="J3682">
            <v>3</v>
          </cell>
          <cell r="K3682" t="str">
            <v>Others</v>
          </cell>
        </row>
        <row r="3683">
          <cell r="D3683">
            <v>720529</v>
          </cell>
          <cell r="E3683" t="str">
            <v>Iron or steel, pig iron, spiegeleisen; powders (excluding alloy steel)</v>
          </cell>
          <cell r="F3683">
            <v>0</v>
          </cell>
          <cell r="G3683">
            <v>0</v>
          </cell>
          <cell r="H3683">
            <v>0</v>
          </cell>
          <cell r="I3683" t="str">
            <v>Others</v>
          </cell>
          <cell r="J3683">
            <v>3</v>
          </cell>
          <cell r="K3683" t="str">
            <v>Others</v>
          </cell>
        </row>
        <row r="3684">
          <cell r="D3684">
            <v>720610</v>
          </cell>
          <cell r="E3684" t="str">
            <v>Iron or non-alloy steel; ingots (excluding iron of heading no. 7203)</v>
          </cell>
          <cell r="F3684">
            <v>0</v>
          </cell>
          <cell r="G3684">
            <v>0</v>
          </cell>
          <cell r="H3684">
            <v>0</v>
          </cell>
          <cell r="I3684" t="str">
            <v>Others</v>
          </cell>
          <cell r="J3684">
            <v>3</v>
          </cell>
          <cell r="K3684" t="str">
            <v>Others</v>
          </cell>
        </row>
        <row r="3685">
          <cell r="D3685">
            <v>720690</v>
          </cell>
          <cell r="E3685" t="str">
            <v>Iron or non-alloy steel; primary forms (excluding ingots and iron of heading no. 7203)</v>
          </cell>
          <cell r="F3685" t="str">
            <v>Consumables</v>
          </cell>
          <cell r="G3685">
            <v>0</v>
          </cell>
          <cell r="H3685">
            <v>0</v>
          </cell>
          <cell r="I3685" t="str">
            <v>Others</v>
          </cell>
          <cell r="J3685">
            <v>2</v>
          </cell>
          <cell r="K3685" t="str">
            <v>Consumables - rc</v>
          </cell>
        </row>
        <row r="3686">
          <cell r="D3686">
            <v>720711</v>
          </cell>
          <cell r="E3686" t="str">
            <v>Iron or non-alloy steel; semi-finished products of iron or non-alloy steel; containing by weight less than 0.25% of carbon, of rectangular (including square) cross-section, width less than twice thickness</v>
          </cell>
          <cell r="F3686">
            <v>0</v>
          </cell>
          <cell r="G3686">
            <v>0</v>
          </cell>
          <cell r="H3686">
            <v>0</v>
          </cell>
          <cell r="I3686" t="str">
            <v>Others</v>
          </cell>
          <cell r="J3686">
            <v>3</v>
          </cell>
          <cell r="K3686" t="str">
            <v>Others</v>
          </cell>
        </row>
        <row r="3687">
          <cell r="D3687">
            <v>720712</v>
          </cell>
          <cell r="E3687" t="str">
            <v>Iron or non-alloy steel; semi-finished products of iron or non-alloy steel; containing by weight less than 0.25% of carbon, of rectangular (other than square) cross-section</v>
          </cell>
          <cell r="F3687">
            <v>0</v>
          </cell>
          <cell r="G3687">
            <v>0</v>
          </cell>
          <cell r="H3687">
            <v>0</v>
          </cell>
          <cell r="I3687" t="str">
            <v>Others</v>
          </cell>
          <cell r="J3687">
            <v>3</v>
          </cell>
          <cell r="K3687" t="str">
            <v>Others</v>
          </cell>
        </row>
        <row r="3688">
          <cell r="D3688">
            <v>720719</v>
          </cell>
          <cell r="E3688" t="str">
            <v>Iron or non-alloy steel; semi-finished products of iron or non-alloy steel, containing by weight less than 0.25% of carbon, other than rectangular or square cross-section</v>
          </cell>
          <cell r="F3688">
            <v>0</v>
          </cell>
          <cell r="G3688">
            <v>0</v>
          </cell>
          <cell r="H3688">
            <v>0</v>
          </cell>
          <cell r="I3688" t="str">
            <v>Others</v>
          </cell>
          <cell r="J3688">
            <v>3</v>
          </cell>
          <cell r="K3688" t="str">
            <v>Others</v>
          </cell>
        </row>
        <row r="3689">
          <cell r="D3689">
            <v>720720</v>
          </cell>
          <cell r="E3689" t="str">
            <v>Iron or non-alloy steel; semi-finished products of iron or non-alloy steel, containing by weight 0.25% or more of carbon</v>
          </cell>
          <cell r="F3689">
            <v>0</v>
          </cell>
          <cell r="G3689">
            <v>0</v>
          </cell>
          <cell r="H3689">
            <v>0</v>
          </cell>
          <cell r="I3689" t="str">
            <v>Others</v>
          </cell>
          <cell r="J3689">
            <v>3</v>
          </cell>
          <cell r="K3689" t="str">
            <v>Others</v>
          </cell>
        </row>
        <row r="3690">
          <cell r="D3690">
            <v>720810</v>
          </cell>
          <cell r="E3690" t="str">
            <v>Iron or non-alloy steel; in coils, flat-rolled, of a width 600mm or more, hot-rolled, with patterns in relief</v>
          </cell>
          <cell r="F3690">
            <v>0</v>
          </cell>
          <cell r="G3690">
            <v>0</v>
          </cell>
          <cell r="H3690">
            <v>0</v>
          </cell>
          <cell r="I3690" t="str">
            <v>Others</v>
          </cell>
          <cell r="J3690">
            <v>3</v>
          </cell>
          <cell r="K3690" t="str">
            <v>Others</v>
          </cell>
        </row>
        <row r="3691">
          <cell r="D3691">
            <v>720825</v>
          </cell>
          <cell r="E3691" t="str">
            <v>Iron or non-alloy steel; in coils, without patterns in relief, flat-rolled, of a width 600mm or more, hot-rolled, pickled, of a thickness of 4.75mm or more</v>
          </cell>
          <cell r="F3691">
            <v>0</v>
          </cell>
          <cell r="G3691">
            <v>0</v>
          </cell>
          <cell r="H3691">
            <v>0</v>
          </cell>
          <cell r="I3691" t="str">
            <v>Others</v>
          </cell>
          <cell r="J3691">
            <v>3</v>
          </cell>
          <cell r="K3691" t="str">
            <v>Others</v>
          </cell>
        </row>
        <row r="3692">
          <cell r="D3692">
            <v>720826</v>
          </cell>
          <cell r="E3692" t="str">
            <v>Iron or non-alloy steel; in coils, without patterns in relief, flat-rolled, of a width 600mm or more, hot-rolled, pickled, of a thickness of 3mm or more but less than 4.75mm</v>
          </cell>
          <cell r="F3692">
            <v>0</v>
          </cell>
          <cell r="G3692">
            <v>0</v>
          </cell>
          <cell r="H3692">
            <v>0</v>
          </cell>
          <cell r="I3692" t="str">
            <v>Others</v>
          </cell>
          <cell r="J3692">
            <v>3</v>
          </cell>
          <cell r="K3692" t="str">
            <v>Others</v>
          </cell>
        </row>
        <row r="3693">
          <cell r="D3693">
            <v>720827</v>
          </cell>
          <cell r="E3693" t="str">
            <v>Iron or non-alloy steel; in coils, without patterns in relief, flat-rolled, of a width 600mm or more, hot-rolled, pickled, of a thickness of less than 3mm</v>
          </cell>
          <cell r="F3693">
            <v>0</v>
          </cell>
          <cell r="G3693">
            <v>0</v>
          </cell>
          <cell r="H3693">
            <v>0</v>
          </cell>
          <cell r="I3693" t="str">
            <v>Others</v>
          </cell>
          <cell r="J3693">
            <v>3</v>
          </cell>
          <cell r="K3693" t="str">
            <v>Others</v>
          </cell>
        </row>
        <row r="3694">
          <cell r="D3694">
            <v>720836</v>
          </cell>
          <cell r="E3694" t="str">
            <v>Iron or non-alloy steel; in coils, without patterns in relief, flat-rolled, of a width 600mm or more, hot-rolled, of a thickness exceeding 10mm</v>
          </cell>
          <cell r="F3694">
            <v>0</v>
          </cell>
          <cell r="G3694">
            <v>0</v>
          </cell>
          <cell r="H3694">
            <v>0</v>
          </cell>
          <cell r="I3694" t="str">
            <v>Others</v>
          </cell>
          <cell r="J3694">
            <v>3</v>
          </cell>
          <cell r="K3694" t="str">
            <v>Others</v>
          </cell>
        </row>
        <row r="3695">
          <cell r="D3695">
            <v>720837</v>
          </cell>
          <cell r="E3695" t="str">
            <v>Iron or non-alloy steel; in coils, without patterns in relief, flat-rolled, of a width 600mm or more, hot-rolled, of a thickness of 4.75mm or more but not exceeding 10mm</v>
          </cell>
          <cell r="F3695">
            <v>0</v>
          </cell>
          <cell r="G3695">
            <v>0</v>
          </cell>
          <cell r="H3695">
            <v>0</v>
          </cell>
          <cell r="I3695" t="str">
            <v>Others</v>
          </cell>
          <cell r="J3695">
            <v>3</v>
          </cell>
          <cell r="K3695" t="str">
            <v>Others</v>
          </cell>
        </row>
        <row r="3696">
          <cell r="D3696">
            <v>720838</v>
          </cell>
          <cell r="E3696" t="str">
            <v>Iron or non-alloy steel; in coils, without patterns in relief, flat-rolled, of a width 600mm or more, hot-rolled, of a thickness of 3mm or more but less than 4.75mm</v>
          </cell>
          <cell r="F3696">
            <v>0</v>
          </cell>
          <cell r="G3696">
            <v>0</v>
          </cell>
          <cell r="H3696">
            <v>0</v>
          </cell>
          <cell r="I3696" t="str">
            <v>Others</v>
          </cell>
          <cell r="J3696">
            <v>3</v>
          </cell>
          <cell r="K3696" t="str">
            <v>Others</v>
          </cell>
        </row>
        <row r="3697">
          <cell r="D3697">
            <v>720839</v>
          </cell>
          <cell r="E3697" t="str">
            <v>Iron or non-alloy steel; in coils, without patterns in relief, flat-rolled, of a width 600mm or more, hot-rolled, of a thickness of less than 3mm</v>
          </cell>
          <cell r="F3697">
            <v>0</v>
          </cell>
          <cell r="G3697">
            <v>0</v>
          </cell>
          <cell r="H3697">
            <v>0</v>
          </cell>
          <cell r="I3697" t="str">
            <v>Others</v>
          </cell>
          <cell r="J3697">
            <v>3</v>
          </cell>
          <cell r="K3697" t="str">
            <v>Others</v>
          </cell>
        </row>
        <row r="3698">
          <cell r="D3698">
            <v>720840</v>
          </cell>
          <cell r="E3698" t="str">
            <v>Iron or non-alloy steel; (not in coils), flat-rolled, of a width 600mm or more, hot-rolled, with patterns in relief</v>
          </cell>
          <cell r="F3698">
            <v>0</v>
          </cell>
          <cell r="G3698">
            <v>0</v>
          </cell>
          <cell r="H3698">
            <v>0</v>
          </cell>
          <cell r="I3698" t="str">
            <v>Others</v>
          </cell>
          <cell r="J3698">
            <v>3</v>
          </cell>
          <cell r="K3698" t="str">
            <v>Others</v>
          </cell>
        </row>
        <row r="3699">
          <cell r="D3699">
            <v>720851</v>
          </cell>
          <cell r="E3699" t="str">
            <v>Iron or non-alloy steel; (not in coils), flat-rolled, of a width 600mm or more, hot-rolled, without patterns in relief, of a thickness exceeding 10mm</v>
          </cell>
          <cell r="F3699" t="str">
            <v>Consumables</v>
          </cell>
          <cell r="G3699">
            <v>0</v>
          </cell>
          <cell r="H3699">
            <v>0</v>
          </cell>
          <cell r="I3699" t="str">
            <v>Others</v>
          </cell>
          <cell r="J3699">
            <v>2</v>
          </cell>
          <cell r="K3699" t="str">
            <v>Consumables - rc</v>
          </cell>
        </row>
        <row r="3700">
          <cell r="D3700">
            <v>720852</v>
          </cell>
          <cell r="E3700" t="str">
            <v>Iron or non-alloy steel; (not in coils), flat-rolled, of a width 600mm or more, hot-rolled, without patterns in relief, of a thickness of 4.75mm or more but not exceeding 10mm</v>
          </cell>
          <cell r="F3700">
            <v>0</v>
          </cell>
          <cell r="G3700">
            <v>0</v>
          </cell>
          <cell r="H3700">
            <v>0</v>
          </cell>
          <cell r="I3700" t="str">
            <v>Others</v>
          </cell>
          <cell r="J3700">
            <v>3</v>
          </cell>
          <cell r="K3700" t="str">
            <v>Others</v>
          </cell>
        </row>
        <row r="3701">
          <cell r="D3701">
            <v>720853</v>
          </cell>
          <cell r="E3701" t="str">
            <v>Iron or non-alloy steel; (not in coils), flat-rolled, of a width 600mm or more, hot-rolled, without patterns in relief, of a thickness of 3mm or more but less than 4.75mm</v>
          </cell>
          <cell r="F3701">
            <v>0</v>
          </cell>
          <cell r="G3701">
            <v>0</v>
          </cell>
          <cell r="H3701">
            <v>0</v>
          </cell>
          <cell r="I3701" t="str">
            <v>Others</v>
          </cell>
          <cell r="J3701">
            <v>3</v>
          </cell>
          <cell r="K3701" t="str">
            <v>Others</v>
          </cell>
        </row>
        <row r="3702">
          <cell r="D3702">
            <v>720854</v>
          </cell>
          <cell r="E3702" t="str">
            <v>Iron or non-alloy steel; (not in coils), flat-rolled, of a width 600mm or more, hot-rolled, without patterns in relief, of a thickness of less than 3mm</v>
          </cell>
          <cell r="F3702">
            <v>0</v>
          </cell>
          <cell r="G3702">
            <v>0</v>
          </cell>
          <cell r="H3702">
            <v>0</v>
          </cell>
          <cell r="I3702" t="str">
            <v>Others</v>
          </cell>
          <cell r="J3702">
            <v>3</v>
          </cell>
          <cell r="K3702" t="str">
            <v>Others</v>
          </cell>
        </row>
        <row r="3703">
          <cell r="D3703">
            <v>720890</v>
          </cell>
          <cell r="E3703" t="str">
            <v>Iron or non-alloy steel; flat-rolled, hot-rolled, of a width 600mm or more, n.e.c. in heading no. 7208</v>
          </cell>
          <cell r="F3703">
            <v>0</v>
          </cell>
          <cell r="G3703">
            <v>0</v>
          </cell>
          <cell r="H3703">
            <v>0</v>
          </cell>
          <cell r="I3703" t="str">
            <v>Others</v>
          </cell>
          <cell r="J3703">
            <v>3</v>
          </cell>
          <cell r="K3703" t="str">
            <v>Others</v>
          </cell>
        </row>
        <row r="3704">
          <cell r="D3704">
            <v>720915</v>
          </cell>
          <cell r="E3704" t="str">
            <v>Iron or non-alloy steel; in coils, flat-rolled, width 600mm or more, cold-rolled, of a thickness of 3mm or more</v>
          </cell>
          <cell r="F3704">
            <v>0</v>
          </cell>
          <cell r="G3704">
            <v>0</v>
          </cell>
          <cell r="H3704">
            <v>0</v>
          </cell>
          <cell r="I3704" t="str">
            <v>Others</v>
          </cell>
          <cell r="J3704">
            <v>3</v>
          </cell>
          <cell r="K3704" t="str">
            <v>Others</v>
          </cell>
        </row>
        <row r="3705">
          <cell r="D3705">
            <v>720916</v>
          </cell>
          <cell r="E3705" t="str">
            <v>Iron or non-alloy steel; in coils, flat-rolled, width 600mm or more, cold-rolled, of a thickness exceeding 1mm but less than 3mm</v>
          </cell>
          <cell r="F3705" t="str">
            <v>Consumables</v>
          </cell>
          <cell r="G3705">
            <v>0</v>
          </cell>
          <cell r="H3705">
            <v>0</v>
          </cell>
          <cell r="I3705" t="str">
            <v>Others</v>
          </cell>
          <cell r="J3705">
            <v>2</v>
          </cell>
          <cell r="K3705" t="str">
            <v>Consumables - rc</v>
          </cell>
        </row>
        <row r="3706">
          <cell r="D3706">
            <v>720917</v>
          </cell>
          <cell r="E3706" t="str">
            <v>Iron or non-alloy steel; in coils, flat-rolled, width 600mm or more, cold-rolled, of a thickness of 0.5mm or more but not exceeding 1mm</v>
          </cell>
          <cell r="F3706" t="str">
            <v>Consumables</v>
          </cell>
          <cell r="G3706">
            <v>0</v>
          </cell>
          <cell r="H3706">
            <v>0</v>
          </cell>
          <cell r="I3706" t="str">
            <v>Others</v>
          </cell>
          <cell r="J3706">
            <v>2</v>
          </cell>
          <cell r="K3706" t="str">
            <v>Consumables - rc</v>
          </cell>
        </row>
        <row r="3707">
          <cell r="D3707">
            <v>720918</v>
          </cell>
          <cell r="E3707" t="str">
            <v>Iron or non-alloy steel; in coils, flat-rolled, width 600mm or more, cold-rolled, of a thickness of less than 0.5mm</v>
          </cell>
          <cell r="F3707">
            <v>0</v>
          </cell>
          <cell r="G3707">
            <v>0</v>
          </cell>
          <cell r="H3707">
            <v>0</v>
          </cell>
          <cell r="I3707" t="str">
            <v>Others</v>
          </cell>
          <cell r="J3707">
            <v>3</v>
          </cell>
          <cell r="K3707" t="str">
            <v>Others</v>
          </cell>
        </row>
        <row r="3708">
          <cell r="D3708">
            <v>720925</v>
          </cell>
          <cell r="E3708" t="str">
            <v>Iron or non-alloy steel; (not in coils), flat-rolled, width 600mm or more, cold-rolled, of a thickness of 3mm or more</v>
          </cell>
          <cell r="F3708">
            <v>0</v>
          </cell>
          <cell r="G3708">
            <v>0</v>
          </cell>
          <cell r="H3708">
            <v>0</v>
          </cell>
          <cell r="I3708" t="str">
            <v>Others</v>
          </cell>
          <cell r="J3708">
            <v>3</v>
          </cell>
          <cell r="K3708" t="str">
            <v>Others</v>
          </cell>
        </row>
        <row r="3709">
          <cell r="D3709">
            <v>720926</v>
          </cell>
          <cell r="E3709" t="str">
            <v>Iron or non-alloy steel; (not in coils), flat-rolled, width 600mm or more, cold-rolled, of a thickness exceeding 1mm but less than 3mm</v>
          </cell>
          <cell r="F3709">
            <v>0</v>
          </cell>
          <cell r="G3709">
            <v>0</v>
          </cell>
          <cell r="H3709">
            <v>0</v>
          </cell>
          <cell r="I3709" t="str">
            <v>Others</v>
          </cell>
          <cell r="J3709">
            <v>3</v>
          </cell>
          <cell r="K3709" t="str">
            <v>Others</v>
          </cell>
        </row>
        <row r="3710">
          <cell r="D3710">
            <v>720927</v>
          </cell>
          <cell r="E3710" t="str">
            <v>Iron or non-alloy steel; (not in coils), flat-rolled, width 600mm or more, cold-rolled, of a thickness of 0.5mm or more but not exceeding 1mm</v>
          </cell>
          <cell r="F3710">
            <v>0</v>
          </cell>
          <cell r="G3710">
            <v>0</v>
          </cell>
          <cell r="H3710">
            <v>0</v>
          </cell>
          <cell r="I3710" t="str">
            <v>Others</v>
          </cell>
          <cell r="J3710">
            <v>3</v>
          </cell>
          <cell r="K3710" t="str">
            <v>Others</v>
          </cell>
        </row>
        <row r="3711">
          <cell r="D3711">
            <v>720928</v>
          </cell>
          <cell r="E3711" t="str">
            <v>Iron or non-alloy steel; (not in coils), flat-rolled, width 600mm or more, cold-rolled, of a thickness of less than 0.5mm</v>
          </cell>
          <cell r="F3711">
            <v>0</v>
          </cell>
          <cell r="G3711">
            <v>0</v>
          </cell>
          <cell r="H3711">
            <v>0</v>
          </cell>
          <cell r="I3711" t="str">
            <v>Others</v>
          </cell>
          <cell r="J3711">
            <v>3</v>
          </cell>
          <cell r="K3711" t="str">
            <v>Others</v>
          </cell>
        </row>
        <row r="3712">
          <cell r="D3712">
            <v>720990</v>
          </cell>
          <cell r="E3712" t="str">
            <v>Iron or non-alloy steel; flat-rolled, width 600mm or more, cold-rolled, n.e.c. in heading no. 7209</v>
          </cell>
          <cell r="F3712">
            <v>0</v>
          </cell>
          <cell r="G3712">
            <v>0</v>
          </cell>
          <cell r="H3712">
            <v>0</v>
          </cell>
          <cell r="I3712" t="str">
            <v>Others</v>
          </cell>
          <cell r="J3712">
            <v>3</v>
          </cell>
          <cell r="K3712" t="str">
            <v>Others</v>
          </cell>
        </row>
        <row r="3713">
          <cell r="D3713">
            <v>721011</v>
          </cell>
          <cell r="E3713" t="str">
            <v>Iron or non-alloy steel; flat-rolled, width 600mm or more, plated or coated with tin, thickness of 0.5mm or more</v>
          </cell>
          <cell r="F3713">
            <v>0</v>
          </cell>
          <cell r="G3713">
            <v>0</v>
          </cell>
          <cell r="H3713">
            <v>0</v>
          </cell>
          <cell r="I3713" t="str">
            <v>Others</v>
          </cell>
          <cell r="J3713">
            <v>3</v>
          </cell>
          <cell r="K3713" t="str">
            <v>Others</v>
          </cell>
        </row>
        <row r="3714">
          <cell r="D3714">
            <v>721012</v>
          </cell>
          <cell r="E3714" t="str">
            <v>Iron or non-alloy steel; flat-rolled, width 600mm or more, plated or coated with tin, thickness of less than 0.5mm</v>
          </cell>
          <cell r="F3714">
            <v>0</v>
          </cell>
          <cell r="G3714">
            <v>0</v>
          </cell>
          <cell r="H3714">
            <v>0</v>
          </cell>
          <cell r="I3714" t="str">
            <v>Others</v>
          </cell>
          <cell r="J3714">
            <v>3</v>
          </cell>
          <cell r="K3714" t="str">
            <v>Others</v>
          </cell>
        </row>
        <row r="3715">
          <cell r="D3715">
            <v>721020</v>
          </cell>
          <cell r="E3715" t="str">
            <v>Iron or non-alloy steel; flat-rolled, width 600mm or more, plated or coated with lead, including terne-plate</v>
          </cell>
          <cell r="F3715">
            <v>0</v>
          </cell>
          <cell r="G3715">
            <v>0</v>
          </cell>
          <cell r="H3715">
            <v>0</v>
          </cell>
          <cell r="I3715" t="str">
            <v>Others</v>
          </cell>
          <cell r="J3715">
            <v>3</v>
          </cell>
          <cell r="K3715" t="str">
            <v>Others</v>
          </cell>
        </row>
        <row r="3716">
          <cell r="D3716">
            <v>721030</v>
          </cell>
          <cell r="E3716" t="str">
            <v>Iron or non-alloy steel; flat-rolled, width 600mm or more, electrolytically plated or coated with zinc</v>
          </cell>
          <cell r="F3716">
            <v>0</v>
          </cell>
          <cell r="G3716">
            <v>0</v>
          </cell>
          <cell r="H3716">
            <v>0</v>
          </cell>
          <cell r="I3716" t="str">
            <v>Others</v>
          </cell>
          <cell r="J3716">
            <v>3</v>
          </cell>
          <cell r="K3716" t="str">
            <v>Others</v>
          </cell>
        </row>
        <row r="3717">
          <cell r="D3717">
            <v>721041</v>
          </cell>
          <cell r="E3717" t="str">
            <v>Iron or non-alloy steel; flat-rolled, width 600mm or more, corrugated, plated or coated with zinc (not electrolytically)</v>
          </cell>
          <cell r="F3717">
            <v>0</v>
          </cell>
          <cell r="G3717">
            <v>0</v>
          </cell>
          <cell r="H3717">
            <v>0</v>
          </cell>
          <cell r="I3717" t="str">
            <v>Others</v>
          </cell>
          <cell r="J3717">
            <v>3</v>
          </cell>
          <cell r="K3717" t="str">
            <v>Others</v>
          </cell>
        </row>
        <row r="3718">
          <cell r="D3718">
            <v>721049</v>
          </cell>
          <cell r="E3718" t="str">
            <v>Iron or non-alloy steel; flat-rolled, width 600mm or more, (not corrugated), plated or coated with zinc (not electrolytically)</v>
          </cell>
          <cell r="F3718" t="str">
            <v>Consumables</v>
          </cell>
          <cell r="G3718">
            <v>0</v>
          </cell>
          <cell r="H3718">
            <v>0</v>
          </cell>
          <cell r="I3718" t="str">
            <v>Others</v>
          </cell>
          <cell r="J3718">
            <v>2</v>
          </cell>
          <cell r="K3718" t="str">
            <v>Consumables - rc</v>
          </cell>
        </row>
        <row r="3719">
          <cell r="D3719">
            <v>721050</v>
          </cell>
          <cell r="E3719" t="str">
            <v>Iron or non-alloy steel; flat-rolled, width 600mm or more, plated or coated with chromium oxides or with chromium and chromium oxides</v>
          </cell>
          <cell r="F3719">
            <v>0</v>
          </cell>
          <cell r="G3719">
            <v>0</v>
          </cell>
          <cell r="H3719">
            <v>0</v>
          </cell>
          <cell r="I3719" t="str">
            <v>Others</v>
          </cell>
          <cell r="J3719">
            <v>3</v>
          </cell>
          <cell r="K3719" t="str">
            <v>Others</v>
          </cell>
        </row>
        <row r="3720">
          <cell r="D3720">
            <v>721061</v>
          </cell>
          <cell r="E3720" t="str">
            <v>Iron or non-alloy steel; flat-rolled, width 600mm or more, plated or coated with aluminium zinc-alloys</v>
          </cell>
          <cell r="F3720" t="str">
            <v>Consumables</v>
          </cell>
          <cell r="G3720">
            <v>0</v>
          </cell>
          <cell r="H3720">
            <v>0</v>
          </cell>
          <cell r="I3720" t="str">
            <v>Others</v>
          </cell>
          <cell r="J3720">
            <v>2</v>
          </cell>
          <cell r="K3720" t="str">
            <v>Consumables - rc</v>
          </cell>
        </row>
        <row r="3721">
          <cell r="D3721">
            <v>721069</v>
          </cell>
          <cell r="E3721" t="str">
            <v>Iron or non-alloy steel; flat-rolled, width 600mm or more, plated or coated with aluminium, other than plated or coated with aluminium zinc-alloys</v>
          </cell>
          <cell r="F3721" t="str">
            <v>Consumables</v>
          </cell>
          <cell r="G3721">
            <v>0</v>
          </cell>
          <cell r="H3721">
            <v>0</v>
          </cell>
          <cell r="I3721" t="str">
            <v>Others</v>
          </cell>
          <cell r="J3721">
            <v>2</v>
          </cell>
          <cell r="K3721" t="str">
            <v>Consumables - rc</v>
          </cell>
        </row>
        <row r="3722">
          <cell r="D3722">
            <v>721070</v>
          </cell>
          <cell r="E3722" t="str">
            <v>Iron or non-alloy steel; flat-rolled, width 600mm or more, painted, varnished or coated with plastics</v>
          </cell>
          <cell r="F3722" t="str">
            <v>Consumables</v>
          </cell>
          <cell r="G3722">
            <v>0</v>
          </cell>
          <cell r="H3722">
            <v>0</v>
          </cell>
          <cell r="I3722" t="str">
            <v>Others</v>
          </cell>
          <cell r="J3722">
            <v>2</v>
          </cell>
          <cell r="K3722" t="str">
            <v>Consumables - rc</v>
          </cell>
        </row>
        <row r="3723">
          <cell r="D3723">
            <v>721090</v>
          </cell>
          <cell r="E3723" t="str">
            <v>Iron or non-alloy steel; flat-rolled, width 600mm or more, plated or coated with materials n.e.c. in heading no. 7210</v>
          </cell>
          <cell r="F3723" t="str">
            <v>Consumables</v>
          </cell>
          <cell r="G3723">
            <v>0</v>
          </cell>
          <cell r="H3723">
            <v>0</v>
          </cell>
          <cell r="I3723" t="str">
            <v>Others</v>
          </cell>
          <cell r="J3723">
            <v>2</v>
          </cell>
          <cell r="K3723" t="str">
            <v>Consumables - rc</v>
          </cell>
        </row>
        <row r="3724">
          <cell r="D3724">
            <v>721113</v>
          </cell>
          <cell r="E3724" t="str">
            <v>Iron or non-alloy steel; flat-rolled, hot-rolled, rolled on four faces or in a closed box pass, of a width more than 150mm but less than 600mm, 4mm thick or more, not in coils, without patterns in relief</v>
          </cell>
          <cell r="F3724">
            <v>0</v>
          </cell>
          <cell r="G3724">
            <v>0</v>
          </cell>
          <cell r="H3724">
            <v>0</v>
          </cell>
          <cell r="I3724" t="str">
            <v>Others</v>
          </cell>
          <cell r="J3724">
            <v>3</v>
          </cell>
          <cell r="K3724" t="str">
            <v>Others</v>
          </cell>
        </row>
        <row r="3725">
          <cell r="D3725">
            <v>721114</v>
          </cell>
          <cell r="E3725" t="str">
            <v>Iron or non-alloy steel; flat-rolled, hot-rolled, of a width less than 600mm, 4.75mm thick or more, excluding those of item no. 7211.13</v>
          </cell>
          <cell r="F3725">
            <v>0</v>
          </cell>
          <cell r="G3725">
            <v>0</v>
          </cell>
          <cell r="H3725">
            <v>0</v>
          </cell>
          <cell r="I3725" t="str">
            <v>Others</v>
          </cell>
          <cell r="J3725">
            <v>3</v>
          </cell>
          <cell r="K3725" t="str">
            <v>Others</v>
          </cell>
        </row>
        <row r="3726">
          <cell r="D3726">
            <v>721119</v>
          </cell>
          <cell r="E3726" t="str">
            <v>Iron or non-alloy steel; flat-rolled, hot-rolled, of a width less than 600mm, less than 4.75mm thick, excluding those of item no. 7211.13</v>
          </cell>
          <cell r="F3726">
            <v>0</v>
          </cell>
          <cell r="G3726">
            <v>0</v>
          </cell>
          <cell r="H3726">
            <v>0</v>
          </cell>
          <cell r="I3726" t="str">
            <v>Others</v>
          </cell>
          <cell r="J3726">
            <v>3</v>
          </cell>
          <cell r="K3726" t="str">
            <v>Others</v>
          </cell>
        </row>
        <row r="3727">
          <cell r="D3727">
            <v>721123</v>
          </cell>
          <cell r="E3727" t="str">
            <v>Iron or non-alloy steel; flat-rolled, cold-rolled, of a width less than 600mm, containing by weight less than 0.25% of carbon</v>
          </cell>
          <cell r="F3727">
            <v>0</v>
          </cell>
          <cell r="G3727">
            <v>0</v>
          </cell>
          <cell r="H3727">
            <v>0</v>
          </cell>
          <cell r="I3727" t="str">
            <v>Others</v>
          </cell>
          <cell r="J3727">
            <v>3</v>
          </cell>
          <cell r="K3727" t="str">
            <v>Others</v>
          </cell>
        </row>
        <row r="3728">
          <cell r="D3728">
            <v>721129</v>
          </cell>
          <cell r="E3728" t="str">
            <v>Iron or non-alloy steel; flat-rolled, cold-rolled, of a width less than 600mm, containing by weight 0.25% or more of carbon</v>
          </cell>
          <cell r="F3728">
            <v>0</v>
          </cell>
          <cell r="G3728">
            <v>0</v>
          </cell>
          <cell r="H3728">
            <v>0</v>
          </cell>
          <cell r="I3728" t="str">
            <v>Others</v>
          </cell>
          <cell r="J3728">
            <v>3</v>
          </cell>
          <cell r="K3728" t="str">
            <v>Others</v>
          </cell>
        </row>
        <row r="3729">
          <cell r="D3729">
            <v>721190</v>
          </cell>
          <cell r="E3729" t="str">
            <v>Iron or non-alloy steel; flat-rolled, n.e.c. in heading no. 7211, width less than 600mm</v>
          </cell>
          <cell r="F3729">
            <v>0</v>
          </cell>
          <cell r="G3729">
            <v>0</v>
          </cell>
          <cell r="H3729">
            <v>0</v>
          </cell>
          <cell r="I3729" t="str">
            <v>Others</v>
          </cell>
          <cell r="J3729">
            <v>3</v>
          </cell>
          <cell r="K3729" t="str">
            <v>Others</v>
          </cell>
        </row>
        <row r="3730">
          <cell r="D3730">
            <v>721210</v>
          </cell>
          <cell r="E3730" t="str">
            <v>Iron or non-alloy steel; flat-rolled, width less than 600mm, plated or coated with tin</v>
          </cell>
          <cell r="F3730">
            <v>0</v>
          </cell>
          <cell r="G3730">
            <v>0</v>
          </cell>
          <cell r="H3730">
            <v>0</v>
          </cell>
          <cell r="I3730" t="str">
            <v>Others</v>
          </cell>
          <cell r="J3730">
            <v>3</v>
          </cell>
          <cell r="K3730" t="str">
            <v>Others</v>
          </cell>
        </row>
        <row r="3731">
          <cell r="D3731">
            <v>721220</v>
          </cell>
          <cell r="E3731" t="str">
            <v>Iron or non-alloy steel; flat-rolled, of a width less than 600mm, electrolytically plated or coated with zinc</v>
          </cell>
          <cell r="F3731" t="str">
            <v>Consumables</v>
          </cell>
          <cell r="G3731">
            <v>0</v>
          </cell>
          <cell r="H3731">
            <v>0</v>
          </cell>
          <cell r="I3731" t="str">
            <v>Others</v>
          </cell>
          <cell r="J3731">
            <v>2</v>
          </cell>
          <cell r="K3731" t="str">
            <v>Consumables - rc</v>
          </cell>
        </row>
        <row r="3732">
          <cell r="D3732">
            <v>721230</v>
          </cell>
          <cell r="E3732" t="str">
            <v>Iron or non-alloy steel; flat-rolled, width less than 600mm, plated or coated with zinc (not electrolytically)</v>
          </cell>
          <cell r="F3732">
            <v>0</v>
          </cell>
          <cell r="G3732">
            <v>0</v>
          </cell>
          <cell r="H3732">
            <v>0</v>
          </cell>
          <cell r="I3732" t="str">
            <v>Others</v>
          </cell>
          <cell r="J3732">
            <v>3</v>
          </cell>
          <cell r="K3732" t="str">
            <v>Others</v>
          </cell>
        </row>
        <row r="3733">
          <cell r="D3733">
            <v>721240</v>
          </cell>
          <cell r="E3733" t="str">
            <v>Iron or non-alloy steel; flat-rolled, width less than 600mm, painted, varnished or coated with plastics</v>
          </cell>
          <cell r="F3733" t="str">
            <v>Consumables</v>
          </cell>
          <cell r="G3733">
            <v>0</v>
          </cell>
          <cell r="H3733">
            <v>0</v>
          </cell>
          <cell r="I3733" t="str">
            <v>Others</v>
          </cell>
          <cell r="J3733">
            <v>2</v>
          </cell>
          <cell r="K3733" t="str">
            <v>Consumables - rc</v>
          </cell>
        </row>
        <row r="3734">
          <cell r="D3734">
            <v>721250</v>
          </cell>
          <cell r="E3734" t="str">
            <v>Iron or non-alloy steel; flat-rolled, width less than 600mm, plated or coated, (excluding tin, zinc or plastic)</v>
          </cell>
          <cell r="F3734">
            <v>0</v>
          </cell>
          <cell r="G3734">
            <v>0</v>
          </cell>
          <cell r="H3734">
            <v>0</v>
          </cell>
          <cell r="I3734" t="str">
            <v>Others</v>
          </cell>
          <cell r="J3734">
            <v>3</v>
          </cell>
          <cell r="K3734" t="str">
            <v>Others</v>
          </cell>
        </row>
        <row r="3735">
          <cell r="D3735">
            <v>721260</v>
          </cell>
          <cell r="E3735" t="str">
            <v>Iron or non-alloy steel; flat-rolled, width less than 600mm, clad</v>
          </cell>
          <cell r="F3735">
            <v>0</v>
          </cell>
          <cell r="G3735">
            <v>0</v>
          </cell>
          <cell r="H3735">
            <v>0</v>
          </cell>
          <cell r="I3735" t="str">
            <v>Others</v>
          </cell>
          <cell r="J3735">
            <v>3</v>
          </cell>
          <cell r="K3735" t="str">
            <v>Others</v>
          </cell>
        </row>
        <row r="3736">
          <cell r="D3736">
            <v>721310</v>
          </cell>
          <cell r="E3736" t="str">
            <v>Iron or non-alloy steel; bars and rods, hot-rolled, in irregularly wound coils, containing indentations, ribs, grooves or other deformations produced during the rolling process</v>
          </cell>
          <cell r="F3736">
            <v>0</v>
          </cell>
          <cell r="G3736">
            <v>0</v>
          </cell>
          <cell r="H3736">
            <v>0</v>
          </cell>
          <cell r="I3736" t="str">
            <v>Others</v>
          </cell>
          <cell r="J3736">
            <v>3</v>
          </cell>
          <cell r="K3736" t="str">
            <v>Others</v>
          </cell>
        </row>
        <row r="3737">
          <cell r="D3737">
            <v>721320</v>
          </cell>
          <cell r="E3737" t="str">
            <v>Iron or non-alloy steel; bars and rods, hot-rolled, in irregularly wound coils, of free-cutting steel</v>
          </cell>
          <cell r="F3737">
            <v>0</v>
          </cell>
          <cell r="G3737">
            <v>0</v>
          </cell>
          <cell r="H3737">
            <v>0</v>
          </cell>
          <cell r="I3737" t="str">
            <v>Others</v>
          </cell>
          <cell r="J3737">
            <v>3</v>
          </cell>
          <cell r="K3737" t="str">
            <v>Others</v>
          </cell>
        </row>
        <row r="3738">
          <cell r="D3738">
            <v>721391</v>
          </cell>
          <cell r="E3738" t="str">
            <v>Iron or non-alloy steel; bars and rods, hot-rolled, in irregularly wound coils, n.e.c. in heading no. 7213, of circular cross-section measuring less than 14mm in diameter</v>
          </cell>
          <cell r="F3738">
            <v>0</v>
          </cell>
          <cell r="G3738">
            <v>0</v>
          </cell>
          <cell r="H3738">
            <v>0</v>
          </cell>
          <cell r="I3738" t="str">
            <v>Others</v>
          </cell>
          <cell r="J3738">
            <v>3</v>
          </cell>
          <cell r="K3738" t="str">
            <v>Others</v>
          </cell>
        </row>
        <row r="3739">
          <cell r="D3739">
            <v>721399</v>
          </cell>
          <cell r="E3739" t="str">
            <v>Iron or non-alloy steel; bars and rods, hot-rolled, in irregularly wound coils, n.e.c. in heading no. 7213, of circular cross-section measuring 14mm or more in diameter</v>
          </cell>
          <cell r="F3739">
            <v>0</v>
          </cell>
          <cell r="G3739">
            <v>0</v>
          </cell>
          <cell r="H3739">
            <v>0</v>
          </cell>
          <cell r="I3739" t="str">
            <v>Others</v>
          </cell>
          <cell r="J3739">
            <v>3</v>
          </cell>
          <cell r="K3739" t="str">
            <v>Others</v>
          </cell>
        </row>
        <row r="3740">
          <cell r="D3740">
            <v>721410</v>
          </cell>
          <cell r="E3740" t="str">
            <v>Iron or non-alloy steel; bars and rods, forged, hot-rolled, hot-drawn or hot-extruded, but including those twisted after rolling</v>
          </cell>
          <cell r="F3740">
            <v>0</v>
          </cell>
          <cell r="G3740">
            <v>0</v>
          </cell>
          <cell r="H3740">
            <v>0</v>
          </cell>
          <cell r="I3740" t="str">
            <v>Others</v>
          </cell>
          <cell r="J3740">
            <v>3</v>
          </cell>
          <cell r="K3740" t="str">
            <v>Others</v>
          </cell>
        </row>
        <row r="3741">
          <cell r="D3741">
            <v>721420</v>
          </cell>
          <cell r="E3741" t="str">
            <v>Iron or non-alloy steel; bars and rods, hot-rolled, hot-drawn or hot-extruded, containing indentations, ribs, grooves or other deformations produced during the rolling process or twisted after rolling</v>
          </cell>
          <cell r="F3741">
            <v>0</v>
          </cell>
          <cell r="G3741">
            <v>0</v>
          </cell>
          <cell r="H3741">
            <v>0</v>
          </cell>
          <cell r="I3741" t="str">
            <v>Others</v>
          </cell>
          <cell r="J3741">
            <v>3</v>
          </cell>
          <cell r="K3741" t="str">
            <v>Others</v>
          </cell>
        </row>
        <row r="3742">
          <cell r="D3742">
            <v>721430</v>
          </cell>
          <cell r="E3742" t="str">
            <v>Iron or non-alloy steel; bars and rods, hot-rolled, hot-drawn or hot-extruded, including those twisted after rolling, of free-cutting steel</v>
          </cell>
          <cell r="F3742">
            <v>0</v>
          </cell>
          <cell r="G3742">
            <v>0</v>
          </cell>
          <cell r="H3742">
            <v>0</v>
          </cell>
          <cell r="I3742" t="str">
            <v>Others</v>
          </cell>
          <cell r="J3742">
            <v>3</v>
          </cell>
          <cell r="K3742" t="str">
            <v>Others</v>
          </cell>
        </row>
        <row r="3743">
          <cell r="D3743">
            <v>721491</v>
          </cell>
          <cell r="E3743" t="str">
            <v>Iron or non-alloy steel; bars and rods, hot-rolled, hot-drawn or hot-extruded, n.e.c. in heading no. 7214, of rectangular (other than square) cross-section</v>
          </cell>
          <cell r="F3743">
            <v>0</v>
          </cell>
          <cell r="G3743">
            <v>0</v>
          </cell>
          <cell r="H3743">
            <v>0</v>
          </cell>
          <cell r="I3743" t="str">
            <v>Others</v>
          </cell>
          <cell r="J3743">
            <v>3</v>
          </cell>
          <cell r="K3743" t="str">
            <v>Others</v>
          </cell>
        </row>
        <row r="3744">
          <cell r="D3744">
            <v>721499</v>
          </cell>
          <cell r="E3744" t="str">
            <v>Iron or non-alloy steel; bars and rods, hot-rolled, hot-drawn or hot-extruded, n.e.c. in heading no. 7214, other than of rectangular cross-section</v>
          </cell>
          <cell r="F3744">
            <v>0</v>
          </cell>
          <cell r="G3744">
            <v>0</v>
          </cell>
          <cell r="H3744">
            <v>0</v>
          </cell>
          <cell r="I3744" t="str">
            <v>Others</v>
          </cell>
          <cell r="J3744">
            <v>3</v>
          </cell>
          <cell r="K3744" t="str">
            <v>Others</v>
          </cell>
        </row>
        <row r="3745">
          <cell r="D3745">
            <v>721510</v>
          </cell>
          <cell r="E3745" t="str">
            <v>Iron or non-alloy steel; bars and rods, of free-cutting steel, cold-formed or cold-finished, n.e.c. in chapter 72</v>
          </cell>
          <cell r="F3745">
            <v>0</v>
          </cell>
          <cell r="G3745">
            <v>0</v>
          </cell>
          <cell r="H3745">
            <v>0</v>
          </cell>
          <cell r="I3745" t="str">
            <v>Others</v>
          </cell>
          <cell r="J3745">
            <v>3</v>
          </cell>
          <cell r="K3745" t="str">
            <v>Others</v>
          </cell>
        </row>
        <row r="3746">
          <cell r="D3746">
            <v>721550</v>
          </cell>
          <cell r="E3746" t="str">
            <v>Iron or non-alloy steel; bars and rods, n.e.c. in chapter 72, cold-formed or cold-finished, (not free-cutting)</v>
          </cell>
          <cell r="F3746">
            <v>0</v>
          </cell>
          <cell r="G3746">
            <v>0</v>
          </cell>
          <cell r="H3746">
            <v>0</v>
          </cell>
          <cell r="I3746" t="str">
            <v>Others</v>
          </cell>
          <cell r="J3746">
            <v>3</v>
          </cell>
          <cell r="K3746" t="str">
            <v>Others</v>
          </cell>
        </row>
        <row r="3747">
          <cell r="D3747">
            <v>721590</v>
          </cell>
          <cell r="E3747" t="str">
            <v>Iron or non-alloy steel; bars and rods, n.e.c. in chapter 72, n.e.c. in heading no. 7215</v>
          </cell>
          <cell r="F3747" t="str">
            <v>Consumables</v>
          </cell>
          <cell r="G3747">
            <v>0</v>
          </cell>
          <cell r="H3747">
            <v>0</v>
          </cell>
          <cell r="I3747" t="str">
            <v>Others</v>
          </cell>
          <cell r="J3747">
            <v>2</v>
          </cell>
          <cell r="K3747" t="str">
            <v>Consumables - rc</v>
          </cell>
        </row>
        <row r="3748">
          <cell r="D3748">
            <v>721610</v>
          </cell>
          <cell r="E3748" t="str">
            <v>Iron or non-alloy steel; U, I or H sections, hot-rolled, hot-drawn or extruded, of a height of less than 80mm</v>
          </cell>
          <cell r="F3748">
            <v>0</v>
          </cell>
          <cell r="G3748">
            <v>0</v>
          </cell>
          <cell r="H3748">
            <v>0</v>
          </cell>
          <cell r="I3748" t="str">
            <v>Others</v>
          </cell>
          <cell r="J3748">
            <v>3</v>
          </cell>
          <cell r="K3748" t="str">
            <v>Others</v>
          </cell>
        </row>
        <row r="3749">
          <cell r="D3749">
            <v>721621</v>
          </cell>
          <cell r="E3749" t="str">
            <v>Iron or non-alloy steel; L sections, hot-rolled, hot-drawn or extruded, of a height of less than 80mm</v>
          </cell>
          <cell r="F3749">
            <v>0</v>
          </cell>
          <cell r="G3749">
            <v>0</v>
          </cell>
          <cell r="H3749">
            <v>0</v>
          </cell>
          <cell r="I3749" t="str">
            <v>Others</v>
          </cell>
          <cell r="J3749">
            <v>3</v>
          </cell>
          <cell r="K3749" t="str">
            <v>Others</v>
          </cell>
        </row>
        <row r="3750">
          <cell r="D3750">
            <v>721622</v>
          </cell>
          <cell r="E3750" t="str">
            <v>Iron or non-alloy steel; T sections, hot-rolled, hot-drawn or extruded, of a height less than 80mm</v>
          </cell>
          <cell r="F3750">
            <v>0</v>
          </cell>
          <cell r="G3750">
            <v>0</v>
          </cell>
          <cell r="H3750">
            <v>0</v>
          </cell>
          <cell r="I3750" t="str">
            <v>Others</v>
          </cell>
          <cell r="J3750">
            <v>3</v>
          </cell>
          <cell r="K3750" t="str">
            <v>Others</v>
          </cell>
        </row>
        <row r="3751">
          <cell r="D3751">
            <v>721631</v>
          </cell>
          <cell r="E3751" t="str">
            <v>Iron or non-alloy steel; U sections, hot-rolled, hot-drawn or extruded, of a height of 80mm or more</v>
          </cell>
          <cell r="F3751">
            <v>0</v>
          </cell>
          <cell r="G3751">
            <v>0</v>
          </cell>
          <cell r="H3751">
            <v>0</v>
          </cell>
          <cell r="I3751" t="str">
            <v>Others</v>
          </cell>
          <cell r="J3751">
            <v>3</v>
          </cell>
          <cell r="K3751" t="str">
            <v>Others</v>
          </cell>
        </row>
        <row r="3752">
          <cell r="D3752">
            <v>721632</v>
          </cell>
          <cell r="E3752" t="str">
            <v>Iron or non-alloy steel; I sections, hot-rolled, hot-drawn or extruded, of a height of 80mm or more</v>
          </cell>
          <cell r="F3752">
            <v>0</v>
          </cell>
          <cell r="G3752">
            <v>0</v>
          </cell>
          <cell r="H3752">
            <v>0</v>
          </cell>
          <cell r="I3752" t="str">
            <v>Others</v>
          </cell>
          <cell r="J3752">
            <v>3</v>
          </cell>
          <cell r="K3752" t="str">
            <v>Others</v>
          </cell>
        </row>
        <row r="3753">
          <cell r="D3753">
            <v>721633</v>
          </cell>
          <cell r="E3753" t="str">
            <v>Iron or non-alloy steel; H sections, hot-rolled, hot-drawn or extruded, of a height of 80mm or more</v>
          </cell>
          <cell r="F3753">
            <v>0</v>
          </cell>
          <cell r="G3753">
            <v>0</v>
          </cell>
          <cell r="H3753">
            <v>0</v>
          </cell>
          <cell r="I3753" t="str">
            <v>Others</v>
          </cell>
          <cell r="J3753">
            <v>3</v>
          </cell>
          <cell r="K3753" t="str">
            <v>Others</v>
          </cell>
        </row>
        <row r="3754">
          <cell r="D3754">
            <v>721640</v>
          </cell>
          <cell r="E3754" t="str">
            <v>Iron or non-alloy steel; L or T sections, hot-rolled, hot-drawn or extruded, of a height of 80mm or more</v>
          </cell>
          <cell r="F3754">
            <v>0</v>
          </cell>
          <cell r="G3754">
            <v>0</v>
          </cell>
          <cell r="H3754">
            <v>0</v>
          </cell>
          <cell r="I3754" t="str">
            <v>Others</v>
          </cell>
          <cell r="J3754">
            <v>3</v>
          </cell>
          <cell r="K3754" t="str">
            <v>Others</v>
          </cell>
        </row>
        <row r="3755">
          <cell r="D3755">
            <v>721650</v>
          </cell>
          <cell r="E3755" t="str">
            <v>Iron or non-alloy steel; angles, shapes and sections, n.e.c. in heading no. 7216, hot-rolled, hot-drawn or extruded</v>
          </cell>
          <cell r="F3755">
            <v>0</v>
          </cell>
          <cell r="G3755">
            <v>0</v>
          </cell>
          <cell r="H3755">
            <v>0</v>
          </cell>
          <cell r="I3755" t="str">
            <v>Others</v>
          </cell>
          <cell r="J3755">
            <v>3</v>
          </cell>
          <cell r="K3755" t="str">
            <v>Others</v>
          </cell>
        </row>
        <row r="3756">
          <cell r="D3756">
            <v>721661</v>
          </cell>
          <cell r="E3756" t="str">
            <v>Iron or non-alloy steel; angles, shapes and sections, cold-formed or cold-finished, obtained from flat-rolled products</v>
          </cell>
          <cell r="F3756">
            <v>0</v>
          </cell>
          <cell r="G3756">
            <v>0</v>
          </cell>
          <cell r="H3756">
            <v>0</v>
          </cell>
          <cell r="I3756" t="str">
            <v>Others</v>
          </cell>
          <cell r="J3756">
            <v>3</v>
          </cell>
          <cell r="K3756" t="str">
            <v>Others</v>
          </cell>
        </row>
        <row r="3757">
          <cell r="D3757">
            <v>721669</v>
          </cell>
          <cell r="E3757" t="str">
            <v>Iron or non-alloy steel; angles, shapes and sections, cold-formed or cold-finished, (not obtained from flat-rolled products)</v>
          </cell>
          <cell r="F3757">
            <v>0</v>
          </cell>
          <cell r="G3757">
            <v>0</v>
          </cell>
          <cell r="H3757">
            <v>0</v>
          </cell>
          <cell r="I3757" t="str">
            <v>Others</v>
          </cell>
          <cell r="J3757">
            <v>3</v>
          </cell>
          <cell r="K3757" t="str">
            <v>Others</v>
          </cell>
        </row>
        <row r="3758">
          <cell r="D3758">
            <v>721691</v>
          </cell>
          <cell r="E3758" t="str">
            <v>Iron or non-alloy steel; angles, shapes and sections, n.e.c. in heading no. 7216, cold-formed or cold-finished, from flat-rolled products</v>
          </cell>
          <cell r="F3758">
            <v>0</v>
          </cell>
          <cell r="G3758">
            <v>0</v>
          </cell>
          <cell r="H3758">
            <v>0</v>
          </cell>
          <cell r="I3758" t="str">
            <v>Others</v>
          </cell>
          <cell r="J3758">
            <v>3</v>
          </cell>
          <cell r="K3758" t="str">
            <v>Others</v>
          </cell>
        </row>
        <row r="3759">
          <cell r="D3759">
            <v>721699</v>
          </cell>
          <cell r="E3759" t="str">
            <v>Iron or non-alloy steel; angles, shapes and sections, n.e.c. in heading no. 7216</v>
          </cell>
          <cell r="F3759">
            <v>0</v>
          </cell>
          <cell r="G3759">
            <v>0</v>
          </cell>
          <cell r="H3759">
            <v>0</v>
          </cell>
          <cell r="I3759" t="str">
            <v>Others</v>
          </cell>
          <cell r="J3759">
            <v>3</v>
          </cell>
          <cell r="K3759" t="str">
            <v>Others</v>
          </cell>
        </row>
        <row r="3760">
          <cell r="D3760">
            <v>721710</v>
          </cell>
          <cell r="E3760" t="str">
            <v>Iron or non-alloy steel; wire, (not plated or coated), whether or not polished</v>
          </cell>
          <cell r="F3760">
            <v>0</v>
          </cell>
          <cell r="G3760">
            <v>0</v>
          </cell>
          <cell r="H3760">
            <v>0</v>
          </cell>
          <cell r="I3760" t="str">
            <v>Others</v>
          </cell>
          <cell r="J3760">
            <v>3</v>
          </cell>
          <cell r="K3760" t="str">
            <v>Others</v>
          </cell>
        </row>
        <row r="3761">
          <cell r="D3761">
            <v>721720</v>
          </cell>
          <cell r="E3761" t="str">
            <v>Iron or non-alloy steel; wire, plated or coated with zinc</v>
          </cell>
          <cell r="F3761">
            <v>0</v>
          </cell>
          <cell r="G3761">
            <v>0</v>
          </cell>
          <cell r="H3761">
            <v>0</v>
          </cell>
          <cell r="I3761" t="str">
            <v>Others</v>
          </cell>
          <cell r="J3761">
            <v>3</v>
          </cell>
          <cell r="K3761" t="str">
            <v>Others</v>
          </cell>
        </row>
        <row r="3762">
          <cell r="D3762">
            <v>721730</v>
          </cell>
          <cell r="E3762" t="str">
            <v>Iron or non-alloy steel; wire, plated or coated with base metals (other than zinc)</v>
          </cell>
          <cell r="F3762">
            <v>0</v>
          </cell>
          <cell r="G3762">
            <v>0</v>
          </cell>
          <cell r="H3762">
            <v>0</v>
          </cell>
          <cell r="I3762" t="str">
            <v>Others</v>
          </cell>
          <cell r="J3762">
            <v>3</v>
          </cell>
          <cell r="K3762" t="str">
            <v>Others</v>
          </cell>
        </row>
        <row r="3763">
          <cell r="D3763">
            <v>721790</v>
          </cell>
          <cell r="E3763" t="str">
            <v>Iron or non-alloy steel; wire, n.e.c. in heading no. 7217</v>
          </cell>
          <cell r="F3763">
            <v>0</v>
          </cell>
          <cell r="G3763">
            <v>0</v>
          </cell>
          <cell r="H3763">
            <v>0</v>
          </cell>
          <cell r="I3763" t="str">
            <v>Others</v>
          </cell>
          <cell r="J3763">
            <v>3</v>
          </cell>
          <cell r="K3763" t="str">
            <v>Others</v>
          </cell>
        </row>
        <row r="3764">
          <cell r="D3764">
            <v>721810</v>
          </cell>
          <cell r="E3764" t="str">
            <v>Steel, stainless; ingots and other primary forms</v>
          </cell>
          <cell r="F3764">
            <v>0</v>
          </cell>
          <cell r="G3764">
            <v>0</v>
          </cell>
          <cell r="H3764">
            <v>0</v>
          </cell>
          <cell r="I3764" t="str">
            <v>Others</v>
          </cell>
          <cell r="J3764">
            <v>3</v>
          </cell>
          <cell r="K3764" t="str">
            <v>Others</v>
          </cell>
        </row>
        <row r="3765">
          <cell r="D3765">
            <v>721891</v>
          </cell>
          <cell r="E3765" t="str">
            <v>Steel, stainless; semi-finished products, of rectangular (other than square) cross-section</v>
          </cell>
          <cell r="F3765">
            <v>0</v>
          </cell>
          <cell r="G3765">
            <v>0</v>
          </cell>
          <cell r="H3765">
            <v>0</v>
          </cell>
          <cell r="I3765" t="str">
            <v>Others</v>
          </cell>
          <cell r="J3765">
            <v>3</v>
          </cell>
          <cell r="K3765" t="str">
            <v>Others</v>
          </cell>
        </row>
        <row r="3766">
          <cell r="D3766">
            <v>721899</v>
          </cell>
          <cell r="E3766" t="str">
            <v>Steel, stainless; semi-finished products, other than of rectangular cross-section</v>
          </cell>
          <cell r="F3766">
            <v>0</v>
          </cell>
          <cell r="G3766">
            <v>0</v>
          </cell>
          <cell r="H3766">
            <v>0</v>
          </cell>
          <cell r="I3766" t="str">
            <v>Others</v>
          </cell>
          <cell r="J3766">
            <v>3</v>
          </cell>
          <cell r="K3766" t="str">
            <v>Others</v>
          </cell>
        </row>
        <row r="3767">
          <cell r="D3767">
            <v>721911</v>
          </cell>
          <cell r="E3767" t="str">
            <v>Steel, stainless; flat-rolled, width 600mm or more, hot-rolled, in coils, of a thickness exceeding 10mm</v>
          </cell>
          <cell r="F3767" t="str">
            <v>Consumables</v>
          </cell>
          <cell r="G3767">
            <v>0</v>
          </cell>
          <cell r="H3767">
            <v>0</v>
          </cell>
          <cell r="I3767" t="str">
            <v>Others</v>
          </cell>
          <cell r="J3767">
            <v>2</v>
          </cell>
          <cell r="K3767" t="str">
            <v>Consumables - rc</v>
          </cell>
        </row>
        <row r="3768">
          <cell r="D3768">
            <v>721912</v>
          </cell>
          <cell r="E3768" t="str">
            <v>Steel, stainless; flat-rolled, width 600mm or more, hot-rolled, in coils, of a thickness of 4.75mm or more but not exceeding 10mm</v>
          </cell>
          <cell r="F3768">
            <v>0</v>
          </cell>
          <cell r="G3768">
            <v>0</v>
          </cell>
          <cell r="H3768">
            <v>0</v>
          </cell>
          <cell r="I3768" t="str">
            <v>Others</v>
          </cell>
          <cell r="J3768">
            <v>3</v>
          </cell>
          <cell r="K3768" t="str">
            <v>Others</v>
          </cell>
        </row>
        <row r="3769">
          <cell r="D3769">
            <v>721913</v>
          </cell>
          <cell r="E3769" t="str">
            <v>Steel, stainless; flat-rolled, width 600mm or more, hot-rolled, in coils, of a thickness of 3mm or more but less than 4.75mm</v>
          </cell>
          <cell r="F3769">
            <v>0</v>
          </cell>
          <cell r="G3769">
            <v>0</v>
          </cell>
          <cell r="H3769">
            <v>0</v>
          </cell>
          <cell r="I3769" t="str">
            <v>Others</v>
          </cell>
          <cell r="J3769">
            <v>3</v>
          </cell>
          <cell r="K3769" t="str">
            <v>Others</v>
          </cell>
        </row>
        <row r="3770">
          <cell r="D3770">
            <v>721914</v>
          </cell>
          <cell r="E3770" t="str">
            <v>Steel, stainless; flat-rolled, width 600mm or more, hot-rolled, in coils, of a thickness of less than 3mm</v>
          </cell>
          <cell r="F3770">
            <v>0</v>
          </cell>
          <cell r="G3770">
            <v>0</v>
          </cell>
          <cell r="H3770">
            <v>0</v>
          </cell>
          <cell r="I3770" t="str">
            <v>Others</v>
          </cell>
          <cell r="J3770">
            <v>3</v>
          </cell>
          <cell r="K3770" t="str">
            <v>Others</v>
          </cell>
        </row>
        <row r="3771">
          <cell r="D3771">
            <v>721921</v>
          </cell>
          <cell r="E3771" t="str">
            <v>Steel, stainless; flat-rolled, width 600mm or more, hot-rolled, (not in coils), of a thickness exceeding 10mm</v>
          </cell>
          <cell r="F3771">
            <v>0</v>
          </cell>
          <cell r="G3771">
            <v>0</v>
          </cell>
          <cell r="H3771">
            <v>0</v>
          </cell>
          <cell r="I3771" t="str">
            <v>Others</v>
          </cell>
          <cell r="J3771">
            <v>3</v>
          </cell>
          <cell r="K3771" t="str">
            <v>Others</v>
          </cell>
        </row>
        <row r="3772">
          <cell r="D3772">
            <v>721922</v>
          </cell>
          <cell r="E3772" t="str">
            <v>Steel, stainless; flat-rolled, width 600mm or more, hot-rolled, (not in coils), of a thickness of 4.75mm or more but not exceeding 10mm</v>
          </cell>
          <cell r="F3772">
            <v>0</v>
          </cell>
          <cell r="G3772">
            <v>0</v>
          </cell>
          <cell r="H3772">
            <v>0</v>
          </cell>
          <cell r="I3772" t="str">
            <v>Others</v>
          </cell>
          <cell r="J3772">
            <v>3</v>
          </cell>
          <cell r="K3772" t="str">
            <v>Others</v>
          </cell>
        </row>
        <row r="3773">
          <cell r="D3773">
            <v>721923</v>
          </cell>
          <cell r="E3773" t="str">
            <v>Steel, stainless; flat-rolled, width 600mm or more, hot-rolled, (not in coils), of a thickness of 3mm or more but less than 4.75mm</v>
          </cell>
          <cell r="F3773">
            <v>0</v>
          </cell>
          <cell r="G3773">
            <v>0</v>
          </cell>
          <cell r="H3773">
            <v>0</v>
          </cell>
          <cell r="I3773" t="str">
            <v>Others</v>
          </cell>
          <cell r="J3773">
            <v>3</v>
          </cell>
          <cell r="K3773" t="str">
            <v>Others</v>
          </cell>
        </row>
        <row r="3774">
          <cell r="D3774">
            <v>721924</v>
          </cell>
          <cell r="E3774" t="str">
            <v>Steel, stainless; flat-rolled, width 600mm or more, hot-rolled, (not in coils), of a thickness of less than 3mm</v>
          </cell>
          <cell r="F3774">
            <v>0</v>
          </cell>
          <cell r="G3774">
            <v>0</v>
          </cell>
          <cell r="H3774">
            <v>0</v>
          </cell>
          <cell r="I3774" t="str">
            <v>Others</v>
          </cell>
          <cell r="J3774">
            <v>3</v>
          </cell>
          <cell r="K3774" t="str">
            <v>Others</v>
          </cell>
        </row>
        <row r="3775">
          <cell r="D3775">
            <v>721931</v>
          </cell>
          <cell r="E3775" t="str">
            <v>Steel, stainless; flat-rolled, width 600mm or more, cold-rolled or cold-reduced, of a thickness of 4.75mm or more</v>
          </cell>
          <cell r="F3775">
            <v>0</v>
          </cell>
          <cell r="G3775">
            <v>0</v>
          </cell>
          <cell r="H3775">
            <v>0</v>
          </cell>
          <cell r="I3775" t="str">
            <v>Others</v>
          </cell>
          <cell r="J3775">
            <v>3</v>
          </cell>
          <cell r="K3775" t="str">
            <v>Others</v>
          </cell>
        </row>
        <row r="3776">
          <cell r="D3776">
            <v>721932</v>
          </cell>
          <cell r="E3776" t="str">
            <v>Steel, stainless; flat-rolled, width 600mm or more, cold-rolled, of a thickness of 3mm or more but less than 4.75mm</v>
          </cell>
          <cell r="F3776">
            <v>0</v>
          </cell>
          <cell r="G3776">
            <v>0</v>
          </cell>
          <cell r="H3776">
            <v>0</v>
          </cell>
          <cell r="I3776" t="str">
            <v>Others</v>
          </cell>
          <cell r="J3776">
            <v>3</v>
          </cell>
          <cell r="K3776" t="str">
            <v>Others</v>
          </cell>
        </row>
        <row r="3777">
          <cell r="D3777">
            <v>721933</v>
          </cell>
          <cell r="E3777" t="str">
            <v>Steel, stainless; flat-rolled, width 600mm or more, cold-rolled, of a thickness exceeding 1mm but less than 3mm</v>
          </cell>
          <cell r="F3777">
            <v>0</v>
          </cell>
          <cell r="G3777">
            <v>0</v>
          </cell>
          <cell r="H3777">
            <v>0</v>
          </cell>
          <cell r="I3777" t="str">
            <v>Others</v>
          </cell>
          <cell r="J3777">
            <v>3</v>
          </cell>
          <cell r="K3777" t="str">
            <v>Others</v>
          </cell>
        </row>
        <row r="3778">
          <cell r="D3778">
            <v>721934</v>
          </cell>
          <cell r="E3778" t="str">
            <v>Steel, stainless; flat-rolled, width 600mm or more, cold-rolled, of a thickness of 0.5mm or more but not exceeding 1mm</v>
          </cell>
          <cell r="F3778">
            <v>0</v>
          </cell>
          <cell r="G3778">
            <v>0</v>
          </cell>
          <cell r="H3778">
            <v>0</v>
          </cell>
          <cell r="I3778" t="str">
            <v>Others</v>
          </cell>
          <cell r="J3778">
            <v>3</v>
          </cell>
          <cell r="K3778" t="str">
            <v>Others</v>
          </cell>
        </row>
        <row r="3779">
          <cell r="D3779">
            <v>721935</v>
          </cell>
          <cell r="E3779" t="str">
            <v>Steel, stainless; flat-rolled, width 600mm or more, cold-rolled, of a thickness of less than 0.5mm</v>
          </cell>
          <cell r="F3779">
            <v>0</v>
          </cell>
          <cell r="G3779">
            <v>0</v>
          </cell>
          <cell r="H3779">
            <v>0</v>
          </cell>
          <cell r="I3779" t="str">
            <v>Others</v>
          </cell>
          <cell r="J3779">
            <v>3</v>
          </cell>
          <cell r="K3779" t="str">
            <v>Others</v>
          </cell>
        </row>
        <row r="3780">
          <cell r="D3780">
            <v>721990</v>
          </cell>
          <cell r="E3780" t="str">
            <v>Steel, stainless; flat-rolled, width 600mm or more, n.e.c. in heading no. 7219</v>
          </cell>
          <cell r="F3780">
            <v>0</v>
          </cell>
          <cell r="G3780">
            <v>0</v>
          </cell>
          <cell r="H3780">
            <v>0</v>
          </cell>
          <cell r="I3780" t="str">
            <v>Others</v>
          </cell>
          <cell r="J3780">
            <v>3</v>
          </cell>
          <cell r="K3780" t="str">
            <v>Others</v>
          </cell>
        </row>
        <row r="3781">
          <cell r="D3781">
            <v>722011</v>
          </cell>
          <cell r="E3781" t="str">
            <v>Steel, stainless; flat-rolled, width less than 600mm, hot-rolled, of a thickness of 4.75mm or more</v>
          </cell>
          <cell r="F3781" t="str">
            <v>Consumables</v>
          </cell>
          <cell r="G3781">
            <v>0</v>
          </cell>
          <cell r="H3781">
            <v>0</v>
          </cell>
          <cell r="I3781" t="str">
            <v>Others</v>
          </cell>
          <cell r="J3781">
            <v>2</v>
          </cell>
          <cell r="K3781" t="str">
            <v>Consumables - rc</v>
          </cell>
        </row>
        <row r="3782">
          <cell r="D3782">
            <v>722012</v>
          </cell>
          <cell r="E3782" t="str">
            <v>Steel, stainless; flat-rolled, width less than 600mm, hot-rolled, of a thickness of less than 4.75mm</v>
          </cell>
          <cell r="F3782">
            <v>0</v>
          </cell>
          <cell r="G3782">
            <v>0</v>
          </cell>
          <cell r="H3782">
            <v>0</v>
          </cell>
          <cell r="I3782" t="str">
            <v>Others</v>
          </cell>
          <cell r="J3782">
            <v>3</v>
          </cell>
          <cell r="K3782" t="str">
            <v>Others</v>
          </cell>
        </row>
        <row r="3783">
          <cell r="D3783">
            <v>722020</v>
          </cell>
          <cell r="E3783" t="str">
            <v>Steel, stainless; flat-rolled, width less than 600mm, cold-rolled</v>
          </cell>
          <cell r="F3783" t="str">
            <v>Consumables</v>
          </cell>
          <cell r="G3783">
            <v>0</v>
          </cell>
          <cell r="H3783">
            <v>0</v>
          </cell>
          <cell r="I3783" t="str">
            <v>Others</v>
          </cell>
          <cell r="J3783">
            <v>2</v>
          </cell>
          <cell r="K3783" t="str">
            <v>Consumables - rc</v>
          </cell>
        </row>
        <row r="3784">
          <cell r="D3784">
            <v>722090</v>
          </cell>
          <cell r="E3784" t="str">
            <v>Steel, stainless; flat-rolled, width less than 600mm, n.e.c. in heading no 7220</v>
          </cell>
          <cell r="F3784" t="str">
            <v>Consumables</v>
          </cell>
          <cell r="G3784">
            <v>0</v>
          </cell>
          <cell r="H3784">
            <v>0</v>
          </cell>
          <cell r="I3784" t="str">
            <v>Others</v>
          </cell>
          <cell r="J3784">
            <v>2</v>
          </cell>
          <cell r="K3784" t="str">
            <v>Consumables - rc</v>
          </cell>
        </row>
        <row r="3785">
          <cell r="D3785">
            <v>722100</v>
          </cell>
          <cell r="E3785" t="str">
            <v>Steel, stainless; bars and rods, hot-rolled, in irregularly wound coils</v>
          </cell>
          <cell r="F3785" t="str">
            <v>Consumables</v>
          </cell>
          <cell r="G3785">
            <v>0</v>
          </cell>
          <cell r="H3785">
            <v>0</v>
          </cell>
          <cell r="I3785" t="str">
            <v>Others</v>
          </cell>
          <cell r="J3785">
            <v>2</v>
          </cell>
          <cell r="K3785" t="str">
            <v>Consumables - rc</v>
          </cell>
        </row>
        <row r="3786">
          <cell r="D3786">
            <v>722211</v>
          </cell>
          <cell r="E3786" t="str">
            <v>Steel, stainless; bars and rods, hot-rolled, hot-drawn or extruded, of circular cross-section</v>
          </cell>
          <cell r="F3786">
            <v>0</v>
          </cell>
          <cell r="G3786">
            <v>0</v>
          </cell>
          <cell r="H3786">
            <v>0</v>
          </cell>
          <cell r="I3786" t="str">
            <v>Others</v>
          </cell>
          <cell r="J3786">
            <v>3</v>
          </cell>
          <cell r="K3786" t="str">
            <v>Others</v>
          </cell>
        </row>
        <row r="3787">
          <cell r="D3787">
            <v>722219</v>
          </cell>
          <cell r="E3787" t="str">
            <v>Steel, stainless; bars and rods, hot-rolled, hot-drawn or extruded, other than of circular cross-section</v>
          </cell>
          <cell r="F3787">
            <v>0</v>
          </cell>
          <cell r="G3787">
            <v>0</v>
          </cell>
          <cell r="H3787">
            <v>0</v>
          </cell>
          <cell r="I3787" t="str">
            <v>Others</v>
          </cell>
          <cell r="J3787">
            <v>3</v>
          </cell>
          <cell r="K3787" t="str">
            <v>Others</v>
          </cell>
        </row>
        <row r="3788">
          <cell r="D3788">
            <v>722220</v>
          </cell>
          <cell r="E3788" t="str">
            <v>Steel, stainless; bars and rods, cold-formed or cold-finished</v>
          </cell>
          <cell r="F3788">
            <v>0</v>
          </cell>
          <cell r="G3788">
            <v>0</v>
          </cell>
          <cell r="H3788">
            <v>0</v>
          </cell>
          <cell r="I3788" t="str">
            <v>Others</v>
          </cell>
          <cell r="J3788">
            <v>3</v>
          </cell>
          <cell r="K3788" t="str">
            <v>Others</v>
          </cell>
        </row>
        <row r="3789">
          <cell r="D3789">
            <v>722230</v>
          </cell>
          <cell r="E3789" t="str">
            <v>Steel, stainless; bars and rods, n.e.c. in heading no. 7222</v>
          </cell>
          <cell r="F3789">
            <v>0</v>
          </cell>
          <cell r="G3789">
            <v>0</v>
          </cell>
          <cell r="H3789">
            <v>0</v>
          </cell>
          <cell r="I3789" t="str">
            <v>Others</v>
          </cell>
          <cell r="J3789">
            <v>3</v>
          </cell>
          <cell r="K3789" t="str">
            <v>Others</v>
          </cell>
        </row>
        <row r="3790">
          <cell r="D3790">
            <v>722240</v>
          </cell>
          <cell r="E3790" t="str">
            <v>Steel, stainless; angles, shapes and sections</v>
          </cell>
          <cell r="F3790">
            <v>0</v>
          </cell>
          <cell r="G3790">
            <v>0</v>
          </cell>
          <cell r="H3790">
            <v>0</v>
          </cell>
          <cell r="I3790" t="str">
            <v>Others</v>
          </cell>
          <cell r="J3790">
            <v>3</v>
          </cell>
          <cell r="K3790" t="str">
            <v>Others</v>
          </cell>
        </row>
        <row r="3791">
          <cell r="D3791">
            <v>722300</v>
          </cell>
          <cell r="E3791" t="str">
            <v>Steel, stainless; wire</v>
          </cell>
          <cell r="F3791" t="str">
            <v>Consumables</v>
          </cell>
          <cell r="G3791">
            <v>0</v>
          </cell>
          <cell r="H3791">
            <v>0</v>
          </cell>
          <cell r="I3791" t="str">
            <v>Others</v>
          </cell>
          <cell r="J3791">
            <v>2</v>
          </cell>
          <cell r="K3791" t="str">
            <v>Consumables - rc</v>
          </cell>
        </row>
        <row r="3792">
          <cell r="D3792">
            <v>722410</v>
          </cell>
          <cell r="E3792" t="str">
            <v>Steel, alloy; ingots and other primary forms</v>
          </cell>
          <cell r="F3792">
            <v>0</v>
          </cell>
          <cell r="G3792">
            <v>0</v>
          </cell>
          <cell r="H3792">
            <v>0</v>
          </cell>
          <cell r="I3792" t="str">
            <v>Others</v>
          </cell>
          <cell r="J3792">
            <v>3</v>
          </cell>
          <cell r="K3792" t="str">
            <v>Others</v>
          </cell>
        </row>
        <row r="3793">
          <cell r="D3793">
            <v>722490</v>
          </cell>
          <cell r="E3793" t="str">
            <v>Steel, alloy; semi-finished products</v>
          </cell>
          <cell r="F3793">
            <v>0</v>
          </cell>
          <cell r="G3793">
            <v>0</v>
          </cell>
          <cell r="H3793">
            <v>0</v>
          </cell>
          <cell r="I3793" t="str">
            <v>Others</v>
          </cell>
          <cell r="J3793">
            <v>3</v>
          </cell>
          <cell r="K3793" t="str">
            <v>Others</v>
          </cell>
        </row>
        <row r="3794">
          <cell r="D3794">
            <v>722511</v>
          </cell>
          <cell r="E3794" t="str">
            <v>Steel, alloy; flat-rolled, width 600mm or more, of silicon-electrical steel, grain-oriented</v>
          </cell>
          <cell r="F3794">
            <v>0</v>
          </cell>
          <cell r="G3794">
            <v>0</v>
          </cell>
          <cell r="H3794">
            <v>0</v>
          </cell>
          <cell r="I3794" t="str">
            <v>Others</v>
          </cell>
          <cell r="J3794">
            <v>3</v>
          </cell>
          <cell r="K3794" t="str">
            <v>Others</v>
          </cell>
        </row>
        <row r="3795">
          <cell r="D3795">
            <v>722519</v>
          </cell>
          <cell r="E3795" t="str">
            <v>Steel, alloy; flat-rolled, width 600mm or more, of silicon-electrical steel, (other than grain-oriented)</v>
          </cell>
          <cell r="F3795">
            <v>0</v>
          </cell>
          <cell r="G3795">
            <v>0</v>
          </cell>
          <cell r="H3795">
            <v>0</v>
          </cell>
          <cell r="I3795" t="str">
            <v>Others</v>
          </cell>
          <cell r="J3795">
            <v>3</v>
          </cell>
          <cell r="K3795" t="str">
            <v>Others</v>
          </cell>
        </row>
        <row r="3796">
          <cell r="D3796">
            <v>722530</v>
          </cell>
          <cell r="E3796" t="str">
            <v>Steel, alloy; flat-rolled, width 600mm or more, hot-rolled, in coils</v>
          </cell>
          <cell r="F3796">
            <v>0</v>
          </cell>
          <cell r="G3796">
            <v>0</v>
          </cell>
          <cell r="H3796">
            <v>0</v>
          </cell>
          <cell r="I3796" t="str">
            <v>Others</v>
          </cell>
          <cell r="J3796">
            <v>3</v>
          </cell>
          <cell r="K3796" t="str">
            <v>Others</v>
          </cell>
        </row>
        <row r="3797">
          <cell r="D3797">
            <v>722540</v>
          </cell>
          <cell r="E3797" t="str">
            <v>Steel, alloy; flat-rolled, width 600mm or more, hot-rolled, not in coils</v>
          </cell>
          <cell r="F3797">
            <v>0</v>
          </cell>
          <cell r="G3797">
            <v>0</v>
          </cell>
          <cell r="H3797">
            <v>0</v>
          </cell>
          <cell r="I3797" t="str">
            <v>Others</v>
          </cell>
          <cell r="J3797">
            <v>3</v>
          </cell>
          <cell r="K3797" t="str">
            <v>Others</v>
          </cell>
        </row>
        <row r="3798">
          <cell r="D3798">
            <v>722550</v>
          </cell>
          <cell r="E3798" t="str">
            <v>Steel, alloy; flat-rolled, width 600mm or more, cold-rolled</v>
          </cell>
          <cell r="F3798">
            <v>0</v>
          </cell>
          <cell r="G3798">
            <v>0</v>
          </cell>
          <cell r="H3798">
            <v>0</v>
          </cell>
          <cell r="I3798" t="str">
            <v>Others</v>
          </cell>
          <cell r="J3798">
            <v>3</v>
          </cell>
          <cell r="K3798" t="str">
            <v>Others</v>
          </cell>
        </row>
        <row r="3799">
          <cell r="D3799">
            <v>722591</v>
          </cell>
          <cell r="E3799" t="str">
            <v>Steel, alloy; flat-rolled, width 600mm or more, n.e.c. in heading no. 7225, electrolytically plated or coated with zinc</v>
          </cell>
          <cell r="F3799">
            <v>0</v>
          </cell>
          <cell r="G3799">
            <v>0</v>
          </cell>
          <cell r="H3799">
            <v>0</v>
          </cell>
          <cell r="I3799" t="str">
            <v>Others</v>
          </cell>
          <cell r="J3799">
            <v>3</v>
          </cell>
          <cell r="K3799" t="str">
            <v>Others</v>
          </cell>
        </row>
        <row r="3800">
          <cell r="D3800">
            <v>722592</v>
          </cell>
          <cell r="E3800" t="str">
            <v>Steel, alloy; flat-rolled, width 600mm or more, n.e.c. in heading no. 7225, plated or coated with zinc (other than electrolytically)</v>
          </cell>
          <cell r="F3800">
            <v>0</v>
          </cell>
          <cell r="G3800">
            <v>0</v>
          </cell>
          <cell r="H3800">
            <v>0</v>
          </cell>
          <cell r="I3800" t="str">
            <v>Others</v>
          </cell>
          <cell r="J3800">
            <v>3</v>
          </cell>
          <cell r="K3800" t="str">
            <v>Others</v>
          </cell>
        </row>
        <row r="3801">
          <cell r="D3801">
            <v>722599</v>
          </cell>
          <cell r="E3801" t="str">
            <v>Steel, alloy; flat-rolled, width 600mm or more, n.e.c. in heading no. 7225, (other than plated or coated with zinc)</v>
          </cell>
          <cell r="F3801">
            <v>0</v>
          </cell>
          <cell r="G3801">
            <v>0</v>
          </cell>
          <cell r="H3801">
            <v>0</v>
          </cell>
          <cell r="I3801" t="str">
            <v>Others</v>
          </cell>
          <cell r="J3801">
            <v>3</v>
          </cell>
          <cell r="K3801" t="str">
            <v>Others</v>
          </cell>
        </row>
        <row r="3802">
          <cell r="D3802">
            <v>722611</v>
          </cell>
          <cell r="E3802" t="str">
            <v>Steel, alloy; flat-rolled, width less than 600mm, of silicon-electrical steel, grain-oriented</v>
          </cell>
          <cell r="F3802">
            <v>0</v>
          </cell>
          <cell r="G3802">
            <v>0</v>
          </cell>
          <cell r="H3802">
            <v>0</v>
          </cell>
          <cell r="I3802" t="str">
            <v>Others</v>
          </cell>
          <cell r="J3802">
            <v>3</v>
          </cell>
          <cell r="K3802" t="str">
            <v>Others</v>
          </cell>
        </row>
        <row r="3803">
          <cell r="D3803">
            <v>722619</v>
          </cell>
          <cell r="E3803" t="str">
            <v>Steel, alloy; flat-rolled, width less than 600mm, of silicon-electrical steel, other than grain-oriented</v>
          </cell>
          <cell r="F3803">
            <v>0</v>
          </cell>
          <cell r="G3803">
            <v>0</v>
          </cell>
          <cell r="H3803">
            <v>0</v>
          </cell>
          <cell r="I3803" t="str">
            <v>Others</v>
          </cell>
          <cell r="J3803">
            <v>3</v>
          </cell>
          <cell r="K3803" t="str">
            <v>Others</v>
          </cell>
        </row>
        <row r="3804">
          <cell r="D3804">
            <v>722620</v>
          </cell>
          <cell r="E3804" t="str">
            <v>Steel, alloy; flat-rolled, width less than 600mm, of high speed steel</v>
          </cell>
          <cell r="F3804">
            <v>0</v>
          </cell>
          <cell r="G3804">
            <v>0</v>
          </cell>
          <cell r="H3804">
            <v>0</v>
          </cell>
          <cell r="I3804" t="str">
            <v>Others</v>
          </cell>
          <cell r="J3804">
            <v>3</v>
          </cell>
          <cell r="K3804" t="str">
            <v>Others</v>
          </cell>
        </row>
        <row r="3805">
          <cell r="D3805">
            <v>722691</v>
          </cell>
          <cell r="E3805" t="str">
            <v>Steel, alloy; flat-rolled, width less than 600mm, (excluding silicon-electrical or high speed steel), hot-rolled</v>
          </cell>
          <cell r="F3805">
            <v>0</v>
          </cell>
          <cell r="G3805">
            <v>0</v>
          </cell>
          <cell r="H3805">
            <v>0</v>
          </cell>
          <cell r="I3805" t="str">
            <v>Others</v>
          </cell>
          <cell r="J3805">
            <v>3</v>
          </cell>
          <cell r="K3805" t="str">
            <v>Others</v>
          </cell>
        </row>
        <row r="3806">
          <cell r="D3806">
            <v>722692</v>
          </cell>
          <cell r="E3806" t="str">
            <v>Steel, alloy; flat-rolled, width less than 600mm, (excluding silicon-electrical or high speed steel), cold-rolled</v>
          </cell>
          <cell r="F3806">
            <v>0</v>
          </cell>
          <cell r="G3806">
            <v>0</v>
          </cell>
          <cell r="H3806">
            <v>0</v>
          </cell>
          <cell r="I3806" t="str">
            <v>Others</v>
          </cell>
          <cell r="J3806">
            <v>3</v>
          </cell>
          <cell r="K3806" t="str">
            <v>Others</v>
          </cell>
        </row>
        <row r="3807">
          <cell r="D3807">
            <v>722699</v>
          </cell>
          <cell r="E3807" t="str">
            <v>Steel, alloy; flat-rolled, width less than 600mm, n.e.c. in item no. 7226.9</v>
          </cell>
          <cell r="F3807">
            <v>0</v>
          </cell>
          <cell r="G3807">
            <v>0</v>
          </cell>
          <cell r="H3807">
            <v>0</v>
          </cell>
          <cell r="I3807" t="str">
            <v>Others</v>
          </cell>
          <cell r="J3807">
            <v>3</v>
          </cell>
          <cell r="K3807" t="str">
            <v>Others</v>
          </cell>
        </row>
        <row r="3808">
          <cell r="D3808">
            <v>722710</v>
          </cell>
          <cell r="E3808" t="str">
            <v>Steel, alloy; bars and rods, hot-rolled, in irregularly wound coils, of high speed steel</v>
          </cell>
          <cell r="F3808">
            <v>0</v>
          </cell>
          <cell r="G3808">
            <v>0</v>
          </cell>
          <cell r="H3808">
            <v>0</v>
          </cell>
          <cell r="I3808" t="str">
            <v>Others</v>
          </cell>
          <cell r="J3808">
            <v>3</v>
          </cell>
          <cell r="K3808" t="str">
            <v>Others</v>
          </cell>
        </row>
        <row r="3809">
          <cell r="D3809">
            <v>722720</v>
          </cell>
          <cell r="E3809" t="str">
            <v>Steel, alloy; bars and rods, hot-rolled, in irregularly wound coils, of silico-manganese steel</v>
          </cell>
          <cell r="F3809">
            <v>0</v>
          </cell>
          <cell r="G3809">
            <v>0</v>
          </cell>
          <cell r="H3809">
            <v>0</v>
          </cell>
          <cell r="I3809" t="str">
            <v>Others</v>
          </cell>
          <cell r="J3809">
            <v>3</v>
          </cell>
          <cell r="K3809" t="str">
            <v>Others</v>
          </cell>
        </row>
        <row r="3810">
          <cell r="D3810">
            <v>722790</v>
          </cell>
          <cell r="E3810" t="str">
            <v>Steel, alloy; bars and rods, hot-rolled, in irregularly wound coils, n.e.c. in heading no. 7227</v>
          </cell>
          <cell r="F3810">
            <v>0</v>
          </cell>
          <cell r="G3810">
            <v>0</v>
          </cell>
          <cell r="H3810">
            <v>0</v>
          </cell>
          <cell r="I3810" t="str">
            <v>Others</v>
          </cell>
          <cell r="J3810">
            <v>3</v>
          </cell>
          <cell r="K3810" t="str">
            <v>Others</v>
          </cell>
        </row>
        <row r="3811">
          <cell r="D3811">
            <v>722810</v>
          </cell>
          <cell r="E3811" t="str">
            <v>Steel, alloy; bars and rods, of high speed steel</v>
          </cell>
          <cell r="F3811">
            <v>0</v>
          </cell>
          <cell r="G3811">
            <v>0</v>
          </cell>
          <cell r="H3811">
            <v>0</v>
          </cell>
          <cell r="I3811" t="str">
            <v>Others</v>
          </cell>
          <cell r="J3811">
            <v>3</v>
          </cell>
          <cell r="K3811" t="str">
            <v>Others</v>
          </cell>
        </row>
        <row r="3812">
          <cell r="D3812">
            <v>722820</v>
          </cell>
          <cell r="E3812" t="str">
            <v>Steel, alloy; bars and rods, of silico-manganese steel</v>
          </cell>
          <cell r="F3812">
            <v>0</v>
          </cell>
          <cell r="G3812">
            <v>0</v>
          </cell>
          <cell r="H3812">
            <v>0</v>
          </cell>
          <cell r="I3812" t="str">
            <v>Others</v>
          </cell>
          <cell r="J3812">
            <v>3</v>
          </cell>
          <cell r="K3812" t="str">
            <v>Others</v>
          </cell>
        </row>
        <row r="3813">
          <cell r="D3813">
            <v>722830</v>
          </cell>
          <cell r="E3813" t="str">
            <v>Steel, alloy; bars and rods, hot-rolled, hot-drawn or extruded</v>
          </cell>
          <cell r="F3813">
            <v>0</v>
          </cell>
          <cell r="G3813">
            <v>0</v>
          </cell>
          <cell r="H3813">
            <v>0</v>
          </cell>
          <cell r="I3813" t="str">
            <v>Others</v>
          </cell>
          <cell r="J3813">
            <v>3</v>
          </cell>
          <cell r="K3813" t="str">
            <v>Others</v>
          </cell>
        </row>
        <row r="3814">
          <cell r="D3814">
            <v>722840</v>
          </cell>
          <cell r="E3814" t="str">
            <v>Steel, alloy; bars and rods, forged</v>
          </cell>
          <cell r="F3814" t="str">
            <v>Consumables</v>
          </cell>
          <cell r="G3814">
            <v>0</v>
          </cell>
          <cell r="H3814">
            <v>0</v>
          </cell>
          <cell r="I3814" t="str">
            <v>Others</v>
          </cell>
          <cell r="J3814">
            <v>2</v>
          </cell>
          <cell r="K3814" t="str">
            <v>Consumables - rc</v>
          </cell>
        </row>
        <row r="3815">
          <cell r="D3815">
            <v>722850</v>
          </cell>
          <cell r="E3815" t="str">
            <v>Steel, alloy; bars and rods, cold-formed or cold-finished</v>
          </cell>
          <cell r="F3815">
            <v>0</v>
          </cell>
          <cell r="G3815">
            <v>0</v>
          </cell>
          <cell r="H3815">
            <v>0</v>
          </cell>
          <cell r="I3815" t="str">
            <v>Others</v>
          </cell>
          <cell r="J3815">
            <v>3</v>
          </cell>
          <cell r="K3815" t="str">
            <v>Others</v>
          </cell>
        </row>
        <row r="3816">
          <cell r="D3816">
            <v>722860</v>
          </cell>
          <cell r="E3816" t="str">
            <v>Steel, alloy; bars and rods n.e.c. in heading no. 7228</v>
          </cell>
          <cell r="F3816">
            <v>0</v>
          </cell>
          <cell r="G3816">
            <v>0</v>
          </cell>
          <cell r="H3816">
            <v>0</v>
          </cell>
          <cell r="I3816" t="str">
            <v>Others</v>
          </cell>
          <cell r="J3816">
            <v>3</v>
          </cell>
          <cell r="K3816" t="str">
            <v>Others</v>
          </cell>
        </row>
        <row r="3817">
          <cell r="D3817">
            <v>722870</v>
          </cell>
          <cell r="E3817" t="str">
            <v>Steel, alloy; angles, shapes and sections</v>
          </cell>
          <cell r="F3817">
            <v>0</v>
          </cell>
          <cell r="G3817">
            <v>0</v>
          </cell>
          <cell r="H3817">
            <v>0</v>
          </cell>
          <cell r="I3817" t="str">
            <v>Others</v>
          </cell>
          <cell r="J3817">
            <v>3</v>
          </cell>
          <cell r="K3817" t="str">
            <v>Others</v>
          </cell>
        </row>
        <row r="3818">
          <cell r="D3818">
            <v>722880</v>
          </cell>
          <cell r="E3818" t="str">
            <v>Steel, alloy or non-alloy; hollow drill bars and rods</v>
          </cell>
          <cell r="F3818">
            <v>0</v>
          </cell>
          <cell r="G3818">
            <v>0</v>
          </cell>
          <cell r="H3818">
            <v>0</v>
          </cell>
          <cell r="I3818" t="str">
            <v>Others</v>
          </cell>
          <cell r="J3818">
            <v>3</v>
          </cell>
          <cell r="K3818" t="str">
            <v>Others</v>
          </cell>
        </row>
        <row r="3819">
          <cell r="D3819">
            <v>722920</v>
          </cell>
          <cell r="E3819" t="str">
            <v>Steel, alloy; wire, of silico-manganese steel</v>
          </cell>
          <cell r="F3819">
            <v>0</v>
          </cell>
          <cell r="G3819">
            <v>0</v>
          </cell>
          <cell r="H3819">
            <v>0</v>
          </cell>
          <cell r="I3819" t="str">
            <v>Others</v>
          </cell>
          <cell r="J3819">
            <v>3</v>
          </cell>
          <cell r="K3819" t="str">
            <v>Others</v>
          </cell>
        </row>
        <row r="3820">
          <cell r="D3820">
            <v>722990</v>
          </cell>
          <cell r="E3820" t="str">
            <v>Steel, alloy; wire, of materials other than silico-manganese steel</v>
          </cell>
          <cell r="F3820" t="str">
            <v>Capital Goods</v>
          </cell>
          <cell r="G3820">
            <v>0</v>
          </cell>
          <cell r="H3820" t="str">
            <v>Consumables</v>
          </cell>
          <cell r="I3820" t="str">
            <v>Others</v>
          </cell>
          <cell r="J3820">
            <v>1</v>
          </cell>
          <cell r="K3820" t="str">
            <v>Consumables - rc</v>
          </cell>
        </row>
        <row r="3821">
          <cell r="D3821">
            <v>730110</v>
          </cell>
          <cell r="E3821" t="str">
            <v>Iron or steel; sheet piling, whether or not drilled, punched or made from assembled elements</v>
          </cell>
          <cell r="F3821">
            <v>0</v>
          </cell>
          <cell r="G3821">
            <v>0</v>
          </cell>
          <cell r="H3821">
            <v>0</v>
          </cell>
          <cell r="I3821" t="str">
            <v>Others</v>
          </cell>
          <cell r="J3821">
            <v>3</v>
          </cell>
          <cell r="K3821" t="str">
            <v>Others</v>
          </cell>
        </row>
        <row r="3822">
          <cell r="D3822">
            <v>730120</v>
          </cell>
          <cell r="E3822" t="str">
            <v>Iron or steel; angles, shapes and sections, welded</v>
          </cell>
          <cell r="F3822">
            <v>0</v>
          </cell>
          <cell r="G3822">
            <v>0</v>
          </cell>
          <cell r="H3822">
            <v>0</v>
          </cell>
          <cell r="I3822" t="str">
            <v>Others</v>
          </cell>
          <cell r="J3822">
            <v>3</v>
          </cell>
          <cell r="K3822" t="str">
            <v>Others</v>
          </cell>
        </row>
        <row r="3823">
          <cell r="D3823">
            <v>730210</v>
          </cell>
          <cell r="E3823" t="str">
            <v>Iron or steel, railway or tramway track construction material; rails</v>
          </cell>
          <cell r="F3823">
            <v>0</v>
          </cell>
          <cell r="G3823">
            <v>0</v>
          </cell>
          <cell r="H3823">
            <v>0</v>
          </cell>
          <cell r="I3823" t="str">
            <v>Others</v>
          </cell>
          <cell r="J3823">
            <v>3</v>
          </cell>
          <cell r="K3823" t="str">
            <v>Others</v>
          </cell>
        </row>
        <row r="3824">
          <cell r="D3824">
            <v>730230</v>
          </cell>
          <cell r="E3824" t="str">
            <v>Iron or steel, railway or tramway track construction material; switch blades, crossing frogs, point rods and other crossing pieces</v>
          </cell>
          <cell r="F3824">
            <v>0</v>
          </cell>
          <cell r="G3824">
            <v>0</v>
          </cell>
          <cell r="H3824">
            <v>0</v>
          </cell>
          <cell r="I3824" t="str">
            <v>Others</v>
          </cell>
          <cell r="J3824">
            <v>3</v>
          </cell>
          <cell r="K3824" t="str">
            <v>Others</v>
          </cell>
        </row>
        <row r="3825">
          <cell r="D3825">
            <v>730240</v>
          </cell>
          <cell r="E3825" t="str">
            <v>Iron or steel, railway or tramway track construction material; fish-plates and sole plates</v>
          </cell>
          <cell r="F3825">
            <v>0</v>
          </cell>
          <cell r="G3825">
            <v>0</v>
          </cell>
          <cell r="H3825">
            <v>0</v>
          </cell>
          <cell r="I3825" t="str">
            <v>Others</v>
          </cell>
          <cell r="J3825">
            <v>3</v>
          </cell>
          <cell r="K3825" t="str">
            <v>Others</v>
          </cell>
        </row>
        <row r="3826">
          <cell r="D3826">
            <v>730290</v>
          </cell>
          <cell r="E3826" t="str">
            <v>Iron or steel, railway or tramway track construction material; n.e.c. in heading no. 7302</v>
          </cell>
          <cell r="F3826">
            <v>0</v>
          </cell>
          <cell r="G3826">
            <v>0</v>
          </cell>
          <cell r="H3826">
            <v>0</v>
          </cell>
          <cell r="I3826" t="str">
            <v>Others</v>
          </cell>
          <cell r="J3826">
            <v>3</v>
          </cell>
          <cell r="K3826" t="str">
            <v>Others</v>
          </cell>
        </row>
        <row r="3827">
          <cell r="D3827">
            <v>730300</v>
          </cell>
          <cell r="E3827" t="str">
            <v>Cast iron; tubes, pipes and hollow profiles</v>
          </cell>
          <cell r="F3827">
            <v>0</v>
          </cell>
          <cell r="G3827">
            <v>0</v>
          </cell>
          <cell r="H3827">
            <v>0</v>
          </cell>
          <cell r="I3827" t="str">
            <v>Others</v>
          </cell>
          <cell r="J3827">
            <v>3</v>
          </cell>
          <cell r="K3827" t="str">
            <v>Others</v>
          </cell>
        </row>
        <row r="3828">
          <cell r="D3828">
            <v>841391</v>
          </cell>
          <cell r="E3828" t="str">
            <v>Pumps; parts thereof</v>
          </cell>
          <cell r="F3828" t="str">
            <v>Parts &amp; Accessories</v>
          </cell>
          <cell r="G3828">
            <v>0</v>
          </cell>
          <cell r="H3828" t="str">
            <v>Parts &amp; Accessories</v>
          </cell>
          <cell r="I3828" t="str">
            <v>Parts &amp; Accessories</v>
          </cell>
          <cell r="J3828">
            <v>1</v>
          </cell>
          <cell r="K3828" t="str">
            <v>Parts &amp; Accessories</v>
          </cell>
        </row>
        <row r="3829">
          <cell r="D3829">
            <v>730419</v>
          </cell>
          <cell r="E3829" t="str">
            <v>Iron or steel (excluding cast iron or stainless steel); seamless, line pipe of a kind used for oil or gas pipelines</v>
          </cell>
          <cell r="F3829">
            <v>0</v>
          </cell>
          <cell r="G3829">
            <v>0</v>
          </cell>
          <cell r="H3829">
            <v>0</v>
          </cell>
          <cell r="I3829" t="str">
            <v>Others</v>
          </cell>
          <cell r="J3829">
            <v>3</v>
          </cell>
          <cell r="K3829" t="str">
            <v>Others</v>
          </cell>
        </row>
        <row r="3830">
          <cell r="D3830">
            <v>730422</v>
          </cell>
          <cell r="E3830" t="str">
            <v>Steel, stainless; seamless, drill pipe, of a kind used in drilling for oil or gas</v>
          </cell>
          <cell r="F3830">
            <v>0</v>
          </cell>
          <cell r="G3830">
            <v>0</v>
          </cell>
          <cell r="H3830">
            <v>0</v>
          </cell>
          <cell r="I3830" t="str">
            <v>Others</v>
          </cell>
          <cell r="J3830">
            <v>3</v>
          </cell>
          <cell r="K3830" t="str">
            <v>Others</v>
          </cell>
        </row>
        <row r="3831">
          <cell r="D3831">
            <v>730423</v>
          </cell>
          <cell r="E3831" t="str">
            <v>Iron or steel (excluding cast iron or stainless steel); seamless, drill pipe, of a kind used in drilling for oil or gas</v>
          </cell>
          <cell r="F3831">
            <v>0</v>
          </cell>
          <cell r="G3831">
            <v>0</v>
          </cell>
          <cell r="H3831">
            <v>0</v>
          </cell>
          <cell r="I3831" t="str">
            <v>Others</v>
          </cell>
          <cell r="J3831">
            <v>3</v>
          </cell>
          <cell r="K3831" t="str">
            <v>Others</v>
          </cell>
        </row>
        <row r="3832">
          <cell r="D3832">
            <v>730424</v>
          </cell>
          <cell r="E3832" t="str">
            <v>Steel, stainless; seamless, casing and tubing, of a kind used in drilling for oil or gas</v>
          </cell>
          <cell r="F3832">
            <v>0</v>
          </cell>
          <cell r="G3832">
            <v>0</v>
          </cell>
          <cell r="H3832">
            <v>0</v>
          </cell>
          <cell r="I3832" t="str">
            <v>Others</v>
          </cell>
          <cell r="J3832">
            <v>3</v>
          </cell>
          <cell r="K3832" t="str">
            <v>Others</v>
          </cell>
        </row>
        <row r="3833">
          <cell r="D3833">
            <v>730429</v>
          </cell>
          <cell r="E3833" t="str">
            <v>Iron or steel (excluding cast iron or stainless steel); seamless, casing and tubing, of a kind used in drilling for oil or gas</v>
          </cell>
          <cell r="F3833">
            <v>0</v>
          </cell>
          <cell r="G3833">
            <v>0</v>
          </cell>
          <cell r="H3833">
            <v>0</v>
          </cell>
          <cell r="I3833" t="str">
            <v>Others</v>
          </cell>
          <cell r="J3833">
            <v>3</v>
          </cell>
          <cell r="K3833" t="str">
            <v>Others</v>
          </cell>
        </row>
        <row r="3834">
          <cell r="D3834">
            <v>730431</v>
          </cell>
          <cell r="E3834" t="str">
            <v>Iron or non-alloy steel (excluding cast iron); seamless, cold-drawn or cold-rolled, tubes, pipes and hollow profiles of circular cross-section</v>
          </cell>
          <cell r="F3834">
            <v>0</v>
          </cell>
          <cell r="G3834">
            <v>0</v>
          </cell>
          <cell r="H3834">
            <v>0</v>
          </cell>
          <cell r="I3834" t="str">
            <v>Others</v>
          </cell>
          <cell r="J3834">
            <v>3</v>
          </cell>
          <cell r="K3834" t="str">
            <v>Others</v>
          </cell>
        </row>
        <row r="3835">
          <cell r="D3835">
            <v>730439</v>
          </cell>
          <cell r="E3835" t="str">
            <v>Iron or non-alloy steel (excluding cast iron); seamless, (excluding cold-drawn or cold-rolled), tubes, pipes and hollow profiles of circular cross-section</v>
          </cell>
          <cell r="F3835">
            <v>0</v>
          </cell>
          <cell r="G3835">
            <v>0</v>
          </cell>
          <cell r="H3835">
            <v>0</v>
          </cell>
          <cell r="I3835" t="str">
            <v>Others</v>
          </cell>
          <cell r="J3835">
            <v>3</v>
          </cell>
          <cell r="K3835" t="str">
            <v>Others</v>
          </cell>
        </row>
        <row r="3836">
          <cell r="D3836">
            <v>730441</v>
          </cell>
          <cell r="E3836" t="str">
            <v>Steel, stainless; cold-drawn or cold-rolled (cold-reduced), tubes and pipes of circular cross-section</v>
          </cell>
          <cell r="F3836">
            <v>0</v>
          </cell>
          <cell r="G3836">
            <v>0</v>
          </cell>
          <cell r="H3836">
            <v>0</v>
          </cell>
          <cell r="I3836" t="str">
            <v>Others</v>
          </cell>
          <cell r="J3836">
            <v>3</v>
          </cell>
          <cell r="K3836" t="str">
            <v>Others</v>
          </cell>
        </row>
        <row r="3837">
          <cell r="D3837">
            <v>730449</v>
          </cell>
          <cell r="E3837" t="str">
            <v>Steel, stainless; (excluding cold-drawn or cold-rolled), tubes pipes and hollow profiles of circular cross-section</v>
          </cell>
          <cell r="F3837">
            <v>0</v>
          </cell>
          <cell r="G3837">
            <v>0</v>
          </cell>
          <cell r="H3837">
            <v>0</v>
          </cell>
          <cell r="I3837" t="str">
            <v>Others</v>
          </cell>
          <cell r="J3837">
            <v>3</v>
          </cell>
          <cell r="K3837" t="str">
            <v>Others</v>
          </cell>
        </row>
        <row r="3838">
          <cell r="D3838">
            <v>730451</v>
          </cell>
          <cell r="E3838" t="str">
            <v>Steel, alloy (not stainless steel); seamless, cold-drawn or cold-rolled (cold-reduced), tubes, pipes and hollow profiles of circular cross-section</v>
          </cell>
          <cell r="F3838">
            <v>0</v>
          </cell>
          <cell r="G3838">
            <v>0</v>
          </cell>
          <cell r="H3838">
            <v>0</v>
          </cell>
          <cell r="I3838" t="str">
            <v>Others</v>
          </cell>
          <cell r="J3838">
            <v>3</v>
          </cell>
          <cell r="K3838" t="str">
            <v>Others</v>
          </cell>
        </row>
        <row r="3839">
          <cell r="D3839">
            <v>730459</v>
          </cell>
          <cell r="E3839" t="str">
            <v>Steel, alloy (not stainless steel); (excluding cold-drawn or cold-rolled), tubes, pipes and hollow profiles of circular cross-section</v>
          </cell>
          <cell r="F3839">
            <v>0</v>
          </cell>
          <cell r="G3839">
            <v>0</v>
          </cell>
          <cell r="H3839">
            <v>0</v>
          </cell>
          <cell r="I3839" t="str">
            <v>Others</v>
          </cell>
          <cell r="J3839">
            <v>3</v>
          </cell>
          <cell r="K3839" t="str">
            <v>Others</v>
          </cell>
        </row>
        <row r="3840">
          <cell r="D3840">
            <v>730490</v>
          </cell>
          <cell r="E3840" t="str">
            <v>Iron or steel (excluding cast iron); seamless, tubes, pipes and hollow profiles, seamless, n.e.c. in heading no. 7304</v>
          </cell>
          <cell r="F3840">
            <v>0</v>
          </cell>
          <cell r="G3840">
            <v>0</v>
          </cell>
          <cell r="H3840">
            <v>0</v>
          </cell>
          <cell r="I3840" t="str">
            <v>Others</v>
          </cell>
          <cell r="J3840">
            <v>3</v>
          </cell>
          <cell r="K3840" t="str">
            <v>Others</v>
          </cell>
        </row>
        <row r="3841">
          <cell r="D3841">
            <v>730511</v>
          </cell>
          <cell r="E3841" t="str">
            <v>Iron or steel (excluding cast iron); line pipe of a kind used for oil or gas pipelines (not seamless), longitudinally submerged arc welded, having circular cross-sections, external diameter exceeds 406.4mm</v>
          </cell>
          <cell r="F3841">
            <v>0</v>
          </cell>
          <cell r="G3841">
            <v>0</v>
          </cell>
          <cell r="H3841">
            <v>0</v>
          </cell>
          <cell r="I3841" t="str">
            <v>Others</v>
          </cell>
          <cell r="J3841">
            <v>3</v>
          </cell>
          <cell r="K3841" t="str">
            <v>Others</v>
          </cell>
        </row>
        <row r="3842">
          <cell r="D3842">
            <v>730512</v>
          </cell>
          <cell r="E3842" t="str">
            <v>Iron or steel (excluding cast iron); line pipe of a kind used for oil or gas pipelines (not seamless), longitudinally welded (not submerged arc welded), having circular cross-sections, external diameter exceeds 406.4mm</v>
          </cell>
          <cell r="F3842">
            <v>0</v>
          </cell>
          <cell r="G3842">
            <v>0</v>
          </cell>
          <cell r="H3842">
            <v>0</v>
          </cell>
          <cell r="I3842" t="str">
            <v>Others</v>
          </cell>
          <cell r="J3842">
            <v>3</v>
          </cell>
          <cell r="K3842" t="str">
            <v>Others</v>
          </cell>
        </row>
        <row r="3843">
          <cell r="D3843">
            <v>730519</v>
          </cell>
          <cell r="E3843" t="str">
            <v>Iron or steel (excluding cast iron); line pipe of a kind used for oil or gas pipelines (not seamless), (not longitudinally welded), having circular cross-sections, external diameter exceeds 406.4mm</v>
          </cell>
          <cell r="F3843">
            <v>0</v>
          </cell>
          <cell r="G3843">
            <v>0</v>
          </cell>
          <cell r="H3843">
            <v>0</v>
          </cell>
          <cell r="I3843" t="str">
            <v>Others</v>
          </cell>
          <cell r="J3843">
            <v>3</v>
          </cell>
          <cell r="K3843" t="str">
            <v>Others</v>
          </cell>
        </row>
        <row r="3844">
          <cell r="D3844">
            <v>730520</v>
          </cell>
          <cell r="E3844" t="str">
            <v>Iron or steel (excluding cast iron); casing of a kind used in drilling for oil or gas (not seamless), having circular cross-sections, external diameter exceeds 406.4mm</v>
          </cell>
          <cell r="F3844">
            <v>0</v>
          </cell>
          <cell r="G3844">
            <v>0</v>
          </cell>
          <cell r="H3844">
            <v>0</v>
          </cell>
          <cell r="I3844" t="str">
            <v>Others</v>
          </cell>
          <cell r="J3844">
            <v>3</v>
          </cell>
          <cell r="K3844" t="str">
            <v>Others</v>
          </cell>
        </row>
        <row r="3845">
          <cell r="D3845">
            <v>730531</v>
          </cell>
          <cell r="E3845" t="str">
            <v>Iron or steel (excluding cast iron); tubes and pipes (other than line pipe or casing of a kind used for oil or gas pipelines), longitudinally welded, having circular cross-sections, external diameter exceeds 406.4mm, (not seamless)</v>
          </cell>
          <cell r="F3845">
            <v>0</v>
          </cell>
          <cell r="G3845">
            <v>0</v>
          </cell>
          <cell r="H3845">
            <v>0</v>
          </cell>
          <cell r="I3845" t="str">
            <v>Others</v>
          </cell>
          <cell r="J3845">
            <v>3</v>
          </cell>
          <cell r="K3845" t="str">
            <v>Others</v>
          </cell>
        </row>
        <row r="3846">
          <cell r="D3846">
            <v>730539</v>
          </cell>
          <cell r="E3846" t="str">
            <v>Iron or steel (excluding cast iron); tubes and pipes (other than line pipe or casing of a kind used for oil or gas pipelines), welded (not longitudinally welded), having circular cross-sections, external diameter exceeds 406.4mm, (not seamless)</v>
          </cell>
          <cell r="F3846">
            <v>0</v>
          </cell>
          <cell r="G3846">
            <v>0</v>
          </cell>
          <cell r="H3846">
            <v>0</v>
          </cell>
          <cell r="I3846" t="str">
            <v>Others</v>
          </cell>
          <cell r="J3846">
            <v>3</v>
          </cell>
          <cell r="K3846" t="str">
            <v>Others</v>
          </cell>
        </row>
        <row r="3847">
          <cell r="D3847">
            <v>730590</v>
          </cell>
          <cell r="E3847" t="str">
            <v>Iron or steel (excluding cast iron); tubes and pipes n.e.c. in heading no. 7305, having circular cross-sections, external diameter exceeds 406.4mm, (not seamless)</v>
          </cell>
          <cell r="F3847">
            <v>0</v>
          </cell>
          <cell r="G3847">
            <v>0</v>
          </cell>
          <cell r="H3847">
            <v>0</v>
          </cell>
          <cell r="I3847" t="str">
            <v>Others</v>
          </cell>
          <cell r="J3847">
            <v>3</v>
          </cell>
          <cell r="K3847" t="str">
            <v>Others</v>
          </cell>
        </row>
        <row r="3848">
          <cell r="D3848">
            <v>730611</v>
          </cell>
          <cell r="E3848" t="str">
            <v>Steel; stainless; line pipe of a kind used for oil or gas pipelines n.e.c. in chapter 73, welded, (not seamless)</v>
          </cell>
          <cell r="F3848">
            <v>0</v>
          </cell>
          <cell r="G3848">
            <v>0</v>
          </cell>
          <cell r="H3848">
            <v>0</v>
          </cell>
          <cell r="I3848" t="str">
            <v>Others</v>
          </cell>
          <cell r="J3848">
            <v>3</v>
          </cell>
          <cell r="K3848" t="str">
            <v>Others</v>
          </cell>
        </row>
        <row r="3849">
          <cell r="D3849">
            <v>730619</v>
          </cell>
          <cell r="E3849" t="str">
            <v>Iron or steel (excluding cast iron); line pipe of a kind used for oil or gas pipelines (other than of stainless steel or seamless), n.e.c. in chapter 73</v>
          </cell>
          <cell r="F3849">
            <v>0</v>
          </cell>
          <cell r="G3849">
            <v>0</v>
          </cell>
          <cell r="H3849">
            <v>0</v>
          </cell>
          <cell r="I3849" t="str">
            <v>Others</v>
          </cell>
          <cell r="J3849">
            <v>3</v>
          </cell>
          <cell r="K3849" t="str">
            <v>Others</v>
          </cell>
        </row>
        <row r="3850">
          <cell r="D3850">
            <v>730621</v>
          </cell>
          <cell r="E3850" t="str">
            <v>Steel, stainless; casing and tubing of a kind used in drilling for oil and gas, n.e.c. in chapter 73, welded, (not seamless)</v>
          </cell>
          <cell r="F3850">
            <v>0</v>
          </cell>
          <cell r="G3850">
            <v>0</v>
          </cell>
          <cell r="H3850">
            <v>0</v>
          </cell>
          <cell r="I3850" t="str">
            <v>Others</v>
          </cell>
          <cell r="J3850">
            <v>3</v>
          </cell>
          <cell r="K3850" t="str">
            <v>Others</v>
          </cell>
        </row>
        <row r="3851">
          <cell r="D3851">
            <v>730629</v>
          </cell>
          <cell r="E3851" t="str">
            <v>Iron or steel (excluding cast iron); casing and tubing of a kind used in drilling for oil and gas (other than stainless steel or seamless), n.e.c. in chapter 73</v>
          </cell>
          <cell r="F3851">
            <v>0</v>
          </cell>
          <cell r="G3851">
            <v>0</v>
          </cell>
          <cell r="H3851">
            <v>0</v>
          </cell>
          <cell r="I3851" t="str">
            <v>Others</v>
          </cell>
          <cell r="J3851">
            <v>3</v>
          </cell>
          <cell r="K3851" t="str">
            <v>Others</v>
          </cell>
        </row>
        <row r="3852">
          <cell r="D3852">
            <v>730630</v>
          </cell>
          <cell r="E3852" t="str">
            <v>Iron or non-alloy steel (excluding cast iron); tubes and pipes (not seamless), welded, of circular cross-section, n.e.c. in chapter 73</v>
          </cell>
          <cell r="F3852">
            <v>0</v>
          </cell>
          <cell r="G3852">
            <v>0</v>
          </cell>
          <cell r="H3852">
            <v>0</v>
          </cell>
          <cell r="I3852" t="str">
            <v>Others</v>
          </cell>
          <cell r="J3852">
            <v>3</v>
          </cell>
          <cell r="K3852" t="str">
            <v>Others</v>
          </cell>
        </row>
        <row r="3853">
          <cell r="D3853">
            <v>848390</v>
          </cell>
          <cell r="E3853" t="str">
            <v>Transmission components; toothed wheels, chain sprockets and other transmission elements presented separately; parts</v>
          </cell>
          <cell r="F3853" t="str">
            <v>Parts &amp; Accessories</v>
          </cell>
          <cell r="G3853">
            <v>0</v>
          </cell>
          <cell r="H3853" t="str">
            <v>Parts &amp; Accessories</v>
          </cell>
          <cell r="I3853" t="str">
            <v>Parts &amp; Accessories</v>
          </cell>
          <cell r="J3853">
            <v>1</v>
          </cell>
          <cell r="K3853" t="str">
            <v>Parts &amp; Accessories</v>
          </cell>
        </row>
        <row r="3854">
          <cell r="D3854">
            <v>730650</v>
          </cell>
          <cell r="E3854" t="str">
            <v>Steel, alloy; tubes, pipes and hollow profiles (other than stainless steel or seamless), welded, of circular cross-section, n.e.c. in chapter 73</v>
          </cell>
          <cell r="F3854">
            <v>0</v>
          </cell>
          <cell r="G3854">
            <v>0</v>
          </cell>
          <cell r="H3854">
            <v>0</v>
          </cell>
          <cell r="I3854" t="str">
            <v>Others</v>
          </cell>
          <cell r="J3854">
            <v>3</v>
          </cell>
          <cell r="K3854" t="str">
            <v>Others</v>
          </cell>
        </row>
        <row r="3855">
          <cell r="D3855">
            <v>730661</v>
          </cell>
          <cell r="E3855" t="str">
            <v>Iron or steel (excluding cast iron); tubes, pipes and hollow profiles (not seamless), welded, of square or rectangular cross-section, n.e.c. in chapter 73</v>
          </cell>
          <cell r="F3855">
            <v>0</v>
          </cell>
          <cell r="G3855">
            <v>0</v>
          </cell>
          <cell r="H3855">
            <v>0</v>
          </cell>
          <cell r="I3855" t="str">
            <v>Others</v>
          </cell>
          <cell r="J3855">
            <v>3</v>
          </cell>
          <cell r="K3855" t="str">
            <v>Others</v>
          </cell>
        </row>
        <row r="3856">
          <cell r="D3856">
            <v>730669</v>
          </cell>
          <cell r="E3856" t="str">
            <v>Iron or steel (excluding cast iron); tubes, pipes and hollow profiles (not seamless), n.e.c. in chapter 73, welded, of non-circular cross-section (not square or rectangular cross-section)</v>
          </cell>
          <cell r="F3856">
            <v>0</v>
          </cell>
          <cell r="G3856">
            <v>0</v>
          </cell>
          <cell r="H3856">
            <v>0</v>
          </cell>
          <cell r="I3856" t="str">
            <v>Others</v>
          </cell>
          <cell r="J3856">
            <v>3</v>
          </cell>
          <cell r="K3856" t="str">
            <v>Others</v>
          </cell>
        </row>
        <row r="3857">
          <cell r="D3857">
            <v>730690</v>
          </cell>
          <cell r="E3857" t="str">
            <v>Iron or steel (excluding cast iron); tubes, pipes and hollow profiles (not seamless), n.e.c. in chapter 73</v>
          </cell>
          <cell r="F3857">
            <v>0</v>
          </cell>
          <cell r="G3857">
            <v>0</v>
          </cell>
          <cell r="H3857">
            <v>0</v>
          </cell>
          <cell r="I3857" t="str">
            <v>Others</v>
          </cell>
          <cell r="J3857">
            <v>3</v>
          </cell>
          <cell r="K3857" t="str">
            <v>Others</v>
          </cell>
        </row>
        <row r="3858">
          <cell r="D3858">
            <v>730711</v>
          </cell>
          <cell r="E3858" t="str">
            <v>Cast iron; cast fittings, of non-malleable cast iron</v>
          </cell>
          <cell r="F3858">
            <v>0</v>
          </cell>
          <cell r="G3858">
            <v>0</v>
          </cell>
          <cell r="H3858">
            <v>0</v>
          </cell>
          <cell r="I3858" t="str">
            <v>Others</v>
          </cell>
          <cell r="J3858">
            <v>3</v>
          </cell>
          <cell r="K3858" t="str">
            <v>Others</v>
          </cell>
        </row>
        <row r="3859">
          <cell r="D3859">
            <v>853810</v>
          </cell>
          <cell r="E3859" t="str">
            <v>Electrical apparatus; parts (e.g. boards, panels, consoles, desks, cabinets, other bases), for goods of heading no. 8537, not equipped with their apparatus</v>
          </cell>
          <cell r="F3859" t="str">
            <v>Parts &amp; Accessories</v>
          </cell>
          <cell r="G3859">
            <v>0</v>
          </cell>
          <cell r="H3859">
            <v>0</v>
          </cell>
          <cell r="I3859" t="str">
            <v>Parts &amp; Accessories</v>
          </cell>
          <cell r="J3859">
            <v>2</v>
          </cell>
          <cell r="K3859" t="str">
            <v>Parts &amp; Accessories</v>
          </cell>
        </row>
        <row r="3860">
          <cell r="D3860">
            <v>730721</v>
          </cell>
          <cell r="E3860" t="str">
            <v>Steel, stainless; tube or pipe fittings, flanges, of stainless steel</v>
          </cell>
          <cell r="F3860">
            <v>0</v>
          </cell>
          <cell r="G3860">
            <v>0</v>
          </cell>
          <cell r="H3860">
            <v>0</v>
          </cell>
          <cell r="I3860" t="str">
            <v>Others</v>
          </cell>
          <cell r="J3860">
            <v>3</v>
          </cell>
          <cell r="K3860" t="str">
            <v>Others</v>
          </cell>
        </row>
        <row r="3861">
          <cell r="D3861">
            <v>903190</v>
          </cell>
          <cell r="E3861" t="str">
            <v>Instruments, appliances and machines; parts and accessories for those measuring or checking devices of heading no. 9031</v>
          </cell>
          <cell r="F3861" t="str">
            <v>Parts &amp; Accessories</v>
          </cell>
          <cell r="G3861">
            <v>0</v>
          </cell>
          <cell r="H3861">
            <v>0</v>
          </cell>
          <cell r="I3861" t="str">
            <v>Parts &amp; Accessories</v>
          </cell>
          <cell r="J3861">
            <v>2</v>
          </cell>
          <cell r="K3861" t="str">
            <v>Parts &amp; Accessories</v>
          </cell>
        </row>
        <row r="3862">
          <cell r="D3862">
            <v>730723</v>
          </cell>
          <cell r="E3862" t="str">
            <v>Steel, stainless; tube or pipe fittings, butt welding fittings</v>
          </cell>
          <cell r="F3862">
            <v>0</v>
          </cell>
          <cell r="G3862">
            <v>0</v>
          </cell>
          <cell r="H3862">
            <v>0</v>
          </cell>
          <cell r="I3862" t="str">
            <v>Others</v>
          </cell>
          <cell r="J3862">
            <v>3</v>
          </cell>
          <cell r="K3862" t="str">
            <v>Others</v>
          </cell>
        </row>
        <row r="3863">
          <cell r="D3863">
            <v>850131</v>
          </cell>
          <cell r="E3863" t="str">
            <v>Electric motors and generators; DC, of an output not exceeding 750W</v>
          </cell>
          <cell r="F3863" t="str">
            <v>Parts &amp; Accessories</v>
          </cell>
          <cell r="G3863">
            <v>0</v>
          </cell>
          <cell r="H3863" t="str">
            <v>Parts &amp; Accessories</v>
          </cell>
          <cell r="I3863" t="str">
            <v>Capital Goods</v>
          </cell>
          <cell r="J3863">
            <v>1</v>
          </cell>
          <cell r="K3863" t="str">
            <v>Parts &amp; Accessories</v>
          </cell>
        </row>
        <row r="3864">
          <cell r="D3864">
            <v>730791</v>
          </cell>
          <cell r="E3864" t="str">
            <v>Iron or steel; tube or pipe fittings, flanges, other than stainless steel</v>
          </cell>
          <cell r="F3864">
            <v>0</v>
          </cell>
          <cell r="G3864">
            <v>0</v>
          </cell>
          <cell r="H3864">
            <v>0</v>
          </cell>
          <cell r="I3864" t="str">
            <v>Others</v>
          </cell>
          <cell r="J3864">
            <v>3</v>
          </cell>
          <cell r="K3864" t="str">
            <v>Others</v>
          </cell>
        </row>
        <row r="3865">
          <cell r="D3865">
            <v>820900</v>
          </cell>
          <cell r="E3865" t="str">
            <v>Tools; plates, sticks, tips and the like for tools, unmounted, of sintered metal carbides or cermets</v>
          </cell>
          <cell r="F3865" t="str">
            <v>Capital Goods</v>
          </cell>
          <cell r="G3865">
            <v>0</v>
          </cell>
          <cell r="H3865" t="str">
            <v>Parts &amp; Accessories</v>
          </cell>
          <cell r="I3865" t="str">
            <v>Parts &amp; Accessories</v>
          </cell>
          <cell r="J3865">
            <v>1</v>
          </cell>
          <cell r="K3865" t="str">
            <v>Parts &amp; Accessories</v>
          </cell>
        </row>
        <row r="3866">
          <cell r="D3866">
            <v>730793</v>
          </cell>
          <cell r="E3866" t="str">
            <v>Iron or steel; tube or pipe fittings, butt welding fittings, other than stainless steel</v>
          </cell>
          <cell r="F3866">
            <v>0</v>
          </cell>
          <cell r="G3866">
            <v>0</v>
          </cell>
          <cell r="H3866">
            <v>0</v>
          </cell>
          <cell r="I3866" t="str">
            <v>Others</v>
          </cell>
          <cell r="J3866">
            <v>3</v>
          </cell>
          <cell r="K3866" t="str">
            <v>Others</v>
          </cell>
        </row>
        <row r="3867">
          <cell r="D3867">
            <v>843139</v>
          </cell>
          <cell r="E3867" t="str">
            <v>Machinery; parts of the machinery of heading no. 8428, (other than lifts, skip hoists or escalators)</v>
          </cell>
          <cell r="F3867" t="str">
            <v>Parts &amp; Accessories</v>
          </cell>
          <cell r="G3867">
            <v>0</v>
          </cell>
          <cell r="H3867" t="str">
            <v>Parts &amp; Accessories</v>
          </cell>
          <cell r="I3867" t="str">
            <v>Parts &amp; Accessories</v>
          </cell>
          <cell r="J3867">
            <v>1</v>
          </cell>
          <cell r="K3867" t="str">
            <v>Parts &amp; Accessories</v>
          </cell>
        </row>
        <row r="3868">
          <cell r="D3868">
            <v>730810</v>
          </cell>
          <cell r="E3868" t="str">
            <v>Iron or steel; structures and parts thereof, bridges and bridge-sections</v>
          </cell>
          <cell r="F3868">
            <v>0</v>
          </cell>
          <cell r="G3868">
            <v>0</v>
          </cell>
          <cell r="H3868">
            <v>0</v>
          </cell>
          <cell r="I3868" t="str">
            <v>Others</v>
          </cell>
          <cell r="J3868">
            <v>3</v>
          </cell>
          <cell r="K3868" t="str">
            <v>Others</v>
          </cell>
        </row>
        <row r="3869">
          <cell r="D3869">
            <v>730820</v>
          </cell>
          <cell r="E3869" t="str">
            <v>Iron or steel; structures and parts thereof, towers and lattice masts</v>
          </cell>
          <cell r="F3869">
            <v>0</v>
          </cell>
          <cell r="G3869">
            <v>0</v>
          </cell>
          <cell r="H3869">
            <v>0</v>
          </cell>
          <cell r="I3869" t="str">
            <v>Others</v>
          </cell>
          <cell r="J3869">
            <v>3</v>
          </cell>
          <cell r="K3869" t="str">
            <v>Others</v>
          </cell>
        </row>
        <row r="3870">
          <cell r="D3870">
            <v>730830</v>
          </cell>
          <cell r="E3870" t="str">
            <v>Iron or steel; structures and parts thereof, doors, windows and their frames and thresholds for doors</v>
          </cell>
          <cell r="F3870">
            <v>0</v>
          </cell>
          <cell r="G3870">
            <v>0</v>
          </cell>
          <cell r="H3870">
            <v>0</v>
          </cell>
          <cell r="I3870" t="str">
            <v>Others</v>
          </cell>
          <cell r="J3870">
            <v>3</v>
          </cell>
          <cell r="K3870" t="str">
            <v>Others</v>
          </cell>
        </row>
        <row r="3871">
          <cell r="D3871">
            <v>730840</v>
          </cell>
          <cell r="E3871" t="str">
            <v>Iron or steel; structures and parts thereof, props and similar equipment for scaffolding, shuttering or pit-propping</v>
          </cell>
          <cell r="F3871">
            <v>0</v>
          </cell>
          <cell r="G3871">
            <v>0</v>
          </cell>
          <cell r="H3871">
            <v>0</v>
          </cell>
          <cell r="I3871" t="str">
            <v>Others</v>
          </cell>
          <cell r="J3871">
            <v>3</v>
          </cell>
          <cell r="K3871" t="str">
            <v>Others</v>
          </cell>
        </row>
        <row r="3872">
          <cell r="D3872">
            <v>730890</v>
          </cell>
          <cell r="E3872" t="str">
            <v>Iron or steel; structures and parts thereof, n.e.c. in heading 7308</v>
          </cell>
          <cell r="F3872" t="str">
            <v>Capital Goods</v>
          </cell>
          <cell r="G3872">
            <v>0</v>
          </cell>
          <cell r="H3872">
            <v>0</v>
          </cell>
          <cell r="I3872" t="str">
            <v>Others</v>
          </cell>
          <cell r="J3872">
            <v>2</v>
          </cell>
          <cell r="K3872" t="str">
            <v>Capital Goods - rc</v>
          </cell>
        </row>
        <row r="3873">
          <cell r="D3873">
            <v>730900</v>
          </cell>
          <cell r="E3873" t="str">
            <v>Reservoirs, tanks, vats and similar containers; for any material (excluding compressed or liquefied gas), of iron or steel, capacity exceeding 300l, whether or not lined or heat insulated</v>
          </cell>
          <cell r="F3873" t="str">
            <v>Capital Goods</v>
          </cell>
          <cell r="G3873">
            <v>0</v>
          </cell>
          <cell r="H3873">
            <v>0</v>
          </cell>
          <cell r="I3873" t="str">
            <v>Capital Goods</v>
          </cell>
          <cell r="J3873">
            <v>2</v>
          </cell>
          <cell r="K3873" t="str">
            <v>Capital Goods</v>
          </cell>
        </row>
        <row r="3874">
          <cell r="D3874">
            <v>731010</v>
          </cell>
          <cell r="E3874" t="str">
            <v>Tanks, casks, drums, cans, boxes and similar containers, for any material (excluding compressed or liquefied gas), 50l or more capacity but not exceeding 300l</v>
          </cell>
          <cell r="F3874" t="str">
            <v>Capital Goods</v>
          </cell>
          <cell r="G3874">
            <v>0</v>
          </cell>
          <cell r="H3874">
            <v>0</v>
          </cell>
          <cell r="I3874" t="str">
            <v>Capital Goods</v>
          </cell>
          <cell r="J3874">
            <v>2</v>
          </cell>
          <cell r="K3874" t="str">
            <v>Capital Goods</v>
          </cell>
        </row>
        <row r="3875">
          <cell r="D3875">
            <v>731021</v>
          </cell>
          <cell r="E3875" t="str">
            <v>Cans; which are to be closed by soldering or crimping, for any material (excluding compressed or liquefied gas), less than 50l capacity, of iron or steel</v>
          </cell>
          <cell r="F3875">
            <v>0</v>
          </cell>
          <cell r="G3875">
            <v>0</v>
          </cell>
          <cell r="H3875">
            <v>0</v>
          </cell>
          <cell r="I3875" t="str">
            <v>Capital Goods</v>
          </cell>
          <cell r="J3875">
            <v>3</v>
          </cell>
          <cell r="K3875" t="str">
            <v>Consumables</v>
          </cell>
        </row>
        <row r="3876">
          <cell r="D3876">
            <v>731029</v>
          </cell>
          <cell r="E3876" t="str">
            <v>Tanks, casks, drums, boxes and similar containers for any material (excluding compressed or liquefied gas) less than 50l capacity, n.e.c. in item no. 7310.2, of iron or steel</v>
          </cell>
          <cell r="F3876" t="str">
            <v>Capital Goods</v>
          </cell>
          <cell r="G3876">
            <v>0</v>
          </cell>
          <cell r="H3876">
            <v>0</v>
          </cell>
          <cell r="I3876" t="str">
            <v>Capital Goods</v>
          </cell>
          <cell r="J3876">
            <v>2</v>
          </cell>
          <cell r="K3876" t="str">
            <v>Consumables</v>
          </cell>
        </row>
        <row r="3877">
          <cell r="D3877">
            <v>731100</v>
          </cell>
          <cell r="E3877" t="str">
            <v>Containers for compressed or liquefied gas, of iron or steel</v>
          </cell>
          <cell r="F3877" t="str">
            <v>Capital Goods</v>
          </cell>
          <cell r="G3877">
            <v>0</v>
          </cell>
          <cell r="H3877">
            <v>0</v>
          </cell>
          <cell r="I3877" t="str">
            <v>Capital Goods</v>
          </cell>
          <cell r="J3877">
            <v>2</v>
          </cell>
          <cell r="K3877" t="str">
            <v>Capital Goods - rc</v>
          </cell>
        </row>
        <row r="3878">
          <cell r="D3878">
            <v>845590</v>
          </cell>
          <cell r="E3878" t="str">
            <v>Metal-rolling mills; parts thereof</v>
          </cell>
          <cell r="F3878" t="str">
            <v>Parts &amp; Accessories</v>
          </cell>
          <cell r="G3878">
            <v>0</v>
          </cell>
          <cell r="H3878">
            <v>0</v>
          </cell>
          <cell r="I3878" t="str">
            <v>Parts &amp; Accessories</v>
          </cell>
          <cell r="J3878">
            <v>2</v>
          </cell>
          <cell r="K3878" t="str">
            <v>Parts &amp; Accessories</v>
          </cell>
        </row>
        <row r="3879">
          <cell r="D3879">
            <v>903290</v>
          </cell>
          <cell r="E3879" t="str">
            <v>Regulating or controlling instruments and apparatus; automatic, parts and accessories</v>
          </cell>
          <cell r="F3879" t="str">
            <v>Parts &amp; Accessories</v>
          </cell>
          <cell r="G3879">
            <v>0</v>
          </cell>
          <cell r="H3879">
            <v>0</v>
          </cell>
          <cell r="I3879" t="str">
            <v>Parts &amp; Accessories</v>
          </cell>
          <cell r="J3879">
            <v>2</v>
          </cell>
          <cell r="K3879" t="str">
            <v>Parts &amp; Accessories</v>
          </cell>
        </row>
        <row r="3880">
          <cell r="D3880">
            <v>731300</v>
          </cell>
          <cell r="E3880" t="str">
            <v>Iron of steel; barbed wire, twisted hoop or single flat wire and loosely twisted double wire, used for fencing</v>
          </cell>
          <cell r="F3880">
            <v>0</v>
          </cell>
          <cell r="G3880">
            <v>0</v>
          </cell>
          <cell r="H3880">
            <v>0</v>
          </cell>
          <cell r="I3880" t="str">
            <v>Others</v>
          </cell>
          <cell r="J3880">
            <v>3</v>
          </cell>
          <cell r="K3880" t="str">
            <v>Others</v>
          </cell>
        </row>
        <row r="3881">
          <cell r="D3881">
            <v>690919</v>
          </cell>
          <cell r="E3881" t="str">
            <v>Ceramic wares; for laboratory, chemical or other technical uses, other than articles having a hardness equivalent to 9 or more on the Mohs scale or of porcelain or china</v>
          </cell>
          <cell r="F3881" t="str">
            <v>Capital Goods</v>
          </cell>
          <cell r="G3881">
            <v>0</v>
          </cell>
          <cell r="H3881">
            <v>0</v>
          </cell>
          <cell r="I3881" t="str">
            <v>Others</v>
          </cell>
          <cell r="J3881">
            <v>2</v>
          </cell>
          <cell r="K3881" t="str">
            <v>Parts &amp; Accessories</v>
          </cell>
        </row>
        <row r="3882">
          <cell r="D3882">
            <v>731414</v>
          </cell>
          <cell r="E3882" t="str">
            <v>Iron or steel; woven cloth, of stainless steel, (other than endless bands for machinery)</v>
          </cell>
          <cell r="F3882">
            <v>0</v>
          </cell>
          <cell r="G3882">
            <v>0</v>
          </cell>
          <cell r="H3882">
            <v>0</v>
          </cell>
          <cell r="I3882" t="str">
            <v>Others</v>
          </cell>
          <cell r="J3882">
            <v>3</v>
          </cell>
          <cell r="K3882" t="str">
            <v>Others</v>
          </cell>
        </row>
        <row r="3883">
          <cell r="D3883">
            <v>731419</v>
          </cell>
          <cell r="E3883" t="str">
            <v>Iron or steel; woven cloth, other than of stainless steel</v>
          </cell>
          <cell r="F3883" t="str">
            <v>Capital Goods</v>
          </cell>
          <cell r="G3883">
            <v>0</v>
          </cell>
          <cell r="H3883">
            <v>0</v>
          </cell>
          <cell r="I3883" t="str">
            <v>Others</v>
          </cell>
          <cell r="J3883">
            <v>2</v>
          </cell>
          <cell r="K3883" t="str">
            <v>Capital Goods - rc</v>
          </cell>
        </row>
        <row r="3884">
          <cell r="D3884">
            <v>731420</v>
          </cell>
          <cell r="E3884" t="str">
            <v>Iron or steel wire; grill, netting and fencing, welded at intersections, of wire with a maximum cross-sectional dimension of 3mm or more and mesh size 100cm2 or more</v>
          </cell>
          <cell r="F3884">
            <v>0</v>
          </cell>
          <cell r="G3884">
            <v>0</v>
          </cell>
          <cell r="H3884">
            <v>0</v>
          </cell>
          <cell r="I3884" t="str">
            <v>Others</v>
          </cell>
          <cell r="J3884">
            <v>3</v>
          </cell>
          <cell r="K3884" t="str">
            <v>Others</v>
          </cell>
        </row>
        <row r="3885">
          <cell r="D3885">
            <v>731431</v>
          </cell>
          <cell r="E3885" t="str">
            <v>Iron or steel wire; grill, netting and fencing, welded at the intersection, n.e.c. in item no. 7314.20, plated or coated with zinc</v>
          </cell>
          <cell r="F3885">
            <v>0</v>
          </cell>
          <cell r="G3885">
            <v>0</v>
          </cell>
          <cell r="H3885">
            <v>0</v>
          </cell>
          <cell r="I3885" t="str">
            <v>Others</v>
          </cell>
          <cell r="J3885">
            <v>3</v>
          </cell>
          <cell r="K3885" t="str">
            <v>Others</v>
          </cell>
        </row>
        <row r="3886">
          <cell r="D3886">
            <v>731439</v>
          </cell>
          <cell r="E3886" t="str">
            <v>Iron or steel wire; grill, netting and fencing, welded at the intersection, n.e.c. in item no. 7314.20, (other than plated or coated with zinc)</v>
          </cell>
          <cell r="F3886">
            <v>0</v>
          </cell>
          <cell r="G3886">
            <v>0</v>
          </cell>
          <cell r="H3886">
            <v>0</v>
          </cell>
          <cell r="I3886" t="str">
            <v>Others</v>
          </cell>
          <cell r="J3886">
            <v>3</v>
          </cell>
          <cell r="K3886" t="str">
            <v>Others</v>
          </cell>
        </row>
        <row r="3887">
          <cell r="D3887">
            <v>731441</v>
          </cell>
          <cell r="E3887" t="str">
            <v>Iron or steel wire; grill, netting and fencing, plated or coated with zinc</v>
          </cell>
          <cell r="F3887" t="str">
            <v>Capital Goods</v>
          </cell>
          <cell r="G3887">
            <v>0</v>
          </cell>
          <cell r="H3887">
            <v>0</v>
          </cell>
          <cell r="I3887" t="str">
            <v>Others</v>
          </cell>
          <cell r="J3887">
            <v>2</v>
          </cell>
          <cell r="K3887" t="str">
            <v>Capital Goods - rc</v>
          </cell>
        </row>
        <row r="3888">
          <cell r="D3888">
            <v>731442</v>
          </cell>
          <cell r="E3888" t="str">
            <v>Iron or steel wire; grill, netting and fencing, coated with plastic</v>
          </cell>
          <cell r="F3888">
            <v>0</v>
          </cell>
          <cell r="G3888">
            <v>0</v>
          </cell>
          <cell r="H3888">
            <v>0</v>
          </cell>
          <cell r="I3888" t="str">
            <v>Others</v>
          </cell>
          <cell r="J3888">
            <v>3</v>
          </cell>
          <cell r="K3888" t="str">
            <v>Others</v>
          </cell>
        </row>
        <row r="3889">
          <cell r="D3889">
            <v>731449</v>
          </cell>
          <cell r="E3889" t="str">
            <v>Iron or steel wire; grill, netting and fencing, coated with materials other than zinc or plastic</v>
          </cell>
          <cell r="F3889" t="str">
            <v>Capital Goods</v>
          </cell>
          <cell r="G3889">
            <v>0</v>
          </cell>
          <cell r="H3889">
            <v>0</v>
          </cell>
          <cell r="I3889" t="str">
            <v>Others</v>
          </cell>
          <cell r="J3889">
            <v>2</v>
          </cell>
          <cell r="K3889" t="str">
            <v>Capital Goods - rc</v>
          </cell>
        </row>
        <row r="3890">
          <cell r="D3890">
            <v>731450</v>
          </cell>
          <cell r="E3890" t="str">
            <v>Iron or steel; expanded metal</v>
          </cell>
          <cell r="F3890">
            <v>0</v>
          </cell>
          <cell r="G3890">
            <v>0</v>
          </cell>
          <cell r="H3890">
            <v>0</v>
          </cell>
          <cell r="I3890" t="str">
            <v>Others</v>
          </cell>
          <cell r="J3890">
            <v>3</v>
          </cell>
          <cell r="K3890" t="str">
            <v>Others</v>
          </cell>
        </row>
        <row r="3891">
          <cell r="D3891">
            <v>847790</v>
          </cell>
          <cell r="E3891" t="str">
            <v>Machinery; parts of the machines of heading no. 8477, n.e.c. in item no. 8477.90</v>
          </cell>
          <cell r="F3891" t="str">
            <v>Capital Goods</v>
          </cell>
          <cell r="G3891">
            <v>0</v>
          </cell>
          <cell r="H3891" t="str">
            <v>Capital Goods</v>
          </cell>
          <cell r="I3891" t="str">
            <v>Parts &amp; Accessories</v>
          </cell>
          <cell r="J3891">
            <v>1</v>
          </cell>
          <cell r="K3891" t="str">
            <v>Parts &amp; Accessories</v>
          </cell>
        </row>
        <row r="3892">
          <cell r="D3892">
            <v>848079</v>
          </cell>
          <cell r="E3892" t="str">
            <v>Moulds; for rubber or plastics, other than injection or compression types</v>
          </cell>
          <cell r="F3892" t="str">
            <v>Capital Goods</v>
          </cell>
          <cell r="G3892">
            <v>0</v>
          </cell>
          <cell r="H3892" t="str">
            <v>Capital Goods</v>
          </cell>
          <cell r="I3892" t="str">
            <v>Capital Goods</v>
          </cell>
          <cell r="J3892">
            <v>1</v>
          </cell>
          <cell r="K3892" t="str">
            <v>Parts &amp; Accessories</v>
          </cell>
        </row>
        <row r="3893">
          <cell r="D3893">
            <v>846693</v>
          </cell>
          <cell r="E3893" t="str">
            <v>Parts &amp; accessories suited for use solely/principally with machines of headings 8456-8465; n.e.c. in heading no. 8466</v>
          </cell>
          <cell r="F3893" t="str">
            <v>Parts &amp; Accessories</v>
          </cell>
          <cell r="G3893">
            <v>0</v>
          </cell>
          <cell r="H3893">
            <v>0</v>
          </cell>
          <cell r="I3893" t="str">
            <v>Parts &amp; Accessories</v>
          </cell>
          <cell r="J3893">
            <v>2</v>
          </cell>
          <cell r="K3893" t="str">
            <v>Parts &amp; Accessories</v>
          </cell>
        </row>
        <row r="3894">
          <cell r="D3894">
            <v>843143</v>
          </cell>
          <cell r="E3894" t="str">
            <v>Boring or sinking machinery; parts for boring or sinking machinery of subheading 8430.41 or 8430.49</v>
          </cell>
          <cell r="F3894" t="str">
            <v>Parts &amp; Accessories</v>
          </cell>
          <cell r="G3894">
            <v>0</v>
          </cell>
          <cell r="H3894" t="str">
            <v>Parts &amp; Accessories</v>
          </cell>
          <cell r="I3894" t="str">
            <v>Parts &amp; Accessories</v>
          </cell>
          <cell r="J3894">
            <v>1</v>
          </cell>
          <cell r="K3894" t="str">
            <v>Parts &amp; Accessories</v>
          </cell>
        </row>
        <row r="3895">
          <cell r="D3895">
            <v>731210</v>
          </cell>
          <cell r="E3895" t="str">
            <v>Iron or steel; stranded wire, ropes and cables, not electrically insulated</v>
          </cell>
          <cell r="F3895" t="str">
            <v>Capital Goods</v>
          </cell>
          <cell r="G3895">
            <v>0</v>
          </cell>
          <cell r="H3895">
            <v>0</v>
          </cell>
          <cell r="I3895" t="str">
            <v>Others</v>
          </cell>
          <cell r="J3895">
            <v>2</v>
          </cell>
          <cell r="K3895" t="str">
            <v>Parts &amp; Accessories</v>
          </cell>
        </row>
        <row r="3896">
          <cell r="D3896">
            <v>841950</v>
          </cell>
          <cell r="E3896" t="str">
            <v>Heat exchange units; not used for domestic purposes</v>
          </cell>
          <cell r="F3896" t="str">
            <v>Capital Goods</v>
          </cell>
          <cell r="G3896">
            <v>0</v>
          </cell>
          <cell r="H3896" t="str">
            <v>Capital Goods</v>
          </cell>
          <cell r="I3896" t="str">
            <v>Capital Goods</v>
          </cell>
          <cell r="J3896">
            <v>1</v>
          </cell>
          <cell r="K3896" t="str">
            <v>Parts &amp; Accessories</v>
          </cell>
        </row>
        <row r="3897">
          <cell r="D3897">
            <v>841990</v>
          </cell>
          <cell r="E3897" t="str">
            <v>Machinery, plant and laboratory equipment; parts of equipment for treating materials by a process involving a change of temperature</v>
          </cell>
          <cell r="F3897" t="str">
            <v>Parts &amp; Accessories</v>
          </cell>
          <cell r="G3897">
            <v>0</v>
          </cell>
          <cell r="H3897" t="str">
            <v>Parts &amp; Accessories</v>
          </cell>
          <cell r="I3897" t="str">
            <v>Parts &amp; Accessories</v>
          </cell>
          <cell r="J3897">
            <v>1</v>
          </cell>
          <cell r="K3897" t="str">
            <v>Parts &amp; Accessories</v>
          </cell>
        </row>
        <row r="3898">
          <cell r="D3898">
            <v>845530</v>
          </cell>
          <cell r="E3898" t="str">
            <v>Metal-rolling mills; rolls thereof</v>
          </cell>
          <cell r="F3898">
            <v>0</v>
          </cell>
          <cell r="G3898">
            <v>0</v>
          </cell>
          <cell r="H3898" t="str">
            <v>Parts &amp; Accessories</v>
          </cell>
          <cell r="I3898" t="str">
            <v>Parts &amp; Accessories</v>
          </cell>
          <cell r="J3898">
            <v>2</v>
          </cell>
          <cell r="K3898" t="str">
            <v>Parts &amp; Accessories</v>
          </cell>
        </row>
        <row r="3899">
          <cell r="D3899">
            <v>848120</v>
          </cell>
          <cell r="E3899" t="str">
            <v>Valves; for oleohydraulic or pneumatic transmissions</v>
          </cell>
          <cell r="F3899" t="str">
            <v>Capital Goods</v>
          </cell>
          <cell r="G3899">
            <v>0</v>
          </cell>
          <cell r="H3899" t="str">
            <v>Parts &amp; Accessories</v>
          </cell>
          <cell r="I3899" t="str">
            <v>Parts &amp; Accessories</v>
          </cell>
          <cell r="J3899">
            <v>1</v>
          </cell>
          <cell r="K3899" t="str">
            <v>Parts &amp; Accessories</v>
          </cell>
        </row>
        <row r="3900">
          <cell r="D3900">
            <v>731700</v>
          </cell>
          <cell r="E3900" t="str">
            <v>Iron or steel; nails, tacks, drawing pins, corrugated nails, staples (not those of heading no. 8305) and the like, with heads of other material or not, but excluding articles with heads of copper</v>
          </cell>
          <cell r="F3900" t="str">
            <v>Consumables</v>
          </cell>
          <cell r="G3900">
            <v>0</v>
          </cell>
          <cell r="H3900">
            <v>0</v>
          </cell>
          <cell r="I3900" t="str">
            <v>Others</v>
          </cell>
          <cell r="J3900">
            <v>2</v>
          </cell>
          <cell r="K3900" t="str">
            <v>Consumables</v>
          </cell>
        </row>
        <row r="3901">
          <cell r="D3901">
            <v>731811</v>
          </cell>
          <cell r="E3901" t="str">
            <v>Iron or steel; threaded coach screws</v>
          </cell>
          <cell r="F3901" t="str">
            <v>Consumables</v>
          </cell>
          <cell r="G3901">
            <v>0</v>
          </cell>
          <cell r="H3901">
            <v>0</v>
          </cell>
          <cell r="I3901" t="str">
            <v>Others</v>
          </cell>
          <cell r="J3901">
            <v>2</v>
          </cell>
          <cell r="K3901" t="str">
            <v>Consumables</v>
          </cell>
        </row>
        <row r="3902">
          <cell r="D3902">
            <v>731812</v>
          </cell>
          <cell r="E3902" t="str">
            <v>Iron or steel; threaded wood screws other than coach screws</v>
          </cell>
          <cell r="F3902" t="str">
            <v>Consumables</v>
          </cell>
          <cell r="G3902">
            <v>0</v>
          </cell>
          <cell r="H3902">
            <v>0</v>
          </cell>
          <cell r="I3902" t="str">
            <v>Others</v>
          </cell>
          <cell r="J3902">
            <v>2</v>
          </cell>
          <cell r="K3902" t="str">
            <v>Consumables</v>
          </cell>
        </row>
        <row r="3903">
          <cell r="D3903">
            <v>731813</v>
          </cell>
          <cell r="E3903" t="str">
            <v>Iron or steel; threaded screw hooks and screw rings</v>
          </cell>
          <cell r="F3903" t="str">
            <v>Consumables</v>
          </cell>
          <cell r="G3903">
            <v>0</v>
          </cell>
          <cell r="H3903">
            <v>0</v>
          </cell>
          <cell r="I3903" t="str">
            <v>Others</v>
          </cell>
          <cell r="J3903">
            <v>2</v>
          </cell>
          <cell r="K3903" t="str">
            <v>Consumables</v>
          </cell>
        </row>
        <row r="3904">
          <cell r="D3904">
            <v>731814</v>
          </cell>
          <cell r="E3904" t="str">
            <v>Iron or steel; threaded self-tapping screws</v>
          </cell>
          <cell r="F3904" t="str">
            <v>Consumables</v>
          </cell>
          <cell r="G3904">
            <v>0</v>
          </cell>
          <cell r="H3904">
            <v>0</v>
          </cell>
          <cell r="I3904" t="str">
            <v>Others</v>
          </cell>
          <cell r="J3904">
            <v>2</v>
          </cell>
          <cell r="K3904" t="str">
            <v>Consumables</v>
          </cell>
        </row>
        <row r="3905">
          <cell r="D3905">
            <v>853224</v>
          </cell>
          <cell r="E3905" t="str">
            <v>Electrical capacitors; fixed, ceramic dielectric, multilayer</v>
          </cell>
          <cell r="F3905" t="str">
            <v>Parts &amp; Accessories</v>
          </cell>
          <cell r="G3905">
            <v>0</v>
          </cell>
          <cell r="H3905">
            <v>0</v>
          </cell>
          <cell r="I3905" t="str">
            <v>Parts &amp; Accessories</v>
          </cell>
          <cell r="J3905">
            <v>2</v>
          </cell>
          <cell r="K3905" t="str">
            <v>Parts &amp; Accessories</v>
          </cell>
        </row>
        <row r="3906">
          <cell r="D3906">
            <v>731816</v>
          </cell>
          <cell r="E3906" t="str">
            <v>Iron or steel; threaded nuts</v>
          </cell>
          <cell r="F3906" t="str">
            <v>Consumables</v>
          </cell>
          <cell r="G3906">
            <v>0</v>
          </cell>
          <cell r="H3906">
            <v>0</v>
          </cell>
          <cell r="I3906" t="str">
            <v>Others</v>
          </cell>
          <cell r="J3906">
            <v>2</v>
          </cell>
          <cell r="K3906" t="str">
            <v>Consumables</v>
          </cell>
        </row>
        <row r="3907">
          <cell r="D3907">
            <v>731819</v>
          </cell>
          <cell r="E3907" t="str">
            <v>Iron or steel; threaded screws, bolts and nuts n.e.c. in item no. 7318.1</v>
          </cell>
          <cell r="F3907" t="str">
            <v>Consumables</v>
          </cell>
          <cell r="G3907">
            <v>0</v>
          </cell>
          <cell r="H3907">
            <v>0</v>
          </cell>
          <cell r="I3907" t="str">
            <v>Others</v>
          </cell>
          <cell r="J3907">
            <v>2</v>
          </cell>
          <cell r="K3907" t="str">
            <v>Consumables</v>
          </cell>
        </row>
        <row r="3908">
          <cell r="D3908">
            <v>731821</v>
          </cell>
          <cell r="E3908" t="str">
            <v>Iron or steel; non-threaded spring washers and other lock washers</v>
          </cell>
          <cell r="F3908" t="str">
            <v>Consumables</v>
          </cell>
          <cell r="G3908">
            <v>0</v>
          </cell>
          <cell r="H3908">
            <v>0</v>
          </cell>
          <cell r="I3908" t="str">
            <v>Others</v>
          </cell>
          <cell r="J3908">
            <v>2</v>
          </cell>
          <cell r="K3908" t="str">
            <v>Consumables</v>
          </cell>
        </row>
        <row r="3909">
          <cell r="D3909">
            <v>731822</v>
          </cell>
          <cell r="E3909" t="str">
            <v>Iron or steel; non-threaded washers, excluding spring and lock</v>
          </cell>
          <cell r="F3909" t="str">
            <v>Consumables</v>
          </cell>
          <cell r="G3909">
            <v>0</v>
          </cell>
          <cell r="H3909">
            <v>0</v>
          </cell>
          <cell r="I3909" t="str">
            <v>Others</v>
          </cell>
          <cell r="J3909">
            <v>2</v>
          </cell>
          <cell r="K3909" t="str">
            <v>Consumables</v>
          </cell>
        </row>
        <row r="3910">
          <cell r="D3910">
            <v>731823</v>
          </cell>
          <cell r="E3910" t="str">
            <v>Iron or steel; non-threaded rivets</v>
          </cell>
          <cell r="F3910" t="str">
            <v>Consumables</v>
          </cell>
          <cell r="G3910">
            <v>0</v>
          </cell>
          <cell r="H3910">
            <v>0</v>
          </cell>
          <cell r="I3910" t="str">
            <v>Others</v>
          </cell>
          <cell r="J3910">
            <v>2</v>
          </cell>
          <cell r="K3910" t="str">
            <v>Consumables</v>
          </cell>
        </row>
        <row r="3911">
          <cell r="D3911">
            <v>731824</v>
          </cell>
          <cell r="E3911" t="str">
            <v>Iron or steel; non-threaded cotters and cotter-pins</v>
          </cell>
          <cell r="F3911" t="str">
            <v>Consumables</v>
          </cell>
          <cell r="G3911">
            <v>0</v>
          </cell>
          <cell r="H3911">
            <v>0</v>
          </cell>
          <cell r="I3911" t="str">
            <v>Others</v>
          </cell>
          <cell r="J3911">
            <v>2</v>
          </cell>
          <cell r="K3911" t="str">
            <v>Consumables</v>
          </cell>
        </row>
        <row r="3912">
          <cell r="D3912">
            <v>731829</v>
          </cell>
          <cell r="E3912" t="str">
            <v>Iron or steel; non-threaded articles, n.e.c. in item no. 7318.2</v>
          </cell>
          <cell r="F3912" t="str">
            <v>Consumables</v>
          </cell>
          <cell r="G3912">
            <v>0</v>
          </cell>
          <cell r="H3912">
            <v>0</v>
          </cell>
          <cell r="I3912" t="str">
            <v>Others</v>
          </cell>
          <cell r="J3912">
            <v>2</v>
          </cell>
          <cell r="K3912" t="str">
            <v>Consumables</v>
          </cell>
        </row>
        <row r="3913">
          <cell r="D3913">
            <v>731940</v>
          </cell>
          <cell r="E3913" t="str">
            <v>Safety pins and other pins; of iron or steel</v>
          </cell>
          <cell r="F3913" t="str">
            <v>Consumables</v>
          </cell>
          <cell r="G3913">
            <v>0</v>
          </cell>
          <cell r="H3913">
            <v>0</v>
          </cell>
          <cell r="I3913" t="str">
            <v>Others</v>
          </cell>
          <cell r="J3913">
            <v>2</v>
          </cell>
          <cell r="K3913" t="str">
            <v>Consumables</v>
          </cell>
        </row>
        <row r="3914">
          <cell r="D3914">
            <v>731990</v>
          </cell>
          <cell r="E3914" t="str">
            <v>Sewing and knitting needles, bodkins, crochet hooks, embroidery stilettos and similar articles, for use in the hand, not elsewhere specified or included, of iron or steel</v>
          </cell>
          <cell r="F3914" t="str">
            <v>Consumables</v>
          </cell>
          <cell r="G3914">
            <v>0</v>
          </cell>
          <cell r="H3914">
            <v>0</v>
          </cell>
          <cell r="I3914" t="str">
            <v>Others</v>
          </cell>
          <cell r="J3914">
            <v>2</v>
          </cell>
          <cell r="K3914" t="str">
            <v>Consumables</v>
          </cell>
        </row>
        <row r="3915">
          <cell r="D3915">
            <v>732010</v>
          </cell>
          <cell r="E3915" t="str">
            <v>Iron or steel; leaf-springs and leaves therefor</v>
          </cell>
          <cell r="F3915" t="str">
            <v>Consumables</v>
          </cell>
          <cell r="G3915">
            <v>0</v>
          </cell>
          <cell r="H3915">
            <v>0</v>
          </cell>
          <cell r="I3915" t="str">
            <v>Others</v>
          </cell>
          <cell r="J3915">
            <v>2</v>
          </cell>
          <cell r="K3915" t="str">
            <v>Consumables</v>
          </cell>
        </row>
        <row r="3916">
          <cell r="D3916">
            <v>732020</v>
          </cell>
          <cell r="E3916" t="str">
            <v>Iron or steel; helical springs and leaves for springs</v>
          </cell>
          <cell r="F3916" t="str">
            <v>Consumables</v>
          </cell>
          <cell r="G3916">
            <v>0</v>
          </cell>
          <cell r="H3916">
            <v>0</v>
          </cell>
          <cell r="I3916" t="str">
            <v>Others</v>
          </cell>
          <cell r="J3916">
            <v>2</v>
          </cell>
          <cell r="K3916" t="str">
            <v>Consumables</v>
          </cell>
        </row>
        <row r="3917">
          <cell r="D3917">
            <v>732090</v>
          </cell>
          <cell r="E3917" t="str">
            <v>Iron or steel; springs n.e.c. in heading no. 7320</v>
          </cell>
          <cell r="F3917" t="str">
            <v>Consumables</v>
          </cell>
          <cell r="G3917">
            <v>0</v>
          </cell>
          <cell r="H3917">
            <v>0</v>
          </cell>
          <cell r="I3917" t="str">
            <v>Others</v>
          </cell>
          <cell r="J3917">
            <v>2</v>
          </cell>
          <cell r="K3917" t="str">
            <v>Consumables</v>
          </cell>
        </row>
        <row r="3918">
          <cell r="D3918">
            <v>732111</v>
          </cell>
          <cell r="E3918" t="str">
            <v>Cooking appliances and plate warmers; for gas fuel or for both gas and other fuels, of iron or steel</v>
          </cell>
          <cell r="F3918">
            <v>0</v>
          </cell>
          <cell r="G3918">
            <v>0</v>
          </cell>
          <cell r="H3918">
            <v>0</v>
          </cell>
          <cell r="I3918" t="str">
            <v>Durable</v>
          </cell>
          <cell r="J3918">
            <v>3</v>
          </cell>
          <cell r="K3918" t="str">
            <v>Durable</v>
          </cell>
        </row>
        <row r="3919">
          <cell r="D3919">
            <v>732112</v>
          </cell>
          <cell r="E3919" t="str">
            <v>Cooking appliances and plate warmers; for liquid fuel, of iron or steel</v>
          </cell>
          <cell r="F3919">
            <v>0</v>
          </cell>
          <cell r="G3919">
            <v>0</v>
          </cell>
          <cell r="H3919">
            <v>0</v>
          </cell>
          <cell r="I3919" t="str">
            <v>Durable</v>
          </cell>
          <cell r="J3919">
            <v>3</v>
          </cell>
          <cell r="K3919" t="str">
            <v>Durable</v>
          </cell>
        </row>
        <row r="3920">
          <cell r="D3920">
            <v>732119</v>
          </cell>
          <cell r="E3920" t="str">
            <v>Cooking appliances and plate warmers; for solid fuel and fuels other than gas or liquid, of iron or steel</v>
          </cell>
          <cell r="F3920">
            <v>0</v>
          </cell>
          <cell r="G3920">
            <v>0</v>
          </cell>
          <cell r="H3920">
            <v>0</v>
          </cell>
          <cell r="I3920" t="str">
            <v>Durable</v>
          </cell>
          <cell r="J3920">
            <v>3</v>
          </cell>
          <cell r="K3920" t="str">
            <v>Durable</v>
          </cell>
        </row>
        <row r="3921">
          <cell r="D3921">
            <v>732181</v>
          </cell>
          <cell r="E3921" t="str">
            <v>Domestic appliances; non-electric, (other than cookers and plate warmers), for gas fuel or for both gas and other fuels, of iron or steel</v>
          </cell>
          <cell r="F3921">
            <v>0</v>
          </cell>
          <cell r="G3921">
            <v>0</v>
          </cell>
          <cell r="H3921">
            <v>0</v>
          </cell>
          <cell r="I3921" t="str">
            <v>Durable</v>
          </cell>
          <cell r="J3921">
            <v>3</v>
          </cell>
          <cell r="K3921" t="str">
            <v>Durable</v>
          </cell>
        </row>
        <row r="3922">
          <cell r="D3922">
            <v>732182</v>
          </cell>
          <cell r="E3922" t="str">
            <v>Domestic appliances; non-electric, (other than cookers and plate warmers), for liquid fuel, of iron or steel</v>
          </cell>
          <cell r="F3922">
            <v>0</v>
          </cell>
          <cell r="G3922">
            <v>0</v>
          </cell>
          <cell r="H3922">
            <v>0</v>
          </cell>
          <cell r="I3922" t="str">
            <v>Durable</v>
          </cell>
          <cell r="J3922">
            <v>3</v>
          </cell>
          <cell r="K3922" t="str">
            <v>Durable</v>
          </cell>
        </row>
        <row r="3923">
          <cell r="D3923">
            <v>732189</v>
          </cell>
          <cell r="E3923" t="str">
            <v>Domestic appliances; non-electric, (other than cookers and plate warmers), for solid fuel and fuels other than gas or liquid, of iron or steel</v>
          </cell>
          <cell r="F3923">
            <v>0</v>
          </cell>
          <cell r="G3923">
            <v>0</v>
          </cell>
          <cell r="H3923">
            <v>0</v>
          </cell>
          <cell r="I3923" t="str">
            <v>Durable</v>
          </cell>
          <cell r="J3923">
            <v>3</v>
          </cell>
          <cell r="K3923" t="str">
            <v>Durable</v>
          </cell>
        </row>
        <row r="3924">
          <cell r="D3924">
            <v>732190</v>
          </cell>
          <cell r="E3924" t="str">
            <v>Domestic appliances; non-electric, parts thereof, of iron or steel</v>
          </cell>
          <cell r="F3924" t="str">
            <v>Capital Goods</v>
          </cell>
          <cell r="G3924">
            <v>0</v>
          </cell>
          <cell r="H3924">
            <v>0</v>
          </cell>
          <cell r="I3924" t="str">
            <v>Others</v>
          </cell>
          <cell r="J3924">
            <v>2</v>
          </cell>
          <cell r="K3924" t="str">
            <v>Capital Goods - rc</v>
          </cell>
        </row>
        <row r="3925">
          <cell r="D3925">
            <v>847340</v>
          </cell>
          <cell r="E3925" t="str">
            <v>Machinery; parts and accessories (other than covers, carrying cases and the like) of the machines of heading no. 8472</v>
          </cell>
          <cell r="F3925" t="str">
            <v>Parts &amp; Accessories</v>
          </cell>
          <cell r="G3925">
            <v>0</v>
          </cell>
          <cell r="H3925">
            <v>0</v>
          </cell>
          <cell r="I3925" t="str">
            <v>Parts &amp; Accessories</v>
          </cell>
          <cell r="J3925">
            <v>2</v>
          </cell>
          <cell r="K3925" t="str">
            <v>Parts &amp; Accessories</v>
          </cell>
        </row>
        <row r="3926">
          <cell r="D3926">
            <v>853649</v>
          </cell>
          <cell r="E3926" t="str">
            <v>Electrical apparatus; relays, for a voltage exceeding 60 volts</v>
          </cell>
          <cell r="F3926" t="str">
            <v>Parts &amp; Accessories</v>
          </cell>
          <cell r="G3926">
            <v>0</v>
          </cell>
          <cell r="H3926">
            <v>0</v>
          </cell>
          <cell r="I3926" t="str">
            <v>Parts &amp; Accessories</v>
          </cell>
          <cell r="J3926">
            <v>2</v>
          </cell>
          <cell r="K3926" t="str">
            <v>Parts &amp; Accessories</v>
          </cell>
        </row>
        <row r="3927">
          <cell r="D3927">
            <v>732290</v>
          </cell>
          <cell r="E3927" t="str">
            <v>Air heaters and hot air distributors, (not electrically heated), incorporating a motor-driven fan or blower and parts thereof, of iron or steel</v>
          </cell>
          <cell r="F3927" t="str">
            <v>Parts &amp; Accessories</v>
          </cell>
          <cell r="G3927">
            <v>0</v>
          </cell>
          <cell r="H3927">
            <v>0</v>
          </cell>
          <cell r="I3927" t="str">
            <v>Capital Goods</v>
          </cell>
          <cell r="J3927">
            <v>2</v>
          </cell>
          <cell r="K3927" t="str">
            <v>Durable</v>
          </cell>
        </row>
        <row r="3928">
          <cell r="D3928">
            <v>732310</v>
          </cell>
          <cell r="E3928" t="str">
            <v>Iron or steel; wool, pot scourers and scouring or polishing pads, gloves and the like</v>
          </cell>
          <cell r="F3928">
            <v>0</v>
          </cell>
          <cell r="G3928">
            <v>0</v>
          </cell>
          <cell r="H3928">
            <v>0</v>
          </cell>
          <cell r="I3928" t="str">
            <v>Others</v>
          </cell>
          <cell r="J3928">
            <v>3</v>
          </cell>
          <cell r="K3928" t="str">
            <v>Others</v>
          </cell>
        </row>
        <row r="3929">
          <cell r="D3929">
            <v>732391</v>
          </cell>
          <cell r="E3929" t="str">
            <v>Cast iron; table, kitchen and other household articles and parts thereof, of cast iron, not enamelled</v>
          </cell>
          <cell r="F3929" t="str">
            <v>Capital Goods</v>
          </cell>
          <cell r="G3929">
            <v>0</v>
          </cell>
          <cell r="H3929">
            <v>0</v>
          </cell>
          <cell r="I3929" t="str">
            <v>Others</v>
          </cell>
          <cell r="J3929">
            <v>2</v>
          </cell>
          <cell r="K3929" t="str">
            <v>Others</v>
          </cell>
        </row>
        <row r="3930">
          <cell r="D3930">
            <v>732392</v>
          </cell>
          <cell r="E3930" t="str">
            <v>Cast iron; table, kitchen and other household articles and parts thereof, of cast iron, enamelled</v>
          </cell>
          <cell r="F3930">
            <v>0</v>
          </cell>
          <cell r="G3930">
            <v>0</v>
          </cell>
          <cell r="H3930">
            <v>0</v>
          </cell>
          <cell r="I3930" t="str">
            <v>Others</v>
          </cell>
          <cell r="J3930">
            <v>3</v>
          </cell>
          <cell r="K3930" t="str">
            <v>Others</v>
          </cell>
        </row>
        <row r="3931">
          <cell r="D3931">
            <v>732393</v>
          </cell>
          <cell r="E3931" t="str">
            <v>Steel, stainless; table, kitchen and other household articles and parts thereof</v>
          </cell>
          <cell r="F3931" t="str">
            <v>Capital Goods</v>
          </cell>
          <cell r="G3931">
            <v>0</v>
          </cell>
          <cell r="H3931">
            <v>0</v>
          </cell>
          <cell r="I3931" t="str">
            <v>Others</v>
          </cell>
          <cell r="J3931">
            <v>2</v>
          </cell>
          <cell r="K3931" t="str">
            <v>Others</v>
          </cell>
        </row>
        <row r="3932">
          <cell r="D3932">
            <v>732394</v>
          </cell>
          <cell r="E3932" t="str">
            <v>Iron (excluding cast) or steel; table, kitchen and other household articles and parts thereof, enamelled</v>
          </cell>
          <cell r="F3932">
            <v>0</v>
          </cell>
          <cell r="G3932">
            <v>0</v>
          </cell>
          <cell r="H3932">
            <v>0</v>
          </cell>
          <cell r="I3932" t="str">
            <v>Others</v>
          </cell>
          <cell r="J3932">
            <v>3</v>
          </cell>
          <cell r="K3932" t="str">
            <v>Others</v>
          </cell>
        </row>
        <row r="3933">
          <cell r="D3933">
            <v>732399</v>
          </cell>
          <cell r="E3933" t="str">
            <v>Iron or steel; table, kitchen and other household articles and parts thereof, of iron or steel n.e.c. in heading no. 7323</v>
          </cell>
          <cell r="F3933" t="str">
            <v>Capital Goods</v>
          </cell>
          <cell r="G3933">
            <v>0</v>
          </cell>
          <cell r="H3933">
            <v>0</v>
          </cell>
          <cell r="I3933" t="str">
            <v>Others</v>
          </cell>
          <cell r="J3933">
            <v>2</v>
          </cell>
          <cell r="K3933" t="str">
            <v>Capital Goods - rc</v>
          </cell>
        </row>
        <row r="3934">
          <cell r="D3934">
            <v>732410</v>
          </cell>
          <cell r="E3934" t="str">
            <v>Steel; sinks and wash basins, of stainless steel</v>
          </cell>
          <cell r="F3934">
            <v>0</v>
          </cell>
          <cell r="G3934">
            <v>0</v>
          </cell>
          <cell r="H3934">
            <v>0</v>
          </cell>
          <cell r="I3934" t="str">
            <v>Others</v>
          </cell>
          <cell r="J3934">
            <v>3</v>
          </cell>
          <cell r="K3934" t="str">
            <v>Others</v>
          </cell>
        </row>
        <row r="3935">
          <cell r="D3935">
            <v>732421</v>
          </cell>
          <cell r="E3935" t="str">
            <v>Cast iron, baths, whether or not enamelled</v>
          </cell>
          <cell r="F3935">
            <v>0</v>
          </cell>
          <cell r="G3935">
            <v>0</v>
          </cell>
          <cell r="H3935">
            <v>0</v>
          </cell>
          <cell r="I3935" t="str">
            <v>Others</v>
          </cell>
          <cell r="J3935">
            <v>3</v>
          </cell>
          <cell r="K3935" t="str">
            <v>Others</v>
          </cell>
        </row>
        <row r="3936">
          <cell r="D3936">
            <v>732429</v>
          </cell>
          <cell r="E3936" t="str">
            <v>Iron (other than cast) or steel; baths</v>
          </cell>
          <cell r="F3936" t="str">
            <v>Capital Goods</v>
          </cell>
          <cell r="G3936">
            <v>0</v>
          </cell>
          <cell r="H3936">
            <v>0</v>
          </cell>
          <cell r="I3936" t="str">
            <v>Others</v>
          </cell>
          <cell r="J3936">
            <v>2</v>
          </cell>
          <cell r="K3936" t="str">
            <v>Others</v>
          </cell>
        </row>
        <row r="3937">
          <cell r="D3937">
            <v>732490</v>
          </cell>
          <cell r="E3937" t="str">
            <v>Iron or steel; sanitary ware and parts thereof, excluding sinks, wash basins and baths</v>
          </cell>
          <cell r="F3937" t="str">
            <v>Capital Goods</v>
          </cell>
          <cell r="G3937">
            <v>0</v>
          </cell>
          <cell r="H3937">
            <v>0</v>
          </cell>
          <cell r="I3937" t="str">
            <v>Others</v>
          </cell>
          <cell r="J3937">
            <v>2</v>
          </cell>
          <cell r="K3937" t="str">
            <v>Others</v>
          </cell>
        </row>
        <row r="3938">
          <cell r="D3938">
            <v>732510</v>
          </cell>
          <cell r="E3938" t="str">
            <v>Iron; articles of non-malleable cast iron</v>
          </cell>
          <cell r="F3938" t="str">
            <v>Capital Goods</v>
          </cell>
          <cell r="G3938">
            <v>0</v>
          </cell>
          <cell r="H3938">
            <v>0</v>
          </cell>
          <cell r="I3938" t="str">
            <v>Others</v>
          </cell>
          <cell r="J3938">
            <v>2</v>
          </cell>
          <cell r="K3938" t="str">
            <v>Capital Goods - rc</v>
          </cell>
        </row>
        <row r="3939">
          <cell r="D3939">
            <v>732591</v>
          </cell>
          <cell r="E3939" t="str">
            <v>Iron; grinding balls and similar articles for mills, other than of non-malleable cast iron</v>
          </cell>
          <cell r="F3939">
            <v>0</v>
          </cell>
          <cell r="G3939">
            <v>0</v>
          </cell>
          <cell r="H3939">
            <v>0</v>
          </cell>
          <cell r="I3939" t="str">
            <v>Others</v>
          </cell>
          <cell r="J3939">
            <v>3</v>
          </cell>
          <cell r="K3939" t="str">
            <v>Capital Goods - rc</v>
          </cell>
        </row>
        <row r="3940">
          <cell r="D3940">
            <v>848330</v>
          </cell>
          <cell r="E3940" t="str">
            <v>Bearing housings, not incorporating ball or roller bearings and plain shaft bearings</v>
          </cell>
          <cell r="F3940" t="str">
            <v>Capital Goods</v>
          </cell>
          <cell r="G3940">
            <v>0</v>
          </cell>
          <cell r="H3940" t="str">
            <v>Parts &amp; Accessories</v>
          </cell>
          <cell r="I3940" t="str">
            <v>Parts &amp; Accessories</v>
          </cell>
          <cell r="J3940">
            <v>1</v>
          </cell>
          <cell r="K3940" t="str">
            <v>Parts &amp; Accessories</v>
          </cell>
        </row>
        <row r="3941">
          <cell r="D3941">
            <v>732611</v>
          </cell>
          <cell r="E3941" t="str">
            <v>Iron or steel; grinding balls and similar articles for mills, forged or stamped, but not further worked</v>
          </cell>
          <cell r="F3941">
            <v>0</v>
          </cell>
          <cell r="G3941">
            <v>0</v>
          </cell>
          <cell r="H3941">
            <v>0</v>
          </cell>
          <cell r="I3941" t="str">
            <v>Others</v>
          </cell>
          <cell r="J3941">
            <v>3</v>
          </cell>
          <cell r="K3941" t="str">
            <v>Others</v>
          </cell>
        </row>
        <row r="3942">
          <cell r="D3942">
            <v>847480</v>
          </cell>
          <cell r="E3942" t="str">
            <v>Machines; for agglomerating, shaping or moulding solid mineral fuels, ceramic paste, unhardened cements, plastering materials in powder or paste form, machines for forming foundry moulds of sand</v>
          </cell>
          <cell r="F3942" t="str">
            <v>Capital Goods</v>
          </cell>
          <cell r="G3942">
            <v>0</v>
          </cell>
          <cell r="H3942" t="str">
            <v>Capital Goods</v>
          </cell>
          <cell r="I3942" t="str">
            <v>Capital Goods</v>
          </cell>
          <cell r="J3942">
            <v>1</v>
          </cell>
          <cell r="K3942" t="str">
            <v>Parts &amp; Accessories</v>
          </cell>
        </row>
        <row r="3943">
          <cell r="D3943">
            <v>732620</v>
          </cell>
          <cell r="E3943" t="str">
            <v>Iron or steel; wire articles</v>
          </cell>
          <cell r="F3943" t="str">
            <v>Capital Goods</v>
          </cell>
          <cell r="G3943">
            <v>0</v>
          </cell>
          <cell r="H3943">
            <v>0</v>
          </cell>
          <cell r="I3943" t="str">
            <v>Others</v>
          </cell>
          <cell r="J3943">
            <v>2</v>
          </cell>
          <cell r="K3943" t="str">
            <v>Parts &amp; Accessories - rc</v>
          </cell>
        </row>
        <row r="3944">
          <cell r="D3944">
            <v>732690</v>
          </cell>
          <cell r="E3944" t="str">
            <v>Iron or steel; articles n.e.c. in heading 7326</v>
          </cell>
          <cell r="F3944" t="str">
            <v>Capital Goods</v>
          </cell>
          <cell r="G3944">
            <v>0</v>
          </cell>
          <cell r="H3944">
            <v>0</v>
          </cell>
          <cell r="I3944" t="str">
            <v>Others</v>
          </cell>
          <cell r="J3944">
            <v>2</v>
          </cell>
          <cell r="K3944" t="str">
            <v>Consumables - rc</v>
          </cell>
        </row>
        <row r="3945">
          <cell r="D3945">
            <v>740100</v>
          </cell>
          <cell r="E3945" t="str">
            <v>Copper mattes; cement copper (precipitated copper)</v>
          </cell>
          <cell r="F3945">
            <v>0</v>
          </cell>
          <cell r="G3945">
            <v>0</v>
          </cell>
          <cell r="H3945">
            <v>0</v>
          </cell>
          <cell r="I3945" t="str">
            <v>Others</v>
          </cell>
          <cell r="J3945">
            <v>3</v>
          </cell>
          <cell r="K3945" t="str">
            <v>Others</v>
          </cell>
        </row>
        <row r="3946">
          <cell r="D3946">
            <v>740200</v>
          </cell>
          <cell r="E3946" t="str">
            <v>Copper; unrefined, copper anodes for electrolytic refining</v>
          </cell>
          <cell r="F3946">
            <v>0</v>
          </cell>
          <cell r="G3946">
            <v>0</v>
          </cell>
          <cell r="H3946">
            <v>0</v>
          </cell>
          <cell r="I3946" t="str">
            <v>Others</v>
          </cell>
          <cell r="J3946">
            <v>3</v>
          </cell>
          <cell r="K3946" t="str">
            <v>Others</v>
          </cell>
        </row>
        <row r="3947">
          <cell r="D3947">
            <v>740311</v>
          </cell>
          <cell r="E3947" t="str">
            <v>Copper; refined, unwrought, cathodes and sections of cathodes</v>
          </cell>
          <cell r="F3947">
            <v>0</v>
          </cell>
          <cell r="G3947">
            <v>0</v>
          </cell>
          <cell r="H3947">
            <v>0</v>
          </cell>
          <cell r="I3947" t="str">
            <v>Others</v>
          </cell>
          <cell r="J3947">
            <v>3</v>
          </cell>
          <cell r="K3947" t="str">
            <v>Others</v>
          </cell>
        </row>
        <row r="3948">
          <cell r="D3948">
            <v>740312</v>
          </cell>
          <cell r="E3948" t="str">
            <v>Copper; refined, unwrought, wire-bars</v>
          </cell>
          <cell r="F3948">
            <v>0</v>
          </cell>
          <cell r="G3948">
            <v>0</v>
          </cell>
          <cell r="H3948">
            <v>0</v>
          </cell>
          <cell r="I3948" t="str">
            <v>Others</v>
          </cell>
          <cell r="J3948">
            <v>3</v>
          </cell>
          <cell r="K3948" t="str">
            <v>Others</v>
          </cell>
        </row>
        <row r="3949">
          <cell r="D3949">
            <v>740313</v>
          </cell>
          <cell r="E3949" t="str">
            <v>Copper; refined, unwrought, billets</v>
          </cell>
          <cell r="F3949">
            <v>0</v>
          </cell>
          <cell r="G3949">
            <v>0</v>
          </cell>
          <cell r="H3949">
            <v>0</v>
          </cell>
          <cell r="I3949" t="str">
            <v>Others</v>
          </cell>
          <cell r="J3949">
            <v>3</v>
          </cell>
          <cell r="K3949" t="str">
            <v>Others</v>
          </cell>
        </row>
        <row r="3950">
          <cell r="D3950">
            <v>740319</v>
          </cell>
          <cell r="E3950" t="str">
            <v>Copper; refined, unwrought, n.e.c. in item no. 7403.1</v>
          </cell>
          <cell r="F3950">
            <v>0</v>
          </cell>
          <cell r="G3950">
            <v>0</v>
          </cell>
          <cell r="H3950">
            <v>0</v>
          </cell>
          <cell r="I3950" t="str">
            <v>Others</v>
          </cell>
          <cell r="J3950">
            <v>3</v>
          </cell>
          <cell r="K3950" t="str">
            <v>Others</v>
          </cell>
        </row>
        <row r="3951">
          <cell r="D3951">
            <v>740321</v>
          </cell>
          <cell r="E3951" t="str">
            <v>Copper; copper-zinc base alloys (brass) unwrought</v>
          </cell>
          <cell r="F3951">
            <v>0</v>
          </cell>
          <cell r="G3951">
            <v>0</v>
          </cell>
          <cell r="H3951">
            <v>0</v>
          </cell>
          <cell r="I3951" t="str">
            <v>Others</v>
          </cell>
          <cell r="J3951">
            <v>3</v>
          </cell>
          <cell r="K3951" t="str">
            <v>Others</v>
          </cell>
        </row>
        <row r="3952">
          <cell r="D3952">
            <v>740322</v>
          </cell>
          <cell r="E3952" t="str">
            <v>Copper; copper-tin base alloys (bronze) unwrought</v>
          </cell>
          <cell r="F3952">
            <v>0</v>
          </cell>
          <cell r="G3952">
            <v>0</v>
          </cell>
          <cell r="H3952">
            <v>0</v>
          </cell>
          <cell r="I3952" t="str">
            <v>Others</v>
          </cell>
          <cell r="J3952">
            <v>3</v>
          </cell>
          <cell r="K3952" t="str">
            <v>Others</v>
          </cell>
        </row>
        <row r="3953">
          <cell r="D3953">
            <v>740329</v>
          </cell>
          <cell r="E3953" t="str">
            <v>Copper; copper alloys n.e.c. in heading no. 7403 (other than master alloys of heading no. 7405)</v>
          </cell>
          <cell r="F3953">
            <v>0</v>
          </cell>
          <cell r="G3953">
            <v>0</v>
          </cell>
          <cell r="H3953">
            <v>0</v>
          </cell>
          <cell r="I3953" t="str">
            <v>Others</v>
          </cell>
          <cell r="J3953">
            <v>3</v>
          </cell>
          <cell r="K3953" t="str">
            <v>Others</v>
          </cell>
        </row>
        <row r="3954">
          <cell r="D3954">
            <v>740400</v>
          </cell>
          <cell r="E3954" t="str">
            <v>Copper; waste and scrap</v>
          </cell>
          <cell r="F3954">
            <v>0</v>
          </cell>
          <cell r="G3954">
            <v>0</v>
          </cell>
          <cell r="H3954">
            <v>0</v>
          </cell>
          <cell r="I3954" t="str">
            <v>Others</v>
          </cell>
          <cell r="J3954">
            <v>3</v>
          </cell>
          <cell r="K3954" t="str">
            <v>Others</v>
          </cell>
        </row>
        <row r="3955">
          <cell r="D3955">
            <v>740500</v>
          </cell>
          <cell r="E3955" t="str">
            <v>Copper; master alloys of copper</v>
          </cell>
          <cell r="F3955">
            <v>0</v>
          </cell>
          <cell r="G3955">
            <v>0</v>
          </cell>
          <cell r="H3955">
            <v>0</v>
          </cell>
          <cell r="I3955" t="str">
            <v>Others</v>
          </cell>
          <cell r="J3955">
            <v>3</v>
          </cell>
          <cell r="K3955" t="str">
            <v>Others</v>
          </cell>
        </row>
        <row r="3956">
          <cell r="D3956">
            <v>740610</v>
          </cell>
          <cell r="E3956" t="str">
            <v>Copper; powders of non-lamellar structure</v>
          </cell>
          <cell r="F3956">
            <v>0</v>
          </cell>
          <cell r="G3956">
            <v>0</v>
          </cell>
          <cell r="H3956">
            <v>0</v>
          </cell>
          <cell r="I3956" t="str">
            <v>Others</v>
          </cell>
          <cell r="J3956">
            <v>3</v>
          </cell>
          <cell r="K3956" t="str">
            <v>Others</v>
          </cell>
        </row>
        <row r="3957">
          <cell r="D3957">
            <v>740620</v>
          </cell>
          <cell r="E3957" t="str">
            <v>Copper; powders of lamellar structure, flakes</v>
          </cell>
          <cell r="F3957">
            <v>0</v>
          </cell>
          <cell r="G3957">
            <v>0</v>
          </cell>
          <cell r="H3957">
            <v>0</v>
          </cell>
          <cell r="I3957" t="str">
            <v>Others</v>
          </cell>
          <cell r="J3957">
            <v>3</v>
          </cell>
          <cell r="K3957" t="str">
            <v>Others</v>
          </cell>
        </row>
        <row r="3958">
          <cell r="D3958">
            <v>740710</v>
          </cell>
          <cell r="E3958" t="str">
            <v>Copper; bars, rods and profiles, of refined copper</v>
          </cell>
          <cell r="F3958" t="str">
            <v>Consumables</v>
          </cell>
          <cell r="G3958">
            <v>0</v>
          </cell>
          <cell r="H3958">
            <v>0</v>
          </cell>
          <cell r="I3958" t="str">
            <v>Others</v>
          </cell>
          <cell r="J3958">
            <v>2</v>
          </cell>
          <cell r="K3958" t="str">
            <v>Consumables - rc</v>
          </cell>
        </row>
        <row r="3959">
          <cell r="D3959">
            <v>740721</v>
          </cell>
          <cell r="E3959" t="str">
            <v>Copper; bars, rods and profiles, of copper-zinc base alloys (brass)</v>
          </cell>
          <cell r="F3959" t="str">
            <v>Consumables</v>
          </cell>
          <cell r="G3959">
            <v>0</v>
          </cell>
          <cell r="H3959">
            <v>0</v>
          </cell>
          <cell r="I3959" t="str">
            <v>Others</v>
          </cell>
          <cell r="J3959">
            <v>2</v>
          </cell>
          <cell r="K3959" t="str">
            <v>Consumables - rc</v>
          </cell>
        </row>
        <row r="3960">
          <cell r="D3960">
            <v>740729</v>
          </cell>
          <cell r="E3960" t="str">
            <v>Copper; bars, rods and profiles, of copper alloys (other than copper-zinc base alloys)</v>
          </cell>
          <cell r="F3960" t="str">
            <v>Consumables</v>
          </cell>
          <cell r="G3960">
            <v>0</v>
          </cell>
          <cell r="H3960">
            <v>0</v>
          </cell>
          <cell r="I3960" t="str">
            <v>Others</v>
          </cell>
          <cell r="J3960">
            <v>2</v>
          </cell>
          <cell r="K3960" t="str">
            <v>Consumables - rc</v>
          </cell>
        </row>
        <row r="3961">
          <cell r="D3961">
            <v>740811</v>
          </cell>
          <cell r="E3961" t="str">
            <v>Copper; wire, of refined copper, of which the maximum cross-sectional dimension exceeds 6mm</v>
          </cell>
          <cell r="F3961" t="str">
            <v>Consumables</v>
          </cell>
          <cell r="G3961">
            <v>0</v>
          </cell>
          <cell r="H3961">
            <v>0</v>
          </cell>
          <cell r="I3961" t="str">
            <v>Others</v>
          </cell>
          <cell r="J3961">
            <v>2</v>
          </cell>
          <cell r="K3961" t="str">
            <v>Consumables - rc</v>
          </cell>
        </row>
        <row r="3962">
          <cell r="D3962">
            <v>740819</v>
          </cell>
          <cell r="E3962" t="str">
            <v>Copper; wire, of refined copper, of which the maximum cross-sectional dimension is 6mm or less</v>
          </cell>
          <cell r="F3962" t="str">
            <v>Consumables</v>
          </cell>
          <cell r="G3962">
            <v>0</v>
          </cell>
          <cell r="H3962">
            <v>0</v>
          </cell>
          <cell r="I3962" t="str">
            <v>Others</v>
          </cell>
          <cell r="J3962">
            <v>2</v>
          </cell>
          <cell r="K3962" t="str">
            <v>Consumables - rc</v>
          </cell>
        </row>
        <row r="3963">
          <cell r="D3963">
            <v>740821</v>
          </cell>
          <cell r="E3963" t="str">
            <v>Copper; wire, of copper-zinc base alloys (brass)</v>
          </cell>
          <cell r="F3963">
            <v>0</v>
          </cell>
          <cell r="G3963">
            <v>0</v>
          </cell>
          <cell r="H3963">
            <v>0</v>
          </cell>
          <cell r="I3963" t="str">
            <v>Others</v>
          </cell>
          <cell r="J3963">
            <v>3</v>
          </cell>
          <cell r="K3963" t="str">
            <v>Others</v>
          </cell>
        </row>
        <row r="3964">
          <cell r="D3964">
            <v>740822</v>
          </cell>
          <cell r="E3964" t="str">
            <v>Copper; wire, of copper-nickel base alloys (cupro-nickel) or copper-nickel-zinc base alloys (nickel silver)</v>
          </cell>
          <cell r="F3964">
            <v>0</v>
          </cell>
          <cell r="G3964">
            <v>0</v>
          </cell>
          <cell r="H3964">
            <v>0</v>
          </cell>
          <cell r="I3964" t="str">
            <v>Others</v>
          </cell>
          <cell r="J3964">
            <v>3</v>
          </cell>
          <cell r="K3964" t="str">
            <v>Others</v>
          </cell>
        </row>
        <row r="3965">
          <cell r="D3965">
            <v>740829</v>
          </cell>
          <cell r="E3965" t="str">
            <v>Copper; wire, of copper alloys (other than copper-zinc base alloys, copper-nickel base alloys or copper-nickel-zinc base alloys)</v>
          </cell>
          <cell r="F3965" t="str">
            <v>Consumables</v>
          </cell>
          <cell r="G3965">
            <v>0</v>
          </cell>
          <cell r="H3965">
            <v>0</v>
          </cell>
          <cell r="I3965" t="str">
            <v>Others</v>
          </cell>
          <cell r="J3965">
            <v>2</v>
          </cell>
          <cell r="K3965" t="str">
            <v>Consumables - rc</v>
          </cell>
        </row>
        <row r="3966">
          <cell r="D3966">
            <v>740911</v>
          </cell>
          <cell r="E3966" t="str">
            <v>Copper; strip, of a thickness exceeding 0.15mm, of refined copper, in coils</v>
          </cell>
          <cell r="F3966" t="str">
            <v>Consumables</v>
          </cell>
          <cell r="G3966">
            <v>0</v>
          </cell>
          <cell r="H3966">
            <v>0</v>
          </cell>
          <cell r="I3966" t="str">
            <v>Others</v>
          </cell>
          <cell r="J3966">
            <v>2</v>
          </cell>
          <cell r="K3966" t="str">
            <v>Consumables - rc</v>
          </cell>
        </row>
        <row r="3967">
          <cell r="D3967">
            <v>740919</v>
          </cell>
          <cell r="E3967" t="str">
            <v>Copper; plates and sheets, of a thickness exceeding 0.15mm, of refined copper, not in coils</v>
          </cell>
          <cell r="F3967" t="str">
            <v>Consumables</v>
          </cell>
          <cell r="G3967">
            <v>0</v>
          </cell>
          <cell r="H3967">
            <v>0</v>
          </cell>
          <cell r="I3967" t="str">
            <v>Others</v>
          </cell>
          <cell r="J3967">
            <v>2</v>
          </cell>
          <cell r="K3967" t="str">
            <v>Consumables - rc</v>
          </cell>
        </row>
        <row r="3968">
          <cell r="D3968">
            <v>740921</v>
          </cell>
          <cell r="E3968" t="str">
            <v>Copper; strip, of a thickness exceeding 0.15mm, of copper-zinc base alloys (brass), in coils</v>
          </cell>
          <cell r="F3968">
            <v>0</v>
          </cell>
          <cell r="G3968">
            <v>0</v>
          </cell>
          <cell r="H3968">
            <v>0</v>
          </cell>
          <cell r="I3968" t="str">
            <v>Others</v>
          </cell>
          <cell r="J3968">
            <v>3</v>
          </cell>
          <cell r="K3968" t="str">
            <v>Others</v>
          </cell>
        </row>
        <row r="3969">
          <cell r="D3969">
            <v>740929</v>
          </cell>
          <cell r="E3969" t="str">
            <v>Copper; plates and sheets, of a thickness exceeding 0.15mm, of copper-zinc base alloys (brass), not in coils</v>
          </cell>
          <cell r="F3969" t="str">
            <v>Consumables</v>
          </cell>
          <cell r="G3969">
            <v>0</v>
          </cell>
          <cell r="H3969">
            <v>0</v>
          </cell>
          <cell r="I3969" t="str">
            <v>Others</v>
          </cell>
          <cell r="J3969">
            <v>2</v>
          </cell>
          <cell r="K3969" t="str">
            <v>Consumables - rc</v>
          </cell>
        </row>
        <row r="3970">
          <cell r="D3970">
            <v>740931</v>
          </cell>
          <cell r="E3970" t="str">
            <v>Copper; strip, of a thickness exceeding 0.15mm, of copper-tin base alloys (bronze), in coils</v>
          </cell>
          <cell r="F3970">
            <v>0</v>
          </cell>
          <cell r="G3970">
            <v>0</v>
          </cell>
          <cell r="H3970">
            <v>0</v>
          </cell>
          <cell r="I3970" t="str">
            <v>Others</v>
          </cell>
          <cell r="J3970">
            <v>3</v>
          </cell>
          <cell r="K3970" t="str">
            <v>Others</v>
          </cell>
        </row>
        <row r="3971">
          <cell r="D3971">
            <v>740939</v>
          </cell>
          <cell r="E3971" t="str">
            <v>Copper; plates and sheets, of a thickness exceeding 0.15mm, of copper-tin base alloys, not in coils</v>
          </cell>
          <cell r="F3971" t="str">
            <v>Consumables</v>
          </cell>
          <cell r="G3971">
            <v>0</v>
          </cell>
          <cell r="H3971">
            <v>0</v>
          </cell>
          <cell r="I3971" t="str">
            <v>Others</v>
          </cell>
          <cell r="J3971">
            <v>2</v>
          </cell>
          <cell r="K3971" t="str">
            <v>Consumables - rc</v>
          </cell>
        </row>
        <row r="3972">
          <cell r="D3972">
            <v>740940</v>
          </cell>
          <cell r="E3972" t="str">
            <v>Copper; plates, sheets and strip, of a thickness exceeding 0.15mm, of copper-nickel base alloys (cupro-nickel) or copper-nickel-zinc base alloys (nickel silver)</v>
          </cell>
          <cell r="F3972">
            <v>0</v>
          </cell>
          <cell r="G3972">
            <v>0</v>
          </cell>
          <cell r="H3972">
            <v>0</v>
          </cell>
          <cell r="I3972" t="str">
            <v>Others</v>
          </cell>
          <cell r="J3972">
            <v>3</v>
          </cell>
          <cell r="K3972" t="str">
            <v>Others</v>
          </cell>
        </row>
        <row r="3973">
          <cell r="D3973">
            <v>740990</v>
          </cell>
          <cell r="E3973" t="str">
            <v>Copper; plates, sheets and strip, of a thickness exceeding 0.15mm, of copper alloys (other than copper-zinc base alloys, copper-tin base alloys, copper-nickel base alloys or copper-nickel-zinc base alloys)</v>
          </cell>
          <cell r="F3973">
            <v>0</v>
          </cell>
          <cell r="G3973">
            <v>0</v>
          </cell>
          <cell r="H3973">
            <v>0</v>
          </cell>
          <cell r="I3973" t="str">
            <v>Others</v>
          </cell>
          <cell r="J3973">
            <v>3</v>
          </cell>
          <cell r="K3973" t="str">
            <v>Others</v>
          </cell>
        </row>
        <row r="3974">
          <cell r="D3974">
            <v>741011</v>
          </cell>
          <cell r="E3974" t="str">
            <v>Copper; foil, not backed, of a thickness not exceeding 0.15mm, of refined copper</v>
          </cell>
          <cell r="F3974" t="str">
            <v>Consumables</v>
          </cell>
          <cell r="G3974">
            <v>0</v>
          </cell>
          <cell r="H3974">
            <v>0</v>
          </cell>
          <cell r="I3974" t="str">
            <v>Others</v>
          </cell>
          <cell r="J3974">
            <v>2</v>
          </cell>
          <cell r="K3974" t="str">
            <v>Consumables - rc</v>
          </cell>
        </row>
        <row r="3975">
          <cell r="D3975">
            <v>741012</v>
          </cell>
          <cell r="E3975" t="str">
            <v>Copper; foil, not backed, of a thickness not exceeding 0.15mm, of copper alloys</v>
          </cell>
          <cell r="F3975">
            <v>0</v>
          </cell>
          <cell r="G3975">
            <v>0</v>
          </cell>
          <cell r="H3975">
            <v>0</v>
          </cell>
          <cell r="I3975" t="str">
            <v>Others</v>
          </cell>
          <cell r="J3975">
            <v>3</v>
          </cell>
          <cell r="K3975" t="str">
            <v>Others</v>
          </cell>
        </row>
        <row r="3976">
          <cell r="D3976">
            <v>741021</v>
          </cell>
          <cell r="E3976" t="str">
            <v>Copper; foil, backed with paper, paperboard, plastics or similar backing material, of a thickness (excluding any backing) not exceeding 0.15mm, of refined copper</v>
          </cell>
          <cell r="F3976" t="str">
            <v>Consumables</v>
          </cell>
          <cell r="G3976">
            <v>0</v>
          </cell>
          <cell r="H3976">
            <v>0</v>
          </cell>
          <cell r="I3976" t="str">
            <v>Others</v>
          </cell>
          <cell r="J3976">
            <v>2</v>
          </cell>
          <cell r="K3976" t="str">
            <v>Consumables - rc</v>
          </cell>
        </row>
        <row r="3977">
          <cell r="D3977">
            <v>741022</v>
          </cell>
          <cell r="E3977" t="str">
            <v>Copper; foil, backed with paper, paperboard, plastics or similar backing material, of a thickness (excluding any backing) not exceeding 0.15mm, of copper alloys</v>
          </cell>
          <cell r="F3977" t="str">
            <v>Consumables</v>
          </cell>
          <cell r="G3977">
            <v>0</v>
          </cell>
          <cell r="H3977">
            <v>0</v>
          </cell>
          <cell r="I3977" t="str">
            <v>Others</v>
          </cell>
          <cell r="J3977">
            <v>2</v>
          </cell>
          <cell r="K3977" t="str">
            <v>Consumables - rc</v>
          </cell>
        </row>
        <row r="3978">
          <cell r="D3978">
            <v>741110</v>
          </cell>
          <cell r="E3978" t="str">
            <v>Copper; tubes and pipes, of refined copper</v>
          </cell>
          <cell r="F3978" t="str">
            <v>Capital Goods</v>
          </cell>
          <cell r="G3978">
            <v>0</v>
          </cell>
          <cell r="H3978">
            <v>0</v>
          </cell>
          <cell r="I3978" t="str">
            <v>Others</v>
          </cell>
          <cell r="J3978">
            <v>2</v>
          </cell>
          <cell r="K3978" t="str">
            <v>Consumables - rc</v>
          </cell>
        </row>
        <row r="3979">
          <cell r="D3979">
            <v>741121</v>
          </cell>
          <cell r="E3979" t="str">
            <v>Copper; tubes and pipes, of copper-zinc base alloys (brass)</v>
          </cell>
          <cell r="F3979">
            <v>0</v>
          </cell>
          <cell r="G3979">
            <v>0</v>
          </cell>
          <cell r="H3979">
            <v>0</v>
          </cell>
          <cell r="I3979" t="str">
            <v>Others</v>
          </cell>
          <cell r="J3979">
            <v>3</v>
          </cell>
          <cell r="K3979" t="str">
            <v>Others</v>
          </cell>
        </row>
        <row r="3980">
          <cell r="D3980">
            <v>741122</v>
          </cell>
          <cell r="E3980" t="str">
            <v>Copper; tubes and pipes, of copper-nickel base alloys (cupro-nickel) or copper-nickel-zinc base alloys (nickel silver)</v>
          </cell>
          <cell r="F3980">
            <v>0</v>
          </cell>
          <cell r="G3980">
            <v>0</v>
          </cell>
          <cell r="H3980">
            <v>0</v>
          </cell>
          <cell r="I3980" t="str">
            <v>Others</v>
          </cell>
          <cell r="J3980">
            <v>3</v>
          </cell>
          <cell r="K3980" t="str">
            <v>Others</v>
          </cell>
        </row>
        <row r="3981">
          <cell r="D3981">
            <v>741129</v>
          </cell>
          <cell r="E3981" t="str">
            <v>Copper; tubes and pipes, of copper alloys (other than copper-zinc, copper-nickel base alloys (cupro-nickel) or copper-nickel-zinc base alloys (nickel-silver))</v>
          </cell>
          <cell r="F3981">
            <v>0</v>
          </cell>
          <cell r="G3981">
            <v>0</v>
          </cell>
          <cell r="H3981">
            <v>0</v>
          </cell>
          <cell r="I3981" t="str">
            <v>Others</v>
          </cell>
          <cell r="J3981">
            <v>3</v>
          </cell>
          <cell r="K3981" t="str">
            <v>Others</v>
          </cell>
        </row>
        <row r="3982">
          <cell r="D3982">
            <v>848299</v>
          </cell>
          <cell r="E3982" t="str">
            <v>Bearings; parts, (other than balls, needles and rollers)</v>
          </cell>
          <cell r="F3982" t="str">
            <v>Parts &amp; Accessories</v>
          </cell>
          <cell r="G3982">
            <v>0</v>
          </cell>
          <cell r="H3982" t="str">
            <v>Parts &amp; Accessories</v>
          </cell>
          <cell r="I3982" t="str">
            <v>Parts &amp; Accessories</v>
          </cell>
          <cell r="J3982">
            <v>1</v>
          </cell>
          <cell r="K3982" t="str">
            <v>Parts &amp; Accessories</v>
          </cell>
        </row>
        <row r="3983">
          <cell r="D3983">
            <v>903300</v>
          </cell>
          <cell r="E3983" t="str">
            <v>Machines and appliances, instruments or apparatus of chapter 90; parts and accessories n.e.c. in chapter 90</v>
          </cell>
          <cell r="F3983" t="str">
            <v>Parts &amp; Accessories</v>
          </cell>
          <cell r="G3983">
            <v>0</v>
          </cell>
          <cell r="H3983">
            <v>0</v>
          </cell>
          <cell r="I3983" t="str">
            <v>Parts &amp; Accessories</v>
          </cell>
          <cell r="J3983">
            <v>2</v>
          </cell>
          <cell r="K3983" t="str">
            <v>Parts &amp; Accessories</v>
          </cell>
        </row>
        <row r="3984">
          <cell r="D3984">
            <v>853620</v>
          </cell>
          <cell r="E3984" t="str">
            <v>Electrical apparatus; automatic circuit breakers, for a voltage not exceeding 1000 volts</v>
          </cell>
          <cell r="F3984" t="str">
            <v>Capital Goods</v>
          </cell>
          <cell r="G3984">
            <v>0</v>
          </cell>
          <cell r="H3984" t="str">
            <v>Capital Goods</v>
          </cell>
          <cell r="I3984" t="str">
            <v>Capital Goods</v>
          </cell>
          <cell r="J3984">
            <v>1</v>
          </cell>
          <cell r="K3984" t="str">
            <v>Parts &amp; Accessories</v>
          </cell>
        </row>
        <row r="3985">
          <cell r="D3985">
            <v>741510</v>
          </cell>
          <cell r="E3985" t="str">
            <v>Copper; nails and tacks, drawing pins, staples and similar articles of copper, or of iron or steel with copper heads</v>
          </cell>
          <cell r="F3985">
            <v>0</v>
          </cell>
          <cell r="G3985">
            <v>0</v>
          </cell>
          <cell r="H3985">
            <v>0</v>
          </cell>
          <cell r="I3985" t="str">
            <v>Others</v>
          </cell>
          <cell r="J3985">
            <v>3</v>
          </cell>
          <cell r="K3985" t="str">
            <v>Consumables</v>
          </cell>
        </row>
        <row r="3986">
          <cell r="D3986">
            <v>741521</v>
          </cell>
          <cell r="E3986" t="str">
            <v>Copper; washers, (including spring washers), not threaded</v>
          </cell>
          <cell r="F3986" t="str">
            <v>Capital Goods</v>
          </cell>
          <cell r="G3986">
            <v>0</v>
          </cell>
          <cell r="H3986">
            <v>0</v>
          </cell>
          <cell r="I3986" t="str">
            <v>Others</v>
          </cell>
          <cell r="J3986">
            <v>2</v>
          </cell>
          <cell r="K3986" t="str">
            <v>Consumables</v>
          </cell>
        </row>
        <row r="3987">
          <cell r="D3987">
            <v>741529</v>
          </cell>
          <cell r="E3987" t="str">
            <v>Copper; rivets, cotters, cotter-pins and similar articles, not threaded</v>
          </cell>
          <cell r="F3987" t="str">
            <v>Capital Goods</v>
          </cell>
          <cell r="G3987">
            <v>0</v>
          </cell>
          <cell r="H3987">
            <v>0</v>
          </cell>
          <cell r="I3987" t="str">
            <v>Others</v>
          </cell>
          <cell r="J3987">
            <v>2</v>
          </cell>
          <cell r="K3987" t="str">
            <v>Consumables</v>
          </cell>
        </row>
        <row r="3988">
          <cell r="D3988">
            <v>741533</v>
          </cell>
          <cell r="E3988" t="str">
            <v>Copper; screws, bolts and nuts, threaded</v>
          </cell>
          <cell r="F3988" t="str">
            <v>Capital Goods</v>
          </cell>
          <cell r="G3988">
            <v>0</v>
          </cell>
          <cell r="H3988">
            <v>0</v>
          </cell>
          <cell r="I3988" t="str">
            <v>Others</v>
          </cell>
          <cell r="J3988">
            <v>2</v>
          </cell>
          <cell r="K3988" t="str">
            <v>Consumables</v>
          </cell>
        </row>
        <row r="3989">
          <cell r="D3989">
            <v>741539</v>
          </cell>
          <cell r="E3989" t="str">
            <v>Copper; articles n.e.c. in heading no. 7415</v>
          </cell>
          <cell r="F3989" t="str">
            <v>Capital Goods</v>
          </cell>
          <cell r="G3989">
            <v>0</v>
          </cell>
          <cell r="H3989">
            <v>0</v>
          </cell>
          <cell r="I3989" t="str">
            <v>Others</v>
          </cell>
          <cell r="J3989">
            <v>2</v>
          </cell>
          <cell r="K3989" t="str">
            <v>Consumables - rc</v>
          </cell>
        </row>
        <row r="3990">
          <cell r="D3990">
            <v>741810</v>
          </cell>
          <cell r="E3990" t="str">
            <v>Copper; table, kitchen or other household articles and parts thereof; pot scourers and scouring or polishing pads, gloves and the like</v>
          </cell>
          <cell r="F3990">
            <v>0</v>
          </cell>
          <cell r="G3990">
            <v>0</v>
          </cell>
          <cell r="H3990">
            <v>0</v>
          </cell>
          <cell r="I3990" t="str">
            <v>Others</v>
          </cell>
          <cell r="J3990">
            <v>3</v>
          </cell>
          <cell r="K3990" t="str">
            <v>Others</v>
          </cell>
        </row>
        <row r="3991">
          <cell r="D3991">
            <v>741820</v>
          </cell>
          <cell r="E3991" t="str">
            <v>Copper; sanitary ware and parts thereof</v>
          </cell>
          <cell r="F3991" t="str">
            <v>Capital Goods</v>
          </cell>
          <cell r="G3991">
            <v>0</v>
          </cell>
          <cell r="H3991">
            <v>0</v>
          </cell>
          <cell r="I3991" t="str">
            <v>Others</v>
          </cell>
          <cell r="J3991">
            <v>2</v>
          </cell>
          <cell r="K3991" t="str">
            <v>Capital Goods - rc</v>
          </cell>
        </row>
        <row r="3992">
          <cell r="D3992">
            <v>741920</v>
          </cell>
          <cell r="E3992" t="str">
            <v>Copper; cast, moulded, stamped or forged, but not further worked</v>
          </cell>
          <cell r="F3992">
            <v>0</v>
          </cell>
          <cell r="G3992">
            <v>0</v>
          </cell>
          <cell r="H3992">
            <v>0</v>
          </cell>
          <cell r="I3992" t="str">
            <v>Others</v>
          </cell>
          <cell r="J3992">
            <v>3</v>
          </cell>
          <cell r="K3992" t="str">
            <v>Others</v>
          </cell>
        </row>
        <row r="3993">
          <cell r="D3993">
            <v>841199</v>
          </cell>
          <cell r="E3993" t="str">
            <v>Turbines; parts of gas turbines (excluding turbo-jets and turbo-propellers)</v>
          </cell>
          <cell r="F3993">
            <v>0</v>
          </cell>
          <cell r="G3993">
            <v>0</v>
          </cell>
          <cell r="H3993" t="str">
            <v>Parts &amp; Accessories</v>
          </cell>
          <cell r="I3993" t="str">
            <v>Parts &amp; Accessories</v>
          </cell>
          <cell r="J3993">
            <v>2</v>
          </cell>
          <cell r="K3993" t="str">
            <v>Parts &amp; Accessories</v>
          </cell>
        </row>
        <row r="3994">
          <cell r="D3994">
            <v>741991</v>
          </cell>
          <cell r="E3994" t="str">
            <v>Other articles of copper- Cast, moulded, stamped or forged, but not further worked</v>
          </cell>
          <cell r="F3994" t="str">
            <v>Consumables</v>
          </cell>
          <cell r="G3994">
            <v>0</v>
          </cell>
          <cell r="H3994">
            <v>0</v>
          </cell>
          <cell r="I3994">
            <v>0</v>
          </cell>
          <cell r="J3994">
            <v>3</v>
          </cell>
          <cell r="K3994" t="str">
            <v>Consumables - rc</v>
          </cell>
        </row>
        <row r="3995">
          <cell r="D3995">
            <v>741999</v>
          </cell>
          <cell r="E3995" t="str">
            <v>OTHER ARTICLES OF COPPER</v>
          </cell>
          <cell r="F3995" t="str">
            <v>Others</v>
          </cell>
          <cell r="G3995">
            <v>0</v>
          </cell>
          <cell r="H3995">
            <v>0</v>
          </cell>
          <cell r="I3995">
            <v>0</v>
          </cell>
          <cell r="J3995">
            <v>3</v>
          </cell>
          <cell r="K3995" t="str">
            <v>Others</v>
          </cell>
        </row>
        <row r="3996">
          <cell r="D3996">
            <v>750110</v>
          </cell>
          <cell r="E3996" t="str">
            <v>Nickel; nickel mattes</v>
          </cell>
          <cell r="F3996">
            <v>0</v>
          </cell>
          <cell r="G3996">
            <v>0</v>
          </cell>
          <cell r="H3996">
            <v>0</v>
          </cell>
          <cell r="I3996" t="str">
            <v>Others</v>
          </cell>
          <cell r="J3996">
            <v>3</v>
          </cell>
          <cell r="K3996" t="str">
            <v>Others</v>
          </cell>
        </row>
        <row r="3997">
          <cell r="D3997">
            <v>750120</v>
          </cell>
          <cell r="E3997" t="str">
            <v>Nickel; oxide sinters and other intermediate products of nickel metallurgy</v>
          </cell>
          <cell r="F3997">
            <v>0</v>
          </cell>
          <cell r="G3997">
            <v>0</v>
          </cell>
          <cell r="H3997">
            <v>0</v>
          </cell>
          <cell r="I3997" t="str">
            <v>Others</v>
          </cell>
          <cell r="J3997">
            <v>3</v>
          </cell>
          <cell r="K3997" t="str">
            <v>Others</v>
          </cell>
        </row>
        <row r="3998">
          <cell r="D3998">
            <v>750210</v>
          </cell>
          <cell r="E3998" t="str">
            <v>Nickel; unwrought, not alloyed</v>
          </cell>
          <cell r="F3998">
            <v>0</v>
          </cell>
          <cell r="G3998">
            <v>0</v>
          </cell>
          <cell r="H3998">
            <v>0</v>
          </cell>
          <cell r="I3998" t="str">
            <v>Others</v>
          </cell>
          <cell r="J3998">
            <v>3</v>
          </cell>
          <cell r="K3998" t="str">
            <v>Others</v>
          </cell>
        </row>
        <row r="3999">
          <cell r="D3999">
            <v>750220</v>
          </cell>
          <cell r="E3999" t="str">
            <v>Nickel; unwrought, alloys</v>
          </cell>
          <cell r="F3999">
            <v>0</v>
          </cell>
          <cell r="G3999">
            <v>0</v>
          </cell>
          <cell r="H3999">
            <v>0</v>
          </cell>
          <cell r="I3999" t="str">
            <v>Others</v>
          </cell>
          <cell r="J3999">
            <v>3</v>
          </cell>
          <cell r="K3999" t="str">
            <v>Others</v>
          </cell>
        </row>
        <row r="4000">
          <cell r="D4000">
            <v>750300</v>
          </cell>
          <cell r="E4000" t="str">
            <v>Nickel; waste and scrap</v>
          </cell>
          <cell r="F4000">
            <v>0</v>
          </cell>
          <cell r="G4000">
            <v>0</v>
          </cell>
          <cell r="H4000">
            <v>0</v>
          </cell>
          <cell r="I4000" t="str">
            <v>Others</v>
          </cell>
          <cell r="J4000">
            <v>3</v>
          </cell>
          <cell r="K4000" t="str">
            <v>Others</v>
          </cell>
        </row>
        <row r="4001">
          <cell r="D4001">
            <v>750400</v>
          </cell>
          <cell r="E4001" t="str">
            <v>Nickel; powders and flakes</v>
          </cell>
          <cell r="F4001">
            <v>0</v>
          </cell>
          <cell r="G4001">
            <v>0</v>
          </cell>
          <cell r="H4001">
            <v>0</v>
          </cell>
          <cell r="I4001" t="str">
            <v>Others</v>
          </cell>
          <cell r="J4001">
            <v>3</v>
          </cell>
          <cell r="K4001" t="str">
            <v>Others</v>
          </cell>
        </row>
        <row r="4002">
          <cell r="D4002">
            <v>750511</v>
          </cell>
          <cell r="E4002" t="str">
            <v>Nickel; bars, rods and profiles, not alloyed</v>
          </cell>
          <cell r="F4002">
            <v>0</v>
          </cell>
          <cell r="G4002">
            <v>0</v>
          </cell>
          <cell r="H4002">
            <v>0</v>
          </cell>
          <cell r="I4002" t="str">
            <v>Others</v>
          </cell>
          <cell r="J4002">
            <v>3</v>
          </cell>
          <cell r="K4002" t="str">
            <v>Others</v>
          </cell>
        </row>
        <row r="4003">
          <cell r="D4003">
            <v>750512</v>
          </cell>
          <cell r="E4003" t="str">
            <v>Nickel; bars, rods and profiles, of nickel alloys</v>
          </cell>
          <cell r="F4003">
            <v>0</v>
          </cell>
          <cell r="G4003">
            <v>0</v>
          </cell>
          <cell r="H4003">
            <v>0</v>
          </cell>
          <cell r="I4003" t="str">
            <v>Others</v>
          </cell>
          <cell r="J4003">
            <v>3</v>
          </cell>
          <cell r="K4003" t="str">
            <v>Others</v>
          </cell>
        </row>
        <row r="4004">
          <cell r="D4004">
            <v>750521</v>
          </cell>
          <cell r="E4004" t="str">
            <v>Nickel; wire, not alloyed</v>
          </cell>
          <cell r="F4004">
            <v>0</v>
          </cell>
          <cell r="G4004">
            <v>0</v>
          </cell>
          <cell r="H4004">
            <v>0</v>
          </cell>
          <cell r="I4004" t="str">
            <v>Others</v>
          </cell>
          <cell r="J4004">
            <v>3</v>
          </cell>
          <cell r="K4004" t="str">
            <v>Others</v>
          </cell>
        </row>
        <row r="4005">
          <cell r="D4005">
            <v>750522</v>
          </cell>
          <cell r="E4005" t="str">
            <v>Nickel; wire, of nickel alloys</v>
          </cell>
          <cell r="F4005">
            <v>0</v>
          </cell>
          <cell r="G4005">
            <v>0</v>
          </cell>
          <cell r="H4005">
            <v>0</v>
          </cell>
          <cell r="I4005" t="str">
            <v>Others</v>
          </cell>
          <cell r="J4005">
            <v>3</v>
          </cell>
          <cell r="K4005" t="str">
            <v>Others</v>
          </cell>
        </row>
        <row r="4006">
          <cell r="D4006">
            <v>750610</v>
          </cell>
          <cell r="E4006" t="str">
            <v>Nickel; plates, sheets, strip and foil, not alloyed</v>
          </cell>
          <cell r="F4006">
            <v>0</v>
          </cell>
          <cell r="G4006">
            <v>0</v>
          </cell>
          <cell r="H4006">
            <v>0</v>
          </cell>
          <cell r="I4006" t="str">
            <v>Others</v>
          </cell>
          <cell r="J4006">
            <v>3</v>
          </cell>
          <cell r="K4006" t="str">
            <v>Others</v>
          </cell>
        </row>
        <row r="4007">
          <cell r="D4007">
            <v>750620</v>
          </cell>
          <cell r="E4007" t="str">
            <v>Nickel; plates, sheets, strip and foil, of nickel alloys</v>
          </cell>
          <cell r="F4007" t="str">
            <v>Consumables</v>
          </cell>
          <cell r="G4007">
            <v>0</v>
          </cell>
          <cell r="H4007">
            <v>0</v>
          </cell>
          <cell r="I4007" t="str">
            <v>Others</v>
          </cell>
          <cell r="J4007">
            <v>2</v>
          </cell>
          <cell r="K4007" t="str">
            <v>Consumables - rc</v>
          </cell>
        </row>
        <row r="4008">
          <cell r="D4008">
            <v>750711</v>
          </cell>
          <cell r="E4008" t="str">
            <v>Nickel; tubes and pipes, not alloyed</v>
          </cell>
          <cell r="F4008">
            <v>0</v>
          </cell>
          <cell r="G4008">
            <v>0</v>
          </cell>
          <cell r="H4008">
            <v>0</v>
          </cell>
          <cell r="I4008" t="str">
            <v>Others</v>
          </cell>
          <cell r="J4008">
            <v>3</v>
          </cell>
          <cell r="K4008" t="str">
            <v>Others</v>
          </cell>
        </row>
        <row r="4009">
          <cell r="D4009">
            <v>750712</v>
          </cell>
          <cell r="E4009" t="str">
            <v>Nickel; tubes and pipes, of nickel alloys</v>
          </cell>
          <cell r="F4009">
            <v>0</v>
          </cell>
          <cell r="G4009">
            <v>0</v>
          </cell>
          <cell r="H4009">
            <v>0</v>
          </cell>
          <cell r="I4009" t="str">
            <v>Others</v>
          </cell>
          <cell r="J4009">
            <v>3</v>
          </cell>
          <cell r="K4009" t="str">
            <v>Others</v>
          </cell>
        </row>
        <row r="4010">
          <cell r="D4010">
            <v>750720</v>
          </cell>
          <cell r="E4010" t="str">
            <v>Nickel; tube and pipe fittings</v>
          </cell>
          <cell r="F4010">
            <v>0</v>
          </cell>
          <cell r="G4010">
            <v>0</v>
          </cell>
          <cell r="H4010">
            <v>0</v>
          </cell>
          <cell r="I4010" t="str">
            <v>Others</v>
          </cell>
          <cell r="J4010">
            <v>3</v>
          </cell>
          <cell r="K4010" t="str">
            <v>Others</v>
          </cell>
        </row>
        <row r="4011">
          <cell r="D4011">
            <v>750810</v>
          </cell>
          <cell r="E4011" t="str">
            <v>Nickel; cloth, grill and netting, of nickel wire</v>
          </cell>
          <cell r="F4011">
            <v>0</v>
          </cell>
          <cell r="G4011">
            <v>0</v>
          </cell>
          <cell r="H4011">
            <v>0</v>
          </cell>
          <cell r="I4011" t="str">
            <v>Others</v>
          </cell>
          <cell r="J4011">
            <v>3</v>
          </cell>
          <cell r="K4011" t="str">
            <v>Others</v>
          </cell>
        </row>
        <row r="4012">
          <cell r="D4012">
            <v>750890</v>
          </cell>
          <cell r="E4012" t="str">
            <v>Nickel; articles thereof n.e.c. in item no. 7508.1</v>
          </cell>
          <cell r="F4012" t="str">
            <v>Consumables</v>
          </cell>
          <cell r="G4012">
            <v>0</v>
          </cell>
          <cell r="H4012">
            <v>0</v>
          </cell>
          <cell r="I4012" t="str">
            <v>Others</v>
          </cell>
          <cell r="J4012">
            <v>2</v>
          </cell>
          <cell r="K4012" t="str">
            <v>Consumables - rc</v>
          </cell>
        </row>
        <row r="4013">
          <cell r="D4013">
            <v>760110</v>
          </cell>
          <cell r="E4013" t="str">
            <v>Aluminium; unwrought, (not alloyed)</v>
          </cell>
          <cell r="F4013">
            <v>0</v>
          </cell>
          <cell r="G4013">
            <v>0</v>
          </cell>
          <cell r="H4013">
            <v>0</v>
          </cell>
          <cell r="I4013" t="str">
            <v>Others</v>
          </cell>
          <cell r="J4013">
            <v>3</v>
          </cell>
          <cell r="K4013" t="str">
            <v>Others</v>
          </cell>
        </row>
        <row r="4014">
          <cell r="D4014">
            <v>760120</v>
          </cell>
          <cell r="E4014" t="str">
            <v>Aluminium; unwrought, alloys</v>
          </cell>
          <cell r="F4014">
            <v>0</v>
          </cell>
          <cell r="G4014">
            <v>0</v>
          </cell>
          <cell r="H4014">
            <v>0</v>
          </cell>
          <cell r="I4014" t="str">
            <v>Others</v>
          </cell>
          <cell r="J4014">
            <v>3</v>
          </cell>
          <cell r="K4014" t="str">
            <v>Others</v>
          </cell>
        </row>
        <row r="4015">
          <cell r="D4015">
            <v>760200</v>
          </cell>
          <cell r="E4015" t="str">
            <v>Aluminium; waste and scrap</v>
          </cell>
          <cell r="F4015">
            <v>0</v>
          </cell>
          <cell r="G4015">
            <v>0</v>
          </cell>
          <cell r="H4015">
            <v>0</v>
          </cell>
          <cell r="I4015" t="str">
            <v>Others</v>
          </cell>
          <cell r="J4015">
            <v>3</v>
          </cell>
          <cell r="K4015" t="str">
            <v>Others</v>
          </cell>
        </row>
        <row r="4016">
          <cell r="D4016">
            <v>760310</v>
          </cell>
          <cell r="E4016" t="str">
            <v>Aluminium; powders of non-lamellar structure</v>
          </cell>
          <cell r="F4016">
            <v>0</v>
          </cell>
          <cell r="G4016">
            <v>0</v>
          </cell>
          <cell r="H4016">
            <v>0</v>
          </cell>
          <cell r="I4016" t="str">
            <v>Others</v>
          </cell>
          <cell r="J4016">
            <v>3</v>
          </cell>
          <cell r="K4016" t="str">
            <v>Others</v>
          </cell>
        </row>
        <row r="4017">
          <cell r="D4017">
            <v>760320</v>
          </cell>
          <cell r="E4017" t="str">
            <v>Aluminium; powders of lamellar structure, flakes</v>
          </cell>
          <cell r="F4017">
            <v>0</v>
          </cell>
          <cell r="G4017">
            <v>0</v>
          </cell>
          <cell r="H4017">
            <v>0</v>
          </cell>
          <cell r="I4017" t="str">
            <v>Others</v>
          </cell>
          <cell r="J4017">
            <v>3</v>
          </cell>
          <cell r="K4017" t="str">
            <v>Others</v>
          </cell>
        </row>
        <row r="4018">
          <cell r="D4018">
            <v>760410</v>
          </cell>
          <cell r="E4018" t="str">
            <v>Aluminium; (not alloyed), bars, rods and profiles</v>
          </cell>
          <cell r="F4018" t="str">
            <v>Consumables</v>
          </cell>
          <cell r="G4018">
            <v>0</v>
          </cell>
          <cell r="H4018">
            <v>0</v>
          </cell>
          <cell r="I4018" t="str">
            <v>Others</v>
          </cell>
          <cell r="J4018">
            <v>2</v>
          </cell>
          <cell r="K4018" t="str">
            <v>Consumables - rc</v>
          </cell>
        </row>
        <row r="4019">
          <cell r="D4019">
            <v>760421</v>
          </cell>
          <cell r="E4019" t="str">
            <v>Aluminium; alloys, hollow profiles</v>
          </cell>
          <cell r="F4019">
            <v>0</v>
          </cell>
          <cell r="G4019">
            <v>0</v>
          </cell>
          <cell r="H4019">
            <v>0</v>
          </cell>
          <cell r="I4019" t="str">
            <v>Others</v>
          </cell>
          <cell r="J4019">
            <v>3</v>
          </cell>
          <cell r="K4019" t="str">
            <v>Others</v>
          </cell>
        </row>
        <row r="4020">
          <cell r="D4020">
            <v>760429</v>
          </cell>
          <cell r="E4020" t="str">
            <v>Aluminium; alloys, bars, rods and profiles, other than hollow</v>
          </cell>
          <cell r="F4020" t="str">
            <v>Consumables</v>
          </cell>
          <cell r="G4020">
            <v>0</v>
          </cell>
          <cell r="H4020">
            <v>0</v>
          </cell>
          <cell r="I4020" t="str">
            <v>Others</v>
          </cell>
          <cell r="J4020">
            <v>2</v>
          </cell>
          <cell r="K4020" t="str">
            <v>Consumables - rc</v>
          </cell>
        </row>
        <row r="4021">
          <cell r="D4021">
            <v>760511</v>
          </cell>
          <cell r="E4021" t="str">
            <v>Aluminium; (not alloyed), wire, maximum cross-sectional dimension exceeds 7mm</v>
          </cell>
          <cell r="F4021">
            <v>0</v>
          </cell>
          <cell r="G4021">
            <v>0</v>
          </cell>
          <cell r="H4021">
            <v>0</v>
          </cell>
          <cell r="I4021" t="str">
            <v>Others</v>
          </cell>
          <cell r="J4021">
            <v>3</v>
          </cell>
          <cell r="K4021" t="str">
            <v>Others</v>
          </cell>
        </row>
        <row r="4022">
          <cell r="D4022">
            <v>760519</v>
          </cell>
          <cell r="E4022" t="str">
            <v>Aluminium; (not alloyed), wire, maximum cross-sectional dimension is 7mm or less</v>
          </cell>
          <cell r="F4022">
            <v>0</v>
          </cell>
          <cell r="G4022">
            <v>0</v>
          </cell>
          <cell r="H4022">
            <v>0</v>
          </cell>
          <cell r="I4022" t="str">
            <v>Others</v>
          </cell>
          <cell r="J4022">
            <v>3</v>
          </cell>
          <cell r="K4022" t="str">
            <v>Others</v>
          </cell>
        </row>
        <row r="4023">
          <cell r="D4023">
            <v>760521</v>
          </cell>
          <cell r="E4023" t="str">
            <v>Aluminium; alloys, wire, maximum cross-sectional dimension exceeding 7mm</v>
          </cell>
          <cell r="F4023">
            <v>0</v>
          </cell>
          <cell r="G4023">
            <v>0</v>
          </cell>
          <cell r="H4023">
            <v>0</v>
          </cell>
          <cell r="I4023" t="str">
            <v>Others</v>
          </cell>
          <cell r="J4023">
            <v>3</v>
          </cell>
          <cell r="K4023" t="str">
            <v>Others</v>
          </cell>
        </row>
        <row r="4024">
          <cell r="D4024">
            <v>760529</v>
          </cell>
          <cell r="E4024" t="str">
            <v>Aluminium; alloys, wire, maximum cross-sectional dimension is 7mm or less</v>
          </cell>
          <cell r="F4024">
            <v>0</v>
          </cell>
          <cell r="G4024">
            <v>0</v>
          </cell>
          <cell r="H4024">
            <v>0</v>
          </cell>
          <cell r="I4024" t="str">
            <v>Others</v>
          </cell>
          <cell r="J4024">
            <v>3</v>
          </cell>
          <cell r="K4024" t="str">
            <v>Others</v>
          </cell>
        </row>
        <row r="4025">
          <cell r="D4025">
            <v>760611</v>
          </cell>
          <cell r="E4025" t="str">
            <v>Aluminium; plates, sheets and strip, thickness exceeding 0.2mm, (not alloyed), rectangular (including square)</v>
          </cell>
          <cell r="F4025" t="str">
            <v>Consumables</v>
          </cell>
          <cell r="G4025">
            <v>0</v>
          </cell>
          <cell r="H4025">
            <v>0</v>
          </cell>
          <cell r="I4025" t="str">
            <v>Others</v>
          </cell>
          <cell r="J4025">
            <v>2</v>
          </cell>
          <cell r="K4025" t="str">
            <v>Consumables - rc</v>
          </cell>
        </row>
        <row r="4026">
          <cell r="D4026">
            <v>760612</v>
          </cell>
          <cell r="E4026" t="str">
            <v>Aluminium; plates, sheets and strip, thickness exceeding 0.2mm, alloys, rectangular (including square)</v>
          </cell>
          <cell r="F4026" t="str">
            <v>Consumables</v>
          </cell>
          <cell r="G4026">
            <v>0</v>
          </cell>
          <cell r="H4026">
            <v>0</v>
          </cell>
          <cell r="I4026" t="str">
            <v>Others</v>
          </cell>
          <cell r="J4026">
            <v>2</v>
          </cell>
          <cell r="K4026" t="str">
            <v>Consumables - rc</v>
          </cell>
        </row>
        <row r="4027">
          <cell r="D4027">
            <v>760691</v>
          </cell>
          <cell r="E4027" t="str">
            <v>Aluminium; plates, sheets and strip, thickness exceeding 0.2mm, not alloyed, (not rectangular or square)</v>
          </cell>
          <cell r="F4027" t="str">
            <v>Consumables</v>
          </cell>
          <cell r="G4027">
            <v>0</v>
          </cell>
          <cell r="H4027">
            <v>0</v>
          </cell>
          <cell r="I4027" t="str">
            <v>Others</v>
          </cell>
          <cell r="J4027">
            <v>2</v>
          </cell>
          <cell r="K4027" t="str">
            <v>Consumables - rc</v>
          </cell>
        </row>
        <row r="4028">
          <cell r="D4028">
            <v>760692</v>
          </cell>
          <cell r="E4028" t="str">
            <v>Aluminium; plates, sheets and strip, thickness exceeding 0.2mm, alloys, (not rectangular or square)</v>
          </cell>
          <cell r="F4028" t="str">
            <v>Consumables</v>
          </cell>
          <cell r="G4028">
            <v>0</v>
          </cell>
          <cell r="H4028">
            <v>0</v>
          </cell>
          <cell r="I4028" t="str">
            <v>Others</v>
          </cell>
          <cell r="J4028">
            <v>2</v>
          </cell>
          <cell r="K4028" t="str">
            <v>Consumables - rc</v>
          </cell>
        </row>
        <row r="4029">
          <cell r="D4029">
            <v>760711</v>
          </cell>
          <cell r="E4029" t="str">
            <v>Aluminium; foil, (not backed), rolled (but not further worked), of a thickness not exceeding 0.2mm</v>
          </cell>
          <cell r="F4029" t="str">
            <v>Consumables</v>
          </cell>
          <cell r="G4029">
            <v>0</v>
          </cell>
          <cell r="H4029">
            <v>0</v>
          </cell>
          <cell r="I4029" t="str">
            <v>Others</v>
          </cell>
          <cell r="J4029">
            <v>2</v>
          </cell>
          <cell r="K4029" t="str">
            <v>Consumables</v>
          </cell>
        </row>
        <row r="4030">
          <cell r="D4030">
            <v>760719</v>
          </cell>
          <cell r="E4030" t="str">
            <v>Aluminium; foil, (not backed), of a thickness not exceeding 0.2mm, not rolled</v>
          </cell>
          <cell r="F4030" t="str">
            <v>Consumables</v>
          </cell>
          <cell r="G4030">
            <v>0</v>
          </cell>
          <cell r="H4030">
            <v>0</v>
          </cell>
          <cell r="I4030" t="str">
            <v>Others</v>
          </cell>
          <cell r="J4030">
            <v>2</v>
          </cell>
          <cell r="K4030" t="str">
            <v>Consumables - rc</v>
          </cell>
        </row>
        <row r="4031">
          <cell r="D4031">
            <v>760720</v>
          </cell>
          <cell r="E4031" t="str">
            <v>Aluminium; foil, backed with paper, paperboard, plastics or similar backing materials, of a thickness (excluding any backing) not exceeding 0.2mm</v>
          </cell>
          <cell r="F4031" t="str">
            <v>Consumables</v>
          </cell>
          <cell r="G4031">
            <v>0</v>
          </cell>
          <cell r="H4031">
            <v>0</v>
          </cell>
          <cell r="I4031" t="str">
            <v>Others</v>
          </cell>
          <cell r="J4031">
            <v>2</v>
          </cell>
          <cell r="K4031" t="str">
            <v>Consumables - rc</v>
          </cell>
        </row>
        <row r="4032">
          <cell r="D4032">
            <v>760810</v>
          </cell>
          <cell r="E4032" t="str">
            <v>Aluminium; tubes and pipes, not alloyed</v>
          </cell>
          <cell r="F4032">
            <v>0</v>
          </cell>
          <cell r="G4032">
            <v>0</v>
          </cell>
          <cell r="H4032">
            <v>0</v>
          </cell>
          <cell r="I4032" t="str">
            <v>Others</v>
          </cell>
          <cell r="J4032">
            <v>3</v>
          </cell>
          <cell r="K4032" t="str">
            <v>Others</v>
          </cell>
        </row>
        <row r="4033">
          <cell r="D4033">
            <v>760820</v>
          </cell>
          <cell r="E4033" t="str">
            <v>Aluminium; tubes and pipes, alloys</v>
          </cell>
          <cell r="F4033">
            <v>0</v>
          </cell>
          <cell r="G4033">
            <v>0</v>
          </cell>
          <cell r="H4033">
            <v>0</v>
          </cell>
          <cell r="I4033" t="str">
            <v>Others</v>
          </cell>
          <cell r="J4033">
            <v>3</v>
          </cell>
          <cell r="K4033" t="str">
            <v>Others</v>
          </cell>
        </row>
        <row r="4034">
          <cell r="D4034">
            <v>853340</v>
          </cell>
          <cell r="E4034" t="str">
            <v>Electrical resistors; variable, including rheostats and potentiometers (excluding heating)</v>
          </cell>
          <cell r="F4034" t="str">
            <v>Parts &amp; Accessories</v>
          </cell>
          <cell r="G4034">
            <v>0</v>
          </cell>
          <cell r="H4034">
            <v>0</v>
          </cell>
          <cell r="I4034" t="str">
            <v>Parts &amp; Accessories</v>
          </cell>
          <cell r="J4034">
            <v>2</v>
          </cell>
          <cell r="K4034" t="str">
            <v>Parts &amp; Accessories</v>
          </cell>
        </row>
        <row r="4035">
          <cell r="D4035">
            <v>761010</v>
          </cell>
          <cell r="E4035" t="str">
            <v>Aluminium; structures (excluding prefabricated buildings of heading no. 9406) and parts of structures, doors, windows and their frames and thresholds for doors</v>
          </cell>
          <cell r="F4035" t="str">
            <v>Capital Goods</v>
          </cell>
          <cell r="G4035">
            <v>0</v>
          </cell>
          <cell r="H4035">
            <v>0</v>
          </cell>
          <cell r="I4035" t="str">
            <v>Others</v>
          </cell>
          <cell r="J4035">
            <v>2</v>
          </cell>
          <cell r="K4035" t="str">
            <v>Capital Goods - rc</v>
          </cell>
        </row>
        <row r="4036">
          <cell r="D4036">
            <v>761090</v>
          </cell>
          <cell r="E4036" t="str">
            <v>Aluminium; structures (excluding prefabricated buildings of heading no. 9406) and parts of structures, n.e.c. in heading no. 7610, plates, rods, profiles, tubes and the like</v>
          </cell>
          <cell r="F4036" t="str">
            <v>Capital Goods</v>
          </cell>
          <cell r="G4036">
            <v>0</v>
          </cell>
          <cell r="H4036">
            <v>0</v>
          </cell>
          <cell r="I4036" t="str">
            <v>Others</v>
          </cell>
          <cell r="J4036">
            <v>2</v>
          </cell>
          <cell r="K4036" t="str">
            <v>Capital Goods - rc</v>
          </cell>
        </row>
        <row r="4037">
          <cell r="D4037">
            <v>761100</v>
          </cell>
          <cell r="E4037" t="str">
            <v>Aluminium; reservoirs, tanks, vats and similar containers, for material (not compressed or liquefied gas), of a capacity over 300l, whether or not lined, not fitted with mechanical/thermal equipment</v>
          </cell>
          <cell r="F4037">
            <v>0</v>
          </cell>
          <cell r="G4037">
            <v>0</v>
          </cell>
          <cell r="H4037">
            <v>0</v>
          </cell>
          <cell r="I4037" t="str">
            <v>Capital Goods</v>
          </cell>
          <cell r="J4037">
            <v>3</v>
          </cell>
          <cell r="K4037" t="str">
            <v>Capital Goods</v>
          </cell>
        </row>
        <row r="4038">
          <cell r="D4038">
            <v>761210</v>
          </cell>
          <cell r="E4038" t="str">
            <v>Aluminium; collapsible tubular containers, for any material, (not compressed or liquefied gas), 300l capacity or less, whether or not lined, not fitted with mechanical/thermal equipment</v>
          </cell>
          <cell r="F4038">
            <v>0</v>
          </cell>
          <cell r="G4038">
            <v>0</v>
          </cell>
          <cell r="H4038">
            <v>0</v>
          </cell>
          <cell r="I4038" t="str">
            <v>Capital Goods</v>
          </cell>
          <cell r="J4038">
            <v>3</v>
          </cell>
          <cell r="K4038" t="str">
            <v>Capital Goods</v>
          </cell>
        </row>
        <row r="4039">
          <cell r="D4039">
            <v>761290</v>
          </cell>
          <cell r="E4039" t="str">
            <v>Aluminium; casks, drums, cans, boxes and the like for any material (not compressed or liquefied gas), 300l capacity or less, whether or not lined or heat-insulated, no mechanical or thermal equipment</v>
          </cell>
          <cell r="F4039">
            <v>0</v>
          </cell>
          <cell r="G4039">
            <v>0</v>
          </cell>
          <cell r="H4039">
            <v>0</v>
          </cell>
          <cell r="I4039" t="str">
            <v>Capital Goods</v>
          </cell>
          <cell r="J4039">
            <v>3</v>
          </cell>
          <cell r="K4039" t="str">
            <v>Capital Goods</v>
          </cell>
        </row>
        <row r="4040">
          <cell r="D4040">
            <v>761300</v>
          </cell>
          <cell r="E4040" t="str">
            <v>Aluminium; containers for compressed or liquefied gas</v>
          </cell>
          <cell r="F4040">
            <v>0</v>
          </cell>
          <cell r="G4040">
            <v>0</v>
          </cell>
          <cell r="H4040">
            <v>0</v>
          </cell>
          <cell r="I4040" t="str">
            <v>Capital Goods</v>
          </cell>
          <cell r="J4040">
            <v>3</v>
          </cell>
          <cell r="K4040" t="str">
            <v>Capital Goods</v>
          </cell>
        </row>
        <row r="4041">
          <cell r="D4041">
            <v>761410</v>
          </cell>
          <cell r="E4041" t="str">
            <v>Aluminium; stranded wire, cables, plaited bands and the like, (not electrically insulated), with steel core</v>
          </cell>
          <cell r="F4041">
            <v>0</v>
          </cell>
          <cell r="G4041">
            <v>0</v>
          </cell>
          <cell r="H4041">
            <v>0</v>
          </cell>
          <cell r="I4041" t="str">
            <v>Others</v>
          </cell>
          <cell r="J4041">
            <v>3</v>
          </cell>
          <cell r="K4041" t="str">
            <v>Others</v>
          </cell>
        </row>
        <row r="4042">
          <cell r="D4042">
            <v>761490</v>
          </cell>
          <cell r="E4042" t="str">
            <v>Aluminium; stranded wire, cables, plaited bands and the like, (not electrically insulated), other than steel core</v>
          </cell>
          <cell r="F4042">
            <v>0</v>
          </cell>
          <cell r="G4042">
            <v>0</v>
          </cell>
          <cell r="H4042">
            <v>0</v>
          </cell>
          <cell r="I4042" t="str">
            <v>Others</v>
          </cell>
          <cell r="J4042">
            <v>3</v>
          </cell>
          <cell r="K4042" t="str">
            <v>Others</v>
          </cell>
        </row>
        <row r="4043">
          <cell r="D4043">
            <v>761510</v>
          </cell>
          <cell r="E4043" t="str">
            <v>Aluminium; table, kitchen or other household articles and parts thereof; pot scourers and scouring or polishing pads, gloves and the like</v>
          </cell>
          <cell r="F4043" t="str">
            <v>Capital Goods</v>
          </cell>
          <cell r="G4043">
            <v>0</v>
          </cell>
          <cell r="H4043">
            <v>0</v>
          </cell>
          <cell r="I4043" t="str">
            <v>Others</v>
          </cell>
          <cell r="J4043">
            <v>2</v>
          </cell>
          <cell r="K4043" t="str">
            <v>Capital Goods - rc</v>
          </cell>
        </row>
        <row r="4044">
          <cell r="D4044">
            <v>761520</v>
          </cell>
          <cell r="E4044" t="str">
            <v>Aluminium; sanitary ware and parts thereof</v>
          </cell>
          <cell r="F4044">
            <v>0</v>
          </cell>
          <cell r="G4044">
            <v>0</v>
          </cell>
          <cell r="H4044">
            <v>0</v>
          </cell>
          <cell r="I4044" t="str">
            <v>Others</v>
          </cell>
          <cell r="J4044">
            <v>3</v>
          </cell>
          <cell r="K4044" t="str">
            <v>Others</v>
          </cell>
        </row>
        <row r="4045">
          <cell r="D4045">
            <v>761610</v>
          </cell>
          <cell r="E4045" t="str">
            <v>Aluminium; nails, tacks, staples (other than those of heading no. 8305), screws, bolts, nuts, screw hooks, rivets, cotters, cotter-pins, washers and similar articles</v>
          </cell>
          <cell r="F4045" t="str">
            <v>Capital Goods</v>
          </cell>
          <cell r="G4045">
            <v>0</v>
          </cell>
          <cell r="H4045">
            <v>0</v>
          </cell>
          <cell r="I4045" t="str">
            <v>Others</v>
          </cell>
          <cell r="J4045">
            <v>2</v>
          </cell>
          <cell r="K4045" t="str">
            <v>Consumables</v>
          </cell>
        </row>
        <row r="4046">
          <cell r="D4046">
            <v>761691</v>
          </cell>
          <cell r="E4046" t="str">
            <v>Aluminium; cloth, grill, netting and fencing, of aluminium wire</v>
          </cell>
          <cell r="F4046">
            <v>0</v>
          </cell>
          <cell r="G4046">
            <v>0</v>
          </cell>
          <cell r="H4046">
            <v>0</v>
          </cell>
          <cell r="I4046" t="str">
            <v>Others</v>
          </cell>
          <cell r="J4046">
            <v>3</v>
          </cell>
          <cell r="K4046" t="str">
            <v>Others</v>
          </cell>
        </row>
        <row r="4047">
          <cell r="D4047">
            <v>761699</v>
          </cell>
          <cell r="E4047" t="str">
            <v>Aluminium; articles n.e.c. in heading 7616</v>
          </cell>
          <cell r="F4047" t="str">
            <v>Capital Goods</v>
          </cell>
          <cell r="G4047">
            <v>0</v>
          </cell>
          <cell r="H4047">
            <v>0</v>
          </cell>
          <cell r="I4047" t="str">
            <v>Others</v>
          </cell>
          <cell r="J4047">
            <v>2</v>
          </cell>
          <cell r="K4047" t="str">
            <v>Consumables - rc</v>
          </cell>
        </row>
        <row r="4048">
          <cell r="D4048">
            <v>780110</v>
          </cell>
          <cell r="E4048" t="str">
            <v>Lead; unwrought, refined</v>
          </cell>
          <cell r="F4048">
            <v>0</v>
          </cell>
          <cell r="G4048">
            <v>0</v>
          </cell>
          <cell r="H4048">
            <v>0</v>
          </cell>
          <cell r="I4048" t="str">
            <v>Others</v>
          </cell>
          <cell r="J4048">
            <v>3</v>
          </cell>
          <cell r="K4048" t="str">
            <v>Others</v>
          </cell>
        </row>
        <row r="4049">
          <cell r="D4049">
            <v>780191</v>
          </cell>
          <cell r="E4049" t="str">
            <v>Lead; unwrought, unrefined, containing by weight antimony as the principal other element</v>
          </cell>
          <cell r="F4049">
            <v>0</v>
          </cell>
          <cell r="G4049">
            <v>0</v>
          </cell>
          <cell r="H4049">
            <v>0</v>
          </cell>
          <cell r="I4049" t="str">
            <v>Others</v>
          </cell>
          <cell r="J4049">
            <v>3</v>
          </cell>
          <cell r="K4049" t="str">
            <v>Others</v>
          </cell>
        </row>
        <row r="4050">
          <cell r="D4050">
            <v>780199</v>
          </cell>
          <cell r="E4050" t="str">
            <v>Lead; unwrought, unrefined, not containing by weight antimony as the principal other element</v>
          </cell>
          <cell r="F4050">
            <v>0</v>
          </cell>
          <cell r="G4050">
            <v>0</v>
          </cell>
          <cell r="H4050">
            <v>0</v>
          </cell>
          <cell r="I4050" t="str">
            <v>Others</v>
          </cell>
          <cell r="J4050">
            <v>3</v>
          </cell>
          <cell r="K4050" t="str">
            <v>Others</v>
          </cell>
        </row>
        <row r="4051">
          <cell r="D4051">
            <v>780200</v>
          </cell>
          <cell r="E4051" t="str">
            <v>Lead; waste and scrap</v>
          </cell>
          <cell r="F4051">
            <v>0</v>
          </cell>
          <cell r="G4051">
            <v>0</v>
          </cell>
          <cell r="H4051">
            <v>0</v>
          </cell>
          <cell r="I4051" t="str">
            <v>Others</v>
          </cell>
          <cell r="J4051">
            <v>3</v>
          </cell>
          <cell r="K4051" t="str">
            <v>Others</v>
          </cell>
        </row>
        <row r="4052">
          <cell r="D4052">
            <v>780411</v>
          </cell>
          <cell r="E4052" t="str">
            <v>Lead; sheets, strip and foil, of a thickness (excluding any backing) not exceeding 0.2mm</v>
          </cell>
          <cell r="F4052">
            <v>0</v>
          </cell>
          <cell r="G4052">
            <v>0</v>
          </cell>
          <cell r="H4052">
            <v>0</v>
          </cell>
          <cell r="I4052" t="str">
            <v>Others</v>
          </cell>
          <cell r="J4052">
            <v>3</v>
          </cell>
          <cell r="K4052" t="str">
            <v>Others</v>
          </cell>
        </row>
        <row r="4053">
          <cell r="D4053">
            <v>780419</v>
          </cell>
          <cell r="E4053" t="str">
            <v>Lead; plates, sheets, strip and foil, of a thickness (excluding any backing) exceeding 0.2mm</v>
          </cell>
          <cell r="F4053">
            <v>0</v>
          </cell>
          <cell r="G4053">
            <v>0</v>
          </cell>
          <cell r="H4053">
            <v>0</v>
          </cell>
          <cell r="I4053" t="str">
            <v>Others</v>
          </cell>
          <cell r="J4053">
            <v>3</v>
          </cell>
          <cell r="K4053" t="str">
            <v>Others</v>
          </cell>
        </row>
        <row r="4054">
          <cell r="D4054">
            <v>780420</v>
          </cell>
          <cell r="E4054" t="str">
            <v>Lead; powders and flakes</v>
          </cell>
          <cell r="F4054">
            <v>0</v>
          </cell>
          <cell r="G4054">
            <v>0</v>
          </cell>
          <cell r="H4054">
            <v>0</v>
          </cell>
          <cell r="I4054" t="str">
            <v>Others</v>
          </cell>
          <cell r="J4054">
            <v>3</v>
          </cell>
          <cell r="K4054" t="str">
            <v>Others</v>
          </cell>
        </row>
        <row r="4055">
          <cell r="D4055">
            <v>780600</v>
          </cell>
          <cell r="E4055" t="str">
            <v>Lead; articles n.e.c. in chapter 78</v>
          </cell>
          <cell r="F4055" t="str">
            <v>Consumables</v>
          </cell>
          <cell r="G4055">
            <v>0</v>
          </cell>
          <cell r="H4055">
            <v>0</v>
          </cell>
          <cell r="I4055" t="str">
            <v>Others</v>
          </cell>
          <cell r="J4055">
            <v>2</v>
          </cell>
          <cell r="K4055" t="str">
            <v>Consumables - rc</v>
          </cell>
        </row>
        <row r="4056">
          <cell r="D4056">
            <v>790111</v>
          </cell>
          <cell r="E4056" t="str">
            <v>Zinc; unwrought, (not alloyed), containing by weight 99.99% or more of zinc</v>
          </cell>
          <cell r="F4056">
            <v>0</v>
          </cell>
          <cell r="G4056">
            <v>0</v>
          </cell>
          <cell r="H4056">
            <v>0</v>
          </cell>
          <cell r="I4056" t="str">
            <v>Others</v>
          </cell>
          <cell r="J4056">
            <v>3</v>
          </cell>
          <cell r="K4056" t="str">
            <v>Others</v>
          </cell>
        </row>
        <row r="4057">
          <cell r="D4057">
            <v>790112</v>
          </cell>
          <cell r="E4057" t="str">
            <v>Zinc; unwrought, (not alloyed), containing by weight less than 99.99% of zinc</v>
          </cell>
          <cell r="F4057">
            <v>0</v>
          </cell>
          <cell r="G4057">
            <v>0</v>
          </cell>
          <cell r="H4057">
            <v>0</v>
          </cell>
          <cell r="I4057" t="str">
            <v>Others</v>
          </cell>
          <cell r="J4057">
            <v>3</v>
          </cell>
          <cell r="K4057" t="str">
            <v>Others</v>
          </cell>
        </row>
        <row r="4058">
          <cell r="D4058">
            <v>790120</v>
          </cell>
          <cell r="E4058" t="str">
            <v>Zinc; unwrought, alloys</v>
          </cell>
          <cell r="F4058" t="str">
            <v>Consumables</v>
          </cell>
          <cell r="G4058">
            <v>0</v>
          </cell>
          <cell r="H4058">
            <v>0</v>
          </cell>
          <cell r="I4058" t="str">
            <v>Others</v>
          </cell>
          <cell r="J4058">
            <v>2</v>
          </cell>
          <cell r="K4058" t="str">
            <v>Consumables - rc</v>
          </cell>
        </row>
        <row r="4059">
          <cell r="D4059">
            <v>790200</v>
          </cell>
          <cell r="E4059" t="str">
            <v>Zinc; waste and scrap</v>
          </cell>
          <cell r="F4059">
            <v>0</v>
          </cell>
          <cell r="G4059">
            <v>0</v>
          </cell>
          <cell r="H4059">
            <v>0</v>
          </cell>
          <cell r="I4059" t="str">
            <v>Others</v>
          </cell>
          <cell r="J4059">
            <v>3</v>
          </cell>
          <cell r="K4059" t="str">
            <v>Others</v>
          </cell>
        </row>
        <row r="4060">
          <cell r="D4060">
            <v>790310</v>
          </cell>
          <cell r="E4060" t="str">
            <v>Zinc dust</v>
          </cell>
          <cell r="F4060">
            <v>0</v>
          </cell>
          <cell r="G4060">
            <v>0</v>
          </cell>
          <cell r="H4060">
            <v>0</v>
          </cell>
          <cell r="I4060" t="str">
            <v>Others</v>
          </cell>
          <cell r="J4060">
            <v>3</v>
          </cell>
          <cell r="K4060" t="str">
            <v>Others</v>
          </cell>
        </row>
        <row r="4061">
          <cell r="D4061">
            <v>790390</v>
          </cell>
          <cell r="E4061" t="str">
            <v>Zinc; powders and flakes</v>
          </cell>
          <cell r="F4061">
            <v>0</v>
          </cell>
          <cell r="G4061">
            <v>0</v>
          </cell>
          <cell r="H4061">
            <v>0</v>
          </cell>
          <cell r="I4061" t="str">
            <v>Others</v>
          </cell>
          <cell r="J4061">
            <v>3</v>
          </cell>
          <cell r="K4061" t="str">
            <v>Others</v>
          </cell>
        </row>
        <row r="4062">
          <cell r="D4062">
            <v>790400</v>
          </cell>
          <cell r="E4062" t="str">
            <v>Zinc; bars, rods, profiles and wire</v>
          </cell>
          <cell r="F4062">
            <v>0</v>
          </cell>
          <cell r="G4062">
            <v>0</v>
          </cell>
          <cell r="H4062">
            <v>0</v>
          </cell>
          <cell r="I4062" t="str">
            <v>Others</v>
          </cell>
          <cell r="J4062">
            <v>3</v>
          </cell>
          <cell r="K4062" t="str">
            <v>Others</v>
          </cell>
        </row>
        <row r="4063">
          <cell r="D4063">
            <v>790500</v>
          </cell>
          <cell r="E4063" t="str">
            <v>Zinc; plates, sheets, strip and foil</v>
          </cell>
          <cell r="F4063">
            <v>0</v>
          </cell>
          <cell r="G4063">
            <v>0</v>
          </cell>
          <cell r="H4063">
            <v>0</v>
          </cell>
          <cell r="I4063" t="str">
            <v>Others</v>
          </cell>
          <cell r="J4063">
            <v>3</v>
          </cell>
          <cell r="K4063" t="str">
            <v>Others</v>
          </cell>
        </row>
        <row r="4064">
          <cell r="D4064">
            <v>790700</v>
          </cell>
          <cell r="E4064" t="str">
            <v>Zinc; articles n.e.c. in chapter 79</v>
          </cell>
          <cell r="F4064" t="str">
            <v>Consumables</v>
          </cell>
          <cell r="G4064">
            <v>0</v>
          </cell>
          <cell r="H4064">
            <v>0</v>
          </cell>
          <cell r="I4064" t="str">
            <v>Others</v>
          </cell>
          <cell r="J4064">
            <v>2</v>
          </cell>
          <cell r="K4064" t="str">
            <v>Consumables - rc</v>
          </cell>
        </row>
        <row r="4065">
          <cell r="D4065">
            <v>800110</v>
          </cell>
          <cell r="E4065" t="str">
            <v>Tin; unwrought, not alloyed</v>
          </cell>
          <cell r="F4065">
            <v>0</v>
          </cell>
          <cell r="G4065">
            <v>0</v>
          </cell>
          <cell r="H4065">
            <v>0</v>
          </cell>
          <cell r="I4065" t="str">
            <v>Others</v>
          </cell>
          <cell r="J4065">
            <v>3</v>
          </cell>
          <cell r="K4065" t="str">
            <v>Others</v>
          </cell>
        </row>
        <row r="4066">
          <cell r="D4066">
            <v>800120</v>
          </cell>
          <cell r="E4066" t="str">
            <v>Tin; unwrought, alloys</v>
          </cell>
          <cell r="F4066">
            <v>0</v>
          </cell>
          <cell r="G4066">
            <v>0</v>
          </cell>
          <cell r="H4066">
            <v>0</v>
          </cell>
          <cell r="I4066" t="str">
            <v>Others</v>
          </cell>
          <cell r="J4066">
            <v>3</v>
          </cell>
          <cell r="K4066" t="str">
            <v>Others</v>
          </cell>
        </row>
        <row r="4067">
          <cell r="D4067">
            <v>800200</v>
          </cell>
          <cell r="E4067" t="str">
            <v>Tin; waste and scrap</v>
          </cell>
          <cell r="F4067">
            <v>0</v>
          </cell>
          <cell r="G4067">
            <v>0</v>
          </cell>
          <cell r="H4067">
            <v>0</v>
          </cell>
          <cell r="I4067" t="str">
            <v>Others</v>
          </cell>
          <cell r="J4067">
            <v>3</v>
          </cell>
          <cell r="K4067" t="str">
            <v>Others</v>
          </cell>
        </row>
        <row r="4068">
          <cell r="D4068">
            <v>800300</v>
          </cell>
          <cell r="E4068" t="str">
            <v>Tin; bars, rods, profiles and wire</v>
          </cell>
          <cell r="F4068" t="str">
            <v>Consumables</v>
          </cell>
          <cell r="G4068">
            <v>0</v>
          </cell>
          <cell r="H4068">
            <v>0</v>
          </cell>
          <cell r="I4068" t="str">
            <v>Others</v>
          </cell>
          <cell r="J4068">
            <v>2</v>
          </cell>
          <cell r="K4068" t="str">
            <v>Consumables - rc</v>
          </cell>
        </row>
        <row r="4069">
          <cell r="D4069">
            <v>800700</v>
          </cell>
          <cell r="E4069" t="str">
            <v>Tin; articles n.e.c. in chapter 80</v>
          </cell>
          <cell r="F4069" t="str">
            <v>Consumables</v>
          </cell>
          <cell r="G4069">
            <v>0</v>
          </cell>
          <cell r="H4069">
            <v>0</v>
          </cell>
          <cell r="I4069" t="str">
            <v>Others</v>
          </cell>
          <cell r="J4069">
            <v>2</v>
          </cell>
          <cell r="K4069" t="str">
            <v>Consumables - rc</v>
          </cell>
        </row>
        <row r="4070">
          <cell r="D4070">
            <v>810110</v>
          </cell>
          <cell r="E4070" t="str">
            <v>Tungsten (wolfram); articles thereof, including waste and scrap, powders</v>
          </cell>
          <cell r="F4070">
            <v>0</v>
          </cell>
          <cell r="G4070">
            <v>0</v>
          </cell>
          <cell r="H4070">
            <v>0</v>
          </cell>
          <cell r="I4070" t="str">
            <v>Others</v>
          </cell>
          <cell r="J4070">
            <v>3</v>
          </cell>
          <cell r="K4070" t="str">
            <v>Others</v>
          </cell>
        </row>
        <row r="4071">
          <cell r="D4071">
            <v>810194</v>
          </cell>
          <cell r="E4071" t="str">
            <v>Tungsten (wolfram); unwrought, including bars and rods obtained simply by sintering</v>
          </cell>
          <cell r="F4071">
            <v>0</v>
          </cell>
          <cell r="G4071">
            <v>0</v>
          </cell>
          <cell r="H4071">
            <v>0</v>
          </cell>
          <cell r="I4071" t="str">
            <v>Others</v>
          </cell>
          <cell r="J4071">
            <v>3</v>
          </cell>
          <cell r="K4071" t="str">
            <v>Others</v>
          </cell>
        </row>
        <row r="4072">
          <cell r="D4072">
            <v>810196</v>
          </cell>
          <cell r="E4072" t="str">
            <v>Tungsten (wolfram); wire</v>
          </cell>
          <cell r="F4072">
            <v>0</v>
          </cell>
          <cell r="G4072">
            <v>0</v>
          </cell>
          <cell r="H4072">
            <v>0</v>
          </cell>
          <cell r="I4072" t="str">
            <v>Others</v>
          </cell>
          <cell r="J4072">
            <v>3</v>
          </cell>
          <cell r="K4072" t="str">
            <v>Others</v>
          </cell>
        </row>
        <row r="4073">
          <cell r="D4073">
            <v>810197</v>
          </cell>
          <cell r="E4073" t="str">
            <v>Tungsten (wolfram); waste and scrap</v>
          </cell>
          <cell r="F4073">
            <v>0</v>
          </cell>
          <cell r="G4073">
            <v>0</v>
          </cell>
          <cell r="H4073">
            <v>0</v>
          </cell>
          <cell r="I4073" t="str">
            <v>Others</v>
          </cell>
          <cell r="J4073">
            <v>3</v>
          </cell>
          <cell r="K4073" t="str">
            <v>Others</v>
          </cell>
        </row>
        <row r="4074">
          <cell r="D4074">
            <v>810199</v>
          </cell>
          <cell r="E4074" t="str">
            <v>Tungsten (wolfram); articles n.e.c. in heading no. 8101</v>
          </cell>
          <cell r="F4074">
            <v>0</v>
          </cell>
          <cell r="G4074">
            <v>0</v>
          </cell>
          <cell r="H4074">
            <v>0</v>
          </cell>
          <cell r="I4074" t="str">
            <v>Others</v>
          </cell>
          <cell r="J4074">
            <v>3</v>
          </cell>
          <cell r="K4074" t="str">
            <v>Others</v>
          </cell>
        </row>
        <row r="4075">
          <cell r="D4075">
            <v>810210</v>
          </cell>
          <cell r="E4075" t="str">
            <v>Molybdenum; articles thereof, including waste and scrap, powders</v>
          </cell>
          <cell r="F4075">
            <v>0</v>
          </cell>
          <cell r="G4075">
            <v>0</v>
          </cell>
          <cell r="H4075">
            <v>0</v>
          </cell>
          <cell r="I4075" t="str">
            <v>Others</v>
          </cell>
          <cell r="J4075">
            <v>3</v>
          </cell>
          <cell r="K4075" t="str">
            <v>Others</v>
          </cell>
        </row>
        <row r="4076">
          <cell r="D4076">
            <v>810294</v>
          </cell>
          <cell r="E4076" t="str">
            <v>Molybdenum; unwrought, including bars and rods obtained simply by sintering</v>
          </cell>
          <cell r="F4076">
            <v>0</v>
          </cell>
          <cell r="G4076">
            <v>0</v>
          </cell>
          <cell r="H4076">
            <v>0</v>
          </cell>
          <cell r="I4076" t="str">
            <v>Others</v>
          </cell>
          <cell r="J4076">
            <v>3</v>
          </cell>
          <cell r="K4076" t="str">
            <v>Others</v>
          </cell>
        </row>
        <row r="4077">
          <cell r="D4077">
            <v>810295</v>
          </cell>
          <cell r="E4077" t="str">
            <v>Molybdenum; bars and rods, other than those obtained simply by sintering, profiles, plates, sheets, strip and foil</v>
          </cell>
          <cell r="F4077">
            <v>0</v>
          </cell>
          <cell r="G4077">
            <v>0</v>
          </cell>
          <cell r="H4077">
            <v>0</v>
          </cell>
          <cell r="I4077" t="str">
            <v>Others</v>
          </cell>
          <cell r="J4077">
            <v>3</v>
          </cell>
          <cell r="K4077" t="str">
            <v>Others</v>
          </cell>
        </row>
        <row r="4078">
          <cell r="D4078">
            <v>810296</v>
          </cell>
          <cell r="E4078" t="str">
            <v>Molybdenum; wire</v>
          </cell>
          <cell r="F4078">
            <v>0</v>
          </cell>
          <cell r="G4078">
            <v>0</v>
          </cell>
          <cell r="H4078">
            <v>0</v>
          </cell>
          <cell r="I4078" t="str">
            <v>Others</v>
          </cell>
          <cell r="J4078">
            <v>3</v>
          </cell>
          <cell r="K4078" t="str">
            <v>Others</v>
          </cell>
        </row>
        <row r="4079">
          <cell r="D4079">
            <v>810297</v>
          </cell>
          <cell r="E4079" t="str">
            <v>Molybdenum; waste and scrap</v>
          </cell>
          <cell r="F4079">
            <v>0</v>
          </cell>
          <cell r="G4079">
            <v>0</v>
          </cell>
          <cell r="H4079">
            <v>0</v>
          </cell>
          <cell r="I4079" t="str">
            <v>Others</v>
          </cell>
          <cell r="J4079">
            <v>3</v>
          </cell>
          <cell r="K4079" t="str">
            <v>Others</v>
          </cell>
        </row>
        <row r="4080">
          <cell r="D4080">
            <v>810299</v>
          </cell>
          <cell r="E4080" t="str">
            <v>Molybdenum; articles n.e.c. in heading no. 8102</v>
          </cell>
          <cell r="F4080">
            <v>0</v>
          </cell>
          <cell r="G4080">
            <v>0</v>
          </cell>
          <cell r="H4080">
            <v>0</v>
          </cell>
          <cell r="I4080" t="str">
            <v>Others</v>
          </cell>
          <cell r="J4080">
            <v>3</v>
          </cell>
          <cell r="K4080" t="str">
            <v>Others</v>
          </cell>
        </row>
        <row r="4081">
          <cell r="D4081">
            <v>810320</v>
          </cell>
          <cell r="E4081" t="str">
            <v>Tantalum; unwrought, including bars and rods obtained simply by sintering, powders</v>
          </cell>
          <cell r="F4081">
            <v>0</v>
          </cell>
          <cell r="G4081">
            <v>0</v>
          </cell>
          <cell r="H4081">
            <v>0</v>
          </cell>
          <cell r="I4081" t="str">
            <v>Others</v>
          </cell>
          <cell r="J4081">
            <v>3</v>
          </cell>
          <cell r="K4081" t="str">
            <v>Others</v>
          </cell>
        </row>
        <row r="4082">
          <cell r="D4082">
            <v>810330</v>
          </cell>
          <cell r="E4082" t="str">
            <v>Tantalum; waste and scrap</v>
          </cell>
          <cell r="F4082">
            <v>0</v>
          </cell>
          <cell r="G4082">
            <v>0</v>
          </cell>
          <cell r="H4082">
            <v>0</v>
          </cell>
          <cell r="I4082" t="str">
            <v>Others</v>
          </cell>
          <cell r="J4082">
            <v>3</v>
          </cell>
          <cell r="K4082" t="str">
            <v>Others</v>
          </cell>
        </row>
        <row r="4083">
          <cell r="D4083">
            <v>810391</v>
          </cell>
          <cell r="E4083" t="str">
            <v>Tantalum; crucibles</v>
          </cell>
          <cell r="F4083">
            <v>0</v>
          </cell>
          <cell r="G4083">
            <v>0</v>
          </cell>
          <cell r="H4083">
            <v>0</v>
          </cell>
          <cell r="I4083" t="str">
            <v>Others</v>
          </cell>
          <cell r="J4083">
            <v>3</v>
          </cell>
          <cell r="K4083" t="str">
            <v>Others</v>
          </cell>
        </row>
        <row r="4084">
          <cell r="D4084">
            <v>810399</v>
          </cell>
          <cell r="E4084" t="str">
            <v>Tantalum; articles n.e.c. in heading no. 8103</v>
          </cell>
          <cell r="F4084">
            <v>0</v>
          </cell>
          <cell r="G4084">
            <v>0</v>
          </cell>
          <cell r="H4084">
            <v>0</v>
          </cell>
          <cell r="I4084" t="str">
            <v>Others</v>
          </cell>
          <cell r="J4084">
            <v>3</v>
          </cell>
          <cell r="K4084" t="str">
            <v>Others</v>
          </cell>
        </row>
        <row r="4085">
          <cell r="D4085">
            <v>810411</v>
          </cell>
          <cell r="E4085" t="str">
            <v>Magnesium; unwrought, containing at least 99.8% by weight of magnesium</v>
          </cell>
          <cell r="F4085">
            <v>0</v>
          </cell>
          <cell r="G4085">
            <v>0</v>
          </cell>
          <cell r="H4085">
            <v>0</v>
          </cell>
          <cell r="I4085" t="str">
            <v>Others</v>
          </cell>
          <cell r="J4085">
            <v>3</v>
          </cell>
          <cell r="K4085" t="str">
            <v>Others</v>
          </cell>
        </row>
        <row r="4086">
          <cell r="D4086">
            <v>810419</v>
          </cell>
          <cell r="E4086" t="str">
            <v>Magnesium; unwrought, containing less than 99.8% by weight of magnesium</v>
          </cell>
          <cell r="F4086">
            <v>0</v>
          </cell>
          <cell r="G4086">
            <v>0</v>
          </cell>
          <cell r="H4086">
            <v>0</v>
          </cell>
          <cell r="I4086" t="str">
            <v>Others</v>
          </cell>
          <cell r="J4086">
            <v>3</v>
          </cell>
          <cell r="K4086" t="str">
            <v>Others</v>
          </cell>
        </row>
        <row r="4087">
          <cell r="D4087">
            <v>810420</v>
          </cell>
          <cell r="E4087" t="str">
            <v>Magnesium; waste and scrap</v>
          </cell>
          <cell r="F4087">
            <v>0</v>
          </cell>
          <cell r="G4087">
            <v>0</v>
          </cell>
          <cell r="H4087">
            <v>0</v>
          </cell>
          <cell r="I4087" t="str">
            <v>Others</v>
          </cell>
          <cell r="J4087">
            <v>3</v>
          </cell>
          <cell r="K4087" t="str">
            <v>Others</v>
          </cell>
        </row>
        <row r="4088">
          <cell r="D4088">
            <v>810430</v>
          </cell>
          <cell r="E4088" t="str">
            <v>Magnesium; raspings, turnings and granules, graded according to size, powders</v>
          </cell>
          <cell r="F4088">
            <v>0</v>
          </cell>
          <cell r="G4088">
            <v>0</v>
          </cell>
          <cell r="H4088">
            <v>0</v>
          </cell>
          <cell r="I4088" t="str">
            <v>Others</v>
          </cell>
          <cell r="J4088">
            <v>3</v>
          </cell>
          <cell r="K4088" t="str">
            <v>Others</v>
          </cell>
        </row>
        <row r="4089">
          <cell r="D4089">
            <v>810490</v>
          </cell>
          <cell r="E4089" t="str">
            <v>Magnesium; articles n.e.c. in heading no. 8104</v>
          </cell>
          <cell r="F4089">
            <v>0</v>
          </cell>
          <cell r="G4089">
            <v>0</v>
          </cell>
          <cell r="H4089">
            <v>0</v>
          </cell>
          <cell r="I4089" t="str">
            <v>Others</v>
          </cell>
          <cell r="J4089">
            <v>3</v>
          </cell>
          <cell r="K4089" t="str">
            <v>Others</v>
          </cell>
        </row>
        <row r="4090">
          <cell r="D4090">
            <v>810520</v>
          </cell>
          <cell r="E4090" t="str">
            <v>Cobalt; mattes and other intermediate products of cobalt metallurgy, unwrought cobalt, powders</v>
          </cell>
          <cell r="F4090">
            <v>0</v>
          </cell>
          <cell r="G4090">
            <v>0</v>
          </cell>
          <cell r="H4090">
            <v>0</v>
          </cell>
          <cell r="I4090" t="str">
            <v>Others</v>
          </cell>
          <cell r="J4090">
            <v>3</v>
          </cell>
          <cell r="K4090" t="str">
            <v>Others</v>
          </cell>
        </row>
        <row r="4091">
          <cell r="D4091">
            <v>810530</v>
          </cell>
          <cell r="E4091" t="str">
            <v>Cobalt; waste and scrap</v>
          </cell>
          <cell r="F4091">
            <v>0</v>
          </cell>
          <cell r="G4091">
            <v>0</v>
          </cell>
          <cell r="H4091">
            <v>0</v>
          </cell>
          <cell r="I4091" t="str">
            <v>Others</v>
          </cell>
          <cell r="J4091">
            <v>3</v>
          </cell>
          <cell r="K4091" t="str">
            <v>Others</v>
          </cell>
        </row>
        <row r="4092">
          <cell r="D4092">
            <v>810590</v>
          </cell>
          <cell r="E4092" t="str">
            <v>Cobalt; articles n.e.c. in heading no. 8105</v>
          </cell>
          <cell r="F4092">
            <v>0</v>
          </cell>
          <cell r="G4092">
            <v>0</v>
          </cell>
          <cell r="H4092">
            <v>0</v>
          </cell>
          <cell r="I4092" t="str">
            <v>Others</v>
          </cell>
          <cell r="J4092">
            <v>3</v>
          </cell>
          <cell r="K4092" t="str">
            <v>Others</v>
          </cell>
        </row>
        <row r="4093">
          <cell r="D4093">
            <v>810610</v>
          </cell>
          <cell r="E4093" t="str">
            <v>Bismuth; articles thereof, including waste and scrap, containing more than 99.99% of bismuth, by weight</v>
          </cell>
          <cell r="F4093">
            <v>0</v>
          </cell>
          <cell r="G4093">
            <v>0</v>
          </cell>
          <cell r="H4093">
            <v>0</v>
          </cell>
          <cell r="I4093" t="str">
            <v>Others</v>
          </cell>
          <cell r="J4093">
            <v>3</v>
          </cell>
          <cell r="K4093" t="str">
            <v>Others</v>
          </cell>
        </row>
        <row r="4094">
          <cell r="D4094">
            <v>810690</v>
          </cell>
          <cell r="E4094" t="str">
            <v>Bismuth; including articles n.e.c. in heading 8106, including waste and scrap, containing less than or equal to 99.99% of bismuth, by weight</v>
          </cell>
          <cell r="F4094" t="str">
            <v>Consumables</v>
          </cell>
          <cell r="G4094">
            <v>0</v>
          </cell>
          <cell r="H4094">
            <v>0</v>
          </cell>
          <cell r="I4094" t="str">
            <v>Others</v>
          </cell>
          <cell r="J4094">
            <v>2</v>
          </cell>
          <cell r="K4094" t="str">
            <v>Consumables - rc</v>
          </cell>
        </row>
        <row r="4095">
          <cell r="D4095">
            <v>810820</v>
          </cell>
          <cell r="E4095" t="str">
            <v>Titanium; unwrought, powders</v>
          </cell>
          <cell r="F4095">
            <v>0</v>
          </cell>
          <cell r="G4095">
            <v>0</v>
          </cell>
          <cell r="H4095">
            <v>0</v>
          </cell>
          <cell r="I4095" t="str">
            <v>Others</v>
          </cell>
          <cell r="J4095">
            <v>3</v>
          </cell>
          <cell r="K4095" t="str">
            <v>Others</v>
          </cell>
        </row>
        <row r="4096">
          <cell r="D4096">
            <v>810830</v>
          </cell>
          <cell r="E4096" t="str">
            <v>Titanium; waste and scrap</v>
          </cell>
          <cell r="F4096">
            <v>0</v>
          </cell>
          <cell r="G4096">
            <v>0</v>
          </cell>
          <cell r="H4096">
            <v>0</v>
          </cell>
          <cell r="I4096" t="str">
            <v>Others</v>
          </cell>
          <cell r="J4096">
            <v>3</v>
          </cell>
          <cell r="K4096" t="str">
            <v>Others</v>
          </cell>
        </row>
        <row r="4097">
          <cell r="D4097">
            <v>810890</v>
          </cell>
          <cell r="E4097" t="str">
            <v>Titanium; other than unwrought, n.e.c. in heading no. 8108</v>
          </cell>
          <cell r="F4097" t="str">
            <v>Consumables</v>
          </cell>
          <cell r="G4097">
            <v>0</v>
          </cell>
          <cell r="H4097">
            <v>0</v>
          </cell>
          <cell r="I4097" t="str">
            <v>Others</v>
          </cell>
          <cell r="J4097">
            <v>2</v>
          </cell>
          <cell r="K4097" t="str">
            <v>Consumables - rc</v>
          </cell>
        </row>
        <row r="4098">
          <cell r="D4098">
            <v>810921</v>
          </cell>
          <cell r="E4098" t="str">
            <v>Zirconium; unwrought, powders, containing less than 1 part hafnium to 500 parts zirconium by weight</v>
          </cell>
          <cell r="F4098">
            <v>0</v>
          </cell>
          <cell r="G4098">
            <v>0</v>
          </cell>
          <cell r="H4098">
            <v>0</v>
          </cell>
          <cell r="I4098" t="str">
            <v>Others</v>
          </cell>
          <cell r="J4098">
            <v>3</v>
          </cell>
          <cell r="K4098" t="str">
            <v>Others</v>
          </cell>
        </row>
        <row r="4099">
          <cell r="D4099">
            <v>810929</v>
          </cell>
          <cell r="E4099" t="str">
            <v>Zirconium; unwrought, powders, containing not less than 1 part hafnium to 500 parts zirconium by weight</v>
          </cell>
          <cell r="F4099">
            <v>0</v>
          </cell>
          <cell r="G4099">
            <v>0</v>
          </cell>
          <cell r="H4099">
            <v>0</v>
          </cell>
          <cell r="I4099" t="str">
            <v>Others</v>
          </cell>
          <cell r="J4099">
            <v>3</v>
          </cell>
          <cell r="K4099" t="str">
            <v>Others</v>
          </cell>
        </row>
        <row r="4100">
          <cell r="D4100">
            <v>810931</v>
          </cell>
          <cell r="E4100" t="str">
            <v>Zirconium; waste and scrap, containing less than 1 part hafnium to 500 parts zirconium by weight</v>
          </cell>
          <cell r="F4100">
            <v>0</v>
          </cell>
          <cell r="G4100">
            <v>0</v>
          </cell>
          <cell r="H4100">
            <v>0</v>
          </cell>
          <cell r="I4100" t="str">
            <v>Others</v>
          </cell>
          <cell r="J4100">
            <v>3</v>
          </cell>
          <cell r="K4100" t="str">
            <v>Others</v>
          </cell>
        </row>
        <row r="4101">
          <cell r="D4101">
            <v>810939</v>
          </cell>
          <cell r="E4101" t="str">
            <v>Zirconium; waste and scrap, containing not less than 1 part hafnium to 500 parts zirconium by weight</v>
          </cell>
          <cell r="F4101">
            <v>0</v>
          </cell>
          <cell r="G4101">
            <v>0</v>
          </cell>
          <cell r="H4101">
            <v>0</v>
          </cell>
          <cell r="I4101" t="str">
            <v>Others</v>
          </cell>
          <cell r="J4101">
            <v>3</v>
          </cell>
          <cell r="K4101" t="str">
            <v>Others</v>
          </cell>
        </row>
        <row r="4102">
          <cell r="D4102">
            <v>810991</v>
          </cell>
          <cell r="E4102" t="str">
            <v>Zirconium; other than unwrought, n.e.c. in heading no. 8109, containing less than 1 part hafnium to 500 parts zirconium by weight</v>
          </cell>
          <cell r="F4102">
            <v>0</v>
          </cell>
          <cell r="G4102">
            <v>0</v>
          </cell>
          <cell r="H4102">
            <v>0</v>
          </cell>
          <cell r="I4102" t="str">
            <v>Others</v>
          </cell>
          <cell r="J4102">
            <v>3</v>
          </cell>
          <cell r="K4102" t="str">
            <v>Others</v>
          </cell>
        </row>
        <row r="4103">
          <cell r="D4103">
            <v>810999</v>
          </cell>
          <cell r="E4103" t="str">
            <v>Zirconium; other than unwrought, n.e.c. in heading no. 8109, containing not less than 1 part hafnium to 500 parts zirconium by weight</v>
          </cell>
          <cell r="F4103">
            <v>0</v>
          </cell>
          <cell r="G4103">
            <v>0</v>
          </cell>
          <cell r="H4103">
            <v>0</v>
          </cell>
          <cell r="I4103" t="str">
            <v>Others</v>
          </cell>
          <cell r="J4103">
            <v>3</v>
          </cell>
          <cell r="K4103" t="str">
            <v>Others</v>
          </cell>
        </row>
        <row r="4104">
          <cell r="D4104">
            <v>811010</v>
          </cell>
          <cell r="E4104" t="str">
            <v>Antimony and articles thereof; unwrought antimony, powders</v>
          </cell>
          <cell r="F4104">
            <v>0</v>
          </cell>
          <cell r="G4104">
            <v>0</v>
          </cell>
          <cell r="H4104">
            <v>0</v>
          </cell>
          <cell r="I4104" t="str">
            <v>Others</v>
          </cell>
          <cell r="J4104">
            <v>3</v>
          </cell>
          <cell r="K4104" t="str">
            <v>Others</v>
          </cell>
        </row>
        <row r="4105">
          <cell r="D4105">
            <v>811020</v>
          </cell>
          <cell r="E4105" t="str">
            <v>Antimony; waste and scrap</v>
          </cell>
          <cell r="F4105">
            <v>0</v>
          </cell>
          <cell r="G4105">
            <v>0</v>
          </cell>
          <cell r="H4105">
            <v>0</v>
          </cell>
          <cell r="I4105" t="str">
            <v>Others</v>
          </cell>
          <cell r="J4105">
            <v>3</v>
          </cell>
          <cell r="K4105" t="str">
            <v>Others</v>
          </cell>
        </row>
        <row r="4106">
          <cell r="D4106">
            <v>811090</v>
          </cell>
          <cell r="E4106" t="str">
            <v>Antimony and articles thereof; wrought, other than waste and scrap</v>
          </cell>
          <cell r="F4106">
            <v>0</v>
          </cell>
          <cell r="G4106">
            <v>0</v>
          </cell>
          <cell r="H4106">
            <v>0</v>
          </cell>
          <cell r="I4106" t="str">
            <v>Others</v>
          </cell>
          <cell r="J4106">
            <v>3</v>
          </cell>
          <cell r="K4106" t="str">
            <v>Others</v>
          </cell>
        </row>
        <row r="4107">
          <cell r="D4107">
            <v>811100</v>
          </cell>
          <cell r="E4107" t="str">
            <v>Manganese; articles thereof, including waste and scrap</v>
          </cell>
          <cell r="F4107">
            <v>0</v>
          </cell>
          <cell r="G4107">
            <v>0</v>
          </cell>
          <cell r="H4107">
            <v>0</v>
          </cell>
          <cell r="I4107" t="str">
            <v>Others</v>
          </cell>
          <cell r="J4107">
            <v>3</v>
          </cell>
          <cell r="K4107" t="str">
            <v>Others</v>
          </cell>
        </row>
        <row r="4108">
          <cell r="D4108">
            <v>811212</v>
          </cell>
          <cell r="E4108" t="str">
            <v>Beryllium and articles thereof; unwrought beryllium, powders</v>
          </cell>
          <cell r="F4108">
            <v>0</v>
          </cell>
          <cell r="G4108">
            <v>0</v>
          </cell>
          <cell r="H4108">
            <v>0</v>
          </cell>
          <cell r="I4108" t="str">
            <v>Others</v>
          </cell>
          <cell r="J4108">
            <v>3</v>
          </cell>
          <cell r="K4108" t="str">
            <v>Others</v>
          </cell>
        </row>
        <row r="4109">
          <cell r="D4109">
            <v>811213</v>
          </cell>
          <cell r="E4109" t="str">
            <v>Beryllium; waste and scrap</v>
          </cell>
          <cell r="F4109">
            <v>0</v>
          </cell>
          <cell r="G4109">
            <v>0</v>
          </cell>
          <cell r="H4109">
            <v>0</v>
          </cell>
          <cell r="I4109" t="str">
            <v>Others</v>
          </cell>
          <cell r="J4109">
            <v>3</v>
          </cell>
          <cell r="K4109" t="str">
            <v>Others</v>
          </cell>
        </row>
        <row r="4110">
          <cell r="D4110">
            <v>811219</v>
          </cell>
          <cell r="E4110" t="str">
            <v>Beryllium and articles thereof; wrought other than waste and scrap</v>
          </cell>
          <cell r="F4110">
            <v>0</v>
          </cell>
          <cell r="G4110">
            <v>0</v>
          </cell>
          <cell r="H4110">
            <v>0</v>
          </cell>
          <cell r="I4110" t="str">
            <v>Others</v>
          </cell>
          <cell r="J4110">
            <v>3</v>
          </cell>
          <cell r="K4110" t="str">
            <v>Others</v>
          </cell>
        </row>
        <row r="4111">
          <cell r="D4111">
            <v>811221</v>
          </cell>
          <cell r="E4111" t="str">
            <v>Chromium and articles thereof; unwrought chromium, powders</v>
          </cell>
          <cell r="F4111">
            <v>0</v>
          </cell>
          <cell r="G4111">
            <v>0</v>
          </cell>
          <cell r="H4111">
            <v>0</v>
          </cell>
          <cell r="I4111" t="str">
            <v>Others</v>
          </cell>
          <cell r="J4111">
            <v>3</v>
          </cell>
          <cell r="K4111" t="str">
            <v>Others</v>
          </cell>
        </row>
        <row r="4112">
          <cell r="D4112">
            <v>811222</v>
          </cell>
          <cell r="E4112" t="str">
            <v>Chromium; waste and scrap</v>
          </cell>
          <cell r="F4112">
            <v>0</v>
          </cell>
          <cell r="G4112">
            <v>0</v>
          </cell>
          <cell r="H4112">
            <v>0</v>
          </cell>
          <cell r="I4112" t="str">
            <v>Others</v>
          </cell>
          <cell r="J4112">
            <v>3</v>
          </cell>
          <cell r="K4112" t="str">
            <v>Others</v>
          </cell>
        </row>
        <row r="4113">
          <cell r="D4113">
            <v>811229</v>
          </cell>
          <cell r="E4113" t="str">
            <v>Chromium and articles thereof; wrought other than waste and scrap</v>
          </cell>
          <cell r="F4113">
            <v>0</v>
          </cell>
          <cell r="G4113">
            <v>0</v>
          </cell>
          <cell r="H4113">
            <v>0</v>
          </cell>
          <cell r="I4113" t="str">
            <v>Others</v>
          </cell>
          <cell r="J4113">
            <v>3</v>
          </cell>
          <cell r="K4113" t="str">
            <v>Others</v>
          </cell>
        </row>
        <row r="4114">
          <cell r="D4114">
            <v>811231</v>
          </cell>
          <cell r="E4114" t="str">
            <v>Hafnium and articles thereof; unwrought, powders, waste and scrap</v>
          </cell>
          <cell r="F4114">
            <v>0</v>
          </cell>
          <cell r="G4114">
            <v>0</v>
          </cell>
          <cell r="H4114">
            <v>0</v>
          </cell>
          <cell r="I4114" t="str">
            <v>Others</v>
          </cell>
          <cell r="J4114">
            <v>3</v>
          </cell>
          <cell r="K4114" t="str">
            <v>Others</v>
          </cell>
        </row>
        <row r="4115">
          <cell r="D4115">
            <v>811239</v>
          </cell>
          <cell r="E4115" t="str">
            <v>Hafnium and articles thereof; wrought, other than powders, waste and scrap</v>
          </cell>
          <cell r="F4115">
            <v>0</v>
          </cell>
          <cell r="G4115">
            <v>0</v>
          </cell>
          <cell r="H4115">
            <v>0</v>
          </cell>
          <cell r="I4115" t="str">
            <v>Others</v>
          </cell>
          <cell r="J4115">
            <v>3</v>
          </cell>
          <cell r="K4115" t="str">
            <v>Others</v>
          </cell>
        </row>
        <row r="4116">
          <cell r="D4116">
            <v>811241</v>
          </cell>
          <cell r="E4116" t="str">
            <v>Rhenium and articles thereof; unwrought, powders, waste and scrap</v>
          </cell>
          <cell r="F4116">
            <v>0</v>
          </cell>
          <cell r="G4116">
            <v>0</v>
          </cell>
          <cell r="H4116">
            <v>0</v>
          </cell>
          <cell r="I4116" t="str">
            <v>Others</v>
          </cell>
          <cell r="J4116">
            <v>3</v>
          </cell>
          <cell r="K4116" t="str">
            <v>Others</v>
          </cell>
        </row>
        <row r="4117">
          <cell r="D4117">
            <v>811249</v>
          </cell>
          <cell r="E4117" t="str">
            <v>Rhenium and articles thereof; wrought, other than powders, waste and scrap</v>
          </cell>
          <cell r="F4117">
            <v>0</v>
          </cell>
          <cell r="G4117">
            <v>0</v>
          </cell>
          <cell r="H4117">
            <v>0</v>
          </cell>
          <cell r="I4117" t="str">
            <v>Others</v>
          </cell>
          <cell r="J4117">
            <v>3</v>
          </cell>
          <cell r="K4117" t="str">
            <v>Others</v>
          </cell>
        </row>
        <row r="4118">
          <cell r="D4118">
            <v>811251</v>
          </cell>
          <cell r="E4118" t="str">
            <v>Thallium and articles thereof; unwrought thallium, powders</v>
          </cell>
          <cell r="F4118">
            <v>0</v>
          </cell>
          <cell r="G4118">
            <v>0</v>
          </cell>
          <cell r="H4118">
            <v>0</v>
          </cell>
          <cell r="I4118" t="str">
            <v>Others</v>
          </cell>
          <cell r="J4118">
            <v>3</v>
          </cell>
          <cell r="K4118" t="str">
            <v>Others</v>
          </cell>
        </row>
        <row r="4119">
          <cell r="D4119">
            <v>811252</v>
          </cell>
          <cell r="E4119" t="str">
            <v>Thallium; waste and scrap</v>
          </cell>
          <cell r="F4119">
            <v>0</v>
          </cell>
          <cell r="G4119">
            <v>0</v>
          </cell>
          <cell r="H4119">
            <v>0</v>
          </cell>
          <cell r="I4119" t="str">
            <v>Others</v>
          </cell>
          <cell r="J4119">
            <v>3</v>
          </cell>
          <cell r="K4119" t="str">
            <v>Others</v>
          </cell>
        </row>
        <row r="4120">
          <cell r="D4120">
            <v>811259</v>
          </cell>
          <cell r="E4120" t="str">
            <v>Thallium and articles thereof; other than unwrought thallium, powders or waste and scrap</v>
          </cell>
          <cell r="F4120">
            <v>0</v>
          </cell>
          <cell r="G4120">
            <v>0</v>
          </cell>
          <cell r="H4120">
            <v>0</v>
          </cell>
          <cell r="I4120" t="str">
            <v>Others</v>
          </cell>
          <cell r="J4120">
            <v>3</v>
          </cell>
          <cell r="K4120" t="str">
            <v>Others</v>
          </cell>
        </row>
        <row r="4121">
          <cell r="D4121">
            <v>811261</v>
          </cell>
          <cell r="E4121" t="str">
            <v>Cadmium; waste and scrap</v>
          </cell>
          <cell r="F4121">
            <v>0</v>
          </cell>
          <cell r="G4121">
            <v>0</v>
          </cell>
          <cell r="H4121">
            <v>0</v>
          </cell>
          <cell r="I4121" t="str">
            <v>Others</v>
          </cell>
          <cell r="J4121">
            <v>3</v>
          </cell>
          <cell r="K4121" t="str">
            <v>Others</v>
          </cell>
        </row>
        <row r="4122">
          <cell r="D4122">
            <v>811269</v>
          </cell>
          <cell r="E4122" t="str">
            <v>Cadmium; other than waste and scrap</v>
          </cell>
          <cell r="F4122">
            <v>0</v>
          </cell>
          <cell r="G4122">
            <v>0</v>
          </cell>
          <cell r="H4122">
            <v>0</v>
          </cell>
          <cell r="I4122" t="str">
            <v>Others</v>
          </cell>
          <cell r="J4122">
            <v>3</v>
          </cell>
          <cell r="K4122" t="str">
            <v>Others</v>
          </cell>
        </row>
        <row r="4123">
          <cell r="D4123">
            <v>811292</v>
          </cell>
          <cell r="E4123" t="str">
            <v>Gallium, germanium, indium, niobium (columbium) and vanadium; articles thereof, unwrought, including waste and scrap, powders</v>
          </cell>
          <cell r="F4123">
            <v>0</v>
          </cell>
          <cell r="G4123">
            <v>0</v>
          </cell>
          <cell r="H4123">
            <v>0</v>
          </cell>
          <cell r="I4123" t="str">
            <v>Others</v>
          </cell>
          <cell r="J4123">
            <v>3</v>
          </cell>
          <cell r="K4123" t="str">
            <v>Others</v>
          </cell>
        </row>
        <row r="4124">
          <cell r="D4124">
            <v>811299</v>
          </cell>
          <cell r="E4124" t="str">
            <v>Gallium, germanium, indium, niobium (columbium) and vanadium; articles thereof, other than unwrought including waste and scrap and powders</v>
          </cell>
          <cell r="F4124">
            <v>0</v>
          </cell>
          <cell r="G4124">
            <v>0</v>
          </cell>
          <cell r="H4124">
            <v>0</v>
          </cell>
          <cell r="I4124" t="str">
            <v>Others</v>
          </cell>
          <cell r="J4124">
            <v>3</v>
          </cell>
          <cell r="K4124" t="str">
            <v>Others</v>
          </cell>
        </row>
        <row r="4125">
          <cell r="D4125">
            <v>811300</v>
          </cell>
          <cell r="E4125" t="str">
            <v>Cermets; articles thereof, including waste and scrap</v>
          </cell>
          <cell r="F4125">
            <v>0</v>
          </cell>
          <cell r="G4125">
            <v>0</v>
          </cell>
          <cell r="H4125">
            <v>0</v>
          </cell>
          <cell r="I4125" t="str">
            <v>Others</v>
          </cell>
          <cell r="J4125">
            <v>3</v>
          </cell>
          <cell r="K4125" t="str">
            <v>Others</v>
          </cell>
        </row>
        <row r="4126">
          <cell r="D4126">
            <v>820110</v>
          </cell>
          <cell r="E4126" t="str">
            <v>Tools, hand; spades and shovels</v>
          </cell>
          <cell r="F4126">
            <v>0</v>
          </cell>
          <cell r="G4126" t="str">
            <v>Capital Goods</v>
          </cell>
          <cell r="H4126" t="str">
            <v>Capital Goods</v>
          </cell>
          <cell r="I4126" t="str">
            <v>Capital Goods</v>
          </cell>
          <cell r="J4126">
            <v>1</v>
          </cell>
          <cell r="K4126" t="str">
            <v>Capital Goods</v>
          </cell>
        </row>
        <row r="4127">
          <cell r="D4127">
            <v>820120</v>
          </cell>
          <cell r="E4127" t="str">
            <v>Forks</v>
          </cell>
          <cell r="F4127">
            <v>0</v>
          </cell>
          <cell r="G4127" t="str">
            <v>Parts &amp; Accessories</v>
          </cell>
          <cell r="H4127" t="str">
            <v>Parts &amp; Accessories</v>
          </cell>
          <cell r="I4127">
            <v>0</v>
          </cell>
          <cell r="J4127">
            <v>2</v>
          </cell>
          <cell r="K4127" t="str">
            <v>Capital Goods</v>
          </cell>
        </row>
        <row r="4128">
          <cell r="D4128">
            <v>820130</v>
          </cell>
          <cell r="E4128" t="str">
            <v>Tools, hand; mattocks, picks, hoes and rakes</v>
          </cell>
          <cell r="F4128">
            <v>0</v>
          </cell>
          <cell r="G4128" t="str">
            <v>Capital Goods</v>
          </cell>
          <cell r="H4128" t="str">
            <v>Capital Goods</v>
          </cell>
          <cell r="I4128" t="str">
            <v>Capital Goods</v>
          </cell>
          <cell r="J4128">
            <v>1</v>
          </cell>
          <cell r="K4128" t="str">
            <v>Capital Goods</v>
          </cell>
        </row>
        <row r="4129">
          <cell r="D4129">
            <v>820140</v>
          </cell>
          <cell r="E4129" t="str">
            <v>Tools, hand; axes, bill hooks and similar hewing tools, of a kind used in agriculture, horticulture or forestry</v>
          </cell>
          <cell r="F4129">
            <v>0</v>
          </cell>
          <cell r="G4129" t="str">
            <v>Capital Goods</v>
          </cell>
          <cell r="H4129" t="str">
            <v>Capital Goods</v>
          </cell>
          <cell r="I4129" t="str">
            <v>Capital Goods</v>
          </cell>
          <cell r="J4129">
            <v>1</v>
          </cell>
          <cell r="K4129" t="str">
            <v>Capital Goods</v>
          </cell>
        </row>
        <row r="4130">
          <cell r="D4130">
            <v>820150</v>
          </cell>
          <cell r="E4130" t="str">
            <v>Tools, hand; one-handed secateurs (including poultry shears)</v>
          </cell>
          <cell r="F4130">
            <v>0</v>
          </cell>
          <cell r="G4130" t="str">
            <v>Capital Goods</v>
          </cell>
          <cell r="H4130" t="str">
            <v>Capital Goods</v>
          </cell>
          <cell r="I4130" t="str">
            <v>Capital Goods</v>
          </cell>
          <cell r="J4130">
            <v>1</v>
          </cell>
          <cell r="K4130" t="str">
            <v>Capital Goods</v>
          </cell>
        </row>
        <row r="4131">
          <cell r="D4131">
            <v>820160</v>
          </cell>
          <cell r="E4131" t="str">
            <v>Tools, hand; hedge shears, two-handed pruning shears and similar two-handed shears</v>
          </cell>
          <cell r="F4131">
            <v>0</v>
          </cell>
          <cell r="G4131" t="str">
            <v>Capital Goods</v>
          </cell>
          <cell r="H4131" t="str">
            <v>Capital Goods</v>
          </cell>
          <cell r="I4131" t="str">
            <v>Capital Goods</v>
          </cell>
          <cell r="J4131">
            <v>1</v>
          </cell>
          <cell r="K4131" t="str">
            <v>Capital Goods</v>
          </cell>
        </row>
        <row r="4132">
          <cell r="D4132">
            <v>820190</v>
          </cell>
          <cell r="E4132" t="str">
            <v>Tools, hand; forks, scythes, sickles, hay knives, timber wedges, and other hand tools of a kind used in agriculture, horticulture or forestry n.e.c. in heading 8201</v>
          </cell>
          <cell r="F4132">
            <v>0</v>
          </cell>
          <cell r="G4132" t="str">
            <v>Capital Goods</v>
          </cell>
          <cell r="H4132" t="str">
            <v>Capital Goods</v>
          </cell>
          <cell r="I4132" t="str">
            <v>Capital Goods</v>
          </cell>
          <cell r="J4132">
            <v>1</v>
          </cell>
          <cell r="K4132" t="str">
            <v>Capital Goods</v>
          </cell>
        </row>
        <row r="4133">
          <cell r="D4133">
            <v>820210</v>
          </cell>
          <cell r="E4133" t="str">
            <v>Tools, hand; hand saws</v>
          </cell>
          <cell r="F4133" t="str">
            <v>Capital Goods</v>
          </cell>
          <cell r="G4133" t="str">
            <v>Capital Goods</v>
          </cell>
          <cell r="H4133">
            <v>0</v>
          </cell>
          <cell r="I4133" t="str">
            <v>Capital Goods</v>
          </cell>
          <cell r="J4133">
            <v>1</v>
          </cell>
          <cell r="K4133" t="str">
            <v>Capital Goods</v>
          </cell>
        </row>
        <row r="4134">
          <cell r="D4134">
            <v>820220</v>
          </cell>
          <cell r="E4134" t="str">
            <v>Tools, hand; band saw blades</v>
          </cell>
          <cell r="F4134">
            <v>0</v>
          </cell>
          <cell r="G4134" t="str">
            <v>Capital Goods</v>
          </cell>
          <cell r="H4134" t="str">
            <v>Capital Goods</v>
          </cell>
          <cell r="I4134" t="str">
            <v>Capital Goods</v>
          </cell>
          <cell r="J4134">
            <v>1</v>
          </cell>
          <cell r="K4134" t="str">
            <v>Capital Goods</v>
          </cell>
        </row>
        <row r="4135">
          <cell r="D4135">
            <v>820231</v>
          </cell>
          <cell r="E4135" t="str">
            <v>Tools, hand; circular saw blades (including slitting or slotting saw blades), with working part of steel</v>
          </cell>
          <cell r="F4135">
            <v>0</v>
          </cell>
          <cell r="G4135" t="str">
            <v>Capital Goods</v>
          </cell>
          <cell r="H4135" t="str">
            <v>Capital Goods</v>
          </cell>
          <cell r="I4135" t="str">
            <v>Capital Goods</v>
          </cell>
          <cell r="J4135">
            <v>1</v>
          </cell>
          <cell r="K4135" t="str">
            <v>Capital Goods</v>
          </cell>
        </row>
        <row r="4136">
          <cell r="D4136">
            <v>820239</v>
          </cell>
          <cell r="E4136" t="str">
            <v>Tools, hand; circular saw blades (including slitting or slotting saw blades), with working part of materials (other than steel)</v>
          </cell>
          <cell r="F4136" t="str">
            <v>Capital Goods</v>
          </cell>
          <cell r="G4136" t="str">
            <v>Capital Goods</v>
          </cell>
          <cell r="H4136" t="str">
            <v>Capital Goods</v>
          </cell>
          <cell r="I4136" t="str">
            <v>Capital Goods</v>
          </cell>
          <cell r="J4136">
            <v>0</v>
          </cell>
          <cell r="K4136" t="str">
            <v>Capital Goods</v>
          </cell>
        </row>
        <row r="4137">
          <cell r="D4137">
            <v>820240</v>
          </cell>
          <cell r="E4137" t="str">
            <v>Tools, hand; chain saw blades</v>
          </cell>
          <cell r="F4137" t="str">
            <v>Capital Goods</v>
          </cell>
          <cell r="G4137" t="str">
            <v>Capital Goods</v>
          </cell>
          <cell r="H4137">
            <v>0</v>
          </cell>
          <cell r="I4137" t="str">
            <v>Capital Goods</v>
          </cell>
          <cell r="J4137">
            <v>1</v>
          </cell>
          <cell r="K4137" t="str">
            <v>Capital Goods</v>
          </cell>
        </row>
        <row r="4138">
          <cell r="D4138">
            <v>820291</v>
          </cell>
          <cell r="E4138" t="str">
            <v>Tools, hand; straight saw blades, for working metal</v>
          </cell>
          <cell r="F4138" t="str">
            <v>Capital Goods</v>
          </cell>
          <cell r="G4138" t="str">
            <v>Capital Goods</v>
          </cell>
          <cell r="H4138" t="str">
            <v>Capital Goods</v>
          </cell>
          <cell r="I4138" t="str">
            <v>Capital Goods</v>
          </cell>
          <cell r="J4138">
            <v>0</v>
          </cell>
          <cell r="K4138" t="str">
            <v>Capital Goods</v>
          </cell>
        </row>
        <row r="4139">
          <cell r="D4139">
            <v>820299</v>
          </cell>
          <cell r="E4139" t="str">
            <v>Tools, hand; saw blades n.e.c. in heading no. 8202</v>
          </cell>
          <cell r="F4139" t="str">
            <v>Capital Goods</v>
          </cell>
          <cell r="G4139" t="str">
            <v>Capital Goods</v>
          </cell>
          <cell r="H4139">
            <v>0</v>
          </cell>
          <cell r="I4139" t="str">
            <v>Capital Goods</v>
          </cell>
          <cell r="J4139">
            <v>1</v>
          </cell>
          <cell r="K4139" t="str">
            <v>Capital Goods</v>
          </cell>
        </row>
        <row r="4140">
          <cell r="D4140">
            <v>820310</v>
          </cell>
          <cell r="E4140" t="str">
            <v>Tools, hand; files, rasps and similar tools</v>
          </cell>
          <cell r="F4140" t="str">
            <v>Capital Goods</v>
          </cell>
          <cell r="G4140" t="str">
            <v>Capital Goods</v>
          </cell>
          <cell r="H4140">
            <v>0</v>
          </cell>
          <cell r="I4140" t="str">
            <v>Capital Goods</v>
          </cell>
          <cell r="J4140">
            <v>1</v>
          </cell>
          <cell r="K4140" t="str">
            <v>Capital Goods</v>
          </cell>
        </row>
        <row r="4141">
          <cell r="D4141">
            <v>820320</v>
          </cell>
          <cell r="E4141" t="str">
            <v>Tools, hand; pliers (including cutting pliers), pincers, tweezers and similar tools</v>
          </cell>
          <cell r="F4141" t="str">
            <v>Capital Goods</v>
          </cell>
          <cell r="G4141" t="str">
            <v>Capital Goods</v>
          </cell>
          <cell r="H4141" t="str">
            <v>Capital Goods</v>
          </cell>
          <cell r="I4141" t="str">
            <v>Capital Goods</v>
          </cell>
          <cell r="J4141">
            <v>0</v>
          </cell>
          <cell r="K4141" t="str">
            <v>Capital Goods</v>
          </cell>
        </row>
        <row r="4142">
          <cell r="D4142">
            <v>820330</v>
          </cell>
          <cell r="E4142" t="str">
            <v>Tools, hand; metal cutting shears and similar tools</v>
          </cell>
          <cell r="F4142" t="str">
            <v>Capital Goods</v>
          </cell>
          <cell r="G4142" t="str">
            <v>Capital Goods</v>
          </cell>
          <cell r="H4142" t="str">
            <v>Capital Goods</v>
          </cell>
          <cell r="I4142" t="str">
            <v>Capital Goods</v>
          </cell>
          <cell r="J4142">
            <v>0</v>
          </cell>
          <cell r="K4142" t="str">
            <v>Capital Goods</v>
          </cell>
        </row>
        <row r="4143">
          <cell r="D4143">
            <v>820340</v>
          </cell>
          <cell r="E4143" t="str">
            <v>Tools, hand; pipe-cutters, bolt croppers, perforating punches and similar tools</v>
          </cell>
          <cell r="F4143" t="str">
            <v>Capital Goods</v>
          </cell>
          <cell r="G4143" t="str">
            <v>Capital Goods</v>
          </cell>
          <cell r="H4143">
            <v>0</v>
          </cell>
          <cell r="I4143" t="str">
            <v>Capital Goods</v>
          </cell>
          <cell r="J4143">
            <v>1</v>
          </cell>
          <cell r="K4143" t="str">
            <v>Capital Goods</v>
          </cell>
        </row>
        <row r="4144">
          <cell r="D4144">
            <v>820411</v>
          </cell>
          <cell r="E4144" t="str">
            <v>Tools, hand; hand-operated spanners and wrenches (including torque meter wrenches but not including tap wrenches), non-adjustable</v>
          </cell>
          <cell r="F4144" t="str">
            <v>Capital Goods</v>
          </cell>
          <cell r="G4144" t="str">
            <v>Capital Goods</v>
          </cell>
          <cell r="H4144">
            <v>0</v>
          </cell>
          <cell r="I4144" t="str">
            <v>Capital Goods</v>
          </cell>
          <cell r="J4144">
            <v>1</v>
          </cell>
          <cell r="K4144" t="str">
            <v>Capital Goods</v>
          </cell>
        </row>
        <row r="4145">
          <cell r="D4145">
            <v>820412</v>
          </cell>
          <cell r="E4145" t="str">
            <v>Tools, hand; hand-operated spanners and wrenches (including torque meter wrenches but not including tap wrenches), adjustable</v>
          </cell>
          <cell r="F4145" t="str">
            <v>Capital Goods</v>
          </cell>
          <cell r="G4145" t="str">
            <v>Capital Goods</v>
          </cell>
          <cell r="H4145" t="str">
            <v>Capital Goods</v>
          </cell>
          <cell r="I4145" t="str">
            <v>Capital Goods</v>
          </cell>
          <cell r="J4145">
            <v>0</v>
          </cell>
          <cell r="K4145" t="str">
            <v>Capital Goods</v>
          </cell>
        </row>
        <row r="4146">
          <cell r="D4146">
            <v>820420</v>
          </cell>
          <cell r="E4146" t="str">
            <v>Tools, hand; interchangeable spanner sockets, with or without handles</v>
          </cell>
          <cell r="F4146" t="str">
            <v>Capital Goods</v>
          </cell>
          <cell r="G4146" t="str">
            <v>Capital Goods</v>
          </cell>
          <cell r="H4146" t="str">
            <v>Capital Goods</v>
          </cell>
          <cell r="I4146" t="str">
            <v>Capital Goods</v>
          </cell>
          <cell r="J4146">
            <v>0</v>
          </cell>
          <cell r="K4146" t="str">
            <v>Capital Goods</v>
          </cell>
        </row>
        <row r="4147">
          <cell r="D4147">
            <v>820510</v>
          </cell>
          <cell r="E4147" t="str">
            <v>Tools, hand; drilling, threading or tapping tools</v>
          </cell>
          <cell r="F4147" t="str">
            <v>Capital Goods</v>
          </cell>
          <cell r="G4147" t="str">
            <v>Capital Goods</v>
          </cell>
          <cell r="H4147">
            <v>0</v>
          </cell>
          <cell r="I4147" t="str">
            <v>Capital Goods</v>
          </cell>
          <cell r="J4147">
            <v>1</v>
          </cell>
          <cell r="K4147" t="str">
            <v>Capital Goods</v>
          </cell>
        </row>
        <row r="4148">
          <cell r="D4148">
            <v>820520</v>
          </cell>
          <cell r="E4148" t="str">
            <v>Tools, hand; hammers and sledge hammers</v>
          </cell>
          <cell r="F4148" t="str">
            <v>Capital Goods</v>
          </cell>
          <cell r="G4148" t="str">
            <v>Capital Goods</v>
          </cell>
          <cell r="H4148">
            <v>0</v>
          </cell>
          <cell r="I4148" t="str">
            <v>Capital Goods</v>
          </cell>
          <cell r="J4148">
            <v>1</v>
          </cell>
          <cell r="K4148" t="str">
            <v>Capital Goods</v>
          </cell>
        </row>
        <row r="4149">
          <cell r="D4149">
            <v>820530</v>
          </cell>
          <cell r="E4149" t="str">
            <v>Tools, hand; planes, chisels, gauges and similar cutting tools for working wood</v>
          </cell>
          <cell r="F4149">
            <v>0</v>
          </cell>
          <cell r="G4149" t="str">
            <v>Capital Goods</v>
          </cell>
          <cell r="H4149" t="str">
            <v>Capital Goods</v>
          </cell>
          <cell r="I4149" t="str">
            <v>Capital Goods</v>
          </cell>
          <cell r="J4149">
            <v>1</v>
          </cell>
          <cell r="K4149" t="str">
            <v>Capital Goods</v>
          </cell>
        </row>
        <row r="4150">
          <cell r="D4150">
            <v>820540</v>
          </cell>
          <cell r="E4150" t="str">
            <v>Tools, hand; screwdrivers</v>
          </cell>
          <cell r="F4150" t="str">
            <v>Capital Goods</v>
          </cell>
          <cell r="G4150" t="str">
            <v>Capital Goods</v>
          </cell>
          <cell r="H4150">
            <v>0</v>
          </cell>
          <cell r="I4150" t="str">
            <v>Capital Goods</v>
          </cell>
          <cell r="J4150">
            <v>1</v>
          </cell>
          <cell r="K4150" t="str">
            <v>Capital Goods</v>
          </cell>
        </row>
        <row r="4151">
          <cell r="D4151">
            <v>820551</v>
          </cell>
          <cell r="E4151" t="str">
            <v>Tools, hand; Other hand tools (including glaziers’ diamonds): household tools</v>
          </cell>
          <cell r="F4151" t="str">
            <v>Capital Goods</v>
          </cell>
          <cell r="G4151" t="str">
            <v>Capital Goods</v>
          </cell>
          <cell r="H4151" t="str">
            <v>Capital Goods</v>
          </cell>
          <cell r="I4151" t="str">
            <v>Others</v>
          </cell>
          <cell r="J4151">
            <v>0</v>
          </cell>
          <cell r="K4151" t="str">
            <v>Capital Goods</v>
          </cell>
        </row>
        <row r="4152">
          <cell r="D4152">
            <v>820559</v>
          </cell>
          <cell r="E4152" t="str">
            <v>Tools, hand; other hand tools (including glaziers diamonds), excluding household tools, drilling, threading or tapping tools, hammers and sledge hammers, planes, chisels, gouges and similar cutting tools for working wood, and screwdrivers</v>
          </cell>
          <cell r="F4152" t="str">
            <v>Capital Goods</v>
          </cell>
          <cell r="G4152" t="str">
            <v>Capital Goods</v>
          </cell>
          <cell r="H4152">
            <v>0</v>
          </cell>
          <cell r="I4152" t="str">
            <v>Capital Goods</v>
          </cell>
          <cell r="J4152">
            <v>1</v>
          </cell>
          <cell r="K4152" t="str">
            <v>Capital Goods</v>
          </cell>
        </row>
        <row r="4153">
          <cell r="D4153">
            <v>820560</v>
          </cell>
          <cell r="E4153" t="str">
            <v>Tools, hand; blow lamps</v>
          </cell>
          <cell r="F4153">
            <v>0</v>
          </cell>
          <cell r="G4153" t="str">
            <v>Capital Goods</v>
          </cell>
          <cell r="H4153" t="str">
            <v>Capital Goods</v>
          </cell>
          <cell r="I4153" t="str">
            <v>Capital Goods</v>
          </cell>
          <cell r="J4153">
            <v>1</v>
          </cell>
          <cell r="K4153" t="str">
            <v>Capital Goods</v>
          </cell>
        </row>
        <row r="4154">
          <cell r="D4154">
            <v>820570</v>
          </cell>
          <cell r="E4154" t="str">
            <v>Tools, hand; vices, clamps and the like</v>
          </cell>
          <cell r="F4154" t="str">
            <v>Capital Goods</v>
          </cell>
          <cell r="G4154" t="str">
            <v>Capital Goods</v>
          </cell>
          <cell r="H4154">
            <v>0</v>
          </cell>
          <cell r="I4154" t="str">
            <v>Capital Goods</v>
          </cell>
          <cell r="J4154">
            <v>1</v>
          </cell>
          <cell r="K4154" t="str">
            <v>Capital Goods</v>
          </cell>
        </row>
        <row r="4155">
          <cell r="D4155">
            <v>820580</v>
          </cell>
          <cell r="E4155" t="str">
            <v>Hand tools with self-contained electric motor</v>
          </cell>
          <cell r="F4155">
            <v>0</v>
          </cell>
          <cell r="G4155" t="str">
            <v>Capital Goods</v>
          </cell>
          <cell r="H4155">
            <v>0</v>
          </cell>
          <cell r="I4155">
            <v>0</v>
          </cell>
          <cell r="J4155">
            <v>3</v>
          </cell>
          <cell r="K4155" t="str">
            <v>Capital Goods</v>
          </cell>
        </row>
        <row r="4156">
          <cell r="D4156">
            <v>820590</v>
          </cell>
          <cell r="E4156" t="str">
            <v>Tools, hand; n.e.c. in heading 8205, including anvils, portable forges, hand or pedal-operated grinding wheels with frameworks, and sets of articles of two or more of the subheadings in heading 8205</v>
          </cell>
          <cell r="F4156" t="str">
            <v>Capital Goods</v>
          </cell>
          <cell r="G4156" t="str">
            <v>Capital Goods</v>
          </cell>
          <cell r="H4156">
            <v>0</v>
          </cell>
          <cell r="I4156" t="str">
            <v>Capital Goods</v>
          </cell>
          <cell r="J4156">
            <v>1</v>
          </cell>
          <cell r="K4156" t="str">
            <v>Capital Goods</v>
          </cell>
        </row>
        <row r="4157">
          <cell r="D4157">
            <v>820600</v>
          </cell>
          <cell r="E4157" t="str">
            <v>Tools, hand; two or more of heading no. 8202 to 8205, put up in sets for retail sale</v>
          </cell>
          <cell r="F4157" t="str">
            <v>Capital Goods</v>
          </cell>
          <cell r="G4157" t="str">
            <v>Capital Goods</v>
          </cell>
          <cell r="H4157">
            <v>0</v>
          </cell>
          <cell r="I4157" t="str">
            <v>Capital Goods</v>
          </cell>
          <cell r="J4157">
            <v>1</v>
          </cell>
          <cell r="K4157" t="str">
            <v>Capital Goods</v>
          </cell>
        </row>
        <row r="4158">
          <cell r="D4158">
            <v>820610</v>
          </cell>
          <cell r="E4158" t="str">
            <v>Blow lamps</v>
          </cell>
          <cell r="F4158">
            <v>0</v>
          </cell>
          <cell r="G4158">
            <v>0</v>
          </cell>
          <cell r="H4158" t="str">
            <v>Capital Goods</v>
          </cell>
          <cell r="I4158">
            <v>0</v>
          </cell>
          <cell r="J4158">
            <v>3</v>
          </cell>
          <cell r="K4158" t="str">
            <v>Capital Goods - No data</v>
          </cell>
        </row>
        <row r="4159">
          <cell r="D4159">
            <v>820713</v>
          </cell>
          <cell r="E4159" t="str">
            <v>Tools, interchangeable; rock drilling or earth boring tools, with working part of cermets, whether or not power operated</v>
          </cell>
          <cell r="F4159">
            <v>0</v>
          </cell>
          <cell r="G4159">
            <v>0</v>
          </cell>
          <cell r="H4159" t="str">
            <v>Capital Goods</v>
          </cell>
          <cell r="I4159" t="str">
            <v>Capital Goods</v>
          </cell>
          <cell r="J4159">
            <v>2</v>
          </cell>
          <cell r="K4159" t="str">
            <v>Capital Goods</v>
          </cell>
        </row>
        <row r="4160">
          <cell r="D4160">
            <v>820719</v>
          </cell>
          <cell r="E4160" t="str">
            <v>Tools, interchangeable; rock drilling or earth boring tools, with working part (other than of cermets), whether or not power operated, including parts</v>
          </cell>
          <cell r="F4160" t="str">
            <v>Capital Goods</v>
          </cell>
          <cell r="G4160">
            <v>0</v>
          </cell>
          <cell r="H4160" t="str">
            <v>Capital Goods</v>
          </cell>
          <cell r="I4160" t="str">
            <v>Capital Goods</v>
          </cell>
          <cell r="J4160">
            <v>1</v>
          </cell>
          <cell r="K4160" t="str">
            <v>Capital Goods</v>
          </cell>
        </row>
        <row r="4161">
          <cell r="D4161">
            <v>820720</v>
          </cell>
          <cell r="E4161" t="str">
            <v>Tools, interchangeable; (for machine or hand tools, whether or not power-operated), dies for drawing or extruding metal</v>
          </cell>
          <cell r="F4161" t="str">
            <v>Capital Goods</v>
          </cell>
          <cell r="G4161" t="str">
            <v>Capital Goods</v>
          </cell>
          <cell r="H4161">
            <v>0</v>
          </cell>
          <cell r="I4161" t="str">
            <v>Capital Goods</v>
          </cell>
          <cell r="J4161">
            <v>1</v>
          </cell>
          <cell r="K4161" t="str">
            <v>Capital Goods</v>
          </cell>
        </row>
        <row r="4162">
          <cell r="D4162">
            <v>820730</v>
          </cell>
          <cell r="E4162" t="str">
            <v>Tools, interchangeable; (for machine or hand tools, whether or not power-operated), tools for pressing, stamping or punching</v>
          </cell>
          <cell r="F4162" t="str">
            <v>Capital Goods</v>
          </cell>
          <cell r="G4162" t="str">
            <v>Capital Goods</v>
          </cell>
          <cell r="H4162">
            <v>0</v>
          </cell>
          <cell r="I4162" t="str">
            <v>Capital Goods</v>
          </cell>
          <cell r="J4162">
            <v>1</v>
          </cell>
          <cell r="K4162" t="str">
            <v>Capital Goods</v>
          </cell>
        </row>
        <row r="4163">
          <cell r="D4163">
            <v>820740</v>
          </cell>
          <cell r="E4163" t="str">
            <v>Tools, interchangeable; (for machine or hand tools, whether or not power-operated), tools for tapping or threading</v>
          </cell>
          <cell r="F4163" t="str">
            <v>Capital Goods</v>
          </cell>
          <cell r="G4163" t="str">
            <v>Capital Goods</v>
          </cell>
          <cell r="H4163">
            <v>0</v>
          </cell>
          <cell r="I4163" t="str">
            <v>Capital Goods</v>
          </cell>
          <cell r="J4163">
            <v>1</v>
          </cell>
          <cell r="K4163" t="str">
            <v>Capital Goods</v>
          </cell>
        </row>
        <row r="4164">
          <cell r="D4164">
            <v>820750</v>
          </cell>
          <cell r="E4164" t="str">
            <v>Tools, interchangeable; (for machine or hand tools, whether or not power-operated), tools for drilling (other than rock)</v>
          </cell>
          <cell r="F4164" t="str">
            <v>Capital Goods</v>
          </cell>
          <cell r="G4164" t="str">
            <v>Capital Goods</v>
          </cell>
          <cell r="H4164">
            <v>0</v>
          </cell>
          <cell r="I4164" t="str">
            <v>Capital Goods</v>
          </cell>
          <cell r="J4164">
            <v>1</v>
          </cell>
          <cell r="K4164" t="str">
            <v>Capital Goods</v>
          </cell>
        </row>
        <row r="4165">
          <cell r="D4165">
            <v>820760</v>
          </cell>
          <cell r="E4165" t="str">
            <v>Tools, interchangeable; (for machine or hand tools, whether or not power-operated), for boring or broaching</v>
          </cell>
          <cell r="F4165" t="str">
            <v>Capital Goods</v>
          </cell>
          <cell r="G4165" t="str">
            <v>Capital Goods</v>
          </cell>
          <cell r="H4165" t="str">
            <v>Capital Goods</v>
          </cell>
          <cell r="I4165" t="str">
            <v>Capital Goods</v>
          </cell>
          <cell r="J4165">
            <v>0</v>
          </cell>
          <cell r="K4165" t="str">
            <v>Capital Goods</v>
          </cell>
        </row>
        <row r="4166">
          <cell r="D4166">
            <v>820770</v>
          </cell>
          <cell r="E4166" t="str">
            <v>Tools, interchangeable; (for machine or hand tools, whether or not power-operated), for milling</v>
          </cell>
          <cell r="F4166" t="str">
            <v>Capital Goods</v>
          </cell>
          <cell r="G4166" t="str">
            <v>Capital Goods</v>
          </cell>
          <cell r="H4166">
            <v>0</v>
          </cell>
          <cell r="I4166" t="str">
            <v>Capital Goods</v>
          </cell>
          <cell r="J4166">
            <v>1</v>
          </cell>
          <cell r="K4166" t="str">
            <v>Capital Goods</v>
          </cell>
        </row>
        <row r="4167">
          <cell r="D4167">
            <v>820780</v>
          </cell>
          <cell r="E4167" t="str">
            <v>Tools, interchangeable; (for machine or hand tools, whether or not power-operated), for turning</v>
          </cell>
          <cell r="F4167" t="str">
            <v>Capital Goods</v>
          </cell>
          <cell r="G4167" t="str">
            <v>Capital Goods</v>
          </cell>
          <cell r="H4167" t="str">
            <v>Capital Goods</v>
          </cell>
          <cell r="I4167" t="str">
            <v>Capital Goods</v>
          </cell>
          <cell r="J4167">
            <v>0</v>
          </cell>
          <cell r="K4167" t="str">
            <v>Capital Goods</v>
          </cell>
        </row>
        <row r="4168">
          <cell r="D4168">
            <v>820790</v>
          </cell>
          <cell r="E4168" t="str">
            <v>Tools, interchangeable; (for machine or hand tools, whether or not power-operated), for screw-driving or uses n.e.c. in heading no. 8207</v>
          </cell>
          <cell r="F4168" t="str">
            <v>Capital Goods</v>
          </cell>
          <cell r="G4168" t="str">
            <v>Capital Goods</v>
          </cell>
          <cell r="H4168">
            <v>0</v>
          </cell>
          <cell r="I4168" t="str">
            <v>Capital Goods</v>
          </cell>
          <cell r="J4168">
            <v>1</v>
          </cell>
          <cell r="K4168" t="str">
            <v>Capital Goods</v>
          </cell>
        </row>
        <row r="4169">
          <cell r="D4169">
            <v>820810</v>
          </cell>
          <cell r="E4169" t="str">
            <v>Tools; knives and cutting blades, for machines or for mechanical appliances, for metal working</v>
          </cell>
          <cell r="F4169" t="str">
            <v>Capital Goods</v>
          </cell>
          <cell r="G4169" t="str">
            <v>Capital Goods</v>
          </cell>
          <cell r="H4169" t="str">
            <v>Capital Goods</v>
          </cell>
          <cell r="I4169" t="str">
            <v>Capital Goods</v>
          </cell>
          <cell r="J4169">
            <v>0</v>
          </cell>
          <cell r="K4169" t="str">
            <v>Capital Goods</v>
          </cell>
        </row>
        <row r="4170">
          <cell r="D4170">
            <v>820820</v>
          </cell>
          <cell r="E4170" t="str">
            <v>Tools; knives and cutting blades, for wood working machines or mechanical appliances</v>
          </cell>
          <cell r="F4170" t="str">
            <v>Capital Goods</v>
          </cell>
          <cell r="G4170" t="str">
            <v>Capital Goods</v>
          </cell>
          <cell r="H4170">
            <v>0</v>
          </cell>
          <cell r="I4170" t="str">
            <v>Capital Goods</v>
          </cell>
          <cell r="J4170">
            <v>1</v>
          </cell>
          <cell r="K4170" t="str">
            <v>Capital Goods</v>
          </cell>
        </row>
        <row r="4171">
          <cell r="D4171">
            <v>820830</v>
          </cell>
          <cell r="E4171" t="str">
            <v>Tools; knives and cutting blades, for kitchen appliances or for machines used by the food industry</v>
          </cell>
          <cell r="F4171">
            <v>0</v>
          </cell>
          <cell r="G4171" t="str">
            <v>Capital Goods</v>
          </cell>
          <cell r="H4171" t="str">
            <v>Capital Goods</v>
          </cell>
          <cell r="I4171" t="str">
            <v>Capital Goods</v>
          </cell>
          <cell r="J4171">
            <v>1</v>
          </cell>
          <cell r="K4171" t="str">
            <v>Capital Goods</v>
          </cell>
        </row>
        <row r="4172">
          <cell r="D4172">
            <v>820840</v>
          </cell>
          <cell r="E4172" t="str">
            <v>Tools; knives and cutting blades, for agricultural, horticultural or forestry machines or mechanical appliances</v>
          </cell>
          <cell r="F4172">
            <v>0</v>
          </cell>
          <cell r="G4172" t="str">
            <v>Capital Goods</v>
          </cell>
          <cell r="H4172" t="str">
            <v>Capital Goods</v>
          </cell>
          <cell r="I4172" t="str">
            <v>Capital Goods</v>
          </cell>
          <cell r="J4172">
            <v>1</v>
          </cell>
          <cell r="K4172" t="str">
            <v>Capital Goods</v>
          </cell>
        </row>
        <row r="4173">
          <cell r="D4173">
            <v>820890</v>
          </cell>
          <cell r="E4173" t="str">
            <v>Tools; knives and cutting blades, for machines or mechanical appliances, n.e.c. in heading no. 8208</v>
          </cell>
          <cell r="F4173" t="str">
            <v>Capital Goods</v>
          </cell>
          <cell r="G4173" t="str">
            <v>Capital Goods</v>
          </cell>
          <cell r="H4173">
            <v>0</v>
          </cell>
          <cell r="I4173" t="str">
            <v>Capital Goods</v>
          </cell>
          <cell r="J4173">
            <v>1</v>
          </cell>
          <cell r="K4173" t="str">
            <v>Capital Goods</v>
          </cell>
        </row>
        <row r="4174">
          <cell r="D4174">
            <v>848230</v>
          </cell>
          <cell r="E4174" t="str">
            <v>Bearings; spherical roller bearings</v>
          </cell>
          <cell r="F4174">
            <v>0</v>
          </cell>
          <cell r="G4174">
            <v>0</v>
          </cell>
          <cell r="H4174" t="str">
            <v>Parts &amp; Accessories</v>
          </cell>
          <cell r="I4174" t="str">
            <v>Parts &amp; Accessories</v>
          </cell>
          <cell r="J4174">
            <v>2</v>
          </cell>
          <cell r="K4174" t="str">
            <v>Parts &amp; Accessories</v>
          </cell>
        </row>
        <row r="4175">
          <cell r="D4175">
            <v>821000</v>
          </cell>
          <cell r="E4175" t="str">
            <v>Tools; hand-operated mechanical appliances, weighing 10kg or less, used in the preparation, conditioning or serving of food or drink</v>
          </cell>
          <cell r="F4175">
            <v>0</v>
          </cell>
          <cell r="G4175" t="str">
            <v>Capital Goods</v>
          </cell>
          <cell r="H4175" t="str">
            <v>Capital Goods</v>
          </cell>
          <cell r="I4175" t="str">
            <v>Durable</v>
          </cell>
          <cell r="J4175">
            <v>1</v>
          </cell>
          <cell r="K4175" t="str">
            <v>Durable</v>
          </cell>
        </row>
        <row r="4176">
          <cell r="D4176">
            <v>821110</v>
          </cell>
          <cell r="E4176" t="str">
            <v>Knives; with cutting blades, serrated or not (including pruning knives), sets of assorted articles, excluding knives and blades of heading no. 8208</v>
          </cell>
          <cell r="F4176" t="str">
            <v>Capital Goods</v>
          </cell>
          <cell r="G4176">
            <v>0</v>
          </cell>
          <cell r="H4176">
            <v>0</v>
          </cell>
          <cell r="I4176" t="str">
            <v>Others</v>
          </cell>
          <cell r="J4176">
            <v>2</v>
          </cell>
          <cell r="K4176" t="str">
            <v>Capital Goods</v>
          </cell>
        </row>
        <row r="4177">
          <cell r="D4177">
            <v>821191</v>
          </cell>
          <cell r="E4177" t="str">
            <v>Knives; table knives, having fixed cutting blades, serrated or not, excluding knives and blades of heading no. 8208</v>
          </cell>
          <cell r="F4177" t="str">
            <v>Capital Goods</v>
          </cell>
          <cell r="G4177">
            <v>0</v>
          </cell>
          <cell r="H4177">
            <v>0</v>
          </cell>
          <cell r="I4177" t="str">
            <v>Others</v>
          </cell>
          <cell r="J4177">
            <v>2</v>
          </cell>
          <cell r="K4177" t="str">
            <v>Others</v>
          </cell>
        </row>
        <row r="4178">
          <cell r="D4178">
            <v>821192</v>
          </cell>
          <cell r="E4178" t="str">
            <v>Knives; having fixed cutting blades, (other than table knives), serrated or not, excluding knives and blades of heading no. 8208</v>
          </cell>
          <cell r="F4178" t="str">
            <v>Capital Goods</v>
          </cell>
          <cell r="G4178">
            <v>0</v>
          </cell>
          <cell r="H4178" t="str">
            <v>Capital Goods</v>
          </cell>
          <cell r="I4178" t="str">
            <v>Others</v>
          </cell>
          <cell r="J4178">
            <v>1</v>
          </cell>
          <cell r="K4178" t="str">
            <v>Capital Goods</v>
          </cell>
        </row>
        <row r="4179">
          <cell r="D4179">
            <v>821193</v>
          </cell>
          <cell r="E4179" t="str">
            <v>Knives; with cutting blades, (having other than fixed blades), serrated or not, excluding knives and blades of heading no. 8208</v>
          </cell>
          <cell r="F4179" t="str">
            <v>Capital Goods</v>
          </cell>
          <cell r="G4179">
            <v>0</v>
          </cell>
          <cell r="H4179">
            <v>0</v>
          </cell>
          <cell r="I4179" t="str">
            <v>Others</v>
          </cell>
          <cell r="J4179">
            <v>2</v>
          </cell>
          <cell r="K4179" t="str">
            <v>Capital Goods</v>
          </cell>
        </row>
        <row r="4180">
          <cell r="D4180">
            <v>821194</v>
          </cell>
          <cell r="E4180" t="str">
            <v>Blades; cutting, serrated or not, excluding those of heading no. 8208</v>
          </cell>
          <cell r="F4180" t="str">
            <v>Capital Goods</v>
          </cell>
          <cell r="G4180">
            <v>0</v>
          </cell>
          <cell r="H4180">
            <v>0</v>
          </cell>
          <cell r="I4180" t="str">
            <v>Capital Goods</v>
          </cell>
          <cell r="J4180">
            <v>2</v>
          </cell>
          <cell r="K4180" t="str">
            <v>Capital Goods</v>
          </cell>
        </row>
        <row r="4181">
          <cell r="D4181">
            <v>821195</v>
          </cell>
          <cell r="E4181" t="str">
            <v>Knives; with handles of base metal</v>
          </cell>
          <cell r="F4181">
            <v>0</v>
          </cell>
          <cell r="G4181">
            <v>0</v>
          </cell>
          <cell r="H4181">
            <v>0</v>
          </cell>
          <cell r="I4181" t="str">
            <v>Capital Goods</v>
          </cell>
          <cell r="J4181">
            <v>3</v>
          </cell>
          <cell r="K4181" t="str">
            <v>Capital Goods</v>
          </cell>
        </row>
        <row r="4182">
          <cell r="D4182">
            <v>821210</v>
          </cell>
          <cell r="E4182" t="str">
            <v>Razors</v>
          </cell>
          <cell r="F4182">
            <v>0</v>
          </cell>
          <cell r="G4182">
            <v>0</v>
          </cell>
          <cell r="H4182" t="str">
            <v>Capital Goods</v>
          </cell>
          <cell r="I4182" t="str">
            <v>Others</v>
          </cell>
          <cell r="J4182">
            <v>2</v>
          </cell>
          <cell r="K4182" t="str">
            <v>Consumables</v>
          </cell>
        </row>
        <row r="4183">
          <cell r="D4183">
            <v>821220</v>
          </cell>
          <cell r="E4183" t="str">
            <v>Razors; safety razor blades, including razor blade blanks in strips</v>
          </cell>
          <cell r="F4183">
            <v>0</v>
          </cell>
          <cell r="G4183">
            <v>0</v>
          </cell>
          <cell r="H4183" t="str">
            <v>Capital Goods</v>
          </cell>
          <cell r="I4183" t="str">
            <v>Others</v>
          </cell>
          <cell r="J4183">
            <v>2</v>
          </cell>
          <cell r="K4183" t="str">
            <v>Consumables</v>
          </cell>
        </row>
        <row r="4184">
          <cell r="D4184">
            <v>821290</v>
          </cell>
          <cell r="E4184" t="str">
            <v>Razors; parts n.e.c. in heading no. 8212</v>
          </cell>
          <cell r="F4184">
            <v>0</v>
          </cell>
          <cell r="G4184">
            <v>0</v>
          </cell>
          <cell r="H4184" t="str">
            <v>Parts &amp; Accessories</v>
          </cell>
          <cell r="I4184" t="str">
            <v>Others</v>
          </cell>
          <cell r="J4184">
            <v>2</v>
          </cell>
          <cell r="K4184" t="str">
            <v>Consumables</v>
          </cell>
        </row>
        <row r="4185">
          <cell r="D4185">
            <v>821300</v>
          </cell>
          <cell r="E4185" t="str">
            <v>Scissors; tailors' shears, similar shears and blades therefore</v>
          </cell>
          <cell r="F4185" t="str">
            <v>Capital Goods</v>
          </cell>
          <cell r="G4185">
            <v>0</v>
          </cell>
          <cell r="H4185" t="str">
            <v>Capital Goods</v>
          </cell>
          <cell r="I4185" t="str">
            <v>Others</v>
          </cell>
          <cell r="J4185">
            <v>1</v>
          </cell>
          <cell r="K4185" t="str">
            <v>Capital Goods</v>
          </cell>
        </row>
        <row r="4186">
          <cell r="D4186">
            <v>821410</v>
          </cell>
          <cell r="E4186" t="str">
            <v>Cutlery; paper knives, letter openers, erasing knives, pencil sharpeners and blades therefore</v>
          </cell>
          <cell r="F4186">
            <v>0</v>
          </cell>
          <cell r="G4186">
            <v>0</v>
          </cell>
          <cell r="H4186">
            <v>0</v>
          </cell>
          <cell r="I4186" t="str">
            <v>Others</v>
          </cell>
          <cell r="J4186">
            <v>3</v>
          </cell>
          <cell r="K4186" t="str">
            <v>Others</v>
          </cell>
        </row>
        <row r="4187">
          <cell r="D4187">
            <v>821420</v>
          </cell>
          <cell r="E4187" t="str">
            <v>Manicure or pedicure sets and instruments; (including nail files)</v>
          </cell>
          <cell r="F4187" t="str">
            <v>Capital Goods</v>
          </cell>
          <cell r="G4187">
            <v>0</v>
          </cell>
          <cell r="H4187">
            <v>0</v>
          </cell>
          <cell r="I4187" t="str">
            <v>Others</v>
          </cell>
          <cell r="J4187">
            <v>2</v>
          </cell>
          <cell r="K4187" t="str">
            <v>Others</v>
          </cell>
        </row>
        <row r="4188">
          <cell r="D4188">
            <v>821490</v>
          </cell>
          <cell r="E4188" t="str">
            <v>Cutlery; hair clippers and mincing knives</v>
          </cell>
          <cell r="F4188">
            <v>0</v>
          </cell>
          <cell r="G4188">
            <v>0</v>
          </cell>
          <cell r="H4188">
            <v>0</v>
          </cell>
          <cell r="I4188" t="str">
            <v>Others</v>
          </cell>
          <cell r="J4188">
            <v>3</v>
          </cell>
          <cell r="K4188" t="str">
            <v>Others</v>
          </cell>
        </row>
        <row r="4189">
          <cell r="D4189">
            <v>821510</v>
          </cell>
          <cell r="E4189" t="str">
            <v>Cutlery; sets of assorted articles (e.g. spoons, forks, ladles, skimmers, cake-servers, fish-knives, butter-knives, sugar tongs and similar), with at least one article plated with precious metal</v>
          </cell>
          <cell r="F4189">
            <v>0</v>
          </cell>
          <cell r="G4189">
            <v>0</v>
          </cell>
          <cell r="H4189">
            <v>0</v>
          </cell>
          <cell r="I4189" t="str">
            <v>Others</v>
          </cell>
          <cell r="J4189">
            <v>3</v>
          </cell>
          <cell r="K4189" t="str">
            <v>Others</v>
          </cell>
        </row>
        <row r="4190">
          <cell r="D4190">
            <v>821520</v>
          </cell>
          <cell r="E4190" t="str">
            <v>Cutlery; sets of assorted articles (e.g. spoons, forks, ladles, skimmers, cake-servers, fish-knives, butter knives, sugar tongs and similar), not plated with precious metal</v>
          </cell>
          <cell r="F4190">
            <v>0</v>
          </cell>
          <cell r="G4190">
            <v>0</v>
          </cell>
          <cell r="H4190" t="str">
            <v>Capital Goods</v>
          </cell>
          <cell r="I4190" t="str">
            <v>Others</v>
          </cell>
          <cell r="J4190">
            <v>2</v>
          </cell>
          <cell r="K4190" t="str">
            <v>Durable</v>
          </cell>
        </row>
        <row r="4191">
          <cell r="D4191">
            <v>821591</v>
          </cell>
          <cell r="E4191" t="str">
            <v>Cutlery; (e.g. spoons, forks, ladles, skimmers, cake-servers, fish-knives, butter-knives, sugar tongs and similar), plated with precious metal, not in sets</v>
          </cell>
          <cell r="F4191">
            <v>0</v>
          </cell>
          <cell r="G4191">
            <v>0</v>
          </cell>
          <cell r="H4191">
            <v>0</v>
          </cell>
          <cell r="I4191" t="str">
            <v>Others</v>
          </cell>
          <cell r="J4191">
            <v>3</v>
          </cell>
          <cell r="K4191" t="str">
            <v>Others</v>
          </cell>
        </row>
        <row r="4192">
          <cell r="D4192">
            <v>821599</v>
          </cell>
          <cell r="E4192" t="str">
            <v>Cutlery; other than plated with precious metal</v>
          </cell>
          <cell r="F4192">
            <v>0</v>
          </cell>
          <cell r="G4192">
            <v>0</v>
          </cell>
          <cell r="H4192" t="str">
            <v>Capital Goods</v>
          </cell>
          <cell r="I4192" t="str">
            <v>Others</v>
          </cell>
          <cell r="J4192">
            <v>2</v>
          </cell>
          <cell r="K4192" t="str">
            <v>Durable</v>
          </cell>
        </row>
        <row r="4193">
          <cell r="D4193">
            <v>830110</v>
          </cell>
          <cell r="E4193" t="str">
            <v>Padlocks; (key, combination or electrically operated), of base metal</v>
          </cell>
          <cell r="F4193" t="str">
            <v>Capital Goods</v>
          </cell>
          <cell r="G4193">
            <v>0</v>
          </cell>
          <cell r="H4193">
            <v>0</v>
          </cell>
          <cell r="I4193" t="str">
            <v>Others</v>
          </cell>
          <cell r="J4193">
            <v>2</v>
          </cell>
          <cell r="K4193" t="str">
            <v>Consumables</v>
          </cell>
        </row>
        <row r="4194">
          <cell r="D4194">
            <v>830120</v>
          </cell>
          <cell r="E4194" t="str">
            <v>Locks; of a kind used for motor vehicles (key, combination or electrically operated), of base metal</v>
          </cell>
          <cell r="F4194" t="str">
            <v>Capital Goods</v>
          </cell>
          <cell r="G4194">
            <v>0</v>
          </cell>
          <cell r="H4194">
            <v>0</v>
          </cell>
          <cell r="I4194" t="str">
            <v>Others</v>
          </cell>
          <cell r="J4194">
            <v>2</v>
          </cell>
          <cell r="K4194" t="str">
            <v>Capital Goods - rc</v>
          </cell>
        </row>
        <row r="4195">
          <cell r="D4195">
            <v>830130</v>
          </cell>
          <cell r="E4195" t="str">
            <v>Locks; of a kind used for furniture (key, combination or electrically operated), of base metal</v>
          </cell>
          <cell r="F4195" t="str">
            <v>Capital Goods</v>
          </cell>
          <cell r="G4195">
            <v>0</v>
          </cell>
          <cell r="H4195">
            <v>0</v>
          </cell>
          <cell r="I4195" t="str">
            <v>Others</v>
          </cell>
          <cell r="J4195">
            <v>2</v>
          </cell>
          <cell r="K4195" t="str">
            <v>Capital Goods - rc</v>
          </cell>
        </row>
        <row r="4196">
          <cell r="D4196">
            <v>830140</v>
          </cell>
          <cell r="E4196" t="str">
            <v>Locks; (other than those for motor vehicles or furniture), (key, combination or electrically operated), of base metal</v>
          </cell>
          <cell r="F4196" t="str">
            <v>Capital Goods</v>
          </cell>
          <cell r="G4196">
            <v>0</v>
          </cell>
          <cell r="H4196">
            <v>0</v>
          </cell>
          <cell r="I4196" t="str">
            <v>Others</v>
          </cell>
          <cell r="J4196">
            <v>2</v>
          </cell>
          <cell r="K4196" t="str">
            <v>Others</v>
          </cell>
        </row>
        <row r="4197">
          <cell r="D4197">
            <v>830150</v>
          </cell>
          <cell r="E4197" t="str">
            <v>Clasps and frames with clasps; incorporating locks, of base metal</v>
          </cell>
          <cell r="F4197" t="str">
            <v>Capital Goods</v>
          </cell>
          <cell r="G4197">
            <v>0</v>
          </cell>
          <cell r="H4197">
            <v>0</v>
          </cell>
          <cell r="I4197" t="str">
            <v>Others</v>
          </cell>
          <cell r="J4197">
            <v>2</v>
          </cell>
          <cell r="K4197" t="str">
            <v>Capital Goods - rc</v>
          </cell>
        </row>
        <row r="4198">
          <cell r="D4198">
            <v>830160</v>
          </cell>
          <cell r="E4198" t="str">
            <v>Locks; parts of padlocks, locks, clasps and frames with clasps incorporating locks, of base metal</v>
          </cell>
          <cell r="F4198" t="str">
            <v>Capital Goods</v>
          </cell>
          <cell r="G4198">
            <v>0</v>
          </cell>
          <cell r="H4198">
            <v>0</v>
          </cell>
          <cell r="I4198" t="str">
            <v>Others</v>
          </cell>
          <cell r="J4198">
            <v>2</v>
          </cell>
          <cell r="K4198" t="str">
            <v>Capital Goods - rc</v>
          </cell>
        </row>
        <row r="4199">
          <cell r="D4199">
            <v>830170</v>
          </cell>
          <cell r="E4199" t="str">
            <v>Keys; presented separately, of base metal</v>
          </cell>
          <cell r="F4199" t="str">
            <v>Capital Goods</v>
          </cell>
          <cell r="G4199">
            <v>0</v>
          </cell>
          <cell r="H4199">
            <v>0</v>
          </cell>
          <cell r="I4199" t="str">
            <v>Others</v>
          </cell>
          <cell r="J4199">
            <v>2</v>
          </cell>
          <cell r="K4199" t="str">
            <v>Capital Goods - rc</v>
          </cell>
        </row>
        <row r="4200">
          <cell r="D4200">
            <v>830210</v>
          </cell>
          <cell r="E4200" t="str">
            <v>Hinges; suitable for furniture, doors, staircases, windows, blinds, coachwork, saddlery, trunks, chests, caskets or the like, of base metal</v>
          </cell>
          <cell r="F4200" t="str">
            <v>Capital Goods</v>
          </cell>
          <cell r="G4200">
            <v>0</v>
          </cell>
          <cell r="H4200" t="str">
            <v>Consumables</v>
          </cell>
          <cell r="I4200" t="str">
            <v>Others</v>
          </cell>
          <cell r="J4200">
            <v>1</v>
          </cell>
          <cell r="K4200" t="str">
            <v>Parts &amp; Accessories - rc</v>
          </cell>
        </row>
        <row r="4201">
          <cell r="D4201">
            <v>830220</v>
          </cell>
          <cell r="E4201" t="str">
            <v>Castors; with mountings, of base metal</v>
          </cell>
          <cell r="F4201" t="str">
            <v>Capital Goods</v>
          </cell>
          <cell r="G4201">
            <v>0</v>
          </cell>
          <cell r="H4201">
            <v>0</v>
          </cell>
          <cell r="I4201" t="str">
            <v>Others</v>
          </cell>
          <cell r="J4201">
            <v>2</v>
          </cell>
          <cell r="K4201" t="str">
            <v>Capital Goods - rc</v>
          </cell>
        </row>
        <row r="4202">
          <cell r="D4202">
            <v>830230</v>
          </cell>
          <cell r="E4202" t="str">
            <v>Mountings, fittings and similar articles; for motor vehicles, of base metal</v>
          </cell>
          <cell r="F4202" t="str">
            <v>Parts &amp; Accessories</v>
          </cell>
          <cell r="G4202">
            <v>0</v>
          </cell>
          <cell r="H4202">
            <v>0</v>
          </cell>
          <cell r="I4202" t="str">
            <v>Parts &amp; Accessories</v>
          </cell>
          <cell r="J4202">
            <v>2</v>
          </cell>
          <cell r="K4202" t="str">
            <v>Parts &amp; Accessories - rc</v>
          </cell>
        </row>
        <row r="4203">
          <cell r="D4203">
            <v>830241</v>
          </cell>
          <cell r="E4203" t="str">
            <v>Mountings, fittings and similar articles; of base metal, suitable for buildings</v>
          </cell>
          <cell r="F4203" t="str">
            <v>Consumables</v>
          </cell>
          <cell r="G4203">
            <v>0</v>
          </cell>
          <cell r="H4203">
            <v>0</v>
          </cell>
          <cell r="I4203" t="str">
            <v>Others</v>
          </cell>
          <cell r="J4203">
            <v>2</v>
          </cell>
          <cell r="K4203" t="str">
            <v>Consumables</v>
          </cell>
        </row>
        <row r="4204">
          <cell r="D4204">
            <v>830242</v>
          </cell>
          <cell r="E4204" t="str">
            <v>Mountings, fittings and similar articles; suitable for furniture of base metal</v>
          </cell>
          <cell r="F4204">
            <v>0</v>
          </cell>
          <cell r="G4204">
            <v>0</v>
          </cell>
          <cell r="H4204">
            <v>0</v>
          </cell>
          <cell r="I4204" t="str">
            <v>Others</v>
          </cell>
          <cell r="J4204">
            <v>3</v>
          </cell>
          <cell r="K4204" t="str">
            <v>Others</v>
          </cell>
        </row>
        <row r="4205">
          <cell r="D4205">
            <v>830249</v>
          </cell>
          <cell r="E4205" t="str">
            <v>Mountings, fittings and similar articles; suitable for other than buildings or furniture, of base metal</v>
          </cell>
          <cell r="F4205" t="str">
            <v>Capital Goods</v>
          </cell>
          <cell r="G4205">
            <v>0</v>
          </cell>
          <cell r="H4205">
            <v>0</v>
          </cell>
          <cell r="I4205" t="str">
            <v>Others</v>
          </cell>
          <cell r="J4205">
            <v>2</v>
          </cell>
          <cell r="K4205" t="str">
            <v>Parts &amp; Accessories - rc</v>
          </cell>
        </row>
        <row r="4206">
          <cell r="D4206">
            <v>830250</v>
          </cell>
          <cell r="E4206" t="str">
            <v>Hat-racks, hat-pegs, brackets and similar fixtures, of base metal</v>
          </cell>
          <cell r="F4206" t="str">
            <v>Capital Goods</v>
          </cell>
          <cell r="G4206">
            <v>0</v>
          </cell>
          <cell r="H4206">
            <v>0</v>
          </cell>
          <cell r="I4206" t="str">
            <v>Others</v>
          </cell>
          <cell r="J4206">
            <v>2</v>
          </cell>
          <cell r="K4206" t="str">
            <v>Capital Goods - rc</v>
          </cell>
        </row>
        <row r="4207">
          <cell r="D4207">
            <v>830260</v>
          </cell>
          <cell r="E4207" t="str">
            <v>Automatic door closures; of base metal</v>
          </cell>
          <cell r="F4207" t="str">
            <v>Capital Goods</v>
          </cell>
          <cell r="G4207">
            <v>0</v>
          </cell>
          <cell r="H4207">
            <v>0</v>
          </cell>
          <cell r="I4207" t="str">
            <v>Others</v>
          </cell>
          <cell r="J4207">
            <v>2</v>
          </cell>
          <cell r="K4207" t="str">
            <v>Capital Goods - rc</v>
          </cell>
        </row>
        <row r="4208">
          <cell r="D4208">
            <v>830300</v>
          </cell>
          <cell r="E4208" t="str">
            <v>Safes; armoured or reinforced, strong-boxes, doors and safe deposit lockers for strong-rooms, cash or deed boxes and the like, of base metal</v>
          </cell>
          <cell r="F4208">
            <v>0</v>
          </cell>
          <cell r="G4208">
            <v>0</v>
          </cell>
          <cell r="H4208">
            <v>0</v>
          </cell>
          <cell r="I4208" t="str">
            <v>Capital Goods</v>
          </cell>
          <cell r="J4208">
            <v>3</v>
          </cell>
          <cell r="K4208" t="str">
            <v>Capital Goods</v>
          </cell>
        </row>
        <row r="4209">
          <cell r="D4209">
            <v>830400</v>
          </cell>
          <cell r="E4209" t="str">
            <v>Office equipment; filing cabinets, card-index cabinets, paper trays, paper rests, pen trays, office-stamp stands and similar office or desk equipment, of base metal, other than office furniture of heading no. 9403</v>
          </cell>
          <cell r="F4209">
            <v>0</v>
          </cell>
          <cell r="G4209">
            <v>0</v>
          </cell>
          <cell r="H4209">
            <v>0</v>
          </cell>
          <cell r="I4209" t="str">
            <v>Capital Goods</v>
          </cell>
          <cell r="J4209">
            <v>3</v>
          </cell>
          <cell r="K4209" t="str">
            <v>Capital Goods</v>
          </cell>
        </row>
        <row r="4210">
          <cell r="D4210">
            <v>830510</v>
          </cell>
          <cell r="E4210" t="str">
            <v>Stationery; fittings for loose-leaf binders or files, of base metal</v>
          </cell>
          <cell r="F4210">
            <v>0</v>
          </cell>
          <cell r="G4210">
            <v>0</v>
          </cell>
          <cell r="H4210">
            <v>0</v>
          </cell>
          <cell r="I4210" t="str">
            <v>Others</v>
          </cell>
          <cell r="J4210">
            <v>3</v>
          </cell>
          <cell r="K4210" t="str">
            <v>Others</v>
          </cell>
        </row>
        <row r="4211">
          <cell r="D4211">
            <v>830520</v>
          </cell>
          <cell r="E4211" t="str">
            <v>Stationery; staples in strips, (e.g. for offices, upholstery, packaging), of base metal</v>
          </cell>
          <cell r="F4211">
            <v>0</v>
          </cell>
          <cell r="G4211">
            <v>0</v>
          </cell>
          <cell r="H4211">
            <v>0</v>
          </cell>
          <cell r="I4211" t="str">
            <v>Others</v>
          </cell>
          <cell r="J4211">
            <v>3</v>
          </cell>
          <cell r="K4211" t="str">
            <v>Others</v>
          </cell>
        </row>
        <row r="4212">
          <cell r="D4212">
            <v>830590</v>
          </cell>
          <cell r="E4212" t="str">
            <v>Stationery; letter clips, letter corners, paper clips, indexing tags and similar office articles, including parts, of base metal</v>
          </cell>
          <cell r="F4212" t="str">
            <v>Consumables</v>
          </cell>
          <cell r="G4212">
            <v>0</v>
          </cell>
          <cell r="H4212">
            <v>0</v>
          </cell>
          <cell r="I4212" t="str">
            <v>Others</v>
          </cell>
          <cell r="J4212">
            <v>2</v>
          </cell>
          <cell r="K4212" t="str">
            <v>Consumables - rc</v>
          </cell>
        </row>
        <row r="4213">
          <cell r="D4213">
            <v>830610</v>
          </cell>
          <cell r="E4213" t="str">
            <v>Bells, gongs and the like; non-electric, of base metal</v>
          </cell>
          <cell r="F4213">
            <v>0</v>
          </cell>
          <cell r="G4213">
            <v>0</v>
          </cell>
          <cell r="H4213">
            <v>0</v>
          </cell>
          <cell r="I4213" t="str">
            <v>Others</v>
          </cell>
          <cell r="J4213">
            <v>3</v>
          </cell>
          <cell r="K4213" t="str">
            <v>Others</v>
          </cell>
        </row>
        <row r="4214">
          <cell r="D4214">
            <v>830621</v>
          </cell>
          <cell r="E4214" t="str">
            <v>Statuettes and other ornaments; of base metal plated with precious metal</v>
          </cell>
          <cell r="F4214">
            <v>0</v>
          </cell>
          <cell r="G4214">
            <v>0</v>
          </cell>
          <cell r="H4214">
            <v>0</v>
          </cell>
          <cell r="I4214" t="str">
            <v>Others</v>
          </cell>
          <cell r="J4214">
            <v>3</v>
          </cell>
          <cell r="K4214" t="str">
            <v>Others</v>
          </cell>
        </row>
        <row r="4215">
          <cell r="D4215">
            <v>830629</v>
          </cell>
          <cell r="E4215" t="str">
            <v>Statuettes and other ornaments; of base metal other than plated with precious metal</v>
          </cell>
          <cell r="F4215" t="str">
            <v>Capital Goods</v>
          </cell>
          <cell r="G4215">
            <v>0</v>
          </cell>
          <cell r="H4215">
            <v>0</v>
          </cell>
          <cell r="I4215" t="str">
            <v>Others</v>
          </cell>
          <cell r="J4215">
            <v>2</v>
          </cell>
          <cell r="K4215" t="str">
            <v>Others</v>
          </cell>
        </row>
        <row r="4216">
          <cell r="D4216">
            <v>830630</v>
          </cell>
          <cell r="E4216" t="str">
            <v>Photograph, picture or similar frames, mirrors; of base metal</v>
          </cell>
          <cell r="F4216" t="str">
            <v>Others</v>
          </cell>
          <cell r="G4216">
            <v>0</v>
          </cell>
          <cell r="H4216">
            <v>0</v>
          </cell>
          <cell r="I4216" t="str">
            <v>Others</v>
          </cell>
          <cell r="J4216">
            <v>2</v>
          </cell>
          <cell r="K4216" t="str">
            <v>Others</v>
          </cell>
        </row>
        <row r="4217">
          <cell r="D4217">
            <v>830710</v>
          </cell>
          <cell r="E4217" t="str">
            <v>Tubing; flexible, with or without fittings, of iron or steel</v>
          </cell>
          <cell r="F4217">
            <v>0</v>
          </cell>
          <cell r="G4217">
            <v>0</v>
          </cell>
          <cell r="H4217" t="str">
            <v>Others</v>
          </cell>
          <cell r="I4217" t="str">
            <v>Others</v>
          </cell>
          <cell r="J4217">
            <v>2</v>
          </cell>
          <cell r="K4217" t="str">
            <v>Others</v>
          </cell>
        </row>
        <row r="4218">
          <cell r="D4218">
            <v>830790</v>
          </cell>
          <cell r="E4218" t="str">
            <v>Tubing; flexible, with or without fittings of base metal, other than those of iron or steel</v>
          </cell>
          <cell r="F4218" t="str">
            <v>Capital Goods</v>
          </cell>
          <cell r="G4218">
            <v>0</v>
          </cell>
          <cell r="H4218">
            <v>0</v>
          </cell>
          <cell r="I4218" t="str">
            <v>Others</v>
          </cell>
          <cell r="J4218">
            <v>2</v>
          </cell>
          <cell r="K4218" t="str">
            <v>Capital Goods</v>
          </cell>
        </row>
        <row r="4219">
          <cell r="D4219">
            <v>830810</v>
          </cell>
          <cell r="E4219" t="str">
            <v>Hooks, eyes and eyelets; of base metal, of a kind used for clothing, footwear, awnings, handbags, travel goods or other made up articles</v>
          </cell>
          <cell r="F4219" t="str">
            <v>Consumables</v>
          </cell>
          <cell r="G4219">
            <v>0</v>
          </cell>
          <cell r="H4219">
            <v>0</v>
          </cell>
          <cell r="I4219" t="str">
            <v>Others</v>
          </cell>
          <cell r="J4219">
            <v>2</v>
          </cell>
          <cell r="K4219" t="str">
            <v>Consumables - rc</v>
          </cell>
        </row>
        <row r="4220">
          <cell r="D4220">
            <v>830820</v>
          </cell>
          <cell r="E4220" t="str">
            <v>Rivets; tubular or bifurcated, of base metal</v>
          </cell>
          <cell r="F4220" t="str">
            <v>Consumables</v>
          </cell>
          <cell r="G4220">
            <v>0</v>
          </cell>
          <cell r="H4220">
            <v>0</v>
          </cell>
          <cell r="I4220" t="str">
            <v>Others</v>
          </cell>
          <cell r="J4220">
            <v>2</v>
          </cell>
          <cell r="K4220" t="str">
            <v>Consumables</v>
          </cell>
        </row>
        <row r="4221">
          <cell r="D4221">
            <v>830890</v>
          </cell>
          <cell r="E4221" t="str">
            <v>Clasps, frames with clasps, buckles, buckle clasps; of base metal, of a kind used for clothing &amp; accessories, footwear, jewellery, wrist-watches, books, awnings, leather goods, travel goods, saddlery etc, including parts</v>
          </cell>
          <cell r="F4221" t="str">
            <v>Consumables</v>
          </cell>
          <cell r="G4221">
            <v>0</v>
          </cell>
          <cell r="H4221">
            <v>0</v>
          </cell>
          <cell r="I4221" t="str">
            <v>Others</v>
          </cell>
          <cell r="J4221">
            <v>2</v>
          </cell>
          <cell r="K4221" t="str">
            <v>Consumables - rc</v>
          </cell>
        </row>
        <row r="4222">
          <cell r="D4222">
            <v>830910</v>
          </cell>
          <cell r="E4222" t="str">
            <v>Stoppers; corks, of base metal</v>
          </cell>
          <cell r="F4222">
            <v>0</v>
          </cell>
          <cell r="G4222">
            <v>0</v>
          </cell>
          <cell r="H4222">
            <v>0</v>
          </cell>
          <cell r="I4222" t="str">
            <v>Others</v>
          </cell>
          <cell r="J4222">
            <v>3</v>
          </cell>
          <cell r="K4222" t="str">
            <v>Others</v>
          </cell>
        </row>
        <row r="4223">
          <cell r="D4223">
            <v>830990</v>
          </cell>
          <cell r="E4223" t="str">
            <v>Stoppers; caps and lids, of base metal</v>
          </cell>
          <cell r="F4223" t="str">
            <v>Capital Goods</v>
          </cell>
          <cell r="G4223">
            <v>0</v>
          </cell>
          <cell r="H4223" t="str">
            <v>Others</v>
          </cell>
          <cell r="I4223" t="str">
            <v>Others</v>
          </cell>
          <cell r="J4223">
            <v>1</v>
          </cell>
          <cell r="K4223" t="str">
            <v>Others</v>
          </cell>
        </row>
        <row r="4224">
          <cell r="D4224">
            <v>831000</v>
          </cell>
          <cell r="E4224" t="str">
            <v>Sign plates, name-plates, address-plates and similar plates, numbers, letters and other symbols; of base metal, excluding those of heading no. 9405</v>
          </cell>
          <cell r="F4224" t="str">
            <v>Others</v>
          </cell>
          <cell r="G4224">
            <v>0</v>
          </cell>
          <cell r="H4224">
            <v>0</v>
          </cell>
          <cell r="I4224" t="str">
            <v>Others</v>
          </cell>
          <cell r="J4224">
            <v>2</v>
          </cell>
          <cell r="K4224" t="str">
            <v>Others</v>
          </cell>
        </row>
        <row r="4225">
          <cell r="D4225">
            <v>831110</v>
          </cell>
          <cell r="E4225" t="str">
            <v>Electrodes; coated, of base metal, for electric arc-welding</v>
          </cell>
          <cell r="F4225">
            <v>0</v>
          </cell>
          <cell r="G4225">
            <v>0</v>
          </cell>
          <cell r="H4225" t="str">
            <v>Consumables</v>
          </cell>
          <cell r="I4225" t="str">
            <v>Others</v>
          </cell>
          <cell r="J4225">
            <v>2</v>
          </cell>
          <cell r="K4225" t="str">
            <v>Consumables - rc</v>
          </cell>
        </row>
        <row r="4226">
          <cell r="D4226">
            <v>831120</v>
          </cell>
          <cell r="E4226" t="str">
            <v>Wire; cored, of base metal, for electric arc-welding</v>
          </cell>
          <cell r="F4226">
            <v>0</v>
          </cell>
          <cell r="G4226">
            <v>0</v>
          </cell>
          <cell r="H4226" t="str">
            <v>Consumables</v>
          </cell>
          <cell r="I4226" t="str">
            <v>Others</v>
          </cell>
          <cell r="J4226">
            <v>2</v>
          </cell>
          <cell r="K4226" t="str">
            <v>Consumables - rc</v>
          </cell>
        </row>
        <row r="4227">
          <cell r="D4227">
            <v>831130</v>
          </cell>
          <cell r="E4227" t="str">
            <v>Rods and wire; coated rods and cored wire, of base metal, for soldering, brazing or welding by flame</v>
          </cell>
          <cell r="F4227" t="str">
            <v>Capital Goods</v>
          </cell>
          <cell r="G4227">
            <v>0</v>
          </cell>
          <cell r="H4227" t="str">
            <v>Consumables</v>
          </cell>
          <cell r="I4227" t="str">
            <v>Others</v>
          </cell>
          <cell r="J4227">
            <v>1</v>
          </cell>
          <cell r="K4227" t="str">
            <v>Consumables - rc</v>
          </cell>
        </row>
        <row r="4228">
          <cell r="D4228">
            <v>831190</v>
          </cell>
          <cell r="E4228" t="str">
            <v>Wires, rods, tubes, plates, electrodes of base metal or metal carbides; of a kind used for soldering, brazing, welding; wires and rods for metal spraying; n.e.c. in item no. 8311</v>
          </cell>
          <cell r="F4228" t="str">
            <v>Consumables</v>
          </cell>
          <cell r="G4228">
            <v>0</v>
          </cell>
          <cell r="H4228">
            <v>0</v>
          </cell>
          <cell r="I4228" t="str">
            <v>Others</v>
          </cell>
          <cell r="J4228">
            <v>2</v>
          </cell>
          <cell r="K4228" t="str">
            <v>Consumables</v>
          </cell>
        </row>
        <row r="4229">
          <cell r="D4229">
            <v>840110</v>
          </cell>
          <cell r="E4229" t="str">
            <v>Nuclear reactors</v>
          </cell>
          <cell r="F4229">
            <v>0</v>
          </cell>
          <cell r="G4229">
            <v>0</v>
          </cell>
          <cell r="H4229" t="str">
            <v>Capital Goods</v>
          </cell>
          <cell r="I4229" t="str">
            <v>Capital Goods</v>
          </cell>
          <cell r="J4229">
            <v>2</v>
          </cell>
          <cell r="K4229" t="str">
            <v>Capital Goods</v>
          </cell>
        </row>
        <row r="4230">
          <cell r="D4230">
            <v>840120</v>
          </cell>
          <cell r="E4230" t="str">
            <v>Machinery and apparatus; for isotopic separation, and parts thereof</v>
          </cell>
          <cell r="F4230">
            <v>0</v>
          </cell>
          <cell r="G4230">
            <v>0</v>
          </cell>
          <cell r="H4230" t="str">
            <v>Capital Goods</v>
          </cell>
          <cell r="I4230" t="str">
            <v>Capital Goods</v>
          </cell>
          <cell r="J4230">
            <v>2</v>
          </cell>
          <cell r="K4230" t="str">
            <v>Capital Goods</v>
          </cell>
        </row>
        <row r="4231">
          <cell r="D4231">
            <v>850431</v>
          </cell>
          <cell r="E4231" t="str">
            <v>Electrical transformers; n.e.c. in item no. 8504.2, having a power handling capacity not exceeding 1kVA</v>
          </cell>
          <cell r="F4231" t="str">
            <v>Capital Goods</v>
          </cell>
          <cell r="G4231">
            <v>0</v>
          </cell>
          <cell r="H4231">
            <v>0</v>
          </cell>
          <cell r="I4231" t="str">
            <v>Capital Goods</v>
          </cell>
          <cell r="J4231">
            <v>2</v>
          </cell>
          <cell r="K4231" t="str">
            <v>Parts &amp; Accessories</v>
          </cell>
        </row>
        <row r="4232">
          <cell r="D4232">
            <v>846630</v>
          </cell>
          <cell r="E4232" t="str">
            <v>Parts &amp; accessories suited for use solely/principally with machines of headings 8456-8465; dividing heads and other special attachments for machines</v>
          </cell>
          <cell r="F4232" t="str">
            <v>Parts &amp; Accessories</v>
          </cell>
          <cell r="G4232">
            <v>0</v>
          </cell>
          <cell r="H4232">
            <v>0</v>
          </cell>
          <cell r="I4232" t="str">
            <v>Parts &amp; Accessories</v>
          </cell>
          <cell r="J4232">
            <v>2</v>
          </cell>
          <cell r="K4232" t="str">
            <v>Parts &amp; Accessories</v>
          </cell>
        </row>
        <row r="4233">
          <cell r="D4233">
            <v>840211</v>
          </cell>
          <cell r="E4233" t="str">
            <v>Boilers; watertube boilers with a steam production exceeding 45t per hour</v>
          </cell>
          <cell r="F4233">
            <v>0</v>
          </cell>
          <cell r="G4233">
            <v>0</v>
          </cell>
          <cell r="H4233" t="str">
            <v>Capital Goods</v>
          </cell>
          <cell r="I4233" t="str">
            <v>Capital Goods</v>
          </cell>
          <cell r="J4233">
            <v>2</v>
          </cell>
          <cell r="K4233" t="str">
            <v>Capital Goods</v>
          </cell>
        </row>
        <row r="4234">
          <cell r="D4234">
            <v>840212</v>
          </cell>
          <cell r="E4234" t="str">
            <v>Boilers; watertube boilers with a steam production not exceeding 45t per hour</v>
          </cell>
          <cell r="F4234">
            <v>0</v>
          </cell>
          <cell r="G4234">
            <v>0</v>
          </cell>
          <cell r="H4234" t="str">
            <v>Capital Goods</v>
          </cell>
          <cell r="I4234" t="str">
            <v>Capital Goods</v>
          </cell>
          <cell r="J4234">
            <v>2</v>
          </cell>
          <cell r="K4234" t="str">
            <v>Capital Goods</v>
          </cell>
        </row>
        <row r="4235">
          <cell r="D4235">
            <v>840219</v>
          </cell>
          <cell r="E4235" t="str">
            <v>Boilers; vapour generating boilers, including hybrid boilers n.e.c. in heading no. 8402</v>
          </cell>
          <cell r="F4235">
            <v>0</v>
          </cell>
          <cell r="G4235">
            <v>0</v>
          </cell>
          <cell r="H4235" t="str">
            <v>Capital Goods</v>
          </cell>
          <cell r="I4235" t="str">
            <v>Capital Goods</v>
          </cell>
          <cell r="J4235">
            <v>2</v>
          </cell>
          <cell r="K4235" t="str">
            <v>Capital Goods</v>
          </cell>
        </row>
        <row r="4236">
          <cell r="D4236">
            <v>840220</v>
          </cell>
          <cell r="E4236" t="str">
            <v>Boilers; super-heated water boilers</v>
          </cell>
          <cell r="F4236">
            <v>0</v>
          </cell>
          <cell r="G4236">
            <v>0</v>
          </cell>
          <cell r="H4236" t="str">
            <v>Capital Goods</v>
          </cell>
          <cell r="I4236" t="str">
            <v>Capital Goods</v>
          </cell>
          <cell r="J4236">
            <v>2</v>
          </cell>
          <cell r="K4236" t="str">
            <v>Capital Goods</v>
          </cell>
        </row>
        <row r="4237">
          <cell r="D4237">
            <v>853222</v>
          </cell>
          <cell r="E4237" t="str">
            <v>Electrical capacitors; fixed, aluminium electrolytic</v>
          </cell>
          <cell r="F4237" t="str">
            <v>Parts &amp; Accessories</v>
          </cell>
          <cell r="G4237">
            <v>0</v>
          </cell>
          <cell r="H4237">
            <v>0</v>
          </cell>
          <cell r="I4237" t="str">
            <v>Parts &amp; Accessories</v>
          </cell>
          <cell r="J4237">
            <v>2</v>
          </cell>
          <cell r="K4237" t="str">
            <v>Parts &amp; Accessories</v>
          </cell>
        </row>
        <row r="4238">
          <cell r="D4238">
            <v>840310</v>
          </cell>
          <cell r="E4238" t="str">
            <v>Boilers; central heating boilers (excluding those of heading no. 8402)</v>
          </cell>
          <cell r="F4238">
            <v>0</v>
          </cell>
          <cell r="G4238">
            <v>0</v>
          </cell>
          <cell r="H4238" t="str">
            <v>Capital Goods</v>
          </cell>
          <cell r="I4238" t="str">
            <v>Capital Goods</v>
          </cell>
          <cell r="J4238">
            <v>2</v>
          </cell>
          <cell r="K4238" t="str">
            <v>Capital Goods</v>
          </cell>
        </row>
        <row r="4239">
          <cell r="D4239">
            <v>848220</v>
          </cell>
          <cell r="E4239" t="str">
            <v>Bearings; tapered roller bearings, including cone and tapered roller assemblies</v>
          </cell>
          <cell r="F4239" t="str">
            <v>Capital Goods</v>
          </cell>
          <cell r="G4239">
            <v>0</v>
          </cell>
          <cell r="H4239" t="str">
            <v>Parts &amp; Accessories</v>
          </cell>
          <cell r="I4239" t="str">
            <v>Parts &amp; Accessories</v>
          </cell>
          <cell r="J4239">
            <v>1</v>
          </cell>
          <cell r="K4239" t="str">
            <v>Parts &amp; Accessories</v>
          </cell>
        </row>
        <row r="4240">
          <cell r="D4240">
            <v>840410</v>
          </cell>
          <cell r="E4240" t="str">
            <v>Boilers; auxiliary plant, for use with boilers of heading no. 8402 or 8403 (e.g. economisers, super-heaters, soot removers, gas recoverers)</v>
          </cell>
          <cell r="F4240">
            <v>0</v>
          </cell>
          <cell r="G4240">
            <v>0</v>
          </cell>
          <cell r="H4240" t="str">
            <v>Capital Goods</v>
          </cell>
          <cell r="I4240" t="str">
            <v>Capital Goods</v>
          </cell>
          <cell r="J4240">
            <v>2</v>
          </cell>
          <cell r="K4240" t="str">
            <v>Capital Goods</v>
          </cell>
        </row>
        <row r="4241">
          <cell r="D4241">
            <v>840420</v>
          </cell>
          <cell r="E4241" t="str">
            <v>Boilers; condensers, for steam or other vapour power units</v>
          </cell>
          <cell r="F4241">
            <v>0</v>
          </cell>
          <cell r="G4241">
            <v>0</v>
          </cell>
          <cell r="H4241" t="str">
            <v>Capital Goods</v>
          </cell>
          <cell r="I4241" t="str">
            <v>Capital Goods</v>
          </cell>
          <cell r="J4241">
            <v>2</v>
          </cell>
          <cell r="K4241" t="str">
            <v>Capital Goods</v>
          </cell>
        </row>
        <row r="4242">
          <cell r="D4242">
            <v>903090</v>
          </cell>
          <cell r="E4242" t="str">
            <v>Instruments, apparatus for measuring, checking electrical quantities, not meters of heading no. 9028; parts and accessories, for measuring or detecting alpha, beta, gamma, x-ray, cosmic and other radiations</v>
          </cell>
          <cell r="F4242" t="str">
            <v>Parts &amp; Accessories</v>
          </cell>
          <cell r="G4242">
            <v>0</v>
          </cell>
          <cell r="H4242">
            <v>0</v>
          </cell>
          <cell r="I4242" t="str">
            <v>Parts &amp; Accessories</v>
          </cell>
          <cell r="J4242">
            <v>2</v>
          </cell>
          <cell r="K4242" t="str">
            <v>Parts &amp; Accessories</v>
          </cell>
        </row>
        <row r="4243">
          <cell r="D4243">
            <v>840510</v>
          </cell>
          <cell r="E4243" t="str">
            <v>Generators; producer gas, water gas, acetylene gas and similar water process gas generators, with or without their purifiers</v>
          </cell>
          <cell r="F4243" t="str">
            <v>Capital Goods</v>
          </cell>
          <cell r="G4243">
            <v>0</v>
          </cell>
          <cell r="H4243" t="str">
            <v>Capital Goods</v>
          </cell>
          <cell r="I4243" t="str">
            <v>Capital Goods</v>
          </cell>
          <cell r="J4243">
            <v>1</v>
          </cell>
          <cell r="K4243" t="str">
            <v>Capital Goods</v>
          </cell>
        </row>
        <row r="4244">
          <cell r="D4244">
            <v>851690</v>
          </cell>
          <cell r="E4244" t="str">
            <v>Electro-thermic appliances; parts, of heating resistors, of water, space and soil heaters, hair-dressing apparatus, hand dryers, smoothing irons and other domestic appliances of heading no. 8516</v>
          </cell>
          <cell r="F4244" t="str">
            <v>Parts &amp; Accessories</v>
          </cell>
          <cell r="G4244">
            <v>0</v>
          </cell>
          <cell r="H4244" t="str">
            <v>Parts &amp; Accessories</v>
          </cell>
          <cell r="I4244" t="str">
            <v>Others</v>
          </cell>
          <cell r="J4244">
            <v>1</v>
          </cell>
          <cell r="K4244" t="str">
            <v>Parts &amp; Accessories</v>
          </cell>
        </row>
        <row r="4245">
          <cell r="D4245">
            <v>840610</v>
          </cell>
          <cell r="E4245" t="str">
            <v>Turbines; steam and other vapour turbines, for marine propulsion</v>
          </cell>
          <cell r="F4245">
            <v>0</v>
          </cell>
          <cell r="G4245">
            <v>0</v>
          </cell>
          <cell r="H4245" t="str">
            <v>Capital Goods</v>
          </cell>
          <cell r="I4245" t="str">
            <v>Capital Goods</v>
          </cell>
          <cell r="J4245">
            <v>2</v>
          </cell>
          <cell r="K4245" t="str">
            <v>Capital Goods</v>
          </cell>
        </row>
        <row r="4246">
          <cell r="D4246">
            <v>840681</v>
          </cell>
          <cell r="E4246" t="str">
            <v>Turbines; steam and other vapour turbines, (for other than marine propulsion), of an output exceeding 40MW</v>
          </cell>
          <cell r="F4246">
            <v>0</v>
          </cell>
          <cell r="G4246">
            <v>0</v>
          </cell>
          <cell r="H4246" t="str">
            <v>Capital Goods</v>
          </cell>
          <cell r="I4246" t="str">
            <v>Capital Goods</v>
          </cell>
          <cell r="J4246">
            <v>2</v>
          </cell>
          <cell r="K4246" t="str">
            <v>Capital Goods</v>
          </cell>
        </row>
        <row r="4247">
          <cell r="D4247">
            <v>840682</v>
          </cell>
          <cell r="E4247" t="str">
            <v>Turbines; steam and other vapour turbines, (for other than marine propulsion), of an output not exceeding 40MW</v>
          </cell>
          <cell r="F4247">
            <v>0</v>
          </cell>
          <cell r="G4247">
            <v>0</v>
          </cell>
          <cell r="H4247" t="str">
            <v>Capital Goods</v>
          </cell>
          <cell r="I4247" t="str">
            <v>Capital Goods</v>
          </cell>
          <cell r="J4247">
            <v>2</v>
          </cell>
          <cell r="K4247" t="str">
            <v>Capital Goods</v>
          </cell>
        </row>
        <row r="4248">
          <cell r="D4248">
            <v>840690</v>
          </cell>
          <cell r="E4248" t="str">
            <v>Turbines; parts of steam and other vapour turbines</v>
          </cell>
          <cell r="F4248">
            <v>0</v>
          </cell>
          <cell r="G4248">
            <v>0</v>
          </cell>
          <cell r="H4248" t="str">
            <v>Parts &amp; Accessories</v>
          </cell>
          <cell r="I4248" t="str">
            <v>Parts &amp; Accessories</v>
          </cell>
          <cell r="J4248">
            <v>2</v>
          </cell>
          <cell r="K4248" t="str">
            <v>Parts &amp; Accessories - rc</v>
          </cell>
        </row>
        <row r="4249">
          <cell r="D4249">
            <v>840710</v>
          </cell>
          <cell r="E4249" t="str">
            <v>Engines; for aircraft, spark-ignition reciprocating or rotary internal combustion piston engines</v>
          </cell>
          <cell r="F4249">
            <v>0</v>
          </cell>
          <cell r="G4249">
            <v>0</v>
          </cell>
          <cell r="H4249" t="str">
            <v>Parts &amp; Accessories</v>
          </cell>
          <cell r="I4249" t="str">
            <v>Parts &amp; Accessories</v>
          </cell>
          <cell r="J4249">
            <v>2</v>
          </cell>
          <cell r="K4249" t="str">
            <v>Parts &amp; Accessories - rc</v>
          </cell>
        </row>
        <row r="4250">
          <cell r="D4250">
            <v>840721</v>
          </cell>
          <cell r="E4250" t="str">
            <v>Engines; outboard motors for marine propulsion, spark-ignition reciprocating or rotary internal combustion piston engines</v>
          </cell>
          <cell r="F4250">
            <v>0</v>
          </cell>
          <cell r="G4250">
            <v>0</v>
          </cell>
          <cell r="H4250" t="str">
            <v>Parts &amp; Accessories</v>
          </cell>
          <cell r="I4250" t="str">
            <v>Others</v>
          </cell>
          <cell r="J4250">
            <v>2</v>
          </cell>
          <cell r="K4250" t="str">
            <v>Parts &amp; Accessories - rc</v>
          </cell>
        </row>
        <row r="4251">
          <cell r="D4251">
            <v>840729</v>
          </cell>
          <cell r="E4251" t="str">
            <v>Engines; for marine propulsion, (other than outboard motors), spark-ignition reciprocating or rotary internal combustion piston engines</v>
          </cell>
          <cell r="F4251">
            <v>0</v>
          </cell>
          <cell r="G4251">
            <v>0</v>
          </cell>
          <cell r="H4251" t="str">
            <v>Parts &amp; Accessories</v>
          </cell>
          <cell r="I4251" t="str">
            <v>Parts &amp; Accessories</v>
          </cell>
          <cell r="J4251">
            <v>2</v>
          </cell>
          <cell r="K4251" t="str">
            <v>Parts &amp; Accessories - rc</v>
          </cell>
        </row>
        <row r="4252">
          <cell r="D4252">
            <v>840731</v>
          </cell>
          <cell r="E4252" t="str">
            <v>Engines; reciprocating piston engines, of a kind used for the propulsion of vehicles of chapter 87, of a cylinder capacity not exceeding 50cc</v>
          </cell>
          <cell r="F4252">
            <v>0</v>
          </cell>
          <cell r="G4252">
            <v>0</v>
          </cell>
          <cell r="H4252">
            <v>0</v>
          </cell>
          <cell r="I4252" t="str">
            <v>Parts &amp; Accessories</v>
          </cell>
          <cell r="J4252">
            <v>3</v>
          </cell>
          <cell r="K4252" t="str">
            <v>Parts &amp; Accessories - rc</v>
          </cell>
        </row>
        <row r="4253">
          <cell r="D4253">
            <v>840732</v>
          </cell>
          <cell r="E4253" t="str">
            <v>Engines; reciprocating piston engines, of a kind used for the propulsion of vehicles of chapter 87, of a cylinder capacity exceeding 50cc but not exceeding 250cc</v>
          </cell>
          <cell r="F4253">
            <v>0</v>
          </cell>
          <cell r="G4253">
            <v>0</v>
          </cell>
          <cell r="H4253">
            <v>0</v>
          </cell>
          <cell r="I4253" t="str">
            <v>Parts &amp; Accessories</v>
          </cell>
          <cell r="J4253">
            <v>3</v>
          </cell>
          <cell r="K4253" t="str">
            <v>Parts &amp; Accessories - rc</v>
          </cell>
        </row>
        <row r="4254">
          <cell r="D4254">
            <v>840733</v>
          </cell>
          <cell r="E4254" t="str">
            <v>Engines; reciprocating piston engines, of a kind used for the propulsion of vehicles of chapter 87, of a cylinder capacity exceeding 250cc but not exceeding 1000cc</v>
          </cell>
          <cell r="F4254">
            <v>0</v>
          </cell>
          <cell r="G4254">
            <v>0</v>
          </cell>
          <cell r="H4254">
            <v>0</v>
          </cell>
          <cell r="I4254" t="str">
            <v>Parts &amp; Accessories</v>
          </cell>
          <cell r="J4254">
            <v>3</v>
          </cell>
          <cell r="K4254" t="str">
            <v>Parts &amp; Accessories - rc</v>
          </cell>
        </row>
        <row r="4255">
          <cell r="D4255">
            <v>840734</v>
          </cell>
          <cell r="E4255" t="str">
            <v>Engines; reciprocating piston engines, of a kind used for the propulsion of vehicles of chapter 87, of a cylinder capacity exceeding 1000cc</v>
          </cell>
          <cell r="F4255">
            <v>0</v>
          </cell>
          <cell r="G4255">
            <v>0</v>
          </cell>
          <cell r="H4255">
            <v>0</v>
          </cell>
          <cell r="I4255" t="str">
            <v>Parts &amp; Accessories</v>
          </cell>
          <cell r="J4255">
            <v>3</v>
          </cell>
          <cell r="K4255" t="str">
            <v>Parts &amp; Accessories - rc</v>
          </cell>
        </row>
        <row r="4256">
          <cell r="D4256">
            <v>840790</v>
          </cell>
          <cell r="E4256" t="str">
            <v>Engines; rotary internal combustion piston engines, for other than aircraft or marine propulsion</v>
          </cell>
          <cell r="F4256" t="str">
            <v>Capital Goods</v>
          </cell>
          <cell r="G4256">
            <v>0</v>
          </cell>
          <cell r="H4256" t="str">
            <v>Capital Goods</v>
          </cell>
          <cell r="I4256" t="str">
            <v>Capital Goods</v>
          </cell>
          <cell r="J4256">
            <v>1</v>
          </cell>
          <cell r="K4256" t="str">
            <v>Parts &amp; Accessories - rc</v>
          </cell>
        </row>
        <row r="4257">
          <cell r="D4257">
            <v>840810</v>
          </cell>
          <cell r="E4257" t="str">
            <v>Engines; for marine propulsion, compression-ignition internal combustion piston engines (diesel or semi-diesel engines)</v>
          </cell>
          <cell r="F4257">
            <v>0</v>
          </cell>
          <cell r="G4257">
            <v>0</v>
          </cell>
          <cell r="H4257" t="str">
            <v>Parts &amp; Accessories</v>
          </cell>
          <cell r="I4257" t="str">
            <v>Parts &amp; Accessories</v>
          </cell>
          <cell r="J4257">
            <v>2</v>
          </cell>
          <cell r="K4257" t="str">
            <v>Parts &amp; Accessories - rc</v>
          </cell>
        </row>
        <row r="4258">
          <cell r="D4258">
            <v>840820</v>
          </cell>
          <cell r="E4258" t="str">
            <v>Engines; compression-ignition internal combustion piston engines (diesel or semi-diesel engines), of a kind used for the propulsion of vehicles of chapter 87</v>
          </cell>
          <cell r="F4258">
            <v>0</v>
          </cell>
          <cell r="G4258">
            <v>0</v>
          </cell>
          <cell r="H4258">
            <v>0</v>
          </cell>
          <cell r="I4258" t="str">
            <v>Parts &amp; Accessories</v>
          </cell>
          <cell r="J4258">
            <v>3</v>
          </cell>
          <cell r="K4258" t="str">
            <v>Parts &amp; Accessories - rc</v>
          </cell>
        </row>
        <row r="4259">
          <cell r="D4259">
            <v>840890</v>
          </cell>
          <cell r="E4259" t="str">
            <v>Engines; compression-ignition internal combustion piston engines (diesel or semi-diesel engines), of a kind used for other than marine propulsion or the vehicles of chapter 87</v>
          </cell>
          <cell r="F4259">
            <v>0</v>
          </cell>
          <cell r="G4259">
            <v>0</v>
          </cell>
          <cell r="H4259" t="str">
            <v>Capital Goods</v>
          </cell>
          <cell r="I4259" t="str">
            <v>Capital Goods</v>
          </cell>
          <cell r="J4259">
            <v>2</v>
          </cell>
          <cell r="K4259" t="str">
            <v>Capital Goods - rc</v>
          </cell>
        </row>
        <row r="4260">
          <cell r="D4260">
            <v>840910</v>
          </cell>
          <cell r="E4260" t="str">
            <v>Engines; parts of aircraft engines (spark-ignition reciprocating or rotary internal combustion piston engines)</v>
          </cell>
          <cell r="F4260">
            <v>0</v>
          </cell>
          <cell r="G4260">
            <v>0</v>
          </cell>
          <cell r="H4260" t="str">
            <v>Parts &amp; Accessories</v>
          </cell>
          <cell r="I4260" t="str">
            <v>Parts &amp; Accessories</v>
          </cell>
          <cell r="J4260">
            <v>2</v>
          </cell>
          <cell r="K4260" t="str">
            <v>Parts &amp; Accessories - rc</v>
          </cell>
        </row>
        <row r="4261">
          <cell r="D4261">
            <v>840991</v>
          </cell>
          <cell r="E4261" t="str">
            <v>Engines; parts, suitable for use solely or principally with spark-ignition internal combustion piston engines (for other than aircraft)</v>
          </cell>
          <cell r="F4261" t="str">
            <v>Parts &amp; Accessories</v>
          </cell>
          <cell r="G4261">
            <v>0</v>
          </cell>
          <cell r="H4261" t="str">
            <v>Parts &amp; Accessories</v>
          </cell>
          <cell r="I4261" t="str">
            <v>Parts &amp; Accessories</v>
          </cell>
          <cell r="J4261">
            <v>1</v>
          </cell>
          <cell r="K4261" t="str">
            <v>Parts &amp; Accessories - rc</v>
          </cell>
        </row>
        <row r="4262">
          <cell r="D4262">
            <v>840999</v>
          </cell>
          <cell r="E4262" t="str">
            <v>Engines; parts for internal combustion piston engines (excluding spark-ignition)</v>
          </cell>
          <cell r="F4262" t="str">
            <v>Parts &amp; Accessories</v>
          </cell>
          <cell r="G4262">
            <v>0</v>
          </cell>
          <cell r="H4262" t="str">
            <v>Parts &amp; Accessories</v>
          </cell>
          <cell r="I4262" t="str">
            <v>Parts &amp; Accessories</v>
          </cell>
          <cell r="J4262">
            <v>1</v>
          </cell>
          <cell r="K4262" t="str">
            <v>Parts &amp; Accessories - rc</v>
          </cell>
        </row>
        <row r="4263">
          <cell r="D4263">
            <v>841011</v>
          </cell>
          <cell r="E4263" t="str">
            <v>Turbines; hydraulic turbines and water wheels, of a power not exceeding 1000kW</v>
          </cell>
          <cell r="F4263">
            <v>0</v>
          </cell>
          <cell r="G4263">
            <v>0</v>
          </cell>
          <cell r="H4263" t="str">
            <v>Capital Goods</v>
          </cell>
          <cell r="I4263" t="str">
            <v>Capital Goods</v>
          </cell>
          <cell r="J4263">
            <v>2</v>
          </cell>
          <cell r="K4263" t="str">
            <v>Capital Goods</v>
          </cell>
        </row>
        <row r="4264">
          <cell r="D4264">
            <v>841012</v>
          </cell>
          <cell r="E4264" t="str">
            <v>Turbines; hydraulic turbines and water wheels, of a power exceeding 1000kW but not exceeding 10000kW</v>
          </cell>
          <cell r="F4264">
            <v>0</v>
          </cell>
          <cell r="G4264">
            <v>0</v>
          </cell>
          <cell r="H4264" t="str">
            <v>Capital Goods</v>
          </cell>
          <cell r="I4264" t="str">
            <v>Capital Goods</v>
          </cell>
          <cell r="J4264">
            <v>2</v>
          </cell>
          <cell r="K4264" t="str">
            <v>Capital Goods</v>
          </cell>
        </row>
        <row r="4265">
          <cell r="D4265">
            <v>841013</v>
          </cell>
          <cell r="E4265" t="str">
            <v>Turbines; hydraulic turbines and water wheels, of a power exceeding 10000kW</v>
          </cell>
          <cell r="F4265">
            <v>0</v>
          </cell>
          <cell r="G4265">
            <v>0</v>
          </cell>
          <cell r="H4265">
            <v>0</v>
          </cell>
          <cell r="I4265" t="str">
            <v>Capital Goods</v>
          </cell>
          <cell r="J4265">
            <v>3</v>
          </cell>
          <cell r="K4265" t="str">
            <v>Capital Goods</v>
          </cell>
        </row>
        <row r="4266">
          <cell r="D4266">
            <v>841090</v>
          </cell>
          <cell r="E4266" t="str">
            <v>Turbines; parts of hydraulic turbines and water wheels, including regulators</v>
          </cell>
          <cell r="F4266" t="str">
            <v>Parts &amp; Accessories</v>
          </cell>
          <cell r="G4266">
            <v>0</v>
          </cell>
          <cell r="H4266" t="str">
            <v>Parts &amp; Accessories</v>
          </cell>
          <cell r="I4266" t="str">
            <v>Parts &amp; Accessories</v>
          </cell>
          <cell r="J4266">
            <v>1</v>
          </cell>
          <cell r="K4266" t="str">
            <v>Parts &amp; Accessories - rc</v>
          </cell>
        </row>
        <row r="4267">
          <cell r="D4267">
            <v>841111</v>
          </cell>
          <cell r="E4267" t="str">
            <v>Turbo-jets; of a thrust not exceeding 25kN</v>
          </cell>
          <cell r="F4267">
            <v>0</v>
          </cell>
          <cell r="G4267">
            <v>0</v>
          </cell>
          <cell r="H4267" t="str">
            <v>Parts &amp; Accessories</v>
          </cell>
          <cell r="I4267" t="str">
            <v>Parts &amp; Accessories</v>
          </cell>
          <cell r="J4267">
            <v>2</v>
          </cell>
          <cell r="K4267" t="str">
            <v>Parts &amp; Accessories - rc</v>
          </cell>
        </row>
        <row r="4268">
          <cell r="D4268">
            <v>841112</v>
          </cell>
          <cell r="E4268" t="str">
            <v>Turbo-jets; of a thrust exceeding 25kN</v>
          </cell>
          <cell r="F4268">
            <v>0</v>
          </cell>
          <cell r="G4268">
            <v>0</v>
          </cell>
          <cell r="H4268">
            <v>0</v>
          </cell>
          <cell r="I4268" t="str">
            <v>Parts &amp; Accessories</v>
          </cell>
          <cell r="J4268">
            <v>3</v>
          </cell>
          <cell r="K4268" t="str">
            <v>Parts &amp; Accessories - rc</v>
          </cell>
        </row>
        <row r="4269">
          <cell r="D4269">
            <v>841790</v>
          </cell>
          <cell r="E4269" t="str">
            <v>Furnaces and ovens; parts of non-electric furnaces and ovens (including incinerators), of industrial or laboratory use</v>
          </cell>
          <cell r="F4269" t="str">
            <v>Parts &amp; Accessories</v>
          </cell>
          <cell r="G4269">
            <v>0</v>
          </cell>
          <cell r="H4269" t="str">
            <v>Parts &amp; Accessories</v>
          </cell>
          <cell r="I4269" t="str">
            <v>Parts &amp; Accessories</v>
          </cell>
          <cell r="J4269">
            <v>1</v>
          </cell>
          <cell r="K4269" t="str">
            <v>Parts &amp; Accessories</v>
          </cell>
        </row>
        <row r="4270">
          <cell r="D4270">
            <v>841122</v>
          </cell>
          <cell r="E4270" t="str">
            <v>Turbo-propellers; of a power exceeding 1100kW</v>
          </cell>
          <cell r="F4270">
            <v>0</v>
          </cell>
          <cell r="G4270">
            <v>0</v>
          </cell>
          <cell r="H4270">
            <v>0</v>
          </cell>
          <cell r="I4270" t="str">
            <v>Parts &amp; Accessories</v>
          </cell>
          <cell r="J4270">
            <v>3</v>
          </cell>
          <cell r="K4270" t="str">
            <v>Parts &amp; Accessories - rc</v>
          </cell>
        </row>
        <row r="4271">
          <cell r="D4271">
            <v>841181</v>
          </cell>
          <cell r="E4271" t="str">
            <v>Turbines; gas-turbines (excluding turbo-jets and turbo-propellers), of a power not exceeding 5000kW</v>
          </cell>
          <cell r="F4271">
            <v>0</v>
          </cell>
          <cell r="G4271">
            <v>0</v>
          </cell>
          <cell r="H4271" t="str">
            <v>Parts &amp; Accessories</v>
          </cell>
          <cell r="I4271" t="str">
            <v>Parts &amp; Accessories</v>
          </cell>
          <cell r="J4271">
            <v>2</v>
          </cell>
          <cell r="K4271" t="str">
            <v>Parts &amp; Accessories - rc</v>
          </cell>
        </row>
        <row r="4272">
          <cell r="D4272">
            <v>841182</v>
          </cell>
          <cell r="E4272" t="str">
            <v>Turbines; gas-turbines (excluding turbo-jets and turbo-propellers), of a power exceeding 5000kW</v>
          </cell>
          <cell r="F4272">
            <v>0</v>
          </cell>
          <cell r="G4272">
            <v>0</v>
          </cell>
          <cell r="H4272" t="str">
            <v>Parts &amp; Accessories</v>
          </cell>
          <cell r="I4272" t="str">
            <v>Parts &amp; Accessories</v>
          </cell>
          <cell r="J4272">
            <v>2</v>
          </cell>
          <cell r="K4272" t="str">
            <v>Parts &amp; Accessories - rc</v>
          </cell>
        </row>
        <row r="4273">
          <cell r="D4273">
            <v>841191</v>
          </cell>
          <cell r="E4273" t="str">
            <v>Turbines; parts of turbo-jets and turbo-propellers</v>
          </cell>
          <cell r="F4273">
            <v>0</v>
          </cell>
          <cell r="G4273">
            <v>0</v>
          </cell>
          <cell r="H4273" t="str">
            <v>Parts &amp; Accessories</v>
          </cell>
          <cell r="I4273" t="str">
            <v>Parts &amp; Accessories</v>
          </cell>
          <cell r="J4273">
            <v>2</v>
          </cell>
          <cell r="K4273" t="str">
            <v>Parts &amp; Accessories - rc</v>
          </cell>
        </row>
        <row r="4274">
          <cell r="D4274">
            <v>850720</v>
          </cell>
          <cell r="E4274" t="str">
            <v>Electric accumulators; lead-acid, (other than for starting piston engines), including separators, whether or not rectangular (including square)</v>
          </cell>
          <cell r="F4274" t="str">
            <v>Capital Goods</v>
          </cell>
          <cell r="G4274">
            <v>0</v>
          </cell>
          <cell r="H4274" t="str">
            <v>Parts &amp; Accessories</v>
          </cell>
          <cell r="I4274" t="str">
            <v>Parts &amp; Accessories</v>
          </cell>
          <cell r="J4274">
            <v>1</v>
          </cell>
          <cell r="K4274" t="str">
            <v>Parts &amp; Accessories</v>
          </cell>
        </row>
        <row r="4275">
          <cell r="D4275">
            <v>841210</v>
          </cell>
          <cell r="E4275" t="str">
            <v>Engines; reaction engines, other than turbo-jets</v>
          </cell>
          <cell r="F4275">
            <v>0</v>
          </cell>
          <cell r="G4275">
            <v>0</v>
          </cell>
          <cell r="H4275" t="str">
            <v>Parts &amp; Accessories</v>
          </cell>
          <cell r="I4275" t="str">
            <v>Parts &amp; Accessories</v>
          </cell>
          <cell r="J4275">
            <v>2</v>
          </cell>
          <cell r="K4275" t="str">
            <v>Parts &amp; Accessories - rc</v>
          </cell>
        </row>
        <row r="4276">
          <cell r="D4276">
            <v>841221</v>
          </cell>
          <cell r="E4276" t="str">
            <v>Engines; hydraulic power engines and motors, linear acting (cylinders)</v>
          </cell>
          <cell r="F4276" t="str">
            <v>Capital Goods</v>
          </cell>
          <cell r="G4276">
            <v>0</v>
          </cell>
          <cell r="H4276" t="str">
            <v>Parts &amp; Accessories</v>
          </cell>
          <cell r="I4276" t="str">
            <v>Capital Goods</v>
          </cell>
          <cell r="J4276">
            <v>1</v>
          </cell>
          <cell r="K4276" t="str">
            <v>Capital Goods</v>
          </cell>
        </row>
        <row r="4277">
          <cell r="D4277">
            <v>841229</v>
          </cell>
          <cell r="E4277" t="str">
            <v>Engines; hydraulic power engines and motors, other than linear acting (cylinders)</v>
          </cell>
          <cell r="F4277" t="str">
            <v>Capital Goods</v>
          </cell>
          <cell r="G4277">
            <v>0</v>
          </cell>
          <cell r="H4277" t="str">
            <v>Parts &amp; Accessories</v>
          </cell>
          <cell r="I4277" t="str">
            <v>Capital Goods</v>
          </cell>
          <cell r="J4277">
            <v>1</v>
          </cell>
          <cell r="K4277" t="str">
            <v>Capital Goods</v>
          </cell>
        </row>
        <row r="4278">
          <cell r="D4278">
            <v>841231</v>
          </cell>
          <cell r="E4278" t="str">
            <v>Engines; pneumatic power engines and motors, linear acting (cylinders)</v>
          </cell>
          <cell r="F4278" t="str">
            <v>Capital Goods</v>
          </cell>
          <cell r="G4278">
            <v>0</v>
          </cell>
          <cell r="H4278" t="str">
            <v>Parts &amp; Accessories</v>
          </cell>
          <cell r="I4278" t="str">
            <v>Capital Goods</v>
          </cell>
          <cell r="J4278">
            <v>1</v>
          </cell>
          <cell r="K4278" t="str">
            <v>Capital Goods</v>
          </cell>
        </row>
        <row r="4279">
          <cell r="D4279">
            <v>841239</v>
          </cell>
          <cell r="E4279" t="str">
            <v>Engines; pneumatic power engines and motors, other than linear acting (cylinders)</v>
          </cell>
          <cell r="F4279" t="str">
            <v>Capital Goods</v>
          </cell>
          <cell r="G4279">
            <v>0</v>
          </cell>
          <cell r="H4279" t="str">
            <v>Capital Goods</v>
          </cell>
          <cell r="I4279" t="str">
            <v>Capital Goods</v>
          </cell>
          <cell r="J4279">
            <v>1</v>
          </cell>
          <cell r="K4279" t="str">
            <v>Capital Goods</v>
          </cell>
        </row>
        <row r="4280">
          <cell r="D4280">
            <v>841280</v>
          </cell>
          <cell r="E4280" t="str">
            <v>Engines; pneumatic power engines and motors, n.e.c. in heading no. 8412</v>
          </cell>
          <cell r="F4280" t="str">
            <v>Capital Goods</v>
          </cell>
          <cell r="G4280">
            <v>0</v>
          </cell>
          <cell r="H4280" t="str">
            <v>Parts &amp; Accessories</v>
          </cell>
          <cell r="I4280" t="str">
            <v>Capital Goods</v>
          </cell>
          <cell r="J4280">
            <v>1</v>
          </cell>
          <cell r="K4280" t="str">
            <v>Capital Goods</v>
          </cell>
        </row>
        <row r="4281">
          <cell r="D4281">
            <v>841290</v>
          </cell>
          <cell r="E4281" t="str">
            <v>Engines; parts, for engines and motors of heading no. 8412</v>
          </cell>
          <cell r="F4281" t="str">
            <v>Parts &amp; Accessories</v>
          </cell>
          <cell r="G4281">
            <v>0</v>
          </cell>
          <cell r="H4281" t="str">
            <v>Parts &amp; Accessories</v>
          </cell>
          <cell r="I4281" t="str">
            <v>Parts &amp; Accessories</v>
          </cell>
          <cell r="J4281">
            <v>1</v>
          </cell>
          <cell r="K4281" t="str">
            <v>Parts &amp; Accessories - rc</v>
          </cell>
        </row>
        <row r="4282">
          <cell r="D4282">
            <v>841311</v>
          </cell>
          <cell r="E4282" t="str">
            <v>Pumps; fitted or designed to be fitted with a measuring device, for dispensing fuel or lubricants, of the type used in filling-stations or in garages</v>
          </cell>
          <cell r="F4282" t="str">
            <v>Capital Goods</v>
          </cell>
          <cell r="G4282">
            <v>0</v>
          </cell>
          <cell r="H4282" t="str">
            <v>Capital Goods</v>
          </cell>
          <cell r="I4282" t="str">
            <v>Capital Goods</v>
          </cell>
          <cell r="J4282">
            <v>1</v>
          </cell>
          <cell r="K4282" t="str">
            <v>Capital Goods</v>
          </cell>
        </row>
        <row r="4283">
          <cell r="D4283">
            <v>841319</v>
          </cell>
          <cell r="E4283" t="str">
            <v>Pumps; for liquids, fitted or designed to be fitted with a measuring device, other than pumps for dispensing fuel or lubricants</v>
          </cell>
          <cell r="F4283" t="str">
            <v>Capital Goods</v>
          </cell>
          <cell r="G4283">
            <v>0</v>
          </cell>
          <cell r="H4283" t="str">
            <v>Capital Goods</v>
          </cell>
          <cell r="I4283" t="str">
            <v>Capital Goods</v>
          </cell>
          <cell r="J4283">
            <v>1</v>
          </cell>
          <cell r="K4283" t="str">
            <v>Capital Goods</v>
          </cell>
        </row>
        <row r="4284">
          <cell r="D4284">
            <v>841320</v>
          </cell>
          <cell r="E4284" t="str">
            <v>Pumps; hand, fitted or designed to be fitted with a measuring device, for liquids, other than those of item no. 8413.11 or 8413.19</v>
          </cell>
          <cell r="F4284" t="str">
            <v>Capital Goods</v>
          </cell>
          <cell r="G4284">
            <v>0</v>
          </cell>
          <cell r="H4284">
            <v>0</v>
          </cell>
          <cell r="I4284" t="str">
            <v>Capital Goods</v>
          </cell>
          <cell r="J4284">
            <v>2</v>
          </cell>
          <cell r="K4284" t="str">
            <v>Capital Goods</v>
          </cell>
        </row>
        <row r="4285">
          <cell r="D4285">
            <v>841330</v>
          </cell>
          <cell r="E4285" t="str">
            <v>Pumps; fuel, lubricating or cooling medium pumps for internal combustion piston engines</v>
          </cell>
          <cell r="F4285" t="str">
            <v>Capital Goods</v>
          </cell>
          <cell r="G4285">
            <v>0</v>
          </cell>
          <cell r="H4285" t="str">
            <v>Capital Goods</v>
          </cell>
          <cell r="I4285" t="str">
            <v>Capital Goods</v>
          </cell>
          <cell r="J4285">
            <v>1</v>
          </cell>
          <cell r="K4285" t="str">
            <v>Parts &amp; Accessories - rc</v>
          </cell>
        </row>
        <row r="4286">
          <cell r="D4286">
            <v>841340</v>
          </cell>
          <cell r="E4286" t="str">
            <v>Pumps; concrete pumps</v>
          </cell>
          <cell r="F4286">
            <v>0</v>
          </cell>
          <cell r="G4286">
            <v>0</v>
          </cell>
          <cell r="H4286">
            <v>0</v>
          </cell>
          <cell r="I4286" t="str">
            <v>Capital Goods</v>
          </cell>
          <cell r="J4286">
            <v>3</v>
          </cell>
          <cell r="K4286" t="str">
            <v>Capital Goods</v>
          </cell>
        </row>
        <row r="4287">
          <cell r="D4287">
            <v>841350</v>
          </cell>
          <cell r="E4287" t="str">
            <v>Pumps; reciprocating positive displacement pumps, n.e.c. in heading no. 8413, for liquids</v>
          </cell>
          <cell r="F4287" t="str">
            <v>Capital Goods</v>
          </cell>
          <cell r="G4287">
            <v>0</v>
          </cell>
          <cell r="H4287" t="str">
            <v>Capital Goods</v>
          </cell>
          <cell r="I4287" t="str">
            <v>Capital Goods</v>
          </cell>
          <cell r="J4287">
            <v>1</v>
          </cell>
          <cell r="K4287" t="str">
            <v>Capital Goods</v>
          </cell>
        </row>
        <row r="4288">
          <cell r="D4288">
            <v>841360</v>
          </cell>
          <cell r="E4288" t="str">
            <v>Pumps; rotary positive displacement pumps, n.e.c. in heading no. 8413, for liquids</v>
          </cell>
          <cell r="F4288" t="str">
            <v>Capital Goods</v>
          </cell>
          <cell r="G4288">
            <v>0</v>
          </cell>
          <cell r="H4288" t="str">
            <v>Capital Goods</v>
          </cell>
          <cell r="I4288" t="str">
            <v>Capital Goods</v>
          </cell>
          <cell r="J4288">
            <v>1</v>
          </cell>
          <cell r="K4288" t="str">
            <v>Capital Goods</v>
          </cell>
        </row>
        <row r="4289">
          <cell r="D4289">
            <v>841370</v>
          </cell>
          <cell r="E4289" t="str">
            <v>Pumps; centrifugal, n.e.c. in heading no. 8413, for liquids</v>
          </cell>
          <cell r="F4289" t="str">
            <v>Capital Goods</v>
          </cell>
          <cell r="G4289">
            <v>0</v>
          </cell>
          <cell r="H4289" t="str">
            <v>Capital Goods</v>
          </cell>
          <cell r="I4289" t="str">
            <v>Capital Goods</v>
          </cell>
          <cell r="J4289">
            <v>1</v>
          </cell>
          <cell r="K4289" t="str">
            <v>Capital Goods</v>
          </cell>
        </row>
        <row r="4290">
          <cell r="D4290">
            <v>841381</v>
          </cell>
          <cell r="E4290" t="str">
            <v>Pumps and liquid elevators; n.e.c. in heading no. 8413</v>
          </cell>
          <cell r="F4290" t="str">
            <v>Capital Goods</v>
          </cell>
          <cell r="G4290">
            <v>0</v>
          </cell>
          <cell r="H4290" t="str">
            <v>Capital Goods</v>
          </cell>
          <cell r="I4290" t="str">
            <v>Capital Goods</v>
          </cell>
          <cell r="J4290">
            <v>1</v>
          </cell>
          <cell r="K4290" t="str">
            <v>Capital Goods</v>
          </cell>
        </row>
        <row r="4291">
          <cell r="D4291">
            <v>841382</v>
          </cell>
          <cell r="E4291" t="str">
            <v>Liquid elevators</v>
          </cell>
          <cell r="F4291" t="str">
            <v>Capital Goods</v>
          </cell>
          <cell r="G4291">
            <v>0</v>
          </cell>
          <cell r="H4291">
            <v>0</v>
          </cell>
          <cell r="I4291" t="str">
            <v>Capital Goods</v>
          </cell>
          <cell r="J4291">
            <v>2</v>
          </cell>
          <cell r="K4291" t="str">
            <v>Capital Goods</v>
          </cell>
        </row>
        <row r="4292">
          <cell r="D4292">
            <v>848060</v>
          </cell>
          <cell r="E4292" t="str">
            <v>Moulds; for mineral materials</v>
          </cell>
          <cell r="F4292">
            <v>0</v>
          </cell>
          <cell r="G4292">
            <v>0</v>
          </cell>
          <cell r="H4292" t="str">
            <v>Capital Goods</v>
          </cell>
          <cell r="I4292" t="str">
            <v>Capital Goods</v>
          </cell>
          <cell r="J4292">
            <v>2</v>
          </cell>
          <cell r="K4292" t="str">
            <v>Parts &amp; Accessories</v>
          </cell>
        </row>
        <row r="4293">
          <cell r="D4293">
            <v>842490</v>
          </cell>
          <cell r="E4293" t="str">
            <v>Mechanical appliances; parts of machines projecting, dispersing or spraying liquids or powders, whether or not hand-operated</v>
          </cell>
          <cell r="F4293" t="str">
            <v>Parts &amp; Accessories</v>
          </cell>
          <cell r="G4293">
            <v>0</v>
          </cell>
          <cell r="H4293" t="str">
            <v>Parts &amp; Accessories</v>
          </cell>
          <cell r="I4293" t="str">
            <v>Parts &amp; Accessories</v>
          </cell>
          <cell r="J4293">
            <v>1</v>
          </cell>
          <cell r="K4293" t="str">
            <v>Parts &amp; Accessories</v>
          </cell>
        </row>
        <row r="4294">
          <cell r="D4294">
            <v>842290</v>
          </cell>
          <cell r="E4294" t="str">
            <v>Machinery; parts of machinery of heading no. 8422</v>
          </cell>
          <cell r="F4294" t="str">
            <v>Parts &amp; Accessories</v>
          </cell>
          <cell r="G4294">
            <v>0</v>
          </cell>
          <cell r="H4294" t="str">
            <v>Parts &amp; Accessories</v>
          </cell>
          <cell r="I4294" t="str">
            <v>Parts &amp; Accessories</v>
          </cell>
          <cell r="J4294">
            <v>1</v>
          </cell>
          <cell r="K4294" t="str">
            <v>Parts &amp; Accessories</v>
          </cell>
        </row>
        <row r="4295">
          <cell r="D4295">
            <v>848350</v>
          </cell>
          <cell r="E4295" t="str">
            <v>Pulleys and flywheels, including pulley blocks</v>
          </cell>
          <cell r="F4295" t="str">
            <v>Capital Goods</v>
          </cell>
          <cell r="G4295">
            <v>0</v>
          </cell>
          <cell r="H4295" t="str">
            <v>Capital Goods</v>
          </cell>
          <cell r="I4295" t="str">
            <v>Parts &amp; Accessories</v>
          </cell>
          <cell r="J4295">
            <v>1</v>
          </cell>
          <cell r="K4295" t="str">
            <v>Parts &amp; Accessories</v>
          </cell>
        </row>
        <row r="4296">
          <cell r="D4296">
            <v>841430</v>
          </cell>
          <cell r="E4296" t="str">
            <v>Compressors; of a kind used in refrigerating equipment</v>
          </cell>
          <cell r="F4296" t="str">
            <v>Parts &amp; Accessories</v>
          </cell>
          <cell r="G4296">
            <v>0</v>
          </cell>
          <cell r="H4296" t="str">
            <v>Parts &amp; Accessories</v>
          </cell>
          <cell r="I4296" t="str">
            <v>Capital Goods</v>
          </cell>
          <cell r="J4296">
            <v>1</v>
          </cell>
          <cell r="K4296" t="str">
            <v>Durable</v>
          </cell>
        </row>
        <row r="4297">
          <cell r="D4297">
            <v>902690</v>
          </cell>
          <cell r="E4297" t="str">
            <v>Instruments and apparatus; parts and accessories for those measuring or checking the flow, level, pressure or other variables of liquids or gases (excluding those of heading no. 9014, 9015, 9028 or 9032)</v>
          </cell>
          <cell r="F4297" t="str">
            <v>Parts &amp; Accessories</v>
          </cell>
          <cell r="G4297">
            <v>0</v>
          </cell>
          <cell r="H4297">
            <v>0</v>
          </cell>
          <cell r="I4297" t="str">
            <v>Parts &amp; Accessories</v>
          </cell>
          <cell r="J4297">
            <v>2</v>
          </cell>
          <cell r="K4297" t="str">
            <v>Parts &amp; Accessories</v>
          </cell>
        </row>
        <row r="4298">
          <cell r="D4298">
            <v>841451</v>
          </cell>
          <cell r="E4298" t="str">
            <v>Fans; table, floor, wall, window, ceiling or roof fans, with a self-contained electric motor of an output not exceeding 125W</v>
          </cell>
          <cell r="F4298" t="str">
            <v>Capital Goods</v>
          </cell>
          <cell r="G4298">
            <v>0</v>
          </cell>
          <cell r="H4298" t="str">
            <v>Capital Goods</v>
          </cell>
          <cell r="I4298" t="str">
            <v>Durable</v>
          </cell>
          <cell r="J4298">
            <v>1</v>
          </cell>
          <cell r="K4298" t="str">
            <v>Durable</v>
          </cell>
        </row>
        <row r="4299">
          <cell r="D4299">
            <v>841459</v>
          </cell>
          <cell r="E4299" t="str">
            <v>Fans; n.e.c. in item no. 8414.51</v>
          </cell>
          <cell r="F4299" t="str">
            <v>Capital Goods</v>
          </cell>
          <cell r="G4299">
            <v>0</v>
          </cell>
          <cell r="H4299" t="str">
            <v>Capital Goods</v>
          </cell>
          <cell r="I4299" t="str">
            <v>Capital Goods</v>
          </cell>
          <cell r="J4299">
            <v>1</v>
          </cell>
          <cell r="K4299" t="str">
            <v>Durable</v>
          </cell>
        </row>
        <row r="4300">
          <cell r="D4300">
            <v>841460</v>
          </cell>
          <cell r="E4300" t="str">
            <v>Hoods; ventilating or recycling hoods incorporating a fan, whether or not fitted with filters, having a maximum horizontal side not exceeding 120cm</v>
          </cell>
          <cell r="F4300">
            <v>0</v>
          </cell>
          <cell r="G4300">
            <v>0</v>
          </cell>
          <cell r="H4300" t="str">
            <v>Others</v>
          </cell>
          <cell r="I4300" t="str">
            <v>Durable</v>
          </cell>
          <cell r="J4300">
            <v>2</v>
          </cell>
          <cell r="K4300" t="str">
            <v>Durable</v>
          </cell>
        </row>
        <row r="4301">
          <cell r="D4301">
            <v>853641</v>
          </cell>
          <cell r="E4301" t="str">
            <v>Electrical apparatus; relays, (for a voltage not exceeding 60 volts)</v>
          </cell>
          <cell r="F4301" t="str">
            <v>Parts &amp; Accessories</v>
          </cell>
          <cell r="G4301">
            <v>0</v>
          </cell>
          <cell r="H4301">
            <v>0</v>
          </cell>
          <cell r="I4301" t="str">
            <v>Parts &amp; Accessories</v>
          </cell>
          <cell r="J4301">
            <v>2</v>
          </cell>
          <cell r="K4301" t="str">
            <v>Parts &amp; Accessories</v>
          </cell>
        </row>
        <row r="4302">
          <cell r="D4302">
            <v>854390</v>
          </cell>
          <cell r="E4302" t="str">
            <v>Electrical machines and apparatus; parts of the electrical goods of heading no. 8543</v>
          </cell>
          <cell r="F4302" t="str">
            <v>Parts &amp; Accessories</v>
          </cell>
          <cell r="G4302">
            <v>0</v>
          </cell>
          <cell r="H4302">
            <v>0</v>
          </cell>
          <cell r="I4302" t="str">
            <v>Parts &amp; Accessories</v>
          </cell>
          <cell r="J4302">
            <v>2</v>
          </cell>
          <cell r="K4302" t="str">
            <v>Parts &amp; Accessories</v>
          </cell>
        </row>
        <row r="4303">
          <cell r="D4303">
            <v>841440</v>
          </cell>
          <cell r="E4303" t="str">
            <v>Compressors; air compressors mounted on a wheeled chassis for towing</v>
          </cell>
          <cell r="F4303" t="str">
            <v>Capital Goods</v>
          </cell>
          <cell r="G4303">
            <v>0</v>
          </cell>
          <cell r="H4303" t="str">
            <v>Capital Goods</v>
          </cell>
          <cell r="I4303" t="str">
            <v>Capital Goods</v>
          </cell>
          <cell r="J4303">
            <v>1</v>
          </cell>
          <cell r="K4303" t="str">
            <v>Parts &amp; Accessories</v>
          </cell>
        </row>
        <row r="4304">
          <cell r="D4304">
            <v>841510</v>
          </cell>
          <cell r="E4304" t="str">
            <v>Air conditioning machines; comprising a motor-driven fan and elements for changing the temperature and humidity, of a kind designed to be fixed to a window, wall, ceiling or floor, self-contained or "split-system"</v>
          </cell>
          <cell r="F4304" t="str">
            <v>Capital Goods</v>
          </cell>
          <cell r="G4304">
            <v>0</v>
          </cell>
          <cell r="H4304" t="str">
            <v>Capital Goods</v>
          </cell>
          <cell r="I4304" t="str">
            <v>Capital Goods</v>
          </cell>
          <cell r="J4304">
            <v>1</v>
          </cell>
          <cell r="K4304" t="str">
            <v>Durable</v>
          </cell>
        </row>
        <row r="4305">
          <cell r="D4305">
            <v>841520</v>
          </cell>
          <cell r="E4305" t="str">
            <v>Air conditioning machines; comprising a motor driven fan and elements for changing the temperature and humidity, of a kind used for persons, in motor vehicles</v>
          </cell>
          <cell r="F4305">
            <v>0</v>
          </cell>
          <cell r="G4305">
            <v>0</v>
          </cell>
          <cell r="H4305" t="str">
            <v>Parts &amp; Accessories</v>
          </cell>
          <cell r="I4305" t="str">
            <v>Parts &amp; Accessories</v>
          </cell>
          <cell r="J4305">
            <v>2</v>
          </cell>
          <cell r="K4305" t="str">
            <v>Parts &amp; Accessories - rc</v>
          </cell>
        </row>
        <row r="4306">
          <cell r="D4306">
            <v>841581</v>
          </cell>
          <cell r="E4306" t="str">
            <v>Air conditioning machines; containing a motor driven fan, other than window or wall types, incorporating a refrigerating unit and a valve for reversal of the cooling/heat cycle (reversible heat pumps)</v>
          </cell>
          <cell r="F4306" t="str">
            <v>Capital Goods</v>
          </cell>
          <cell r="G4306">
            <v>0</v>
          </cell>
          <cell r="H4306" t="str">
            <v>Capital Goods</v>
          </cell>
          <cell r="I4306" t="str">
            <v>Capital Goods</v>
          </cell>
          <cell r="J4306">
            <v>1</v>
          </cell>
          <cell r="K4306" t="str">
            <v>Durable</v>
          </cell>
        </row>
        <row r="4307">
          <cell r="D4307">
            <v>841582</v>
          </cell>
          <cell r="E4307" t="str">
            <v>Air conditioning machines; containing a motor driven fan, other than window or wall types, incorporating a refrigerating unit</v>
          </cell>
          <cell r="F4307" t="str">
            <v>Capital Goods</v>
          </cell>
          <cell r="G4307">
            <v>0</v>
          </cell>
          <cell r="H4307" t="str">
            <v>Capital Goods</v>
          </cell>
          <cell r="I4307" t="str">
            <v>Capital Goods</v>
          </cell>
          <cell r="J4307">
            <v>1</v>
          </cell>
          <cell r="K4307" t="str">
            <v>Durable</v>
          </cell>
        </row>
        <row r="4308">
          <cell r="D4308">
            <v>841583</v>
          </cell>
          <cell r="E4308" t="str">
            <v>Air conditioning machines; containing a motor driven fan, other than window or wall types, not incorporating a refrigerating unit</v>
          </cell>
          <cell r="F4308" t="str">
            <v>Capital Goods</v>
          </cell>
          <cell r="G4308">
            <v>0</v>
          </cell>
          <cell r="H4308" t="str">
            <v>Capital Goods</v>
          </cell>
          <cell r="I4308" t="str">
            <v>Capital Goods</v>
          </cell>
          <cell r="J4308">
            <v>1</v>
          </cell>
          <cell r="K4308" t="str">
            <v>Durable</v>
          </cell>
        </row>
        <row r="4309">
          <cell r="D4309">
            <v>841590</v>
          </cell>
          <cell r="E4309" t="str">
            <v>Air conditioning machines; with motor driven fan and elements for temperature control, parts thereof</v>
          </cell>
          <cell r="F4309" t="str">
            <v>Parts &amp; Accessories</v>
          </cell>
          <cell r="G4309">
            <v>0</v>
          </cell>
          <cell r="H4309" t="str">
            <v>Parts &amp; Accessories</v>
          </cell>
          <cell r="I4309" t="str">
            <v>Parts &amp; Accessories</v>
          </cell>
          <cell r="J4309">
            <v>1</v>
          </cell>
          <cell r="K4309" t="str">
            <v>Durable</v>
          </cell>
        </row>
        <row r="4310">
          <cell r="D4310">
            <v>841610</v>
          </cell>
          <cell r="E4310" t="str">
            <v>Furnaces; furnace burners, for liquid fuel</v>
          </cell>
          <cell r="F4310">
            <v>0</v>
          </cell>
          <cell r="G4310">
            <v>0</v>
          </cell>
          <cell r="H4310" t="str">
            <v>Capital Goods</v>
          </cell>
          <cell r="I4310" t="str">
            <v>Capital Goods</v>
          </cell>
          <cell r="J4310">
            <v>2</v>
          </cell>
          <cell r="K4310" t="str">
            <v>Capital Goods</v>
          </cell>
        </row>
        <row r="4311">
          <cell r="D4311">
            <v>841620</v>
          </cell>
          <cell r="E4311" t="str">
            <v>Furnaces; furnace burners, for pulverized solid fuel or gas, including combination burners</v>
          </cell>
          <cell r="F4311">
            <v>0</v>
          </cell>
          <cell r="G4311">
            <v>0</v>
          </cell>
          <cell r="H4311" t="str">
            <v>Capital Goods</v>
          </cell>
          <cell r="I4311" t="str">
            <v>Capital Goods</v>
          </cell>
          <cell r="J4311">
            <v>2</v>
          </cell>
          <cell r="K4311" t="str">
            <v>Capital Goods</v>
          </cell>
        </row>
        <row r="4312">
          <cell r="D4312">
            <v>841630</v>
          </cell>
          <cell r="E4312" t="str">
            <v>Furnace accessories; mechanical stokers, mechanical grates, mechanical ash dischargers and similar appliances</v>
          </cell>
          <cell r="F4312">
            <v>0</v>
          </cell>
          <cell r="G4312">
            <v>0</v>
          </cell>
          <cell r="H4312" t="str">
            <v>Capital Goods</v>
          </cell>
          <cell r="I4312" t="str">
            <v>Capital Goods</v>
          </cell>
          <cell r="J4312">
            <v>2</v>
          </cell>
          <cell r="K4312" t="str">
            <v>Capital Goods</v>
          </cell>
        </row>
        <row r="4313">
          <cell r="D4313">
            <v>848280</v>
          </cell>
          <cell r="E4313" t="str">
            <v>Bearings; n.e.c. in heading no. 8482, including combined ball/roller</v>
          </cell>
          <cell r="F4313" t="str">
            <v>Capital Goods</v>
          </cell>
          <cell r="G4313">
            <v>0</v>
          </cell>
          <cell r="H4313" t="str">
            <v>Parts &amp; Accessories</v>
          </cell>
          <cell r="I4313" t="str">
            <v>Parts &amp; Accessories</v>
          </cell>
          <cell r="J4313">
            <v>1</v>
          </cell>
          <cell r="K4313" t="str">
            <v>Parts &amp; Accessories</v>
          </cell>
        </row>
        <row r="4314">
          <cell r="D4314">
            <v>841710</v>
          </cell>
          <cell r="E4314" t="str">
            <v>Furnaces and ovens; non-electric, for the roasting, melting or other heat-treatment of ores, pyrites or of metals, for industrial or laboratory use</v>
          </cell>
          <cell r="F4314">
            <v>0</v>
          </cell>
          <cell r="G4314">
            <v>0</v>
          </cell>
          <cell r="H4314" t="str">
            <v>Capital Goods</v>
          </cell>
          <cell r="I4314" t="str">
            <v>Capital Goods</v>
          </cell>
          <cell r="J4314">
            <v>2</v>
          </cell>
          <cell r="K4314" t="str">
            <v>Capital Goods</v>
          </cell>
        </row>
        <row r="4315">
          <cell r="D4315">
            <v>841720</v>
          </cell>
          <cell r="E4315" t="str">
            <v>Ovens; non-electric, bakery ovens, including biscuit ovens</v>
          </cell>
          <cell r="F4315">
            <v>0</v>
          </cell>
          <cell r="G4315">
            <v>0</v>
          </cell>
          <cell r="H4315" t="str">
            <v>Capital Goods</v>
          </cell>
          <cell r="I4315" t="str">
            <v>Capital Goods</v>
          </cell>
          <cell r="J4315">
            <v>2</v>
          </cell>
          <cell r="K4315" t="str">
            <v>Capital Goods</v>
          </cell>
        </row>
        <row r="4316">
          <cell r="D4316">
            <v>841780</v>
          </cell>
          <cell r="E4316" t="str">
            <v>Furnaces and ovens; including incinerators, non-electric, for industrial or laboratory use, n.e.c. in heading no. 8417</v>
          </cell>
          <cell r="F4316">
            <v>0</v>
          </cell>
          <cell r="G4316">
            <v>0</v>
          </cell>
          <cell r="H4316" t="str">
            <v>Capital Goods</v>
          </cell>
          <cell r="I4316" t="str">
            <v>Capital Goods</v>
          </cell>
          <cell r="J4316">
            <v>2</v>
          </cell>
          <cell r="K4316" t="str">
            <v>Capital Goods</v>
          </cell>
        </row>
        <row r="4317">
          <cell r="D4317">
            <v>854690</v>
          </cell>
          <cell r="E4317" t="str">
            <v>Electrical insulators; other than of glass and ceramics</v>
          </cell>
          <cell r="F4317" t="str">
            <v>Capital Goods</v>
          </cell>
          <cell r="G4317">
            <v>0</v>
          </cell>
          <cell r="H4317" t="str">
            <v>Parts &amp; Accessories</v>
          </cell>
          <cell r="I4317" t="str">
            <v>Parts &amp; Accessories</v>
          </cell>
          <cell r="J4317">
            <v>1</v>
          </cell>
          <cell r="K4317" t="str">
            <v>Parts &amp; Accessories</v>
          </cell>
        </row>
        <row r="4318">
          <cell r="D4318">
            <v>841810</v>
          </cell>
          <cell r="E4318" t="str">
            <v>Refrigerators and freezers; combined refrigerator-freezers, fitted with separate external doors, electric or other</v>
          </cell>
          <cell r="F4318" t="str">
            <v>Capital Goods</v>
          </cell>
          <cell r="G4318">
            <v>0</v>
          </cell>
          <cell r="H4318" t="str">
            <v>Capital Goods</v>
          </cell>
          <cell r="I4318" t="str">
            <v>Capital Goods</v>
          </cell>
          <cell r="J4318">
            <v>1</v>
          </cell>
          <cell r="K4318" t="str">
            <v>Durable</v>
          </cell>
        </row>
        <row r="4319">
          <cell r="D4319">
            <v>841821</v>
          </cell>
          <cell r="E4319" t="str">
            <v>Refrigerators; for household use, compression-type, electric or other</v>
          </cell>
          <cell r="F4319" t="str">
            <v>Others</v>
          </cell>
          <cell r="G4319">
            <v>0</v>
          </cell>
          <cell r="H4319" t="str">
            <v>Others</v>
          </cell>
          <cell r="I4319" t="str">
            <v>Durable</v>
          </cell>
          <cell r="J4319">
            <v>1</v>
          </cell>
          <cell r="K4319" t="str">
            <v>Durable</v>
          </cell>
        </row>
        <row r="4320">
          <cell r="D4320">
            <v>841829</v>
          </cell>
          <cell r="E4320" t="str">
            <v>Refrigerators; household, electric or not, other than compression-type</v>
          </cell>
          <cell r="F4320" t="str">
            <v>Others</v>
          </cell>
          <cell r="G4320">
            <v>0</v>
          </cell>
          <cell r="H4320" t="str">
            <v>Others</v>
          </cell>
          <cell r="I4320" t="str">
            <v>Durable</v>
          </cell>
          <cell r="J4320">
            <v>1</v>
          </cell>
          <cell r="K4320" t="str">
            <v>Durable</v>
          </cell>
        </row>
        <row r="4321">
          <cell r="D4321">
            <v>841830</v>
          </cell>
          <cell r="E4321" t="str">
            <v>Freezers; of the chest type, not exceeding 800l capacity</v>
          </cell>
          <cell r="F4321">
            <v>0</v>
          </cell>
          <cell r="G4321">
            <v>0</v>
          </cell>
          <cell r="H4321" t="str">
            <v>Capital Goods</v>
          </cell>
          <cell r="I4321" t="str">
            <v>Durable</v>
          </cell>
          <cell r="J4321">
            <v>2</v>
          </cell>
          <cell r="K4321" t="str">
            <v>Durable</v>
          </cell>
        </row>
        <row r="4322">
          <cell r="D4322">
            <v>841840</v>
          </cell>
          <cell r="E4322" t="str">
            <v>Freezers; of the upright type, not exceeding 900l capacity</v>
          </cell>
          <cell r="F4322">
            <v>0</v>
          </cell>
          <cell r="G4322">
            <v>0</v>
          </cell>
          <cell r="H4322" t="str">
            <v>Capital Goods</v>
          </cell>
          <cell r="I4322" t="str">
            <v>Durable</v>
          </cell>
          <cell r="J4322">
            <v>2</v>
          </cell>
          <cell r="K4322" t="str">
            <v>Durable</v>
          </cell>
        </row>
        <row r="4323">
          <cell r="D4323">
            <v>841850</v>
          </cell>
          <cell r="E4323" t="str">
            <v>Furniture incorporating refrigerating or freezing equipment; for storage and display, n.e.c. in item no. 8418.1, 8418.2, 8418.3 or 8418.4 (chests, cabinets, display counters, show-cases and the like)</v>
          </cell>
          <cell r="F4323">
            <v>0</v>
          </cell>
          <cell r="G4323">
            <v>0</v>
          </cell>
          <cell r="H4323" t="str">
            <v>Others</v>
          </cell>
          <cell r="I4323" t="str">
            <v>Capital Goods</v>
          </cell>
          <cell r="J4323">
            <v>2</v>
          </cell>
          <cell r="K4323" t="str">
            <v>Durable</v>
          </cell>
        </row>
        <row r="4324">
          <cell r="D4324">
            <v>841861</v>
          </cell>
          <cell r="E4324" t="str">
            <v>Heat pumps; other than air conditioning machines of heading no. 8415</v>
          </cell>
          <cell r="F4324" t="str">
            <v>Capital Goods</v>
          </cell>
          <cell r="G4324">
            <v>0</v>
          </cell>
          <cell r="H4324" t="str">
            <v>Capital Goods</v>
          </cell>
          <cell r="I4324" t="str">
            <v>Capital Goods</v>
          </cell>
          <cell r="J4324">
            <v>1</v>
          </cell>
          <cell r="K4324" t="str">
            <v>Capital Goods</v>
          </cell>
        </row>
        <row r="4325">
          <cell r="D4325">
            <v>841869</v>
          </cell>
          <cell r="E4325" t="str">
            <v>Refrigerating or freezing equipment; n.e.c. in heading no. 8418</v>
          </cell>
          <cell r="F4325" t="str">
            <v>Capital Goods</v>
          </cell>
          <cell r="G4325">
            <v>0</v>
          </cell>
          <cell r="H4325" t="str">
            <v>Capital Goods</v>
          </cell>
          <cell r="I4325" t="str">
            <v>Capital Goods</v>
          </cell>
          <cell r="J4325">
            <v>1</v>
          </cell>
          <cell r="K4325" t="str">
            <v>Durable</v>
          </cell>
        </row>
        <row r="4326">
          <cell r="D4326">
            <v>841891</v>
          </cell>
          <cell r="E4326" t="str">
            <v>Refrigerating or freezing equipment; parts, furniture designed to receive refrigerating or freezing equipment</v>
          </cell>
          <cell r="F4326">
            <v>0</v>
          </cell>
          <cell r="G4326">
            <v>0</v>
          </cell>
          <cell r="H4326" t="str">
            <v>Parts &amp; Accessories</v>
          </cell>
          <cell r="I4326" t="str">
            <v>Parts &amp; Accessories</v>
          </cell>
          <cell r="J4326">
            <v>2</v>
          </cell>
          <cell r="K4326" t="str">
            <v>Parts &amp; Accessories - rc</v>
          </cell>
        </row>
        <row r="4327">
          <cell r="D4327">
            <v>841899</v>
          </cell>
          <cell r="E4327" t="str">
            <v>Refrigerating or freezing equipment; parts thereof, other than furniture</v>
          </cell>
          <cell r="F4327" t="str">
            <v>Parts &amp; Accessories</v>
          </cell>
          <cell r="G4327">
            <v>0</v>
          </cell>
          <cell r="H4327" t="str">
            <v>Parts &amp; Accessories</v>
          </cell>
          <cell r="I4327" t="str">
            <v>Parts &amp; Accessories</v>
          </cell>
          <cell r="J4327">
            <v>1</v>
          </cell>
          <cell r="K4327" t="str">
            <v>Parts &amp; Accessories - rc</v>
          </cell>
        </row>
        <row r="4328">
          <cell r="D4328">
            <v>841911</v>
          </cell>
          <cell r="E4328" t="str">
            <v>Heaters; instantaneous gas water heaters, for domestic or other purposes</v>
          </cell>
          <cell r="F4328">
            <v>0</v>
          </cell>
          <cell r="G4328">
            <v>0</v>
          </cell>
          <cell r="H4328" t="str">
            <v>Others</v>
          </cell>
          <cell r="I4328" t="str">
            <v>Capital Goods</v>
          </cell>
          <cell r="J4328">
            <v>2</v>
          </cell>
          <cell r="K4328" t="str">
            <v>Capital Goods - rc</v>
          </cell>
        </row>
        <row r="4329">
          <cell r="D4329">
            <v>841912</v>
          </cell>
          <cell r="E4329" t="str">
            <v>Heaters; solar water heaters, non-electric</v>
          </cell>
          <cell r="F4329">
            <v>0</v>
          </cell>
          <cell r="G4329">
            <v>0</v>
          </cell>
          <cell r="H4329">
            <v>0</v>
          </cell>
          <cell r="I4329" t="str">
            <v>Capital Goods</v>
          </cell>
          <cell r="J4329">
            <v>3</v>
          </cell>
          <cell r="K4329" t="str">
            <v>Capital Goods</v>
          </cell>
        </row>
        <row r="4330">
          <cell r="D4330">
            <v>841919</v>
          </cell>
          <cell r="E4330" t="str">
            <v>Heaters; instantaneous or storage water heaters, non-electric, (other than instantaneous gas or solar water heaters)</v>
          </cell>
          <cell r="F4330">
            <v>0</v>
          </cell>
          <cell r="G4330">
            <v>0</v>
          </cell>
          <cell r="H4330" t="str">
            <v>Capital Goods</v>
          </cell>
          <cell r="I4330" t="str">
            <v>Capital Goods</v>
          </cell>
          <cell r="J4330">
            <v>2</v>
          </cell>
          <cell r="K4330" t="str">
            <v>Capital Goods</v>
          </cell>
        </row>
        <row r="4331">
          <cell r="D4331">
            <v>841920</v>
          </cell>
          <cell r="E4331" t="str">
            <v>Sterilizers; for medical, surgical or laboratory use, not used for domestic purposes</v>
          </cell>
          <cell r="F4331" t="str">
            <v>Capital Goods</v>
          </cell>
          <cell r="G4331">
            <v>0</v>
          </cell>
          <cell r="H4331" t="str">
            <v>Capital Goods</v>
          </cell>
          <cell r="I4331" t="str">
            <v>Capital Goods</v>
          </cell>
          <cell r="J4331">
            <v>1</v>
          </cell>
          <cell r="K4331" t="str">
            <v>Capital Goods</v>
          </cell>
        </row>
        <row r="4332">
          <cell r="D4332">
            <v>841931</v>
          </cell>
          <cell r="E4332" t="str">
            <v>Dryers for agricultural products</v>
          </cell>
          <cell r="F4332">
            <v>0</v>
          </cell>
          <cell r="G4332">
            <v>0</v>
          </cell>
          <cell r="H4332" t="str">
            <v>Capital Goods</v>
          </cell>
          <cell r="I4332">
            <v>0</v>
          </cell>
          <cell r="J4332">
            <v>3</v>
          </cell>
          <cell r="K4332" t="str">
            <v>Capital Goods</v>
          </cell>
        </row>
        <row r="4333">
          <cell r="D4333">
            <v>841932</v>
          </cell>
          <cell r="E4333" t="str">
            <v>Dryers for wood, paper pulp, paper or paperboard</v>
          </cell>
          <cell r="F4333">
            <v>0</v>
          </cell>
          <cell r="G4333">
            <v>0</v>
          </cell>
          <cell r="H4333" t="str">
            <v>Capital Goods</v>
          </cell>
          <cell r="I4333">
            <v>0</v>
          </cell>
          <cell r="J4333">
            <v>3</v>
          </cell>
          <cell r="K4333" t="str">
            <v>Capital Goods</v>
          </cell>
        </row>
        <row r="4334">
          <cell r="D4334">
            <v>841933</v>
          </cell>
          <cell r="E4334" t="str">
            <v>Dryers; lyophilisation apparatus, freeze drying units and spray dryers, not used for domestic purposes</v>
          </cell>
          <cell r="F4334">
            <v>0</v>
          </cell>
          <cell r="G4334">
            <v>0</v>
          </cell>
          <cell r="H4334">
            <v>0</v>
          </cell>
          <cell r="I4334" t="str">
            <v>Capital Goods</v>
          </cell>
          <cell r="J4334">
            <v>3</v>
          </cell>
          <cell r="K4334" t="str">
            <v>Capital Goods</v>
          </cell>
        </row>
        <row r="4335">
          <cell r="D4335">
            <v>841934</v>
          </cell>
          <cell r="E4335" t="str">
            <v>Dryers; for agricultural products, not used for domestic purposes</v>
          </cell>
          <cell r="F4335">
            <v>0</v>
          </cell>
          <cell r="G4335">
            <v>0</v>
          </cell>
          <cell r="H4335">
            <v>0</v>
          </cell>
          <cell r="I4335" t="str">
            <v>Capital Goods</v>
          </cell>
          <cell r="J4335">
            <v>3</v>
          </cell>
          <cell r="K4335" t="str">
            <v>Capital Goods</v>
          </cell>
        </row>
        <row r="4336">
          <cell r="D4336">
            <v>841935</v>
          </cell>
          <cell r="E4336" t="str">
            <v>Dryers; for wood, paper pulp, paper or paperboard, not used for domestic purposes</v>
          </cell>
          <cell r="F4336">
            <v>0</v>
          </cell>
          <cell r="G4336">
            <v>0</v>
          </cell>
          <cell r="H4336">
            <v>0</v>
          </cell>
          <cell r="I4336" t="str">
            <v>Capital Goods</v>
          </cell>
          <cell r="J4336">
            <v>3</v>
          </cell>
          <cell r="K4336" t="str">
            <v>Capital Goods</v>
          </cell>
        </row>
        <row r="4337">
          <cell r="D4337">
            <v>841939</v>
          </cell>
          <cell r="E4337" t="str">
            <v>Dryers; for products n.e.c. in heading no. 8419, not used for domestic purposes</v>
          </cell>
          <cell r="F4337" t="str">
            <v>Capital Goods</v>
          </cell>
          <cell r="G4337">
            <v>0</v>
          </cell>
          <cell r="H4337" t="str">
            <v>Capital Goods</v>
          </cell>
          <cell r="I4337" t="str">
            <v>Capital Goods</v>
          </cell>
          <cell r="J4337">
            <v>1</v>
          </cell>
          <cell r="K4337" t="str">
            <v>Capital Goods</v>
          </cell>
        </row>
        <row r="4338">
          <cell r="D4338">
            <v>841940</v>
          </cell>
          <cell r="E4338" t="str">
            <v>Distilling or rectifying plant; not used for domestic purposes</v>
          </cell>
          <cell r="F4338" t="str">
            <v>Capital Goods</v>
          </cell>
          <cell r="G4338">
            <v>0</v>
          </cell>
          <cell r="H4338" t="str">
            <v>Capital Goods</v>
          </cell>
          <cell r="I4338" t="str">
            <v>Capital Goods</v>
          </cell>
          <cell r="J4338">
            <v>1</v>
          </cell>
          <cell r="K4338" t="str">
            <v>Capital Goods</v>
          </cell>
        </row>
        <row r="4339">
          <cell r="D4339">
            <v>854519</v>
          </cell>
          <cell r="E4339" t="str">
            <v>Carbon electrodes; with or without metal, of a kind used for other than furnaces</v>
          </cell>
          <cell r="F4339">
            <v>0</v>
          </cell>
          <cell r="G4339">
            <v>0</v>
          </cell>
          <cell r="H4339">
            <v>0</v>
          </cell>
          <cell r="I4339" t="str">
            <v>Parts &amp; Accessories</v>
          </cell>
          <cell r="J4339">
            <v>3</v>
          </cell>
          <cell r="K4339" t="str">
            <v>Parts &amp; Accessories</v>
          </cell>
        </row>
        <row r="4340">
          <cell r="D4340">
            <v>841960</v>
          </cell>
          <cell r="E4340" t="str">
            <v>Machinery; for liquefying air or gas, not used for domestic purposes</v>
          </cell>
          <cell r="F4340">
            <v>0</v>
          </cell>
          <cell r="G4340">
            <v>0</v>
          </cell>
          <cell r="H4340">
            <v>0</v>
          </cell>
          <cell r="I4340" t="str">
            <v>Capital Goods</v>
          </cell>
          <cell r="J4340">
            <v>3</v>
          </cell>
          <cell r="K4340" t="str">
            <v>Capital Goods</v>
          </cell>
        </row>
        <row r="4341">
          <cell r="D4341">
            <v>841981</v>
          </cell>
          <cell r="E4341" t="str">
            <v>Machinery, plant and equipment; for making hot drinks, for cooking or heating food</v>
          </cell>
          <cell r="F4341" t="str">
            <v>Capital Goods</v>
          </cell>
          <cell r="G4341">
            <v>0</v>
          </cell>
          <cell r="H4341" t="str">
            <v>Capital Goods</v>
          </cell>
          <cell r="I4341" t="str">
            <v>Capital Goods</v>
          </cell>
          <cell r="J4341">
            <v>1</v>
          </cell>
          <cell r="K4341" t="str">
            <v>Capital Goods - rc</v>
          </cell>
        </row>
        <row r="4342">
          <cell r="D4342">
            <v>841989</v>
          </cell>
          <cell r="E4342" t="str">
            <v>Machinery, plant and laboratory equipment; for treating materials by change of temperature, other than for making hot drinks or cooking or heating food</v>
          </cell>
          <cell r="F4342" t="str">
            <v>Capital Goods</v>
          </cell>
          <cell r="G4342">
            <v>0</v>
          </cell>
          <cell r="H4342" t="str">
            <v>Capital Goods</v>
          </cell>
          <cell r="I4342" t="str">
            <v>Capital Goods</v>
          </cell>
          <cell r="J4342">
            <v>1</v>
          </cell>
          <cell r="K4342" t="str">
            <v>Capital Goods</v>
          </cell>
        </row>
        <row r="4343">
          <cell r="D4343">
            <v>854420</v>
          </cell>
          <cell r="E4343" t="str">
            <v>Insulated electric conductors; co-axial cable and other co-axial electric conductors</v>
          </cell>
          <cell r="F4343" t="str">
            <v>Capital Goods</v>
          </cell>
          <cell r="G4343">
            <v>0</v>
          </cell>
          <cell r="H4343" t="str">
            <v>Parts &amp; Accessories</v>
          </cell>
          <cell r="I4343" t="str">
            <v>Others</v>
          </cell>
          <cell r="J4343">
            <v>1</v>
          </cell>
          <cell r="K4343" t="str">
            <v>Parts &amp; Accessories</v>
          </cell>
        </row>
        <row r="4344">
          <cell r="D4344">
            <v>842010</v>
          </cell>
          <cell r="E4344" t="str">
            <v>Machines; calendering or other rolling machines, for other than metal or glass</v>
          </cell>
          <cell r="F4344" t="str">
            <v>Capital Goods</v>
          </cell>
          <cell r="G4344">
            <v>0</v>
          </cell>
          <cell r="H4344" t="str">
            <v>Capital Goods</v>
          </cell>
          <cell r="I4344" t="str">
            <v>Capital Goods</v>
          </cell>
          <cell r="J4344">
            <v>1</v>
          </cell>
          <cell r="K4344" t="str">
            <v>Capital Goods</v>
          </cell>
        </row>
        <row r="4345">
          <cell r="D4345">
            <v>854460</v>
          </cell>
          <cell r="E4345" t="str">
            <v>Insulated electric conductors; for a voltage exceeding 1000 volts</v>
          </cell>
          <cell r="F4345" t="str">
            <v>Capital Goods</v>
          </cell>
          <cell r="G4345">
            <v>0</v>
          </cell>
          <cell r="H4345" t="str">
            <v>Parts &amp; Accessories</v>
          </cell>
          <cell r="I4345" t="str">
            <v>Others</v>
          </cell>
          <cell r="J4345">
            <v>1</v>
          </cell>
          <cell r="K4345" t="str">
            <v>Parts &amp; Accessories</v>
          </cell>
        </row>
        <row r="4346">
          <cell r="D4346">
            <v>854590</v>
          </cell>
          <cell r="E4346" t="str">
            <v>Carbon; lamp carbons, battery carbons and other articles of graphite or other carbon, with or without metal, of a kind used for electrical purposes</v>
          </cell>
          <cell r="F4346" t="str">
            <v>Capital Goods</v>
          </cell>
          <cell r="G4346">
            <v>0</v>
          </cell>
          <cell r="H4346" t="str">
            <v>Parts &amp; Accessories</v>
          </cell>
          <cell r="I4346" t="str">
            <v>Parts &amp; Accessories</v>
          </cell>
          <cell r="J4346">
            <v>1</v>
          </cell>
          <cell r="K4346" t="str">
            <v>Parts &amp; Accessories</v>
          </cell>
        </row>
        <row r="4347">
          <cell r="D4347">
            <v>842111</v>
          </cell>
          <cell r="E4347" t="str">
            <v>Centrifuges; cream separators</v>
          </cell>
          <cell r="F4347" t="str">
            <v>Capital Goods</v>
          </cell>
          <cell r="G4347">
            <v>0</v>
          </cell>
          <cell r="H4347" t="str">
            <v>Capital Goods</v>
          </cell>
          <cell r="I4347" t="str">
            <v>Capital Goods</v>
          </cell>
          <cell r="J4347">
            <v>1</v>
          </cell>
          <cell r="K4347" t="str">
            <v>Capital Goods</v>
          </cell>
        </row>
        <row r="4348">
          <cell r="D4348">
            <v>842112</v>
          </cell>
          <cell r="E4348" t="str">
            <v>Centrifuges; clothes-dryers</v>
          </cell>
          <cell r="F4348" t="str">
            <v>Capital Goods</v>
          </cell>
          <cell r="G4348">
            <v>0</v>
          </cell>
          <cell r="H4348" t="str">
            <v>Capital Goods</v>
          </cell>
          <cell r="I4348" t="str">
            <v>Capital Goods</v>
          </cell>
          <cell r="J4348">
            <v>1</v>
          </cell>
          <cell r="K4348" t="str">
            <v>Capital Goods</v>
          </cell>
        </row>
        <row r="4349">
          <cell r="D4349">
            <v>842119</v>
          </cell>
          <cell r="E4349" t="str">
            <v>Centrifuges; n.e.c. in heading no. 8421, including centrifugal dryers (but not clothes-dryers)</v>
          </cell>
          <cell r="F4349" t="str">
            <v>Capital Goods</v>
          </cell>
          <cell r="G4349">
            <v>0</v>
          </cell>
          <cell r="H4349" t="str">
            <v>Capital Goods</v>
          </cell>
          <cell r="I4349" t="str">
            <v>Capital Goods</v>
          </cell>
          <cell r="J4349">
            <v>1</v>
          </cell>
          <cell r="K4349" t="str">
            <v>Capital Goods</v>
          </cell>
        </row>
        <row r="4350">
          <cell r="D4350">
            <v>842121</v>
          </cell>
          <cell r="E4350" t="str">
            <v>Machinery; for filtering or purifying water</v>
          </cell>
          <cell r="F4350" t="str">
            <v>Capital Goods</v>
          </cell>
          <cell r="G4350">
            <v>0</v>
          </cell>
          <cell r="H4350" t="str">
            <v>Capital Goods</v>
          </cell>
          <cell r="I4350" t="str">
            <v>Capital Goods</v>
          </cell>
          <cell r="J4350">
            <v>1</v>
          </cell>
          <cell r="K4350" t="str">
            <v>Capital Goods - rc</v>
          </cell>
        </row>
        <row r="4351">
          <cell r="D4351">
            <v>842122</v>
          </cell>
          <cell r="E4351" t="str">
            <v>Machinery; for filtering or purifying beverages other than water</v>
          </cell>
          <cell r="F4351">
            <v>0</v>
          </cell>
          <cell r="G4351">
            <v>0</v>
          </cell>
          <cell r="H4351" t="str">
            <v>Capital Goods</v>
          </cell>
          <cell r="I4351" t="str">
            <v>Capital Goods</v>
          </cell>
          <cell r="J4351">
            <v>2</v>
          </cell>
          <cell r="K4351" t="str">
            <v>Capital Goods</v>
          </cell>
        </row>
        <row r="4352">
          <cell r="D4352">
            <v>842123</v>
          </cell>
          <cell r="E4352" t="str">
            <v>Machinery; filtering or purifying machinery, oil or petrol filters for internal combustion engines</v>
          </cell>
          <cell r="F4352" t="str">
            <v>Capital Goods</v>
          </cell>
          <cell r="G4352">
            <v>0</v>
          </cell>
          <cell r="H4352" t="str">
            <v>Capital Goods</v>
          </cell>
          <cell r="I4352" t="str">
            <v>Capital Goods</v>
          </cell>
          <cell r="J4352">
            <v>1</v>
          </cell>
          <cell r="K4352" t="str">
            <v>Capital Goods</v>
          </cell>
        </row>
        <row r="4353">
          <cell r="D4353">
            <v>842129</v>
          </cell>
          <cell r="E4353" t="str">
            <v>Machinery; for filtering or purifying liquids, n.e.c. in item no. 8421.2</v>
          </cell>
          <cell r="F4353" t="str">
            <v>Capital Goods</v>
          </cell>
          <cell r="G4353">
            <v>0</v>
          </cell>
          <cell r="H4353" t="str">
            <v>Capital Goods</v>
          </cell>
          <cell r="I4353" t="str">
            <v>Capital Goods</v>
          </cell>
          <cell r="J4353">
            <v>1</v>
          </cell>
          <cell r="K4353" t="str">
            <v>Capital Goods</v>
          </cell>
        </row>
        <row r="4354">
          <cell r="D4354">
            <v>842131</v>
          </cell>
          <cell r="E4354" t="str">
            <v>Machinery; intake air filters for internal combustion engines</v>
          </cell>
          <cell r="F4354" t="str">
            <v>Capital Goods</v>
          </cell>
          <cell r="G4354">
            <v>0</v>
          </cell>
          <cell r="H4354" t="str">
            <v>Capital Goods</v>
          </cell>
          <cell r="I4354" t="str">
            <v>Capital Goods</v>
          </cell>
          <cell r="J4354">
            <v>1</v>
          </cell>
          <cell r="K4354" t="str">
            <v>Capital Goods - rc</v>
          </cell>
        </row>
        <row r="4355">
          <cell r="D4355">
            <v>842132</v>
          </cell>
          <cell r="E4355" t="str">
            <v>Machinery; catalytic converters or particulate filters, whether or not combined, for purifying or filtering exhaust gases from internal combustion engines</v>
          </cell>
          <cell r="F4355" t="str">
            <v>Capital Goods</v>
          </cell>
          <cell r="G4355">
            <v>0</v>
          </cell>
          <cell r="H4355">
            <v>0</v>
          </cell>
          <cell r="I4355" t="str">
            <v>Capital Goods</v>
          </cell>
          <cell r="J4355">
            <v>2</v>
          </cell>
          <cell r="K4355" t="str">
            <v>Parts &amp; Accessories - rc</v>
          </cell>
        </row>
        <row r="4356">
          <cell r="D4356">
            <v>842139</v>
          </cell>
          <cell r="E4356" t="str">
            <v>Machinery; for filtering or purifying gases, other than intake air filters, catalytic converters or particulate filters for internal combustion engines</v>
          </cell>
          <cell r="F4356" t="str">
            <v>Capital Goods</v>
          </cell>
          <cell r="G4356">
            <v>0</v>
          </cell>
          <cell r="H4356" t="str">
            <v>Capital Goods</v>
          </cell>
          <cell r="I4356" t="str">
            <v>Capital Goods</v>
          </cell>
          <cell r="J4356">
            <v>1</v>
          </cell>
          <cell r="K4356" t="str">
            <v>Capital Goods</v>
          </cell>
        </row>
        <row r="4357">
          <cell r="D4357">
            <v>845490</v>
          </cell>
          <cell r="E4357" t="str">
            <v>Machines; parts of converters, ladles, ingot moulds and casting machines, of a kind used in metallurgy or in metal foundries</v>
          </cell>
          <cell r="F4357">
            <v>0</v>
          </cell>
          <cell r="G4357">
            <v>0</v>
          </cell>
          <cell r="H4357">
            <v>0</v>
          </cell>
          <cell r="I4357" t="str">
            <v>Parts &amp; Accessories</v>
          </cell>
          <cell r="J4357">
            <v>3</v>
          </cell>
          <cell r="K4357" t="str">
            <v>Parts &amp; Accessories</v>
          </cell>
        </row>
        <row r="4358">
          <cell r="D4358">
            <v>848250</v>
          </cell>
          <cell r="E4358" t="str">
            <v>Bearings; cylindrical roller bearings, including cage and roller assemblies n.e.c. in heading no. 8482</v>
          </cell>
          <cell r="F4358" t="str">
            <v>Capital Goods</v>
          </cell>
          <cell r="G4358">
            <v>0</v>
          </cell>
          <cell r="H4358" t="str">
            <v>Parts &amp; Accessories</v>
          </cell>
          <cell r="I4358" t="str">
            <v>Parts &amp; Accessories</v>
          </cell>
          <cell r="J4358">
            <v>1</v>
          </cell>
          <cell r="K4358" t="str">
            <v>Parts &amp; Accessories</v>
          </cell>
        </row>
        <row r="4359">
          <cell r="D4359">
            <v>842211</v>
          </cell>
          <cell r="E4359" t="str">
            <v>Dish washing machines; of the household type</v>
          </cell>
          <cell r="F4359" t="str">
            <v>Others</v>
          </cell>
          <cell r="G4359">
            <v>0</v>
          </cell>
          <cell r="H4359" t="str">
            <v>Capital Goods</v>
          </cell>
          <cell r="I4359" t="str">
            <v>Durable</v>
          </cell>
          <cell r="J4359">
            <v>1</v>
          </cell>
          <cell r="K4359" t="str">
            <v>Durable</v>
          </cell>
        </row>
        <row r="4360">
          <cell r="D4360">
            <v>842219</v>
          </cell>
          <cell r="E4360" t="str">
            <v>Dish washing machines; of other than household type</v>
          </cell>
          <cell r="F4360">
            <v>0</v>
          </cell>
          <cell r="G4360">
            <v>0</v>
          </cell>
          <cell r="H4360" t="str">
            <v>Capital Goods</v>
          </cell>
          <cell r="I4360" t="str">
            <v>Capital Goods</v>
          </cell>
          <cell r="J4360">
            <v>2</v>
          </cell>
          <cell r="K4360" t="str">
            <v>Capital Goods</v>
          </cell>
        </row>
        <row r="4361">
          <cell r="D4361">
            <v>842220</v>
          </cell>
          <cell r="E4361" t="str">
            <v>Machinery; for cleaning or drying bottles or other containers</v>
          </cell>
          <cell r="F4361" t="str">
            <v>Capital Goods</v>
          </cell>
          <cell r="G4361">
            <v>0</v>
          </cell>
          <cell r="H4361" t="str">
            <v>Capital Goods</v>
          </cell>
          <cell r="I4361" t="str">
            <v>Capital Goods</v>
          </cell>
          <cell r="J4361">
            <v>1</v>
          </cell>
          <cell r="K4361" t="str">
            <v>Capital Goods</v>
          </cell>
        </row>
        <row r="4362">
          <cell r="D4362">
            <v>842230</v>
          </cell>
          <cell r="E4362" t="str">
            <v>Machinery; for filling, closing, sealing, capsuling or labelling bottles, cans, bags or other containers, machinery for aerating beverages</v>
          </cell>
          <cell r="F4362" t="str">
            <v>Capital Goods</v>
          </cell>
          <cell r="G4362">
            <v>0</v>
          </cell>
          <cell r="H4362" t="str">
            <v>Capital Goods</v>
          </cell>
          <cell r="I4362" t="str">
            <v>Capital Goods</v>
          </cell>
          <cell r="J4362">
            <v>1</v>
          </cell>
          <cell r="K4362" t="str">
            <v>Capital Goods</v>
          </cell>
        </row>
        <row r="4363">
          <cell r="D4363">
            <v>842240</v>
          </cell>
          <cell r="E4363" t="str">
            <v>Machinery; for packing or wrapping</v>
          </cell>
          <cell r="F4363" t="str">
            <v>Capital Goods</v>
          </cell>
          <cell r="G4363">
            <v>0</v>
          </cell>
          <cell r="H4363" t="str">
            <v>Capital Goods</v>
          </cell>
          <cell r="I4363" t="str">
            <v>Capital Goods</v>
          </cell>
          <cell r="J4363">
            <v>1</v>
          </cell>
          <cell r="K4363" t="str">
            <v>Capital Goods</v>
          </cell>
        </row>
        <row r="4364">
          <cell r="D4364">
            <v>841410</v>
          </cell>
          <cell r="E4364" t="str">
            <v>Pumps; vacuum</v>
          </cell>
          <cell r="F4364" t="str">
            <v>Capital Goods</v>
          </cell>
          <cell r="G4364">
            <v>0</v>
          </cell>
          <cell r="H4364" t="str">
            <v>Capital Goods</v>
          </cell>
          <cell r="I4364" t="str">
            <v>Capital Goods</v>
          </cell>
          <cell r="J4364">
            <v>1</v>
          </cell>
          <cell r="K4364" t="str">
            <v>Parts &amp; Accessories</v>
          </cell>
        </row>
        <row r="4365">
          <cell r="D4365">
            <v>842310</v>
          </cell>
          <cell r="E4365" t="str">
            <v>Weighing machines; personal (including baby scales) and household scales</v>
          </cell>
          <cell r="F4365">
            <v>0</v>
          </cell>
          <cell r="G4365">
            <v>0</v>
          </cell>
          <cell r="H4365" t="str">
            <v>Parts &amp; Accessories</v>
          </cell>
          <cell r="I4365" t="str">
            <v>Others</v>
          </cell>
          <cell r="J4365">
            <v>2</v>
          </cell>
          <cell r="K4365" t="str">
            <v>Durable</v>
          </cell>
        </row>
        <row r="4366">
          <cell r="D4366">
            <v>842320</v>
          </cell>
          <cell r="E4366" t="str">
            <v>Weighing machines; scales for continuous weighing of goods on conveyors</v>
          </cell>
          <cell r="F4366">
            <v>0</v>
          </cell>
          <cell r="G4366">
            <v>0</v>
          </cell>
          <cell r="H4366">
            <v>0</v>
          </cell>
          <cell r="I4366" t="str">
            <v>Capital Goods</v>
          </cell>
          <cell r="J4366">
            <v>3</v>
          </cell>
          <cell r="K4366" t="str">
            <v>Capital Goods</v>
          </cell>
        </row>
        <row r="4367">
          <cell r="D4367">
            <v>842330</v>
          </cell>
          <cell r="E4367" t="str">
            <v>Weighing machines; constant weight scales and scales for discharging a predetermined weight of material into a bag or container, including hopper scales</v>
          </cell>
          <cell r="F4367" t="str">
            <v>Capital Goods</v>
          </cell>
          <cell r="G4367">
            <v>0</v>
          </cell>
          <cell r="H4367">
            <v>0</v>
          </cell>
          <cell r="I4367" t="str">
            <v>Capital Goods</v>
          </cell>
          <cell r="J4367">
            <v>2</v>
          </cell>
          <cell r="K4367" t="str">
            <v>Capital Goods</v>
          </cell>
        </row>
        <row r="4368">
          <cell r="D4368">
            <v>842381</v>
          </cell>
          <cell r="E4368" t="str">
            <v>Weighing machines; other than personal, conveyor or constant weight scales, having a maximum weighing capacity not exceeding 30kg (excluding balances of a sensitivity of 5cg or better)</v>
          </cell>
          <cell r="F4368" t="str">
            <v>Capital Goods</v>
          </cell>
          <cell r="G4368">
            <v>0</v>
          </cell>
          <cell r="H4368" t="str">
            <v>Others</v>
          </cell>
          <cell r="I4368" t="str">
            <v>Capital Goods</v>
          </cell>
          <cell r="J4368">
            <v>1</v>
          </cell>
          <cell r="K4368" t="str">
            <v>Capital Goods</v>
          </cell>
        </row>
        <row r="4369">
          <cell r="D4369">
            <v>842382</v>
          </cell>
          <cell r="E4369" t="str">
            <v>Weighing machines; other than personal, conveyor or constant weight scales, having a maximum weighing capacity exceeding 30kg but not exceeding 5000kg</v>
          </cell>
          <cell r="F4369" t="str">
            <v>Capital Goods</v>
          </cell>
          <cell r="G4369">
            <v>0</v>
          </cell>
          <cell r="H4369" t="str">
            <v>Capital Goods</v>
          </cell>
          <cell r="I4369" t="str">
            <v>Capital Goods</v>
          </cell>
          <cell r="J4369">
            <v>1</v>
          </cell>
          <cell r="K4369" t="str">
            <v>Capital Goods</v>
          </cell>
        </row>
        <row r="4370">
          <cell r="D4370">
            <v>842389</v>
          </cell>
          <cell r="E4370" t="str">
            <v>Weighing machines; other than personal, conveyor or constant weight scales, having a maximum weighing capacity exceeding 5000kg</v>
          </cell>
          <cell r="F4370" t="str">
            <v>Capital Goods</v>
          </cell>
          <cell r="G4370">
            <v>0</v>
          </cell>
          <cell r="H4370" t="str">
            <v>Capital Goods</v>
          </cell>
          <cell r="I4370" t="str">
            <v>Capital Goods</v>
          </cell>
          <cell r="J4370">
            <v>1</v>
          </cell>
          <cell r="K4370" t="str">
            <v>Capital Goods</v>
          </cell>
        </row>
        <row r="4371">
          <cell r="D4371">
            <v>842390</v>
          </cell>
          <cell r="E4371" t="str">
            <v>Weighing machines; weights of all kinds, parts of weighing machinery</v>
          </cell>
          <cell r="F4371" t="str">
            <v>Capital Goods</v>
          </cell>
          <cell r="G4371">
            <v>0</v>
          </cell>
          <cell r="H4371" t="str">
            <v>Capital Goods</v>
          </cell>
          <cell r="I4371" t="str">
            <v>Parts &amp; Accessories</v>
          </cell>
          <cell r="J4371">
            <v>1</v>
          </cell>
          <cell r="K4371" t="str">
            <v>Capital Goods</v>
          </cell>
        </row>
        <row r="4372">
          <cell r="D4372">
            <v>842410</v>
          </cell>
          <cell r="E4372" t="str">
            <v>Fire extinguishers; whether or not charged</v>
          </cell>
          <cell r="F4372">
            <v>0</v>
          </cell>
          <cell r="G4372">
            <v>0</v>
          </cell>
          <cell r="H4372" t="str">
            <v>Others</v>
          </cell>
          <cell r="I4372" t="str">
            <v>Others</v>
          </cell>
          <cell r="J4372">
            <v>2</v>
          </cell>
          <cell r="K4372" t="str">
            <v>Others</v>
          </cell>
        </row>
        <row r="4373">
          <cell r="D4373">
            <v>842420</v>
          </cell>
          <cell r="E4373" t="str">
            <v>Spray guns and similar appliances</v>
          </cell>
          <cell r="F4373" t="str">
            <v>Capital Goods</v>
          </cell>
          <cell r="G4373">
            <v>0</v>
          </cell>
          <cell r="H4373" t="str">
            <v>Capital Goods</v>
          </cell>
          <cell r="I4373" t="str">
            <v>Capital Goods</v>
          </cell>
          <cell r="J4373">
            <v>1</v>
          </cell>
          <cell r="K4373" t="str">
            <v>Capital Goods</v>
          </cell>
        </row>
        <row r="4374">
          <cell r="D4374">
            <v>842430</v>
          </cell>
          <cell r="E4374" t="str">
            <v>Mechanical appliances; steam or sand blasting machines and similar jet projecting machines</v>
          </cell>
          <cell r="F4374" t="str">
            <v>Capital Goods</v>
          </cell>
          <cell r="G4374">
            <v>0</v>
          </cell>
          <cell r="H4374" t="str">
            <v>Capital Goods</v>
          </cell>
          <cell r="I4374" t="str">
            <v>Capital Goods</v>
          </cell>
          <cell r="J4374">
            <v>1</v>
          </cell>
          <cell r="K4374" t="str">
            <v>Capital Goods</v>
          </cell>
        </row>
        <row r="4375">
          <cell r="D4375">
            <v>842441</v>
          </cell>
          <cell r="E4375" t="str">
            <v>Mechanical appliances; agricultural or horticultural sprayers; portable sprayers</v>
          </cell>
          <cell r="F4375">
            <v>0</v>
          </cell>
          <cell r="G4375">
            <v>0</v>
          </cell>
          <cell r="H4375">
            <v>0</v>
          </cell>
          <cell r="I4375" t="str">
            <v>Capital Goods</v>
          </cell>
          <cell r="J4375">
            <v>3</v>
          </cell>
          <cell r="K4375" t="str">
            <v>Capital Goods</v>
          </cell>
        </row>
        <row r="4376">
          <cell r="D4376">
            <v>842449</v>
          </cell>
          <cell r="E4376" t="str">
            <v>Mechanical appliances; agricultural or horticultural sprayers; other than portable sprayers</v>
          </cell>
          <cell r="F4376" t="str">
            <v>Capital Goods</v>
          </cell>
          <cell r="G4376">
            <v>0</v>
          </cell>
          <cell r="H4376">
            <v>0</v>
          </cell>
          <cell r="I4376" t="str">
            <v>Capital Goods</v>
          </cell>
          <cell r="J4376">
            <v>2</v>
          </cell>
          <cell r="K4376" t="str">
            <v>Capital Goods</v>
          </cell>
        </row>
        <row r="4377">
          <cell r="D4377">
            <v>842481</v>
          </cell>
          <cell r="E4377" t="str">
            <v>Weighing machine weights of all kinds; parts of weighing machinery</v>
          </cell>
          <cell r="F4377">
            <v>0</v>
          </cell>
          <cell r="G4377">
            <v>0</v>
          </cell>
          <cell r="H4377" t="str">
            <v>Capital Goods</v>
          </cell>
          <cell r="I4377">
            <v>0</v>
          </cell>
          <cell r="J4377">
            <v>3</v>
          </cell>
          <cell r="K4377" t="str">
            <v>Capital Goods</v>
          </cell>
        </row>
        <row r="4378">
          <cell r="D4378">
            <v>842482</v>
          </cell>
          <cell r="E4378" t="str">
            <v>Mechanical appliances; agricultural or horticultural, n.e.c. in heading 8424</v>
          </cell>
          <cell r="F4378">
            <v>0</v>
          </cell>
          <cell r="G4378">
            <v>0</v>
          </cell>
          <cell r="H4378">
            <v>0</v>
          </cell>
          <cell r="I4378" t="str">
            <v>Capital Goods</v>
          </cell>
          <cell r="J4378">
            <v>3</v>
          </cell>
          <cell r="K4378" t="str">
            <v>Capital Goods</v>
          </cell>
        </row>
        <row r="4379">
          <cell r="D4379">
            <v>842489</v>
          </cell>
          <cell r="E4379" t="str">
            <v>Mechanical appliances; for projecting, dispersing or spraying liquids or powders, for other than agricultural or horticultural use, whether or not hand-operated</v>
          </cell>
          <cell r="F4379" t="str">
            <v>Capital Goods</v>
          </cell>
          <cell r="G4379">
            <v>0</v>
          </cell>
          <cell r="H4379" t="str">
            <v>Capital Goods</v>
          </cell>
          <cell r="I4379" t="str">
            <v>Capital Goods</v>
          </cell>
          <cell r="J4379">
            <v>1</v>
          </cell>
          <cell r="K4379" t="str">
            <v>Capital Goods</v>
          </cell>
        </row>
        <row r="4380">
          <cell r="D4380">
            <v>846694</v>
          </cell>
          <cell r="E4380" t="str">
            <v>Machine-tools; parts and accessories, for the machines of heading no. 8462 or 8463, n.e.c. in heading no. 8466</v>
          </cell>
          <cell r="F4380" t="str">
            <v>Parts &amp; Accessories</v>
          </cell>
          <cell r="G4380">
            <v>0</v>
          </cell>
          <cell r="H4380">
            <v>0</v>
          </cell>
          <cell r="I4380" t="str">
            <v>Parts &amp; Accessories</v>
          </cell>
          <cell r="J4380">
            <v>2</v>
          </cell>
          <cell r="K4380" t="str">
            <v>Parts &amp; Accessories</v>
          </cell>
        </row>
        <row r="4381">
          <cell r="D4381">
            <v>842511</v>
          </cell>
          <cell r="E4381" t="str">
            <v>Pulley tackle and hoists; powered by an electric motor (excluding skip hoists or hoists of a kind used for raising vehicles)</v>
          </cell>
          <cell r="F4381" t="str">
            <v>Capital Goods</v>
          </cell>
          <cell r="G4381" t="str">
            <v>Capital Goods</v>
          </cell>
          <cell r="H4381" t="str">
            <v>Capital Goods</v>
          </cell>
          <cell r="I4381" t="str">
            <v>Capital Goods</v>
          </cell>
          <cell r="J4381">
            <v>0</v>
          </cell>
          <cell r="K4381" t="str">
            <v>Capital Goods</v>
          </cell>
        </row>
        <row r="4382">
          <cell r="D4382">
            <v>842519</v>
          </cell>
          <cell r="E4382" t="str">
            <v>Pulley tackle and hoists; not powered by an electric motor (excluding skip hoists or hoists of a kind used for raising vehicles)</v>
          </cell>
          <cell r="F4382">
            <v>0</v>
          </cell>
          <cell r="G4382" t="str">
            <v>Capital Goods</v>
          </cell>
          <cell r="H4382" t="str">
            <v>Capital Goods</v>
          </cell>
          <cell r="I4382" t="str">
            <v>Capital Goods</v>
          </cell>
          <cell r="J4382">
            <v>1</v>
          </cell>
          <cell r="K4382" t="str">
            <v>Capital Goods</v>
          </cell>
        </row>
        <row r="4383">
          <cell r="D4383">
            <v>842531</v>
          </cell>
          <cell r="E4383" t="str">
            <v>Winches; capstans; powered by an electric motor</v>
          </cell>
          <cell r="F4383">
            <v>0</v>
          </cell>
          <cell r="G4383" t="str">
            <v>Capital Goods</v>
          </cell>
          <cell r="H4383" t="str">
            <v>Capital Goods</v>
          </cell>
          <cell r="I4383" t="str">
            <v>Capital Goods</v>
          </cell>
          <cell r="J4383">
            <v>1</v>
          </cell>
          <cell r="K4383" t="str">
            <v>Capital Goods</v>
          </cell>
        </row>
        <row r="4384">
          <cell r="D4384">
            <v>842539</v>
          </cell>
          <cell r="E4384" t="str">
            <v>Winches; capstans; not powered by an electric motor</v>
          </cell>
          <cell r="F4384">
            <v>0</v>
          </cell>
          <cell r="G4384" t="str">
            <v>Capital Goods</v>
          </cell>
          <cell r="H4384" t="str">
            <v>Capital Goods</v>
          </cell>
          <cell r="I4384" t="str">
            <v>Capital Goods</v>
          </cell>
          <cell r="J4384">
            <v>1</v>
          </cell>
          <cell r="K4384" t="str">
            <v>Capital Goods</v>
          </cell>
        </row>
        <row r="4385">
          <cell r="D4385">
            <v>842541</v>
          </cell>
          <cell r="E4385" t="str">
            <v>Jacks; built-in jacking systems of a type used in garages, for raising vehicles</v>
          </cell>
          <cell r="F4385">
            <v>0</v>
          </cell>
          <cell r="G4385" t="str">
            <v>Capital Goods</v>
          </cell>
          <cell r="H4385" t="str">
            <v>Capital Goods</v>
          </cell>
          <cell r="I4385" t="str">
            <v>Capital Goods</v>
          </cell>
          <cell r="J4385">
            <v>1</v>
          </cell>
          <cell r="K4385" t="str">
            <v>Capital Goods - rc</v>
          </cell>
        </row>
        <row r="4386">
          <cell r="D4386">
            <v>842542</v>
          </cell>
          <cell r="E4386" t="str">
            <v>Jacks and hoists; hydraulic, of a kind used for raising vehicles</v>
          </cell>
          <cell r="F4386" t="str">
            <v>Capital Goods</v>
          </cell>
          <cell r="G4386" t="str">
            <v>Capital Goods</v>
          </cell>
          <cell r="H4386">
            <v>0</v>
          </cell>
          <cell r="I4386" t="str">
            <v>Capital Goods</v>
          </cell>
          <cell r="J4386">
            <v>1</v>
          </cell>
          <cell r="K4386" t="str">
            <v>Capital Goods - rc</v>
          </cell>
        </row>
        <row r="4387">
          <cell r="D4387">
            <v>842549</v>
          </cell>
          <cell r="E4387" t="str">
            <v>Jacks and hoists; (other than hydraulic), of a kind used for raising vehicles</v>
          </cell>
          <cell r="F4387" t="str">
            <v>Capital Goods</v>
          </cell>
          <cell r="G4387" t="str">
            <v>Capital Goods</v>
          </cell>
          <cell r="H4387">
            <v>0</v>
          </cell>
          <cell r="I4387" t="str">
            <v>Capital Goods</v>
          </cell>
          <cell r="J4387">
            <v>1</v>
          </cell>
          <cell r="K4387" t="str">
            <v>Capital Goods - rc</v>
          </cell>
        </row>
        <row r="4388">
          <cell r="D4388">
            <v>842611</v>
          </cell>
          <cell r="E4388" t="str">
            <v>Cranes; overhead travelling cranes on fixed support</v>
          </cell>
          <cell r="F4388">
            <v>0</v>
          </cell>
          <cell r="G4388">
            <v>0</v>
          </cell>
          <cell r="H4388" t="str">
            <v>Capital Goods</v>
          </cell>
          <cell r="I4388" t="str">
            <v>Capital Goods</v>
          </cell>
          <cell r="J4388">
            <v>2</v>
          </cell>
          <cell r="K4388" t="str">
            <v>Capital Goods</v>
          </cell>
        </row>
        <row r="4389">
          <cell r="D4389">
            <v>842612</v>
          </cell>
          <cell r="E4389" t="str">
            <v>Cranes; mobile lifting frames on tyres and straddle carriers</v>
          </cell>
          <cell r="F4389">
            <v>0</v>
          </cell>
          <cell r="G4389">
            <v>0</v>
          </cell>
          <cell r="H4389" t="str">
            <v>Capital Goods</v>
          </cell>
          <cell r="I4389" t="str">
            <v>Capital Goods</v>
          </cell>
          <cell r="J4389">
            <v>2</v>
          </cell>
          <cell r="K4389" t="str">
            <v>Capital Goods</v>
          </cell>
        </row>
        <row r="4390">
          <cell r="D4390">
            <v>842619</v>
          </cell>
          <cell r="E4390" t="str">
            <v>Cranes; transporter, gantry and bridge cranes</v>
          </cell>
          <cell r="F4390" t="str">
            <v>Capital Goods</v>
          </cell>
          <cell r="G4390">
            <v>0</v>
          </cell>
          <cell r="H4390" t="str">
            <v>Capital Goods</v>
          </cell>
          <cell r="I4390" t="str">
            <v>Capital Goods</v>
          </cell>
          <cell r="J4390">
            <v>1</v>
          </cell>
          <cell r="K4390" t="str">
            <v>Capital Goods</v>
          </cell>
        </row>
        <row r="4391">
          <cell r="D4391">
            <v>842620</v>
          </cell>
          <cell r="E4391" t="str">
            <v>Cranes; tower cranes</v>
          </cell>
          <cell r="F4391">
            <v>0</v>
          </cell>
          <cell r="G4391">
            <v>0</v>
          </cell>
          <cell r="H4391">
            <v>0</v>
          </cell>
          <cell r="I4391" t="str">
            <v>Capital Goods</v>
          </cell>
          <cell r="J4391">
            <v>3</v>
          </cell>
          <cell r="K4391" t="str">
            <v>Capital Goods</v>
          </cell>
        </row>
        <row r="4392">
          <cell r="D4392">
            <v>842630</v>
          </cell>
          <cell r="E4392" t="str">
            <v>Cranes; portal or pedestal jib cranes</v>
          </cell>
          <cell r="F4392">
            <v>0</v>
          </cell>
          <cell r="G4392">
            <v>0</v>
          </cell>
          <cell r="H4392">
            <v>0</v>
          </cell>
          <cell r="I4392" t="str">
            <v>Capital Goods</v>
          </cell>
          <cell r="J4392">
            <v>3</v>
          </cell>
          <cell r="K4392" t="str">
            <v>Capital Goods</v>
          </cell>
        </row>
        <row r="4393">
          <cell r="D4393">
            <v>842641</v>
          </cell>
          <cell r="E4393" t="str">
            <v>Cranes; self-propelled derricks and cranes, on tyres, n.e.c. in heading no. 8426</v>
          </cell>
          <cell r="F4393">
            <v>0</v>
          </cell>
          <cell r="G4393">
            <v>0</v>
          </cell>
          <cell r="H4393" t="str">
            <v>Capital Goods</v>
          </cell>
          <cell r="I4393" t="str">
            <v>Capital Goods</v>
          </cell>
          <cell r="J4393">
            <v>2</v>
          </cell>
          <cell r="K4393" t="str">
            <v>Capital Goods</v>
          </cell>
        </row>
        <row r="4394">
          <cell r="D4394">
            <v>842649</v>
          </cell>
          <cell r="E4394" t="str">
            <v>Cranes; self-propelled derricks and cranes, not on tyres, n.e.c. in heading no. 8426</v>
          </cell>
          <cell r="F4394">
            <v>0</v>
          </cell>
          <cell r="G4394">
            <v>0</v>
          </cell>
          <cell r="H4394" t="str">
            <v>Capital Goods</v>
          </cell>
          <cell r="I4394" t="str">
            <v>Capital Goods</v>
          </cell>
          <cell r="J4394">
            <v>2</v>
          </cell>
          <cell r="K4394" t="str">
            <v>Capital Goods</v>
          </cell>
        </row>
        <row r="4395">
          <cell r="D4395">
            <v>842691</v>
          </cell>
          <cell r="E4395" t="str">
            <v>Cranes and derricks; designed for mounting on road vehicles</v>
          </cell>
          <cell r="F4395">
            <v>0</v>
          </cell>
          <cell r="G4395">
            <v>0</v>
          </cell>
          <cell r="H4395" t="str">
            <v>Capital Goods</v>
          </cell>
          <cell r="I4395" t="str">
            <v>Capital Goods</v>
          </cell>
          <cell r="J4395">
            <v>2</v>
          </cell>
          <cell r="K4395" t="str">
            <v>Capital Goods</v>
          </cell>
        </row>
        <row r="4396">
          <cell r="D4396">
            <v>842699</v>
          </cell>
          <cell r="E4396" t="str">
            <v>Cranes and derricks; for other than mounting on road vehicles, n.e.c. in heading no. 8426</v>
          </cell>
          <cell r="F4396">
            <v>0</v>
          </cell>
          <cell r="G4396">
            <v>0</v>
          </cell>
          <cell r="H4396" t="str">
            <v>Capital Goods</v>
          </cell>
          <cell r="I4396" t="str">
            <v>Capital Goods</v>
          </cell>
          <cell r="J4396">
            <v>2</v>
          </cell>
          <cell r="K4396" t="str">
            <v>Capital Goods</v>
          </cell>
        </row>
        <row r="4397">
          <cell r="D4397">
            <v>842710</v>
          </cell>
          <cell r="E4397" t="str">
            <v>Fork-lift and other works trucks; fitted with lifting or handling equipment, self-propelled by electric motor</v>
          </cell>
          <cell r="F4397" t="str">
            <v>Capital Goods</v>
          </cell>
          <cell r="G4397">
            <v>0</v>
          </cell>
          <cell r="H4397" t="str">
            <v>Capital Goods</v>
          </cell>
          <cell r="I4397" t="str">
            <v>Capital Goods</v>
          </cell>
          <cell r="J4397">
            <v>1</v>
          </cell>
          <cell r="K4397" t="str">
            <v>Capital Goods</v>
          </cell>
        </row>
        <row r="4398">
          <cell r="D4398">
            <v>842720</v>
          </cell>
          <cell r="E4398" t="str">
            <v>Fork-lift and other works trucks; fitted with lifting or handling equipment, self-propelled by other than electric motor</v>
          </cell>
          <cell r="F4398">
            <v>0</v>
          </cell>
          <cell r="G4398">
            <v>0</v>
          </cell>
          <cell r="H4398" t="str">
            <v>Capital Goods</v>
          </cell>
          <cell r="I4398" t="str">
            <v>Capital Goods</v>
          </cell>
          <cell r="J4398">
            <v>2</v>
          </cell>
          <cell r="K4398" t="str">
            <v>Capital Goods</v>
          </cell>
        </row>
        <row r="4399">
          <cell r="D4399">
            <v>842790</v>
          </cell>
          <cell r="E4399" t="str">
            <v>Fork-lift and other works trucks; fitted with lifting or handling equipment, not self-propelled</v>
          </cell>
          <cell r="F4399" t="str">
            <v>Capital Goods</v>
          </cell>
          <cell r="G4399">
            <v>0</v>
          </cell>
          <cell r="H4399" t="str">
            <v>Capital Goods</v>
          </cell>
          <cell r="I4399" t="str">
            <v>Capital Goods</v>
          </cell>
          <cell r="J4399">
            <v>1</v>
          </cell>
          <cell r="K4399" t="str">
            <v>Capital Goods</v>
          </cell>
        </row>
        <row r="4400">
          <cell r="D4400">
            <v>842810</v>
          </cell>
          <cell r="E4400" t="str">
            <v>Lifts and skip hoists</v>
          </cell>
          <cell r="F4400" t="str">
            <v>Capital Goods</v>
          </cell>
          <cell r="G4400">
            <v>0</v>
          </cell>
          <cell r="H4400" t="str">
            <v>Capital Goods</v>
          </cell>
          <cell r="I4400" t="str">
            <v>Capital Goods</v>
          </cell>
          <cell r="J4400">
            <v>1</v>
          </cell>
          <cell r="K4400" t="str">
            <v>Capital Goods</v>
          </cell>
        </row>
        <row r="4401">
          <cell r="D4401">
            <v>842820</v>
          </cell>
          <cell r="E4401" t="str">
            <v>Elevators and conveyors; pneumatic</v>
          </cell>
          <cell r="F4401" t="str">
            <v>Capital Goods</v>
          </cell>
          <cell r="G4401">
            <v>0</v>
          </cell>
          <cell r="H4401" t="str">
            <v>Capital Goods</v>
          </cell>
          <cell r="I4401" t="str">
            <v>Capital Goods</v>
          </cell>
          <cell r="J4401">
            <v>1</v>
          </cell>
          <cell r="K4401" t="str">
            <v>Capital Goods</v>
          </cell>
        </row>
        <row r="4402">
          <cell r="D4402">
            <v>842831</v>
          </cell>
          <cell r="E4402" t="str">
            <v>Elevators and conveyors; continuous-action, for goods and materials, specially designed for underground use, n.e.c. in item no. 8428.20</v>
          </cell>
          <cell r="F4402">
            <v>0</v>
          </cell>
          <cell r="G4402">
            <v>0</v>
          </cell>
          <cell r="H4402" t="str">
            <v>Capital Goods</v>
          </cell>
          <cell r="I4402" t="str">
            <v>Capital Goods</v>
          </cell>
          <cell r="J4402">
            <v>2</v>
          </cell>
          <cell r="K4402" t="str">
            <v>Capital Goods</v>
          </cell>
        </row>
        <row r="4403">
          <cell r="D4403">
            <v>842832</v>
          </cell>
          <cell r="E4403" t="str">
            <v>Elevators and conveyors; continuous-action, for goods or materials, bucket type, n.e.c. in item no. 8428.20 or 8428.31</v>
          </cell>
          <cell r="F4403">
            <v>0</v>
          </cell>
          <cell r="G4403">
            <v>0</v>
          </cell>
          <cell r="H4403" t="str">
            <v>Capital Goods</v>
          </cell>
          <cell r="I4403" t="str">
            <v>Capital Goods</v>
          </cell>
          <cell r="J4403">
            <v>2</v>
          </cell>
          <cell r="K4403" t="str">
            <v>Capital Goods</v>
          </cell>
        </row>
        <row r="4404">
          <cell r="D4404">
            <v>842833</v>
          </cell>
          <cell r="E4404" t="str">
            <v>Elevators and conveyors; continuous-action, for goods or materials, belt type, n.e.c. in item no. 8428.20 or 8428.31</v>
          </cell>
          <cell r="F4404" t="str">
            <v>Capital Goods</v>
          </cell>
          <cell r="G4404">
            <v>0</v>
          </cell>
          <cell r="H4404" t="str">
            <v>Capital Goods</v>
          </cell>
          <cell r="I4404" t="str">
            <v>Capital Goods</v>
          </cell>
          <cell r="J4404">
            <v>1</v>
          </cell>
          <cell r="K4404" t="str">
            <v>Capital Goods</v>
          </cell>
        </row>
        <row r="4405">
          <cell r="D4405">
            <v>842839</v>
          </cell>
          <cell r="E4405" t="str">
            <v>Elevators and conveyors; continuous-action, for goods or materials, n.e.c. in item no. 8428.20, 8428.31, 8428.32 or 8428.33</v>
          </cell>
          <cell r="F4405" t="str">
            <v>Capital Goods</v>
          </cell>
          <cell r="G4405">
            <v>0</v>
          </cell>
          <cell r="H4405" t="str">
            <v>Capital Goods</v>
          </cell>
          <cell r="I4405" t="str">
            <v>Capital Goods</v>
          </cell>
          <cell r="J4405">
            <v>1</v>
          </cell>
          <cell r="K4405" t="str">
            <v>Capital Goods</v>
          </cell>
        </row>
        <row r="4406">
          <cell r="D4406">
            <v>842840</v>
          </cell>
          <cell r="E4406" t="str">
            <v>Escalators and moving walkways</v>
          </cell>
          <cell r="F4406">
            <v>0</v>
          </cell>
          <cell r="G4406">
            <v>0</v>
          </cell>
          <cell r="H4406" t="str">
            <v>Capital Goods</v>
          </cell>
          <cell r="I4406" t="str">
            <v>Capital Goods</v>
          </cell>
          <cell r="J4406">
            <v>2</v>
          </cell>
          <cell r="K4406" t="str">
            <v>Capital Goods</v>
          </cell>
        </row>
        <row r="4407">
          <cell r="D4407">
            <v>842850</v>
          </cell>
          <cell r="E4407" t="str">
            <v>Teleferics, chair-lifts, ski-lifts</v>
          </cell>
          <cell r="F4407">
            <v>0</v>
          </cell>
          <cell r="G4407">
            <v>0</v>
          </cell>
          <cell r="H4407" t="str">
            <v>Others</v>
          </cell>
          <cell r="I4407">
            <v>0</v>
          </cell>
          <cell r="J4407">
            <v>3</v>
          </cell>
          <cell r="K4407" t="str">
            <v>Others</v>
          </cell>
        </row>
        <row r="4408">
          <cell r="D4408">
            <v>842860</v>
          </cell>
          <cell r="E4408" t="str">
            <v>Teleferics, chair-lifts, ski-draglines, traction mechanisms for funiculars</v>
          </cell>
          <cell r="F4408">
            <v>0</v>
          </cell>
          <cell r="G4408">
            <v>0</v>
          </cell>
          <cell r="H4408" t="str">
            <v>Others</v>
          </cell>
          <cell r="I4408" t="str">
            <v>Others</v>
          </cell>
          <cell r="J4408">
            <v>2</v>
          </cell>
          <cell r="K4408" t="str">
            <v>Others</v>
          </cell>
        </row>
        <row r="4409">
          <cell r="D4409">
            <v>842870</v>
          </cell>
          <cell r="E4409" t="str">
            <v>Industrial robots</v>
          </cell>
          <cell r="F4409" t="str">
            <v>Capital Goods</v>
          </cell>
          <cell r="G4409">
            <v>0</v>
          </cell>
          <cell r="H4409">
            <v>0</v>
          </cell>
          <cell r="I4409" t="str">
            <v>Capital Goods</v>
          </cell>
          <cell r="J4409">
            <v>2</v>
          </cell>
          <cell r="K4409" t="str">
            <v>Capital Goods</v>
          </cell>
        </row>
        <row r="4410">
          <cell r="D4410">
            <v>842890</v>
          </cell>
          <cell r="E4410" t="str">
            <v>Lifting, handling, loading or unloading machinery; n.e.c. in heading no. 8425, 8426, 8427 or 8428</v>
          </cell>
          <cell r="F4410" t="str">
            <v>Capital Goods</v>
          </cell>
          <cell r="G4410">
            <v>0</v>
          </cell>
          <cell r="H4410" t="str">
            <v>Capital Goods</v>
          </cell>
          <cell r="I4410" t="str">
            <v>Capital Goods</v>
          </cell>
          <cell r="J4410">
            <v>1</v>
          </cell>
          <cell r="K4410" t="str">
            <v>Capital Goods</v>
          </cell>
        </row>
        <row r="4411">
          <cell r="D4411">
            <v>842911</v>
          </cell>
          <cell r="E4411" t="str">
            <v>Bulldozers and angledozers; self-propelled, track laying</v>
          </cell>
          <cell r="F4411">
            <v>0</v>
          </cell>
          <cell r="G4411">
            <v>0</v>
          </cell>
          <cell r="H4411" t="str">
            <v>Capital Goods</v>
          </cell>
          <cell r="I4411" t="str">
            <v>Capital Goods</v>
          </cell>
          <cell r="J4411">
            <v>2</v>
          </cell>
          <cell r="K4411" t="str">
            <v>Capital Goods</v>
          </cell>
        </row>
        <row r="4412">
          <cell r="D4412">
            <v>842919</v>
          </cell>
          <cell r="E4412" t="str">
            <v>Bulldozers and angledozers; self-propelled, other than track laying</v>
          </cell>
          <cell r="F4412">
            <v>0</v>
          </cell>
          <cell r="G4412">
            <v>0</v>
          </cell>
          <cell r="H4412" t="str">
            <v>Capital Goods</v>
          </cell>
          <cell r="I4412" t="str">
            <v>Capital Goods</v>
          </cell>
          <cell r="J4412">
            <v>2</v>
          </cell>
          <cell r="K4412" t="str">
            <v>Capital Goods</v>
          </cell>
        </row>
        <row r="4413">
          <cell r="D4413">
            <v>842920</v>
          </cell>
          <cell r="E4413" t="str">
            <v>Graders and levellers</v>
          </cell>
          <cell r="F4413">
            <v>0</v>
          </cell>
          <cell r="G4413">
            <v>0</v>
          </cell>
          <cell r="H4413" t="str">
            <v>Capital Goods</v>
          </cell>
          <cell r="I4413" t="str">
            <v>Capital Goods</v>
          </cell>
          <cell r="J4413">
            <v>2</v>
          </cell>
          <cell r="K4413" t="str">
            <v>Capital Goods</v>
          </cell>
        </row>
        <row r="4414">
          <cell r="D4414">
            <v>842930</v>
          </cell>
          <cell r="E4414" t="str">
            <v>Scrapers; self-propelled</v>
          </cell>
          <cell r="F4414">
            <v>0</v>
          </cell>
          <cell r="G4414">
            <v>0</v>
          </cell>
          <cell r="H4414" t="str">
            <v>Capital Goods</v>
          </cell>
          <cell r="I4414" t="str">
            <v>Capital Goods</v>
          </cell>
          <cell r="J4414">
            <v>2</v>
          </cell>
          <cell r="K4414" t="str">
            <v>Capital Goods</v>
          </cell>
        </row>
        <row r="4415">
          <cell r="D4415">
            <v>842940</v>
          </cell>
          <cell r="E4415" t="str">
            <v>Tamping machines and road rollers; self-propelled</v>
          </cell>
          <cell r="F4415">
            <v>0</v>
          </cell>
          <cell r="G4415">
            <v>0</v>
          </cell>
          <cell r="H4415" t="str">
            <v>Capital Goods</v>
          </cell>
          <cell r="I4415" t="str">
            <v>Capital Goods</v>
          </cell>
          <cell r="J4415">
            <v>2</v>
          </cell>
          <cell r="K4415" t="str">
            <v>Capital Goods</v>
          </cell>
        </row>
        <row r="4416">
          <cell r="D4416">
            <v>842951</v>
          </cell>
          <cell r="E4416" t="str">
            <v>Front-end shovel loaders</v>
          </cell>
          <cell r="F4416">
            <v>0</v>
          </cell>
          <cell r="G4416">
            <v>0</v>
          </cell>
          <cell r="H4416" t="str">
            <v>Capital Goods</v>
          </cell>
          <cell r="I4416" t="str">
            <v>Capital Goods</v>
          </cell>
          <cell r="J4416">
            <v>2</v>
          </cell>
          <cell r="K4416" t="str">
            <v>Capital Goods</v>
          </cell>
        </row>
        <row r="4417">
          <cell r="D4417">
            <v>842952</v>
          </cell>
          <cell r="E4417" t="str">
            <v>Mechanical shovels, excavators and shovel loaders; with a 360 degree revolving super structure</v>
          </cell>
          <cell r="F4417">
            <v>0</v>
          </cell>
          <cell r="G4417">
            <v>0</v>
          </cell>
          <cell r="H4417" t="str">
            <v>Capital Goods</v>
          </cell>
          <cell r="I4417" t="str">
            <v>Capital Goods</v>
          </cell>
          <cell r="J4417">
            <v>2</v>
          </cell>
          <cell r="K4417" t="str">
            <v>Capital Goods</v>
          </cell>
        </row>
        <row r="4418">
          <cell r="D4418">
            <v>842959</v>
          </cell>
          <cell r="E4418" t="str">
            <v>Mechanical shovels, excavators and shovel loaders; n.e.c. in item no. 8429.50</v>
          </cell>
          <cell r="F4418" t="str">
            <v>Capital Goods</v>
          </cell>
          <cell r="G4418">
            <v>0</v>
          </cell>
          <cell r="H4418" t="str">
            <v>Capital Goods</v>
          </cell>
          <cell r="I4418" t="str">
            <v>Capital Goods</v>
          </cell>
          <cell r="J4418">
            <v>1</v>
          </cell>
          <cell r="K4418" t="str">
            <v>Capital Goods</v>
          </cell>
        </row>
        <row r="4419">
          <cell r="D4419">
            <v>843010</v>
          </cell>
          <cell r="E4419" t="str">
            <v>Pile-drivers and pile-extractors</v>
          </cell>
          <cell r="F4419">
            <v>0</v>
          </cell>
          <cell r="G4419">
            <v>0</v>
          </cell>
          <cell r="H4419" t="str">
            <v>Capital Goods</v>
          </cell>
          <cell r="I4419" t="str">
            <v>Capital Goods</v>
          </cell>
          <cell r="J4419">
            <v>2</v>
          </cell>
          <cell r="K4419" t="str">
            <v>Capital Goods</v>
          </cell>
        </row>
        <row r="4420">
          <cell r="D4420">
            <v>843020</v>
          </cell>
          <cell r="E4420" t="str">
            <v>Snow-ploughs and snow-blowers</v>
          </cell>
          <cell r="F4420">
            <v>0</v>
          </cell>
          <cell r="G4420">
            <v>0</v>
          </cell>
          <cell r="H4420" t="str">
            <v>Capital Goods</v>
          </cell>
          <cell r="I4420" t="str">
            <v>Capital Goods</v>
          </cell>
          <cell r="J4420">
            <v>2</v>
          </cell>
          <cell r="K4420" t="str">
            <v>Capital Goods</v>
          </cell>
        </row>
        <row r="4421">
          <cell r="D4421">
            <v>843031</v>
          </cell>
          <cell r="E4421" t="str">
            <v>Coal or rock cutters and tunnelling machinery; self-propelled</v>
          </cell>
          <cell r="F4421">
            <v>0</v>
          </cell>
          <cell r="G4421">
            <v>0</v>
          </cell>
          <cell r="H4421" t="str">
            <v>Capital Goods</v>
          </cell>
          <cell r="I4421" t="str">
            <v>Capital Goods</v>
          </cell>
          <cell r="J4421">
            <v>2</v>
          </cell>
          <cell r="K4421" t="str">
            <v>Capital Goods</v>
          </cell>
        </row>
        <row r="4422">
          <cell r="D4422">
            <v>843039</v>
          </cell>
          <cell r="E4422" t="str">
            <v>Coal or rock cutters and tunnelling machinery; not self-propelled</v>
          </cell>
          <cell r="F4422">
            <v>0</v>
          </cell>
          <cell r="G4422">
            <v>0</v>
          </cell>
          <cell r="H4422" t="str">
            <v>Capital Goods</v>
          </cell>
          <cell r="I4422" t="str">
            <v>Capital Goods</v>
          </cell>
          <cell r="J4422">
            <v>2</v>
          </cell>
          <cell r="K4422" t="str">
            <v>Capital Goods</v>
          </cell>
        </row>
        <row r="4423">
          <cell r="D4423">
            <v>843041</v>
          </cell>
          <cell r="E4423" t="str">
            <v>Boring or sinking machinery; self-propelled, n.e.c. in heading no. 8430</v>
          </cell>
          <cell r="F4423" t="str">
            <v>Capital Goods</v>
          </cell>
          <cell r="G4423">
            <v>0</v>
          </cell>
          <cell r="H4423" t="str">
            <v>Capital Goods</v>
          </cell>
          <cell r="I4423" t="str">
            <v>Capital Goods</v>
          </cell>
          <cell r="J4423">
            <v>1</v>
          </cell>
          <cell r="K4423" t="str">
            <v>Capital Goods</v>
          </cell>
        </row>
        <row r="4424">
          <cell r="D4424">
            <v>843049</v>
          </cell>
          <cell r="E4424" t="str">
            <v>Boring and sinking machinery; not self-propelled</v>
          </cell>
          <cell r="F4424" t="str">
            <v>Capital Goods</v>
          </cell>
          <cell r="G4424">
            <v>0</v>
          </cell>
          <cell r="H4424" t="str">
            <v>Capital Goods</v>
          </cell>
          <cell r="I4424" t="str">
            <v>Capital Goods</v>
          </cell>
          <cell r="J4424">
            <v>1</v>
          </cell>
          <cell r="K4424" t="str">
            <v>Capital Goods</v>
          </cell>
        </row>
        <row r="4425">
          <cell r="D4425">
            <v>843050</v>
          </cell>
          <cell r="E4425" t="str">
            <v>Machinery; for handling earth, minerals or ores, self-propelled, n.e.c. in heading no. 8430</v>
          </cell>
          <cell r="F4425" t="str">
            <v>Capital Goods</v>
          </cell>
          <cell r="G4425">
            <v>0</v>
          </cell>
          <cell r="H4425" t="str">
            <v>Capital Goods</v>
          </cell>
          <cell r="I4425" t="str">
            <v>Capital Goods</v>
          </cell>
          <cell r="J4425">
            <v>1</v>
          </cell>
          <cell r="K4425" t="str">
            <v>Capital Goods</v>
          </cell>
        </row>
        <row r="4426">
          <cell r="D4426">
            <v>843061</v>
          </cell>
          <cell r="E4426" t="str">
            <v>Machinery; for tamping or compacting, not self-propelled</v>
          </cell>
          <cell r="F4426">
            <v>0</v>
          </cell>
          <cell r="G4426">
            <v>0</v>
          </cell>
          <cell r="H4426">
            <v>0</v>
          </cell>
          <cell r="I4426" t="str">
            <v>Capital Goods</v>
          </cell>
          <cell r="J4426">
            <v>3</v>
          </cell>
          <cell r="K4426" t="str">
            <v>Capital Goods</v>
          </cell>
        </row>
        <row r="4427">
          <cell r="D4427">
            <v>843069</v>
          </cell>
          <cell r="E4427" t="str">
            <v>Machinery; for moving, levelling, scraping, grading, excavating earth minerals or ores; not self propelled n.e.c in 84.30</v>
          </cell>
          <cell r="F4427">
            <v>0</v>
          </cell>
          <cell r="G4427">
            <v>0</v>
          </cell>
          <cell r="H4427">
            <v>0</v>
          </cell>
          <cell r="I4427" t="str">
            <v>Capital Goods</v>
          </cell>
          <cell r="J4427">
            <v>3</v>
          </cell>
          <cell r="K4427" t="str">
            <v>Capital Goods</v>
          </cell>
        </row>
        <row r="4428">
          <cell r="D4428">
            <v>850780</v>
          </cell>
          <cell r="E4428" t="str">
            <v>Electric accumulators; other than lead-acid, nickel-cadmium, nickel-metal hydride and lithium-ion, including separators, whether or not rectangular (including square)</v>
          </cell>
          <cell r="F4428" t="str">
            <v>Capital Goods</v>
          </cell>
          <cell r="G4428">
            <v>0</v>
          </cell>
          <cell r="H4428" t="str">
            <v>Parts &amp; Accessories</v>
          </cell>
          <cell r="I4428" t="str">
            <v>Parts &amp; Accessories</v>
          </cell>
          <cell r="J4428">
            <v>1</v>
          </cell>
          <cell r="K4428" t="str">
            <v>Parts &amp; Accessories</v>
          </cell>
        </row>
        <row r="4429">
          <cell r="D4429">
            <v>844819</v>
          </cell>
          <cell r="E4429" t="str">
            <v>Machinery, auxiliary; for machines of heading no. 8444, 8445, 8446 or 8447, n.e.c. in item no. 8448.11</v>
          </cell>
          <cell r="F4429">
            <v>0</v>
          </cell>
          <cell r="G4429">
            <v>0</v>
          </cell>
          <cell r="H4429">
            <v>0</v>
          </cell>
          <cell r="I4429" t="str">
            <v>Parts &amp; Accessories</v>
          </cell>
          <cell r="J4429">
            <v>3</v>
          </cell>
          <cell r="K4429" t="str">
            <v>Parts &amp; Accessories</v>
          </cell>
        </row>
        <row r="4430">
          <cell r="D4430">
            <v>843131</v>
          </cell>
          <cell r="E4430" t="str">
            <v>Lifts, skip hoists or escalators; parts thereof</v>
          </cell>
          <cell r="F4430" t="str">
            <v>Parts &amp; Accessories</v>
          </cell>
          <cell r="G4430">
            <v>0</v>
          </cell>
          <cell r="H4430" t="str">
            <v>Parts &amp; Accessories</v>
          </cell>
          <cell r="I4430" t="str">
            <v>Parts &amp; Accessories</v>
          </cell>
          <cell r="J4430">
            <v>1</v>
          </cell>
          <cell r="K4430" t="str">
            <v>Parts &amp; Accessories - rc</v>
          </cell>
        </row>
        <row r="4431">
          <cell r="D4431">
            <v>853190</v>
          </cell>
          <cell r="E4431" t="str">
            <v>Signalling apparatus; parts of the electric, sound or visual apparatus of heading no. 8531</v>
          </cell>
          <cell r="F4431" t="str">
            <v>Parts &amp; Accessories</v>
          </cell>
          <cell r="G4431">
            <v>0</v>
          </cell>
          <cell r="H4431">
            <v>0</v>
          </cell>
          <cell r="I4431" t="str">
            <v>Parts &amp; Accessories</v>
          </cell>
          <cell r="J4431">
            <v>2</v>
          </cell>
          <cell r="K4431" t="str">
            <v>Parts &amp; Accessories</v>
          </cell>
        </row>
        <row r="4432">
          <cell r="D4432">
            <v>848790</v>
          </cell>
          <cell r="E4432" t="str">
            <v>Machinery parts; not containing electrical connectors, insulators, coils, contacts or other electrical features, n.e.c. in chapter 84, other than ships' or boats' propellers and blades therefor</v>
          </cell>
          <cell r="F4432" t="str">
            <v>Parts &amp; Accessories</v>
          </cell>
          <cell r="G4432">
            <v>0</v>
          </cell>
          <cell r="H4432">
            <v>0</v>
          </cell>
          <cell r="I4432" t="str">
            <v>Parts &amp; Accessories</v>
          </cell>
          <cell r="J4432">
            <v>2</v>
          </cell>
          <cell r="K4432" t="str">
            <v>Parts &amp; Accessories</v>
          </cell>
        </row>
        <row r="4433">
          <cell r="D4433">
            <v>730640</v>
          </cell>
          <cell r="E4433" t="str">
            <v>Steel, stainless; tubes, pipes and hollow profiles, welded, of circular cross-section, n.e.c. in chapter 73</v>
          </cell>
          <cell r="F4433" t="str">
            <v>Capital Goods</v>
          </cell>
          <cell r="G4433">
            <v>0</v>
          </cell>
          <cell r="H4433">
            <v>0</v>
          </cell>
          <cell r="I4433" t="str">
            <v>Others</v>
          </cell>
          <cell r="J4433">
            <v>2</v>
          </cell>
          <cell r="K4433" t="str">
            <v>Parts &amp; Accessories</v>
          </cell>
        </row>
        <row r="4434">
          <cell r="D4434">
            <v>844839</v>
          </cell>
          <cell r="E4434" t="str">
            <v>Machines; parts and accessories of machines or auxiliary machinery of heading no. 8445, n.e.c. in item no. 8448.3</v>
          </cell>
          <cell r="F4434" t="str">
            <v>Capital Goods</v>
          </cell>
          <cell r="G4434">
            <v>0</v>
          </cell>
          <cell r="H4434" t="str">
            <v>Capital Goods</v>
          </cell>
          <cell r="I4434" t="str">
            <v>Parts &amp; Accessories</v>
          </cell>
          <cell r="J4434">
            <v>1</v>
          </cell>
          <cell r="K4434" t="str">
            <v>Parts &amp; Accessories</v>
          </cell>
        </row>
        <row r="4435">
          <cell r="D4435">
            <v>731290</v>
          </cell>
          <cell r="E4435" t="str">
            <v>Iron or steel; plaited bands, slings and the like, not electrically insulated</v>
          </cell>
          <cell r="F4435" t="str">
            <v>Capital Goods</v>
          </cell>
          <cell r="G4435">
            <v>0</v>
          </cell>
          <cell r="H4435">
            <v>0</v>
          </cell>
          <cell r="I4435" t="str">
            <v>Others</v>
          </cell>
          <cell r="J4435">
            <v>2</v>
          </cell>
          <cell r="K4435" t="str">
            <v>Parts &amp; Accessories</v>
          </cell>
        </row>
        <row r="4436">
          <cell r="D4436">
            <v>843210</v>
          </cell>
          <cell r="E4436" t="str">
            <v>Ploughs; for soil preparation</v>
          </cell>
          <cell r="F4436">
            <v>0</v>
          </cell>
          <cell r="G4436">
            <v>0</v>
          </cell>
          <cell r="H4436" t="str">
            <v>Capital Goods</v>
          </cell>
          <cell r="I4436" t="str">
            <v>Capital Goods</v>
          </cell>
          <cell r="J4436">
            <v>2</v>
          </cell>
          <cell r="K4436" t="str">
            <v>Capital Goods</v>
          </cell>
        </row>
        <row r="4437">
          <cell r="D4437">
            <v>843221</v>
          </cell>
          <cell r="E4437" t="str">
            <v>Harrows; disc harrows</v>
          </cell>
          <cell r="F4437">
            <v>0</v>
          </cell>
          <cell r="G4437">
            <v>0</v>
          </cell>
          <cell r="H4437" t="str">
            <v>Capital Goods</v>
          </cell>
          <cell r="I4437" t="str">
            <v>Capital Goods</v>
          </cell>
          <cell r="J4437">
            <v>2</v>
          </cell>
          <cell r="K4437" t="str">
            <v>Capital Goods</v>
          </cell>
        </row>
        <row r="4438">
          <cell r="D4438">
            <v>843229</v>
          </cell>
          <cell r="E4438" t="str">
            <v>Harrows; (excluding disc), scarifiers, cultivators, weeders and hoes</v>
          </cell>
          <cell r="F4438" t="str">
            <v>Capital Goods</v>
          </cell>
          <cell r="G4438">
            <v>0</v>
          </cell>
          <cell r="H4438" t="str">
            <v>Capital Goods</v>
          </cell>
          <cell r="I4438" t="str">
            <v>Capital Goods</v>
          </cell>
          <cell r="J4438">
            <v>1</v>
          </cell>
          <cell r="K4438" t="str">
            <v>Capital Goods</v>
          </cell>
        </row>
        <row r="4439">
          <cell r="D4439">
            <v>843230</v>
          </cell>
          <cell r="E4439" t="str">
            <v>Seeders, planters and transplanters</v>
          </cell>
          <cell r="F4439">
            <v>0</v>
          </cell>
          <cell r="G4439">
            <v>0</v>
          </cell>
          <cell r="H4439" t="str">
            <v>Capital Goods</v>
          </cell>
          <cell r="I4439">
            <v>0</v>
          </cell>
          <cell r="J4439">
            <v>3</v>
          </cell>
          <cell r="K4439" t="str">
            <v>Capital Goods</v>
          </cell>
        </row>
        <row r="4440">
          <cell r="D4440">
            <v>843231</v>
          </cell>
          <cell r="E4440" t="str">
            <v>Seeders, planters and transplanters; no-till direct seeders, planters and transplanters</v>
          </cell>
          <cell r="F4440">
            <v>0</v>
          </cell>
          <cell r="G4440">
            <v>0</v>
          </cell>
          <cell r="H4440">
            <v>0</v>
          </cell>
          <cell r="I4440" t="str">
            <v>Capital Goods</v>
          </cell>
          <cell r="J4440">
            <v>3</v>
          </cell>
          <cell r="K4440" t="str">
            <v>Capital Goods</v>
          </cell>
        </row>
        <row r="4441">
          <cell r="D4441">
            <v>843239</v>
          </cell>
          <cell r="E4441" t="str">
            <v>Seeders, planters and transplanters; other than no-till direct seeders, planters and transplanters</v>
          </cell>
          <cell r="F4441">
            <v>0</v>
          </cell>
          <cell r="G4441">
            <v>0</v>
          </cell>
          <cell r="H4441">
            <v>0</v>
          </cell>
          <cell r="I4441" t="str">
            <v>Capital Goods</v>
          </cell>
          <cell r="J4441">
            <v>3</v>
          </cell>
          <cell r="K4441" t="str">
            <v>Capital Goods</v>
          </cell>
        </row>
        <row r="4442">
          <cell r="D4442">
            <v>843240</v>
          </cell>
          <cell r="E4442" t="str">
            <v>Manure spreaders and fertiliser distributors</v>
          </cell>
          <cell r="F4442">
            <v>0</v>
          </cell>
          <cell r="G4442">
            <v>0</v>
          </cell>
          <cell r="H4442" t="str">
            <v>Capital Goods</v>
          </cell>
          <cell r="I4442">
            <v>0</v>
          </cell>
          <cell r="J4442">
            <v>3</v>
          </cell>
          <cell r="K4442" t="str">
            <v>Capital Goods</v>
          </cell>
        </row>
        <row r="4443">
          <cell r="D4443">
            <v>843241</v>
          </cell>
          <cell r="E4443" t="str">
            <v>Spreaders and distributors; for manure and fertilizers, for agricultural, horticultural or forestry use; manure spreaders</v>
          </cell>
          <cell r="F4443">
            <v>0</v>
          </cell>
          <cell r="G4443">
            <v>0</v>
          </cell>
          <cell r="H4443">
            <v>0</v>
          </cell>
          <cell r="I4443" t="str">
            <v>Capital Goods</v>
          </cell>
          <cell r="J4443">
            <v>3</v>
          </cell>
          <cell r="K4443" t="str">
            <v>Capital Goods</v>
          </cell>
        </row>
        <row r="4444">
          <cell r="D4444">
            <v>843242</v>
          </cell>
          <cell r="E4444" t="str">
            <v>Spreaders and distributors; for manure and fertilizers, for agricultural, horticultural or forestry use; fertiliser distributors</v>
          </cell>
          <cell r="F4444">
            <v>0</v>
          </cell>
          <cell r="G4444">
            <v>0</v>
          </cell>
          <cell r="H4444">
            <v>0</v>
          </cell>
          <cell r="I4444" t="str">
            <v>Capital Goods</v>
          </cell>
          <cell r="J4444">
            <v>3</v>
          </cell>
          <cell r="K4444" t="str">
            <v>Capital Goods</v>
          </cell>
        </row>
        <row r="4445">
          <cell r="D4445">
            <v>843280</v>
          </cell>
          <cell r="E4445" t="str">
            <v>Rollers; for lawns or sports-grounds</v>
          </cell>
          <cell r="F4445">
            <v>0</v>
          </cell>
          <cell r="G4445">
            <v>0</v>
          </cell>
          <cell r="H4445" t="str">
            <v>Capital Goods</v>
          </cell>
          <cell r="I4445" t="str">
            <v>Capital Goods</v>
          </cell>
          <cell r="J4445">
            <v>2</v>
          </cell>
          <cell r="K4445" t="str">
            <v>Capital Goods</v>
          </cell>
        </row>
        <row r="4446">
          <cell r="D4446">
            <v>843290</v>
          </cell>
          <cell r="E4446" t="str">
            <v>Machinery; parts of machinery for soil preparation or cultivation or for rollers for lawns or sports-grounds</v>
          </cell>
          <cell r="F4446" t="str">
            <v>Parts &amp; Accessories</v>
          </cell>
          <cell r="G4446">
            <v>0</v>
          </cell>
          <cell r="H4446" t="str">
            <v>Parts &amp; Accessories</v>
          </cell>
          <cell r="I4446" t="str">
            <v>Parts &amp; Accessories</v>
          </cell>
          <cell r="J4446">
            <v>1</v>
          </cell>
          <cell r="K4446" t="str">
            <v>Parts &amp; Accessories - rc</v>
          </cell>
        </row>
        <row r="4447">
          <cell r="D4447">
            <v>843311</v>
          </cell>
          <cell r="E4447" t="str">
            <v>Mowers; lawn, parks or sports-grounds, powered, with the cutting device rotating in a horizontal plane</v>
          </cell>
          <cell r="F4447">
            <v>0</v>
          </cell>
          <cell r="G4447">
            <v>0</v>
          </cell>
          <cell r="H4447" t="str">
            <v>Capital Goods</v>
          </cell>
          <cell r="I4447" t="str">
            <v>Durable</v>
          </cell>
          <cell r="J4447">
            <v>2</v>
          </cell>
          <cell r="K4447" t="str">
            <v>Durable</v>
          </cell>
        </row>
        <row r="4448">
          <cell r="D4448">
            <v>843319</v>
          </cell>
          <cell r="E4448" t="str">
            <v>Mowers; for lawns, parks or sports-grounds, other than with the cutting device rotating in a horizontal plane</v>
          </cell>
          <cell r="F4448">
            <v>0</v>
          </cell>
          <cell r="G4448">
            <v>0</v>
          </cell>
          <cell r="H4448" t="str">
            <v>Capital Goods</v>
          </cell>
          <cell r="I4448" t="str">
            <v>Durable</v>
          </cell>
          <cell r="J4448">
            <v>2</v>
          </cell>
          <cell r="K4448" t="str">
            <v>Durable</v>
          </cell>
        </row>
        <row r="4449">
          <cell r="D4449">
            <v>843320</v>
          </cell>
          <cell r="E4449" t="str">
            <v>Mowers; n.e.c. in item no. 8433.1 (including cutter bars for tractor mounting)</v>
          </cell>
          <cell r="F4449">
            <v>0</v>
          </cell>
          <cell r="G4449">
            <v>0</v>
          </cell>
          <cell r="H4449" t="str">
            <v>Capital Goods</v>
          </cell>
          <cell r="I4449" t="str">
            <v>Capital Goods</v>
          </cell>
          <cell r="J4449">
            <v>2</v>
          </cell>
          <cell r="K4449" t="str">
            <v>Capital Goods</v>
          </cell>
        </row>
        <row r="4450">
          <cell r="D4450">
            <v>843330</v>
          </cell>
          <cell r="E4450" t="str">
            <v>Haymaking machinery</v>
          </cell>
          <cell r="F4450">
            <v>0</v>
          </cell>
          <cell r="G4450">
            <v>0</v>
          </cell>
          <cell r="H4450" t="str">
            <v>Capital Goods</v>
          </cell>
          <cell r="I4450" t="str">
            <v>Capital Goods</v>
          </cell>
          <cell r="J4450">
            <v>2</v>
          </cell>
          <cell r="K4450" t="str">
            <v>Capital Goods</v>
          </cell>
        </row>
        <row r="4451">
          <cell r="D4451">
            <v>843340</v>
          </cell>
          <cell r="E4451" t="str">
            <v>Balers; straw or fodder balers, including pick-up balers</v>
          </cell>
          <cell r="F4451">
            <v>0</v>
          </cell>
          <cell r="G4451">
            <v>0</v>
          </cell>
          <cell r="H4451" t="str">
            <v>Capital Goods</v>
          </cell>
          <cell r="I4451" t="str">
            <v>Capital Goods</v>
          </cell>
          <cell r="J4451">
            <v>2</v>
          </cell>
          <cell r="K4451" t="str">
            <v>Capital Goods</v>
          </cell>
        </row>
        <row r="4452">
          <cell r="D4452">
            <v>843351</v>
          </cell>
          <cell r="E4452" t="str">
            <v>Combine harvester-threshers</v>
          </cell>
          <cell r="F4452">
            <v>0</v>
          </cell>
          <cell r="G4452">
            <v>0</v>
          </cell>
          <cell r="H4452" t="str">
            <v>Capital Goods</v>
          </cell>
          <cell r="I4452" t="str">
            <v>Capital Goods</v>
          </cell>
          <cell r="J4452">
            <v>2</v>
          </cell>
          <cell r="K4452" t="str">
            <v>Capital Goods</v>
          </cell>
        </row>
        <row r="4453">
          <cell r="D4453">
            <v>843352</v>
          </cell>
          <cell r="E4453" t="str">
            <v>Threshing machinery; other than combine harvester-threshers</v>
          </cell>
          <cell r="F4453">
            <v>0</v>
          </cell>
          <cell r="G4453">
            <v>0</v>
          </cell>
          <cell r="H4453" t="str">
            <v>Capital Goods</v>
          </cell>
          <cell r="I4453" t="str">
            <v>Capital Goods</v>
          </cell>
          <cell r="J4453">
            <v>2</v>
          </cell>
          <cell r="K4453" t="str">
            <v>Capital Goods</v>
          </cell>
        </row>
        <row r="4454">
          <cell r="D4454">
            <v>843353</v>
          </cell>
          <cell r="E4454" t="str">
            <v>Harvesting machinery; for roots or tubers</v>
          </cell>
          <cell r="F4454">
            <v>0</v>
          </cell>
          <cell r="G4454">
            <v>0</v>
          </cell>
          <cell r="H4454" t="str">
            <v>Capital Goods</v>
          </cell>
          <cell r="I4454" t="str">
            <v>Capital Goods</v>
          </cell>
          <cell r="J4454">
            <v>2</v>
          </cell>
          <cell r="K4454" t="str">
            <v>Capital Goods</v>
          </cell>
        </row>
        <row r="4455">
          <cell r="D4455">
            <v>843359</v>
          </cell>
          <cell r="E4455" t="str">
            <v>Harvesting machinery; n.e.c. in heading no. 8433</v>
          </cell>
          <cell r="F4455">
            <v>0</v>
          </cell>
          <cell r="G4455">
            <v>0</v>
          </cell>
          <cell r="H4455">
            <v>0</v>
          </cell>
          <cell r="I4455" t="str">
            <v>Capital Goods</v>
          </cell>
          <cell r="J4455">
            <v>3</v>
          </cell>
          <cell r="K4455" t="str">
            <v>Capital Goods</v>
          </cell>
        </row>
        <row r="4456">
          <cell r="D4456">
            <v>843360</v>
          </cell>
          <cell r="E4456" t="str">
            <v>Machines; for cleaning, sorting or grading eggs, fruit or other agricultural produce</v>
          </cell>
          <cell r="F4456">
            <v>0</v>
          </cell>
          <cell r="G4456">
            <v>0</v>
          </cell>
          <cell r="H4456" t="str">
            <v>Capital Goods</v>
          </cell>
          <cell r="I4456" t="str">
            <v>Capital Goods</v>
          </cell>
          <cell r="J4456">
            <v>2</v>
          </cell>
          <cell r="K4456" t="str">
            <v>Capital Goods</v>
          </cell>
        </row>
        <row r="4457">
          <cell r="D4457">
            <v>843390</v>
          </cell>
          <cell r="E4457" t="str">
            <v>Harvesting machinery; parts, including parts of threshing machinery, straw or fodder balers and grass or hay mowers</v>
          </cell>
          <cell r="F4457" t="str">
            <v>Capital Goods</v>
          </cell>
          <cell r="G4457">
            <v>0</v>
          </cell>
          <cell r="H4457" t="str">
            <v>Capital Goods</v>
          </cell>
          <cell r="I4457" t="str">
            <v>Parts &amp; Accessories</v>
          </cell>
          <cell r="J4457">
            <v>1</v>
          </cell>
          <cell r="K4457" t="str">
            <v>Parts &amp; Accessories - rc</v>
          </cell>
        </row>
        <row r="4458">
          <cell r="D4458">
            <v>843410</v>
          </cell>
          <cell r="E4458" t="str">
            <v>Milking machines</v>
          </cell>
          <cell r="F4458">
            <v>0</v>
          </cell>
          <cell r="G4458">
            <v>0</v>
          </cell>
          <cell r="H4458" t="str">
            <v>Capital Goods</v>
          </cell>
          <cell r="I4458" t="str">
            <v>Capital Goods</v>
          </cell>
          <cell r="J4458">
            <v>2</v>
          </cell>
          <cell r="K4458" t="str">
            <v>Capital Goods</v>
          </cell>
        </row>
        <row r="4459">
          <cell r="D4459">
            <v>843420</v>
          </cell>
          <cell r="E4459" t="str">
            <v>Dairy machinery</v>
          </cell>
          <cell r="F4459">
            <v>0</v>
          </cell>
          <cell r="G4459">
            <v>0</v>
          </cell>
          <cell r="H4459" t="str">
            <v>Capital Goods</v>
          </cell>
          <cell r="I4459" t="str">
            <v>Capital Goods</v>
          </cell>
          <cell r="J4459">
            <v>2</v>
          </cell>
          <cell r="K4459" t="str">
            <v>Capital Goods</v>
          </cell>
        </row>
        <row r="4460">
          <cell r="D4460">
            <v>730799</v>
          </cell>
          <cell r="E4460" t="str">
            <v>Iron or steel; tube or pipe fittings, n.e.c. in item no. 7307.9, other than stainless steel</v>
          </cell>
          <cell r="F4460" t="str">
            <v>Capital Goods</v>
          </cell>
          <cell r="G4460">
            <v>0</v>
          </cell>
          <cell r="H4460">
            <v>0</v>
          </cell>
          <cell r="I4460" t="str">
            <v>Others</v>
          </cell>
          <cell r="J4460">
            <v>2</v>
          </cell>
          <cell r="K4460" t="str">
            <v>Parts &amp; Accessories</v>
          </cell>
        </row>
        <row r="4461">
          <cell r="D4461">
            <v>843510</v>
          </cell>
          <cell r="E4461" t="str">
            <v>Presses, crushers and similar machinery; used in the manufacture of wine, cider, fruit juices or similar beverages</v>
          </cell>
          <cell r="F4461">
            <v>0</v>
          </cell>
          <cell r="G4461">
            <v>0</v>
          </cell>
          <cell r="H4461" t="str">
            <v>Capital Goods</v>
          </cell>
          <cell r="I4461" t="str">
            <v>Capital Goods</v>
          </cell>
          <cell r="J4461">
            <v>2</v>
          </cell>
          <cell r="K4461" t="str">
            <v>Capital Goods</v>
          </cell>
        </row>
        <row r="4462">
          <cell r="D4462">
            <v>851590</v>
          </cell>
          <cell r="E4462" t="str">
            <v>Welding, brazing or soldering machines; parts of the machines of heading no. 8515</v>
          </cell>
          <cell r="F4462" t="str">
            <v>Capital Goods</v>
          </cell>
          <cell r="G4462">
            <v>0</v>
          </cell>
          <cell r="H4462" t="str">
            <v>Capital Goods</v>
          </cell>
          <cell r="I4462" t="str">
            <v>Parts &amp; Accessories</v>
          </cell>
          <cell r="J4462">
            <v>1</v>
          </cell>
          <cell r="K4462" t="str">
            <v>Parts &amp; Accessories</v>
          </cell>
        </row>
        <row r="4463">
          <cell r="D4463">
            <v>843610</v>
          </cell>
          <cell r="E4463" t="str">
            <v>Machinery; for preparing animal feeding stuffs</v>
          </cell>
          <cell r="F4463">
            <v>0</v>
          </cell>
          <cell r="G4463">
            <v>0</v>
          </cell>
          <cell r="H4463" t="str">
            <v>Capital Goods</v>
          </cell>
          <cell r="I4463" t="str">
            <v>Capital Goods</v>
          </cell>
          <cell r="J4463">
            <v>2</v>
          </cell>
          <cell r="K4463" t="str">
            <v>Capital Goods</v>
          </cell>
        </row>
        <row r="4464">
          <cell r="D4464">
            <v>843621</v>
          </cell>
          <cell r="E4464" t="str">
            <v>Poultry incubators and brooders</v>
          </cell>
          <cell r="F4464">
            <v>0</v>
          </cell>
          <cell r="G4464">
            <v>0</v>
          </cell>
          <cell r="H4464" t="str">
            <v>Capital Goods</v>
          </cell>
          <cell r="I4464" t="str">
            <v>Capital Goods</v>
          </cell>
          <cell r="J4464">
            <v>2</v>
          </cell>
          <cell r="K4464" t="str">
            <v>Capital Goods</v>
          </cell>
        </row>
        <row r="4465">
          <cell r="D4465">
            <v>843629</v>
          </cell>
          <cell r="E4465" t="str">
            <v>Poultry-keeping machinery; other than incubators and brooders</v>
          </cell>
          <cell r="F4465">
            <v>0</v>
          </cell>
          <cell r="G4465">
            <v>0</v>
          </cell>
          <cell r="H4465" t="str">
            <v>Capital Goods</v>
          </cell>
          <cell r="I4465" t="str">
            <v>Capital Goods</v>
          </cell>
          <cell r="J4465">
            <v>2</v>
          </cell>
          <cell r="K4465" t="str">
            <v>Capital Goods</v>
          </cell>
        </row>
        <row r="4466">
          <cell r="D4466">
            <v>843680</v>
          </cell>
          <cell r="E4466" t="str">
            <v>Machinery; for agricultural, horticultural or forestry use and n.e.c. in heading no. 8436</v>
          </cell>
          <cell r="F4466">
            <v>0</v>
          </cell>
          <cell r="G4466">
            <v>0</v>
          </cell>
          <cell r="H4466">
            <v>0</v>
          </cell>
          <cell r="I4466" t="str">
            <v>Capital Goods</v>
          </cell>
          <cell r="J4466">
            <v>3</v>
          </cell>
          <cell r="K4466" t="str">
            <v>Capital Goods</v>
          </cell>
        </row>
        <row r="4467">
          <cell r="D4467">
            <v>732619</v>
          </cell>
          <cell r="E4467" t="str">
            <v>Iron or steel; articles n.e.c. in item no. 7326.11, forged or stamped, but not further worked</v>
          </cell>
          <cell r="F4467" t="str">
            <v>Capital Goods</v>
          </cell>
          <cell r="G4467">
            <v>0</v>
          </cell>
          <cell r="H4467">
            <v>0</v>
          </cell>
          <cell r="I4467" t="str">
            <v>Others</v>
          </cell>
          <cell r="J4467">
            <v>2</v>
          </cell>
          <cell r="K4467" t="str">
            <v>Parts &amp; Accessories</v>
          </cell>
        </row>
        <row r="4468">
          <cell r="D4468">
            <v>843699</v>
          </cell>
          <cell r="E4468" t="str">
            <v>Machinery; parts of that machinery for agricultural, horticultural or forestry use n.e.c. in heading no. 8436</v>
          </cell>
          <cell r="F4468" t="str">
            <v>Capital Goods</v>
          </cell>
          <cell r="G4468">
            <v>0</v>
          </cell>
          <cell r="H4468">
            <v>0</v>
          </cell>
          <cell r="I4468" t="str">
            <v>Parts &amp; Accessories</v>
          </cell>
          <cell r="J4468">
            <v>2</v>
          </cell>
          <cell r="K4468" t="str">
            <v>Parts &amp; Accessories - rc</v>
          </cell>
        </row>
        <row r="4469">
          <cell r="D4469">
            <v>843710</v>
          </cell>
          <cell r="E4469" t="str">
            <v>Machines; for cleaning, sorting or grading seed, grain or dried leguminous vegetables</v>
          </cell>
          <cell r="F4469" t="str">
            <v>Capital Goods</v>
          </cell>
          <cell r="G4469">
            <v>0</v>
          </cell>
          <cell r="H4469">
            <v>0</v>
          </cell>
          <cell r="I4469" t="str">
            <v>Capital Goods</v>
          </cell>
          <cell r="J4469">
            <v>2</v>
          </cell>
          <cell r="K4469" t="str">
            <v>Capital Goods</v>
          </cell>
        </row>
        <row r="4470">
          <cell r="D4470">
            <v>843780</v>
          </cell>
          <cell r="E4470" t="str">
            <v>Machinery; for use in the milling industry or for the working of cereals or dried leguminous vegetables, other than farm-type machinery</v>
          </cell>
          <cell r="F4470">
            <v>0</v>
          </cell>
          <cell r="G4470">
            <v>0</v>
          </cell>
          <cell r="H4470" t="str">
            <v>Capital Goods</v>
          </cell>
          <cell r="I4470" t="str">
            <v>Capital Goods</v>
          </cell>
          <cell r="J4470">
            <v>2</v>
          </cell>
          <cell r="K4470" t="str">
            <v>Capital Goods</v>
          </cell>
        </row>
        <row r="4471">
          <cell r="D4471">
            <v>854411</v>
          </cell>
          <cell r="E4471" t="str">
            <v>Insulated electric conductors; winding wire, of copper</v>
          </cell>
          <cell r="F4471" t="str">
            <v>Capital Goods</v>
          </cell>
          <cell r="G4471">
            <v>0</v>
          </cell>
          <cell r="H4471">
            <v>0</v>
          </cell>
          <cell r="I4471" t="str">
            <v>Others</v>
          </cell>
          <cell r="J4471">
            <v>2</v>
          </cell>
          <cell r="K4471" t="str">
            <v>Parts &amp; Accessories</v>
          </cell>
        </row>
        <row r="4472">
          <cell r="D4472">
            <v>843810</v>
          </cell>
          <cell r="E4472" t="str">
            <v>Machinery; industrial, for bakery and for the manufacture of macaroni, spaghetti or similar products</v>
          </cell>
          <cell r="F4472">
            <v>0</v>
          </cell>
          <cell r="G4472">
            <v>0</v>
          </cell>
          <cell r="H4472" t="str">
            <v>Capital Goods</v>
          </cell>
          <cell r="I4472" t="str">
            <v>Capital Goods</v>
          </cell>
          <cell r="J4472">
            <v>2</v>
          </cell>
          <cell r="K4472" t="str">
            <v>Capital Goods</v>
          </cell>
        </row>
        <row r="4473">
          <cell r="D4473">
            <v>843820</v>
          </cell>
          <cell r="E4473" t="str">
            <v>Machinery; industrial, for the manufacture of confectionery, cocoa or chocolate</v>
          </cell>
          <cell r="F4473">
            <v>0</v>
          </cell>
          <cell r="G4473">
            <v>0</v>
          </cell>
          <cell r="H4473" t="str">
            <v>Capital Goods</v>
          </cell>
          <cell r="I4473" t="str">
            <v>Capital Goods</v>
          </cell>
          <cell r="J4473">
            <v>2</v>
          </cell>
          <cell r="K4473" t="str">
            <v>Capital Goods</v>
          </cell>
        </row>
        <row r="4474">
          <cell r="D4474">
            <v>843830</v>
          </cell>
          <cell r="E4474" t="str">
            <v>Machinery; industrial, for sugar manufacture</v>
          </cell>
          <cell r="F4474">
            <v>0</v>
          </cell>
          <cell r="G4474">
            <v>0</v>
          </cell>
          <cell r="H4474" t="str">
            <v>Capital Goods</v>
          </cell>
          <cell r="I4474" t="str">
            <v>Capital Goods</v>
          </cell>
          <cell r="J4474">
            <v>2</v>
          </cell>
          <cell r="K4474" t="str">
            <v>Capital Goods</v>
          </cell>
        </row>
        <row r="4475">
          <cell r="D4475">
            <v>843840</v>
          </cell>
          <cell r="E4475" t="str">
            <v>Machinery; industrial, brewery machinery</v>
          </cell>
          <cell r="F4475">
            <v>0</v>
          </cell>
          <cell r="G4475">
            <v>0</v>
          </cell>
          <cell r="H4475" t="str">
            <v>Capital Goods</v>
          </cell>
          <cell r="I4475" t="str">
            <v>Capital Goods</v>
          </cell>
          <cell r="J4475">
            <v>2</v>
          </cell>
          <cell r="K4475" t="str">
            <v>Capital Goods</v>
          </cell>
        </row>
        <row r="4476">
          <cell r="D4476">
            <v>843850</v>
          </cell>
          <cell r="E4476" t="str">
            <v>Machinery; industrial, for the preparation of meat or poultry</v>
          </cell>
          <cell r="F4476">
            <v>0</v>
          </cell>
          <cell r="G4476">
            <v>0</v>
          </cell>
          <cell r="H4476" t="str">
            <v>Capital Goods</v>
          </cell>
          <cell r="I4476" t="str">
            <v>Capital Goods</v>
          </cell>
          <cell r="J4476">
            <v>2</v>
          </cell>
          <cell r="K4476" t="str">
            <v>Capital Goods</v>
          </cell>
        </row>
        <row r="4477">
          <cell r="D4477">
            <v>843860</v>
          </cell>
          <cell r="E4477" t="str">
            <v>Machinery; industrial, for the preparation of fruits, nuts or vegetables</v>
          </cell>
          <cell r="F4477" t="str">
            <v>Capital Goods</v>
          </cell>
          <cell r="G4477">
            <v>0</v>
          </cell>
          <cell r="H4477" t="str">
            <v>Capital Goods</v>
          </cell>
          <cell r="I4477" t="str">
            <v>Capital Goods</v>
          </cell>
          <cell r="J4477">
            <v>1</v>
          </cell>
          <cell r="K4477" t="str">
            <v>Capital Goods</v>
          </cell>
        </row>
        <row r="4478">
          <cell r="D4478">
            <v>843880</v>
          </cell>
          <cell r="E4478" t="str">
            <v>Machinery; used in the industrial preparation or manufacture of food or drink, n.e.c. in heading no. 8438</v>
          </cell>
          <cell r="F4478">
            <v>0</v>
          </cell>
          <cell r="G4478">
            <v>0</v>
          </cell>
          <cell r="H4478" t="str">
            <v>Capital Goods</v>
          </cell>
          <cell r="I4478" t="str">
            <v>Capital Goods</v>
          </cell>
          <cell r="J4478">
            <v>2</v>
          </cell>
          <cell r="K4478" t="str">
            <v>Capital Goods</v>
          </cell>
        </row>
        <row r="4479">
          <cell r="D4479">
            <v>853610</v>
          </cell>
          <cell r="E4479" t="str">
            <v>Electrical apparatus; fuses, for a voltage not exceeding 1000 volts</v>
          </cell>
          <cell r="F4479" t="str">
            <v>Capital Goods</v>
          </cell>
          <cell r="G4479">
            <v>0</v>
          </cell>
          <cell r="H4479" t="str">
            <v>Consumables</v>
          </cell>
          <cell r="I4479" t="str">
            <v>Parts &amp; Accessories</v>
          </cell>
          <cell r="J4479">
            <v>1</v>
          </cell>
          <cell r="K4479" t="str">
            <v>Parts &amp; Accessories</v>
          </cell>
        </row>
        <row r="4480">
          <cell r="D4480">
            <v>843910</v>
          </cell>
          <cell r="E4480" t="str">
            <v>Machinery; for making pulp of fibrous cellulosic material</v>
          </cell>
          <cell r="F4480">
            <v>0</v>
          </cell>
          <cell r="G4480">
            <v>0</v>
          </cell>
          <cell r="H4480" t="str">
            <v>Capital Goods</v>
          </cell>
          <cell r="I4480" t="str">
            <v>Capital Goods</v>
          </cell>
          <cell r="J4480">
            <v>2</v>
          </cell>
          <cell r="K4480" t="str">
            <v>Capital Goods</v>
          </cell>
        </row>
        <row r="4481">
          <cell r="D4481">
            <v>843920</v>
          </cell>
          <cell r="E4481" t="str">
            <v>Machinery; for making paper or paperboard</v>
          </cell>
          <cell r="F4481">
            <v>0</v>
          </cell>
          <cell r="G4481">
            <v>0</v>
          </cell>
          <cell r="H4481" t="str">
            <v>Capital Goods</v>
          </cell>
          <cell r="I4481" t="str">
            <v>Capital Goods</v>
          </cell>
          <cell r="J4481">
            <v>2</v>
          </cell>
          <cell r="K4481" t="str">
            <v>Capital Goods</v>
          </cell>
        </row>
        <row r="4482">
          <cell r="D4482">
            <v>843930</v>
          </cell>
          <cell r="E4482" t="str">
            <v>Machinery; for finishing paper or paperboard</v>
          </cell>
          <cell r="F4482">
            <v>0</v>
          </cell>
          <cell r="G4482">
            <v>0</v>
          </cell>
          <cell r="H4482" t="str">
            <v>Capital Goods</v>
          </cell>
          <cell r="I4482" t="str">
            <v>Capital Goods</v>
          </cell>
          <cell r="J4482">
            <v>2</v>
          </cell>
          <cell r="K4482" t="str">
            <v>Capital Goods</v>
          </cell>
        </row>
        <row r="4483">
          <cell r="D4483">
            <v>853110</v>
          </cell>
          <cell r="E4483" t="str">
            <v>Signalling apparatus; electric, sound or visual, burglar or fire alarms and similar, other than those of heading no. 8512 or 8530</v>
          </cell>
          <cell r="F4483" t="str">
            <v>Capital Goods</v>
          </cell>
          <cell r="G4483">
            <v>0</v>
          </cell>
          <cell r="H4483">
            <v>0</v>
          </cell>
          <cell r="I4483" t="str">
            <v>Capital Goods</v>
          </cell>
          <cell r="J4483">
            <v>2</v>
          </cell>
          <cell r="K4483" t="str">
            <v>Parts &amp; Accessories</v>
          </cell>
        </row>
        <row r="4484">
          <cell r="D4484">
            <v>846799</v>
          </cell>
          <cell r="E4484" t="str">
            <v>Tools; for working in the hand, parts thereof for other than chain saws and pneumatic tools</v>
          </cell>
          <cell r="F4484" t="str">
            <v>Parts &amp; Accessories</v>
          </cell>
          <cell r="G4484" t="str">
            <v>Parts &amp; Accessories</v>
          </cell>
          <cell r="H4484">
            <v>0</v>
          </cell>
          <cell r="I4484" t="str">
            <v>Parts &amp; Accessories</v>
          </cell>
          <cell r="J4484">
            <v>1</v>
          </cell>
          <cell r="K4484" t="str">
            <v>Parts &amp; Accessories</v>
          </cell>
        </row>
        <row r="4485">
          <cell r="D4485">
            <v>844010</v>
          </cell>
          <cell r="E4485" t="str">
            <v>Book-binding machinery; including book-sewing machines</v>
          </cell>
          <cell r="F4485">
            <v>0</v>
          </cell>
          <cell r="G4485">
            <v>0</v>
          </cell>
          <cell r="H4485" t="str">
            <v>Capital Goods</v>
          </cell>
          <cell r="I4485" t="str">
            <v>Capital Goods</v>
          </cell>
          <cell r="J4485">
            <v>2</v>
          </cell>
          <cell r="K4485" t="str">
            <v>Capital Goods</v>
          </cell>
        </row>
        <row r="4486">
          <cell r="D4486">
            <v>854121</v>
          </cell>
          <cell r="E4486" t="str">
            <v>Electrical apparatus; transistors, (other than photosensitive), with a dissipation rate of less than 1W</v>
          </cell>
          <cell r="F4486" t="str">
            <v>Parts &amp; Accessories</v>
          </cell>
          <cell r="G4486">
            <v>0</v>
          </cell>
          <cell r="H4486">
            <v>0</v>
          </cell>
          <cell r="I4486" t="str">
            <v>Parts &amp; Accessories</v>
          </cell>
          <cell r="J4486">
            <v>2</v>
          </cell>
          <cell r="K4486" t="str">
            <v>Parts &amp; Accessories</v>
          </cell>
        </row>
        <row r="4487">
          <cell r="D4487">
            <v>844110</v>
          </cell>
          <cell r="E4487" t="str">
            <v>Machines; cutting, of all kinds, for making up paper pulp, paper or paperboard</v>
          </cell>
          <cell r="F4487" t="str">
            <v>Capital Goods</v>
          </cell>
          <cell r="G4487">
            <v>0</v>
          </cell>
          <cell r="H4487" t="str">
            <v>Capital Goods</v>
          </cell>
          <cell r="I4487" t="str">
            <v>Capital Goods</v>
          </cell>
          <cell r="J4487">
            <v>1</v>
          </cell>
          <cell r="K4487" t="str">
            <v>Capital Goods</v>
          </cell>
        </row>
        <row r="4488">
          <cell r="D4488">
            <v>844120</v>
          </cell>
          <cell r="E4488" t="str">
            <v>Machines; for making bags, sacks or envelopes of paper pulp, paper or paperboard</v>
          </cell>
          <cell r="F4488">
            <v>0</v>
          </cell>
          <cell r="G4488">
            <v>0</v>
          </cell>
          <cell r="H4488" t="str">
            <v>Capital Goods</v>
          </cell>
          <cell r="I4488" t="str">
            <v>Capital Goods</v>
          </cell>
          <cell r="J4488">
            <v>2</v>
          </cell>
          <cell r="K4488" t="str">
            <v>Capital Goods</v>
          </cell>
        </row>
        <row r="4489">
          <cell r="D4489">
            <v>844130</v>
          </cell>
          <cell r="E4489" t="str">
            <v>Machines; for making cartons, boxes, cases, tubes, drums or similar containers (other than by moulding), of paper pulp, paper or paperboard</v>
          </cell>
          <cell r="F4489">
            <v>0</v>
          </cell>
          <cell r="G4489">
            <v>0</v>
          </cell>
          <cell r="H4489" t="str">
            <v>Capital Goods</v>
          </cell>
          <cell r="I4489" t="str">
            <v>Capital Goods</v>
          </cell>
          <cell r="J4489">
            <v>2</v>
          </cell>
          <cell r="K4489" t="str">
            <v>Capital Goods</v>
          </cell>
        </row>
        <row r="4490">
          <cell r="D4490">
            <v>844140</v>
          </cell>
          <cell r="E4490" t="str">
            <v>Machines; for moulding articles, in paper pulp, paper or paperboard</v>
          </cell>
          <cell r="F4490">
            <v>0</v>
          </cell>
          <cell r="G4490">
            <v>0</v>
          </cell>
          <cell r="H4490">
            <v>0</v>
          </cell>
          <cell r="I4490" t="str">
            <v>Capital Goods</v>
          </cell>
          <cell r="J4490">
            <v>3</v>
          </cell>
          <cell r="K4490" t="str">
            <v>Capital Goods</v>
          </cell>
        </row>
        <row r="4491">
          <cell r="D4491">
            <v>844180</v>
          </cell>
          <cell r="E4491" t="str">
            <v>Machinery; n.e.c. in heading no. 8441, for making up paper pulp, paper or paperboard</v>
          </cell>
          <cell r="F4491">
            <v>0</v>
          </cell>
          <cell r="G4491">
            <v>0</v>
          </cell>
          <cell r="H4491" t="str">
            <v>Capital Goods</v>
          </cell>
          <cell r="I4491" t="str">
            <v>Capital Goods</v>
          </cell>
          <cell r="J4491">
            <v>2</v>
          </cell>
          <cell r="K4491" t="str">
            <v>Capital Goods</v>
          </cell>
        </row>
        <row r="4492">
          <cell r="D4492">
            <v>848291</v>
          </cell>
          <cell r="E4492" t="str">
            <v>Bearings; parts, balls, needles and rollers</v>
          </cell>
          <cell r="F4492" t="str">
            <v>Parts &amp; Accessories</v>
          </cell>
          <cell r="G4492">
            <v>0</v>
          </cell>
          <cell r="H4492" t="str">
            <v>Parts &amp; Accessories</v>
          </cell>
          <cell r="I4492" t="str">
            <v>Parts &amp; Accessories</v>
          </cell>
          <cell r="J4492">
            <v>1</v>
          </cell>
          <cell r="K4492" t="str">
            <v>Parts &amp; Accessories</v>
          </cell>
        </row>
        <row r="4493">
          <cell r="D4493">
            <v>844230</v>
          </cell>
          <cell r="E4493" t="str">
            <v>Machinery, apparatus and equipment (excluding machines of heading no. 8456 to 8465) for preparing or making printing components</v>
          </cell>
          <cell r="F4493">
            <v>0</v>
          </cell>
          <cell r="G4493">
            <v>0</v>
          </cell>
          <cell r="H4493" t="str">
            <v>Capital Goods</v>
          </cell>
          <cell r="I4493" t="str">
            <v>Capital Goods</v>
          </cell>
          <cell r="J4493">
            <v>2</v>
          </cell>
          <cell r="K4493" t="str">
            <v>Capital Goods</v>
          </cell>
        </row>
        <row r="4494">
          <cell r="D4494">
            <v>732599</v>
          </cell>
          <cell r="E4494" t="str">
            <v>Iron or steel; cast articles, excluding grinding balls and similar articles for mills, other than of non-malleable cast iron</v>
          </cell>
          <cell r="F4494" t="str">
            <v>Capital Goods</v>
          </cell>
          <cell r="G4494">
            <v>0</v>
          </cell>
          <cell r="H4494">
            <v>0</v>
          </cell>
          <cell r="I4494" t="str">
            <v>Others</v>
          </cell>
          <cell r="J4494">
            <v>2</v>
          </cell>
          <cell r="K4494" t="str">
            <v>Parts &amp; Accessories</v>
          </cell>
        </row>
        <row r="4495">
          <cell r="D4495">
            <v>848320</v>
          </cell>
          <cell r="E4495" t="str">
            <v>Bearing housings, incorporating ball or roller bearings</v>
          </cell>
          <cell r="F4495" t="str">
            <v>Capital Goods</v>
          </cell>
          <cell r="G4495">
            <v>0</v>
          </cell>
          <cell r="H4495" t="str">
            <v>Parts &amp; Accessories</v>
          </cell>
          <cell r="I4495" t="str">
            <v>Parts &amp; Accessories</v>
          </cell>
          <cell r="J4495">
            <v>1</v>
          </cell>
          <cell r="K4495" t="str">
            <v>Parts &amp; Accessories</v>
          </cell>
        </row>
        <row r="4496">
          <cell r="D4496">
            <v>844311</v>
          </cell>
          <cell r="E4496" t="str">
            <v>Printing machinery; offset, reel-fed</v>
          </cell>
          <cell r="F4496" t="str">
            <v>Capital Goods</v>
          </cell>
          <cell r="G4496">
            <v>0</v>
          </cell>
          <cell r="H4496" t="str">
            <v>Capital Goods</v>
          </cell>
          <cell r="I4496" t="str">
            <v>Capital Goods</v>
          </cell>
          <cell r="J4496">
            <v>1</v>
          </cell>
          <cell r="K4496" t="str">
            <v>Capital Goods</v>
          </cell>
        </row>
        <row r="4497">
          <cell r="D4497">
            <v>844312</v>
          </cell>
          <cell r="E4497" t="str">
            <v>Printing machinery; offset, sheet-fed, office type (sheet size not exceeding 22 x 36cm in the unfolded state)</v>
          </cell>
          <cell r="F4497">
            <v>0</v>
          </cell>
          <cell r="G4497">
            <v>0</v>
          </cell>
          <cell r="H4497" t="str">
            <v>Capital Goods</v>
          </cell>
          <cell r="I4497" t="str">
            <v>Capital Goods</v>
          </cell>
          <cell r="J4497">
            <v>2</v>
          </cell>
          <cell r="K4497" t="str">
            <v>Capital Goods</v>
          </cell>
        </row>
        <row r="4498">
          <cell r="D4498">
            <v>844313</v>
          </cell>
          <cell r="E4498" t="str">
            <v>Printing machinery; offset, n.e.c. in item no. 8443.1</v>
          </cell>
          <cell r="F4498">
            <v>0</v>
          </cell>
          <cell r="G4498">
            <v>0</v>
          </cell>
          <cell r="H4498">
            <v>0</v>
          </cell>
          <cell r="I4498" t="str">
            <v>Capital Goods</v>
          </cell>
          <cell r="J4498">
            <v>3</v>
          </cell>
          <cell r="K4498" t="str">
            <v>Capital Goods</v>
          </cell>
        </row>
        <row r="4499">
          <cell r="D4499">
            <v>844314</v>
          </cell>
          <cell r="E4499" t="str">
            <v>Printing machinery; letterpress, reel-fed, excluding flexographic printing</v>
          </cell>
          <cell r="F4499">
            <v>0</v>
          </cell>
          <cell r="G4499">
            <v>0</v>
          </cell>
          <cell r="H4499">
            <v>0</v>
          </cell>
          <cell r="I4499" t="str">
            <v>Capital Goods</v>
          </cell>
          <cell r="J4499">
            <v>3</v>
          </cell>
          <cell r="K4499" t="str">
            <v>Capital Goods</v>
          </cell>
        </row>
        <row r="4500">
          <cell r="D4500">
            <v>844315</v>
          </cell>
          <cell r="E4500" t="str">
            <v>Printing machinery; letterpress, other than reel-fed, excluding flexographic printing</v>
          </cell>
          <cell r="F4500">
            <v>0</v>
          </cell>
          <cell r="G4500">
            <v>0</v>
          </cell>
          <cell r="H4500">
            <v>0</v>
          </cell>
          <cell r="I4500" t="str">
            <v>Capital Goods</v>
          </cell>
          <cell r="J4500">
            <v>3</v>
          </cell>
          <cell r="K4500" t="str">
            <v>Capital Goods</v>
          </cell>
        </row>
        <row r="4501">
          <cell r="D4501">
            <v>844316</v>
          </cell>
          <cell r="E4501" t="str">
            <v>Printing machinery; flexographic</v>
          </cell>
          <cell r="F4501">
            <v>0</v>
          </cell>
          <cell r="G4501">
            <v>0</v>
          </cell>
          <cell r="H4501">
            <v>0</v>
          </cell>
          <cell r="I4501" t="str">
            <v>Capital Goods</v>
          </cell>
          <cell r="J4501">
            <v>3</v>
          </cell>
          <cell r="K4501" t="str">
            <v>Capital Goods</v>
          </cell>
        </row>
        <row r="4502">
          <cell r="D4502">
            <v>844317</v>
          </cell>
          <cell r="E4502" t="str">
            <v>Printing machinery; gravure</v>
          </cell>
          <cell r="F4502">
            <v>0</v>
          </cell>
          <cell r="G4502">
            <v>0</v>
          </cell>
          <cell r="H4502">
            <v>0</v>
          </cell>
          <cell r="I4502" t="str">
            <v>Capital Goods</v>
          </cell>
          <cell r="J4502">
            <v>3</v>
          </cell>
          <cell r="K4502" t="str">
            <v>Capital Goods</v>
          </cell>
        </row>
        <row r="4503">
          <cell r="D4503">
            <v>844319</v>
          </cell>
          <cell r="E4503" t="str">
            <v>Printing machinery; used for printing by means of plates, cylinders and other printing components of heading 84.42, n.e.c. in item no. 8443.1</v>
          </cell>
          <cell r="F4503" t="str">
            <v>Capital Goods</v>
          </cell>
          <cell r="G4503">
            <v>0</v>
          </cell>
          <cell r="H4503" t="str">
            <v>Capital Goods</v>
          </cell>
          <cell r="I4503" t="str">
            <v>Capital Goods</v>
          </cell>
          <cell r="J4503">
            <v>1</v>
          </cell>
          <cell r="K4503" t="str">
            <v>Capital Goods</v>
          </cell>
        </row>
        <row r="4504">
          <cell r="D4504">
            <v>844331</v>
          </cell>
          <cell r="E4504" t="str">
            <v>Printing, copying, and facsimile machines; machines which perform two or more of the functions of printing, copying or facsimile transmission, capable of connecting to an automatic data processing machine or to a network</v>
          </cell>
          <cell r="F4504" t="str">
            <v>Capital Goods</v>
          </cell>
          <cell r="G4504">
            <v>0</v>
          </cell>
          <cell r="H4504">
            <v>0</v>
          </cell>
          <cell r="I4504" t="str">
            <v>Capital Goods</v>
          </cell>
          <cell r="J4504">
            <v>2</v>
          </cell>
          <cell r="K4504" t="str">
            <v>Capital Goods - rc</v>
          </cell>
        </row>
        <row r="4505">
          <cell r="D4505">
            <v>844332</v>
          </cell>
          <cell r="E4505" t="str">
            <v>Printing, copying, and facsimile machines; single-function printing, copying or facsimile machines, capable of connecting to an automatic data processing machine or to a network</v>
          </cell>
          <cell r="F4505" t="str">
            <v>Capital Goods</v>
          </cell>
          <cell r="G4505">
            <v>0</v>
          </cell>
          <cell r="H4505">
            <v>0</v>
          </cell>
          <cell r="I4505" t="str">
            <v>Capital Goods</v>
          </cell>
          <cell r="J4505">
            <v>2</v>
          </cell>
          <cell r="K4505" t="str">
            <v>Durable</v>
          </cell>
        </row>
        <row r="4506">
          <cell r="D4506">
            <v>844339</v>
          </cell>
          <cell r="E4506" t="str">
            <v>Printing, copying, and facsimile machines; single-function printing, copying or facsimile machines, not capable of connecting to an automatic data processing machine or to a network</v>
          </cell>
          <cell r="F4506" t="str">
            <v>Capital Goods</v>
          </cell>
          <cell r="G4506">
            <v>0</v>
          </cell>
          <cell r="H4506">
            <v>0</v>
          </cell>
          <cell r="I4506" t="str">
            <v>Capital Goods</v>
          </cell>
          <cell r="J4506">
            <v>2</v>
          </cell>
          <cell r="K4506" t="str">
            <v>Capital Goods</v>
          </cell>
        </row>
        <row r="4507">
          <cell r="D4507">
            <v>844391</v>
          </cell>
          <cell r="E4507" t="str">
            <v>Printing machinery used for printing by means of plates, cylinders and other printing components of heading 8442; parts and accessories</v>
          </cell>
          <cell r="F4507" t="str">
            <v>Parts &amp; Accessories</v>
          </cell>
          <cell r="G4507">
            <v>0</v>
          </cell>
          <cell r="H4507">
            <v>0</v>
          </cell>
          <cell r="I4507" t="str">
            <v>Capital Goods</v>
          </cell>
          <cell r="J4507">
            <v>2</v>
          </cell>
          <cell r="K4507" t="str">
            <v>Capital Goods</v>
          </cell>
        </row>
        <row r="4508">
          <cell r="D4508">
            <v>844399</v>
          </cell>
          <cell r="E4508" t="str">
            <v>Printing machinery; parts and accessories, n.e.c. in item no. 8443.91</v>
          </cell>
          <cell r="F4508" t="str">
            <v>Parts &amp; Accessories</v>
          </cell>
          <cell r="G4508">
            <v>0</v>
          </cell>
          <cell r="H4508">
            <v>0</v>
          </cell>
          <cell r="I4508" t="str">
            <v>Capital Goods</v>
          </cell>
          <cell r="J4508">
            <v>2</v>
          </cell>
          <cell r="K4508" t="str">
            <v>Parts &amp; Accessories - rc</v>
          </cell>
        </row>
        <row r="4509">
          <cell r="D4509">
            <v>844400</v>
          </cell>
          <cell r="E4509" t="str">
            <v>Textile machinery; for extruding, drawing, texturing or cutting man-made textile materials</v>
          </cell>
          <cell r="F4509" t="str">
            <v>Capital Goods</v>
          </cell>
          <cell r="G4509">
            <v>0</v>
          </cell>
          <cell r="H4509" t="str">
            <v>Capital Goods</v>
          </cell>
          <cell r="I4509" t="str">
            <v>Capital Goods</v>
          </cell>
          <cell r="J4509">
            <v>1</v>
          </cell>
          <cell r="K4509" t="str">
            <v>Capital Goods</v>
          </cell>
        </row>
        <row r="4510">
          <cell r="D4510">
            <v>844511</v>
          </cell>
          <cell r="E4510" t="str">
            <v>Textile machinery; carding machines for preparing textile fibres</v>
          </cell>
          <cell r="F4510">
            <v>0</v>
          </cell>
          <cell r="G4510">
            <v>0</v>
          </cell>
          <cell r="H4510">
            <v>0</v>
          </cell>
          <cell r="I4510" t="str">
            <v>Capital Goods</v>
          </cell>
          <cell r="J4510">
            <v>3</v>
          </cell>
          <cell r="K4510" t="str">
            <v>Capital Goods</v>
          </cell>
        </row>
        <row r="4511">
          <cell r="D4511">
            <v>844512</v>
          </cell>
          <cell r="E4511" t="str">
            <v>Textile machinery; combing machines for preparing textile fibres</v>
          </cell>
          <cell r="F4511">
            <v>0</v>
          </cell>
          <cell r="G4511">
            <v>0</v>
          </cell>
          <cell r="H4511">
            <v>0</v>
          </cell>
          <cell r="I4511" t="str">
            <v>Capital Goods</v>
          </cell>
          <cell r="J4511">
            <v>3</v>
          </cell>
          <cell r="K4511" t="str">
            <v>Capital Goods</v>
          </cell>
        </row>
        <row r="4512">
          <cell r="D4512">
            <v>844513</v>
          </cell>
          <cell r="E4512" t="str">
            <v>Textile machinery; drawing or roving machines for preparing textile fibres</v>
          </cell>
          <cell r="F4512">
            <v>0</v>
          </cell>
          <cell r="G4512">
            <v>0</v>
          </cell>
          <cell r="H4512">
            <v>0</v>
          </cell>
          <cell r="I4512" t="str">
            <v>Capital Goods</v>
          </cell>
          <cell r="J4512">
            <v>3</v>
          </cell>
          <cell r="K4512" t="str">
            <v>Capital Goods</v>
          </cell>
        </row>
        <row r="4513">
          <cell r="D4513">
            <v>844519</v>
          </cell>
          <cell r="E4513" t="str">
            <v>Textile machinery; n.e.c. in heading no. 8445, for preparing textile fibres</v>
          </cell>
          <cell r="F4513">
            <v>0</v>
          </cell>
          <cell r="G4513">
            <v>0</v>
          </cell>
          <cell r="H4513">
            <v>0</v>
          </cell>
          <cell r="I4513" t="str">
            <v>Capital Goods</v>
          </cell>
          <cell r="J4513">
            <v>3</v>
          </cell>
          <cell r="K4513" t="str">
            <v>Capital Goods</v>
          </cell>
        </row>
        <row r="4514">
          <cell r="D4514">
            <v>844520</v>
          </cell>
          <cell r="E4514" t="str">
            <v>Textile machinery; spinning machines</v>
          </cell>
          <cell r="F4514">
            <v>0</v>
          </cell>
          <cell r="G4514">
            <v>0</v>
          </cell>
          <cell r="H4514">
            <v>0</v>
          </cell>
          <cell r="I4514" t="str">
            <v>Capital Goods</v>
          </cell>
          <cell r="J4514">
            <v>3</v>
          </cell>
          <cell r="K4514" t="str">
            <v>Capital Goods</v>
          </cell>
        </row>
        <row r="4515">
          <cell r="D4515">
            <v>844530</v>
          </cell>
          <cell r="E4515" t="str">
            <v>Textile machinery; doubling or twisting machines</v>
          </cell>
          <cell r="F4515">
            <v>0</v>
          </cell>
          <cell r="G4515">
            <v>0</v>
          </cell>
          <cell r="H4515">
            <v>0</v>
          </cell>
          <cell r="I4515" t="str">
            <v>Capital Goods</v>
          </cell>
          <cell r="J4515">
            <v>3</v>
          </cell>
          <cell r="K4515" t="str">
            <v>Capital Goods</v>
          </cell>
        </row>
        <row r="4516">
          <cell r="D4516">
            <v>844540</v>
          </cell>
          <cell r="E4516" t="str">
            <v>Textile machinery; winding (including weft-winding) or reeling machines</v>
          </cell>
          <cell r="F4516">
            <v>0</v>
          </cell>
          <cell r="G4516">
            <v>0</v>
          </cell>
          <cell r="H4516">
            <v>0</v>
          </cell>
          <cell r="I4516" t="str">
            <v>Capital Goods</v>
          </cell>
          <cell r="J4516">
            <v>3</v>
          </cell>
          <cell r="K4516" t="str">
            <v>Capital Goods</v>
          </cell>
        </row>
        <row r="4517">
          <cell r="D4517">
            <v>844590</v>
          </cell>
          <cell r="E4517" t="str">
            <v>Textile machinery; involved in textile fibre or textile yarn preparation and n.e.c. in heading no. 8445</v>
          </cell>
          <cell r="F4517">
            <v>0</v>
          </cell>
          <cell r="G4517">
            <v>0</v>
          </cell>
          <cell r="H4517">
            <v>0</v>
          </cell>
          <cell r="I4517" t="str">
            <v>Capital Goods</v>
          </cell>
          <cell r="J4517">
            <v>3</v>
          </cell>
          <cell r="K4517" t="str">
            <v>Capital Goods</v>
          </cell>
        </row>
        <row r="4518">
          <cell r="D4518">
            <v>844610</v>
          </cell>
          <cell r="E4518" t="str">
            <v>Weaving machines (looms); for weaving fabrics of a width 30cm or less</v>
          </cell>
          <cell r="F4518">
            <v>0</v>
          </cell>
          <cell r="G4518">
            <v>0</v>
          </cell>
          <cell r="H4518">
            <v>0</v>
          </cell>
          <cell r="I4518" t="str">
            <v>Capital Goods</v>
          </cell>
          <cell r="J4518">
            <v>3</v>
          </cell>
          <cell r="K4518" t="str">
            <v>Capital Goods</v>
          </cell>
        </row>
        <row r="4519">
          <cell r="D4519">
            <v>844621</v>
          </cell>
          <cell r="E4519" t="str">
            <v>Weaving machines (looms); for weaving fabrics of a width exceeding 30cm, shuttle type, power looms</v>
          </cell>
          <cell r="F4519">
            <v>0</v>
          </cell>
          <cell r="G4519">
            <v>0</v>
          </cell>
          <cell r="H4519">
            <v>0</v>
          </cell>
          <cell r="I4519" t="str">
            <v>Capital Goods</v>
          </cell>
          <cell r="J4519">
            <v>3</v>
          </cell>
          <cell r="K4519" t="str">
            <v>Capital Goods</v>
          </cell>
        </row>
        <row r="4520">
          <cell r="D4520">
            <v>844629</v>
          </cell>
          <cell r="E4520" t="str">
            <v>Weaving machines (looms); for weaving fabrics of a width exceeding 30cm, shuttle type, other than power looms</v>
          </cell>
          <cell r="F4520">
            <v>0</v>
          </cell>
          <cell r="G4520">
            <v>0</v>
          </cell>
          <cell r="H4520">
            <v>0</v>
          </cell>
          <cell r="I4520" t="str">
            <v>Capital Goods</v>
          </cell>
          <cell r="J4520">
            <v>3</v>
          </cell>
          <cell r="K4520" t="str">
            <v>Capital Goods</v>
          </cell>
        </row>
        <row r="4521">
          <cell r="D4521">
            <v>844630</v>
          </cell>
          <cell r="E4521" t="str">
            <v>Weaving machines (looms); for weaving fabrics of a width exceeding 30cm, shuttleless type</v>
          </cell>
          <cell r="F4521">
            <v>0</v>
          </cell>
          <cell r="G4521">
            <v>0</v>
          </cell>
          <cell r="H4521">
            <v>0</v>
          </cell>
          <cell r="I4521" t="str">
            <v>Capital Goods</v>
          </cell>
          <cell r="J4521">
            <v>3</v>
          </cell>
          <cell r="K4521" t="str">
            <v>Capital Goods</v>
          </cell>
        </row>
        <row r="4522">
          <cell r="D4522">
            <v>844711</v>
          </cell>
          <cell r="E4522" t="str">
            <v>Knitting machines; circular, with cylinder diameter not exceeding 165mm</v>
          </cell>
          <cell r="F4522">
            <v>0</v>
          </cell>
          <cell r="G4522">
            <v>0</v>
          </cell>
          <cell r="H4522">
            <v>0</v>
          </cell>
          <cell r="I4522" t="str">
            <v>Capital Goods</v>
          </cell>
          <cell r="J4522">
            <v>3</v>
          </cell>
          <cell r="K4522" t="str">
            <v>Capital Goods</v>
          </cell>
        </row>
        <row r="4523">
          <cell r="D4523">
            <v>844712</v>
          </cell>
          <cell r="E4523" t="str">
            <v>Knitting machines; circular, with cylinder diameter exceeding 165mm</v>
          </cell>
          <cell r="F4523">
            <v>0</v>
          </cell>
          <cell r="G4523">
            <v>0</v>
          </cell>
          <cell r="H4523">
            <v>0</v>
          </cell>
          <cell r="I4523" t="str">
            <v>Capital Goods</v>
          </cell>
          <cell r="J4523">
            <v>3</v>
          </cell>
          <cell r="K4523" t="str">
            <v>Capital Goods</v>
          </cell>
        </row>
        <row r="4524">
          <cell r="D4524">
            <v>844720</v>
          </cell>
          <cell r="E4524" t="str">
            <v>Knitting machines; flat, stitch-bonding machines</v>
          </cell>
          <cell r="F4524">
            <v>0</v>
          </cell>
          <cell r="G4524">
            <v>0</v>
          </cell>
          <cell r="H4524">
            <v>0</v>
          </cell>
          <cell r="I4524" t="str">
            <v>Capital Goods</v>
          </cell>
          <cell r="J4524">
            <v>3</v>
          </cell>
          <cell r="K4524" t="str">
            <v>Capital Goods</v>
          </cell>
        </row>
        <row r="4525">
          <cell r="D4525">
            <v>844790</v>
          </cell>
          <cell r="E4525" t="str">
            <v>Machines; for making gimped yarn, tulle, lace, embroidery, trimmings, braid or net and machines for tufting</v>
          </cell>
          <cell r="F4525">
            <v>0</v>
          </cell>
          <cell r="G4525">
            <v>0</v>
          </cell>
          <cell r="H4525">
            <v>0</v>
          </cell>
          <cell r="I4525" t="str">
            <v>Capital Goods</v>
          </cell>
          <cell r="J4525">
            <v>3</v>
          </cell>
          <cell r="K4525" t="str">
            <v>Capital Goods</v>
          </cell>
        </row>
        <row r="4526">
          <cell r="D4526">
            <v>853321</v>
          </cell>
          <cell r="E4526" t="str">
            <v>Electrical resistors; fixed, for a power handling capacity not exceeding 20W (including rheostats and potentiometers but excluding heating resistors and carbon resistors)</v>
          </cell>
          <cell r="F4526" t="str">
            <v>Parts &amp; Accessories</v>
          </cell>
          <cell r="G4526">
            <v>0</v>
          </cell>
          <cell r="H4526">
            <v>0</v>
          </cell>
          <cell r="I4526" t="str">
            <v>Parts &amp; Accessories</v>
          </cell>
          <cell r="J4526">
            <v>2</v>
          </cell>
          <cell r="K4526" t="str">
            <v>Parts &amp; Accessories</v>
          </cell>
        </row>
        <row r="4527">
          <cell r="D4527">
            <v>844820</v>
          </cell>
          <cell r="E4527" t="str">
            <v>Machines; parts and accessories of machines or auxiliary machinery of heading no. 8444</v>
          </cell>
          <cell r="F4527" t="str">
            <v>Parts &amp; Accessories</v>
          </cell>
          <cell r="G4527">
            <v>0</v>
          </cell>
          <cell r="H4527" t="str">
            <v>Parts &amp; Accessories</v>
          </cell>
          <cell r="I4527" t="str">
            <v>Parts &amp; Accessories</v>
          </cell>
          <cell r="J4527">
            <v>1</v>
          </cell>
          <cell r="K4527" t="str">
            <v>Parts &amp; Accessories</v>
          </cell>
        </row>
        <row r="4528">
          <cell r="D4528">
            <v>844849</v>
          </cell>
          <cell r="E4528" t="str">
            <v>Weaving machines (looms); parts including their auxiliary machinery, and accessories thereof n.e.c. in item no. 8448.4</v>
          </cell>
          <cell r="F4528">
            <v>0</v>
          </cell>
          <cell r="G4528">
            <v>0</v>
          </cell>
          <cell r="H4528">
            <v>0</v>
          </cell>
          <cell r="I4528" t="str">
            <v>Parts &amp; Accessories</v>
          </cell>
          <cell r="J4528">
            <v>3</v>
          </cell>
          <cell r="K4528" t="str">
            <v>Parts &amp; Accessories</v>
          </cell>
        </row>
        <row r="4529">
          <cell r="D4529">
            <v>853210</v>
          </cell>
          <cell r="E4529" t="str">
            <v>Electrical capacitors; fixed, designed for use in 50/60 Hz circuits and having a reactive power handling capacity of not less than 0.5 kvar (power capacitors)</v>
          </cell>
          <cell r="F4529" t="str">
            <v>Parts &amp; Accessories</v>
          </cell>
          <cell r="G4529">
            <v>0</v>
          </cell>
          <cell r="H4529">
            <v>0</v>
          </cell>
          <cell r="I4529" t="str">
            <v>Parts &amp; Accessories</v>
          </cell>
          <cell r="J4529">
            <v>2</v>
          </cell>
          <cell r="K4529" t="str">
            <v>Parts &amp; Accessories</v>
          </cell>
        </row>
        <row r="4530">
          <cell r="D4530">
            <v>741980</v>
          </cell>
          <cell r="E4530" t="str">
            <v>Copper; articles thereof n.e.c. in chapter 74</v>
          </cell>
          <cell r="F4530" t="str">
            <v>Capital Goods</v>
          </cell>
          <cell r="G4530">
            <v>0</v>
          </cell>
          <cell r="H4530">
            <v>0</v>
          </cell>
          <cell r="I4530" t="str">
            <v>Others</v>
          </cell>
          <cell r="J4530">
            <v>2</v>
          </cell>
          <cell r="K4530" t="str">
            <v>Parts &amp; Accessories</v>
          </cell>
        </row>
        <row r="4531">
          <cell r="D4531">
            <v>843890</v>
          </cell>
          <cell r="E4531" t="str">
            <v>Machinery; parts of those machines used in the industrial preparation or manufacture of food or drink</v>
          </cell>
          <cell r="F4531" t="str">
            <v>Parts &amp; Accessories</v>
          </cell>
          <cell r="G4531">
            <v>0</v>
          </cell>
          <cell r="H4531" t="str">
            <v>Parts &amp; Accessories</v>
          </cell>
          <cell r="I4531" t="str">
            <v>Parts &amp; Accessories</v>
          </cell>
          <cell r="J4531">
            <v>1</v>
          </cell>
          <cell r="K4531" t="str">
            <v>Parts &amp; Accessories</v>
          </cell>
        </row>
        <row r="4532">
          <cell r="D4532">
            <v>851140</v>
          </cell>
          <cell r="E4532" t="str">
            <v>Ignition or starting equipment; starter motors and dual purpose starter-generators, of a kind used for spark or compression-ignition internal combustion engines</v>
          </cell>
          <cell r="F4532">
            <v>0</v>
          </cell>
          <cell r="G4532">
            <v>0</v>
          </cell>
          <cell r="H4532" t="str">
            <v>Parts &amp; Accessories</v>
          </cell>
          <cell r="I4532" t="str">
            <v>Parts &amp; Accessories</v>
          </cell>
          <cell r="J4532">
            <v>2</v>
          </cell>
          <cell r="K4532" t="str">
            <v>Parts &amp; Accessories</v>
          </cell>
        </row>
        <row r="4533">
          <cell r="D4533">
            <v>853180</v>
          </cell>
          <cell r="E4533" t="str">
            <v>Signalling apparatus; electric, sound or visual, apparatus n.e.c. in heading no. 8531, excluding those of heading no. 8512 or 8530</v>
          </cell>
          <cell r="F4533" t="str">
            <v>Capital Goods</v>
          </cell>
          <cell r="G4533">
            <v>0</v>
          </cell>
          <cell r="H4533">
            <v>0</v>
          </cell>
          <cell r="I4533" t="str">
            <v>Capital Goods</v>
          </cell>
          <cell r="J4533">
            <v>2</v>
          </cell>
          <cell r="K4533" t="str">
            <v>Parts &amp; Accessories</v>
          </cell>
        </row>
        <row r="4534">
          <cell r="D4534">
            <v>391740</v>
          </cell>
          <cell r="E4534" t="str">
            <v>Plastics; tube, pipe and hose fittings (e.g. joints, elbows, flanges)</v>
          </cell>
          <cell r="F4534" t="str">
            <v>Capital Goods</v>
          </cell>
          <cell r="G4534">
            <v>0</v>
          </cell>
          <cell r="H4534">
            <v>0</v>
          </cell>
          <cell r="I4534" t="str">
            <v>Others</v>
          </cell>
          <cell r="J4534">
            <v>2</v>
          </cell>
          <cell r="K4534" t="str">
            <v>Parts &amp; Accessories</v>
          </cell>
        </row>
        <row r="4535">
          <cell r="D4535">
            <v>391732</v>
          </cell>
          <cell r="E4535" t="str">
            <v>Plastics; tubes, pipes and hoses thereof, other than those of item no. 3917.31, not reinforced or otherwise combined with other materials, without fittings</v>
          </cell>
          <cell r="F4535" t="str">
            <v>Capital Goods</v>
          </cell>
          <cell r="G4535">
            <v>0</v>
          </cell>
          <cell r="H4535">
            <v>0</v>
          </cell>
          <cell r="I4535" t="str">
            <v>Others</v>
          </cell>
          <cell r="J4535">
            <v>2</v>
          </cell>
          <cell r="K4535" t="str">
            <v>Parts &amp; Accessories</v>
          </cell>
        </row>
        <row r="4536">
          <cell r="D4536">
            <v>848140</v>
          </cell>
          <cell r="E4536" t="str">
            <v>Valves; safety or relief valves, for pipes, boiler shells, tanks, vats or the like</v>
          </cell>
          <cell r="F4536" t="str">
            <v>Capital Goods</v>
          </cell>
          <cell r="G4536">
            <v>0</v>
          </cell>
          <cell r="H4536" t="str">
            <v>Parts &amp; Accessories</v>
          </cell>
          <cell r="I4536" t="str">
            <v>Parts &amp; Accessories</v>
          </cell>
          <cell r="J4536">
            <v>1</v>
          </cell>
          <cell r="K4536" t="str">
            <v>Parts &amp; Accessories</v>
          </cell>
        </row>
        <row r="4537">
          <cell r="D4537">
            <v>844900</v>
          </cell>
          <cell r="E4537" t="str">
            <v>Machinery; for manufacture or finishing felt or non-wovens in the piece or in shapes, including machinery for making felt hats, blocks for making hats</v>
          </cell>
          <cell r="F4537" t="str">
            <v>Capital Goods</v>
          </cell>
          <cell r="G4537">
            <v>0</v>
          </cell>
          <cell r="H4537" t="str">
            <v>Capital Goods</v>
          </cell>
          <cell r="I4537" t="str">
            <v>Capital Goods</v>
          </cell>
          <cell r="J4537">
            <v>1</v>
          </cell>
          <cell r="K4537" t="str">
            <v>Capital Goods</v>
          </cell>
        </row>
        <row r="4538">
          <cell r="D4538">
            <v>844911</v>
          </cell>
          <cell r="E4538" t="str">
            <v>Blocks for making hats</v>
          </cell>
          <cell r="F4538">
            <v>0</v>
          </cell>
          <cell r="G4538">
            <v>0</v>
          </cell>
          <cell r="H4538" t="str">
            <v>Parts &amp; Accessories</v>
          </cell>
          <cell r="I4538">
            <v>0</v>
          </cell>
          <cell r="J4538">
            <v>3</v>
          </cell>
          <cell r="K4538" t="str">
            <v>Capital Goods - No data</v>
          </cell>
        </row>
        <row r="4539">
          <cell r="D4539">
            <v>844919</v>
          </cell>
          <cell r="E4539" t="str">
            <v>Parts of machinery for the manufacture or finishing of felt or nonwovens in the piece or in shapes</v>
          </cell>
          <cell r="F4539">
            <v>0</v>
          </cell>
          <cell r="G4539">
            <v>0</v>
          </cell>
          <cell r="H4539" t="str">
            <v>Parts &amp; Accessories</v>
          </cell>
          <cell r="I4539">
            <v>0</v>
          </cell>
          <cell r="J4539">
            <v>3</v>
          </cell>
          <cell r="K4539" t="str">
            <v>Capital Goods - No data</v>
          </cell>
        </row>
        <row r="4540">
          <cell r="D4540">
            <v>845010</v>
          </cell>
          <cell r="E4540" t="str">
            <v>Household or laundry-type washing machines, including machines which both wash and dry</v>
          </cell>
          <cell r="F4540">
            <v>0</v>
          </cell>
          <cell r="G4540">
            <v>0</v>
          </cell>
          <cell r="H4540" t="str">
            <v>Others</v>
          </cell>
          <cell r="I4540">
            <v>0</v>
          </cell>
          <cell r="J4540">
            <v>3</v>
          </cell>
          <cell r="K4540" t="str">
            <v>Durable</v>
          </cell>
        </row>
        <row r="4541">
          <cell r="D4541">
            <v>845011</v>
          </cell>
          <cell r="E4541" t="str">
            <v>Washing machines; household or laundry-type, fully-automatic, (of a dry linen capacity not exceeding 10kg)</v>
          </cell>
          <cell r="F4541" t="str">
            <v>Capital Goods</v>
          </cell>
          <cell r="G4541">
            <v>0</v>
          </cell>
          <cell r="H4541">
            <v>0</v>
          </cell>
          <cell r="I4541" t="str">
            <v>Durable</v>
          </cell>
          <cell r="J4541">
            <v>2</v>
          </cell>
          <cell r="K4541" t="str">
            <v>Durable</v>
          </cell>
        </row>
        <row r="4542">
          <cell r="D4542">
            <v>845012</v>
          </cell>
          <cell r="E4542" t="str">
            <v>Washing machines; household or laundry-type, with built-in centrifugal drier, (not fully-automatic), of a dry linen capacity not exceeding 10kg</v>
          </cell>
          <cell r="F4542">
            <v>0</v>
          </cell>
          <cell r="G4542">
            <v>0</v>
          </cell>
          <cell r="H4542">
            <v>0</v>
          </cell>
          <cell r="I4542" t="str">
            <v>Durable</v>
          </cell>
          <cell r="J4542">
            <v>3</v>
          </cell>
          <cell r="K4542" t="str">
            <v>Durable</v>
          </cell>
        </row>
        <row r="4543">
          <cell r="D4543">
            <v>845019</v>
          </cell>
          <cell r="E4543" t="str">
            <v>Washing machines; household or laundry-type, not fully-automatic, without built-in centrifugal drier, of a dry linen capacity not exceeding 10kg</v>
          </cell>
          <cell r="F4543" t="str">
            <v>Capital Goods</v>
          </cell>
          <cell r="G4543">
            <v>0</v>
          </cell>
          <cell r="H4543">
            <v>0</v>
          </cell>
          <cell r="I4543" t="str">
            <v>Durable</v>
          </cell>
          <cell r="J4543">
            <v>2</v>
          </cell>
          <cell r="K4543" t="str">
            <v>Durable</v>
          </cell>
        </row>
        <row r="4544">
          <cell r="D4544">
            <v>845020</v>
          </cell>
          <cell r="E4544" t="str">
            <v>Washing machines; household or laundry-type, of a dry linen capacity exceeding 10kg</v>
          </cell>
          <cell r="F4544" t="str">
            <v>Others</v>
          </cell>
          <cell r="G4544">
            <v>0</v>
          </cell>
          <cell r="H4544">
            <v>0</v>
          </cell>
          <cell r="I4544" t="str">
            <v>Durable</v>
          </cell>
          <cell r="J4544">
            <v>2</v>
          </cell>
          <cell r="K4544" t="str">
            <v>Durable</v>
          </cell>
        </row>
        <row r="4545">
          <cell r="D4545">
            <v>845090</v>
          </cell>
          <cell r="E4545" t="str">
            <v>Washing machines; parts for household or laundry-type</v>
          </cell>
          <cell r="F4545" t="str">
            <v>Capital Goods</v>
          </cell>
          <cell r="G4545">
            <v>0</v>
          </cell>
          <cell r="H4545" t="str">
            <v>Others</v>
          </cell>
          <cell r="I4545" t="str">
            <v>Parts &amp; Accessories</v>
          </cell>
          <cell r="J4545">
            <v>1</v>
          </cell>
          <cell r="K4545" t="str">
            <v>Parts &amp; Accessories - rc</v>
          </cell>
        </row>
        <row r="4546">
          <cell r="D4546">
            <v>845110</v>
          </cell>
          <cell r="E4546" t="str">
            <v>Dry-cleaning machines</v>
          </cell>
          <cell r="F4546">
            <v>0</v>
          </cell>
          <cell r="G4546">
            <v>0</v>
          </cell>
          <cell r="H4546" t="str">
            <v>Capital Goods</v>
          </cell>
          <cell r="I4546" t="str">
            <v>Capital Goods</v>
          </cell>
          <cell r="J4546">
            <v>2</v>
          </cell>
          <cell r="K4546" t="str">
            <v>Capital Goods</v>
          </cell>
        </row>
        <row r="4547">
          <cell r="D4547">
            <v>845120</v>
          </cell>
          <cell r="E4547" t="str">
            <v>Machinery for reeling, unreeling, folding, cutting or pinking textile fabrics</v>
          </cell>
          <cell r="F4547">
            <v>0</v>
          </cell>
          <cell r="G4547">
            <v>0</v>
          </cell>
          <cell r="H4547" t="str">
            <v>Capital Goods</v>
          </cell>
          <cell r="I4547">
            <v>0</v>
          </cell>
          <cell r="J4547">
            <v>3</v>
          </cell>
          <cell r="K4547" t="str">
            <v>Capital Goods - No data</v>
          </cell>
        </row>
        <row r="4548">
          <cell r="D4548">
            <v>845121</v>
          </cell>
          <cell r="E4548" t="str">
            <v>Drying machines; of a dry linen capacity not exceeding 10kg</v>
          </cell>
          <cell r="F4548" t="str">
            <v>Capital Goods</v>
          </cell>
          <cell r="G4548">
            <v>0</v>
          </cell>
          <cell r="H4548">
            <v>0</v>
          </cell>
          <cell r="I4548" t="str">
            <v>Durable</v>
          </cell>
          <cell r="J4548">
            <v>2</v>
          </cell>
          <cell r="K4548" t="str">
            <v>Durable</v>
          </cell>
        </row>
        <row r="4549">
          <cell r="D4549">
            <v>845129</v>
          </cell>
          <cell r="E4549" t="str">
            <v>Drying machines; of a dry linen capacity exceeding 10kg</v>
          </cell>
          <cell r="F4549">
            <v>0</v>
          </cell>
          <cell r="G4549">
            <v>0</v>
          </cell>
          <cell r="H4549">
            <v>0</v>
          </cell>
          <cell r="I4549" t="str">
            <v>Capital Goods</v>
          </cell>
          <cell r="J4549">
            <v>3</v>
          </cell>
          <cell r="K4549" t="str">
            <v>Capital Goods</v>
          </cell>
        </row>
        <row r="4550">
          <cell r="D4550">
            <v>845130</v>
          </cell>
          <cell r="E4550" t="str">
            <v>Ironing machines and presses (including fusing presses)</v>
          </cell>
          <cell r="F4550" t="str">
            <v>Capital Goods</v>
          </cell>
          <cell r="G4550">
            <v>0</v>
          </cell>
          <cell r="H4550">
            <v>0</v>
          </cell>
          <cell r="I4550" t="str">
            <v>Capital Goods</v>
          </cell>
          <cell r="J4550">
            <v>2</v>
          </cell>
          <cell r="K4550" t="str">
            <v>Capital Goods</v>
          </cell>
        </row>
        <row r="4551">
          <cell r="D4551">
            <v>845140</v>
          </cell>
          <cell r="E4551" t="str">
            <v>Machines; for washing, bleaching or dyeing</v>
          </cell>
          <cell r="F4551">
            <v>0</v>
          </cell>
          <cell r="G4551">
            <v>0</v>
          </cell>
          <cell r="H4551">
            <v>0</v>
          </cell>
          <cell r="I4551" t="str">
            <v>Capital Goods</v>
          </cell>
          <cell r="J4551">
            <v>3</v>
          </cell>
          <cell r="K4551" t="str">
            <v>Capital Goods</v>
          </cell>
        </row>
        <row r="4552">
          <cell r="D4552">
            <v>845150</v>
          </cell>
          <cell r="E4552" t="str">
            <v>Machines; for reeling, unreeling, folding, cutting or pinking textile fabrics</v>
          </cell>
          <cell r="F4552">
            <v>0</v>
          </cell>
          <cell r="G4552">
            <v>0</v>
          </cell>
          <cell r="H4552">
            <v>0</v>
          </cell>
          <cell r="I4552" t="str">
            <v>Capital Goods</v>
          </cell>
          <cell r="J4552">
            <v>3</v>
          </cell>
          <cell r="K4552" t="str">
            <v>Capital Goods</v>
          </cell>
        </row>
        <row r="4553">
          <cell r="D4553">
            <v>845180</v>
          </cell>
          <cell r="E4553" t="str">
            <v>Machinery; for wringing, dressing, finishing, coating or impregnating textile yarns, fabrics or made up textile articles; for applying paste to base fabric used in manufacture of floor coverings</v>
          </cell>
          <cell r="F4553">
            <v>0</v>
          </cell>
          <cell r="G4553">
            <v>0</v>
          </cell>
          <cell r="H4553">
            <v>0</v>
          </cell>
          <cell r="I4553" t="str">
            <v>Capital Goods</v>
          </cell>
          <cell r="J4553">
            <v>3</v>
          </cell>
          <cell r="K4553" t="str">
            <v>Capital Goods</v>
          </cell>
        </row>
        <row r="4554">
          <cell r="D4554">
            <v>391739</v>
          </cell>
          <cell r="E4554" t="str">
            <v>Plastics; tubes, pipes and hoses thereof, n.e.c. in item no. 3917.30</v>
          </cell>
          <cell r="F4554" t="str">
            <v>Capital Goods</v>
          </cell>
          <cell r="G4554">
            <v>0</v>
          </cell>
          <cell r="H4554">
            <v>0</v>
          </cell>
          <cell r="I4554" t="str">
            <v>Others</v>
          </cell>
          <cell r="J4554">
            <v>2</v>
          </cell>
          <cell r="K4554" t="str">
            <v>Parts &amp; Accessories</v>
          </cell>
        </row>
        <row r="4555">
          <cell r="D4555">
            <v>845210</v>
          </cell>
          <cell r="E4555" t="str">
            <v>Sewing machines; of the household type</v>
          </cell>
          <cell r="F4555">
            <v>0</v>
          </cell>
          <cell r="G4555">
            <v>0</v>
          </cell>
          <cell r="H4555" t="str">
            <v>Capital Goods</v>
          </cell>
          <cell r="I4555" t="str">
            <v>Durable</v>
          </cell>
          <cell r="J4555">
            <v>2</v>
          </cell>
          <cell r="K4555" t="str">
            <v>Durable</v>
          </cell>
        </row>
        <row r="4556">
          <cell r="D4556">
            <v>845221</v>
          </cell>
          <cell r="E4556" t="str">
            <v>Sewing machines; (not household type), automatic units</v>
          </cell>
          <cell r="F4556">
            <v>0</v>
          </cell>
          <cell r="G4556">
            <v>0</v>
          </cell>
          <cell r="H4556" t="str">
            <v>Capital Goods</v>
          </cell>
          <cell r="I4556" t="str">
            <v>Capital Goods</v>
          </cell>
          <cell r="J4556">
            <v>2</v>
          </cell>
          <cell r="K4556" t="str">
            <v>Capital Goods</v>
          </cell>
        </row>
        <row r="4557">
          <cell r="D4557">
            <v>845229</v>
          </cell>
          <cell r="E4557" t="str">
            <v>Sewing machines; not household or automatic unit type</v>
          </cell>
          <cell r="F4557" t="str">
            <v>Capital Goods</v>
          </cell>
          <cell r="G4557">
            <v>0</v>
          </cell>
          <cell r="H4557" t="str">
            <v>Capital Goods</v>
          </cell>
          <cell r="I4557" t="str">
            <v>Capital Goods</v>
          </cell>
          <cell r="J4557">
            <v>1</v>
          </cell>
          <cell r="K4557" t="str">
            <v>Capital Goods</v>
          </cell>
        </row>
        <row r="4558">
          <cell r="D4558">
            <v>853329</v>
          </cell>
          <cell r="E4558" t="str">
            <v>Electrical resistors; fixed, for a power handling capacity exceeding 20W (including rheostats and potentiometers but excluding heating resistors and carbon resistors)</v>
          </cell>
          <cell r="F4558" t="str">
            <v>Parts &amp; Accessories</v>
          </cell>
          <cell r="G4558">
            <v>0</v>
          </cell>
          <cell r="H4558">
            <v>0</v>
          </cell>
          <cell r="I4558" t="str">
            <v>Parts &amp; Accessories</v>
          </cell>
          <cell r="J4558">
            <v>2</v>
          </cell>
          <cell r="K4558" t="str">
            <v>Parts &amp; Accessories</v>
          </cell>
        </row>
        <row r="4559">
          <cell r="D4559">
            <v>853120</v>
          </cell>
          <cell r="E4559" t="str">
            <v>Signalling apparatus; electric, sound or visual, indicator panels incorporating liquid crystal devices (LCD) or light-emitting diodes (LED), excluding those of heading no. 8512 or 8530</v>
          </cell>
          <cell r="F4559" t="str">
            <v>Capital Goods</v>
          </cell>
          <cell r="G4559">
            <v>0</v>
          </cell>
          <cell r="H4559">
            <v>0</v>
          </cell>
          <cell r="I4559" t="str">
            <v>Capital Goods</v>
          </cell>
          <cell r="J4559">
            <v>2</v>
          </cell>
          <cell r="K4559" t="str">
            <v>Parts &amp; Accessories</v>
          </cell>
        </row>
        <row r="4560">
          <cell r="D4560">
            <v>845310</v>
          </cell>
          <cell r="E4560" t="str">
            <v>Machinery; for preparing, tanning or working hides, skins or leather, other than sewing machines</v>
          </cell>
          <cell r="F4560">
            <v>0</v>
          </cell>
          <cell r="G4560">
            <v>0</v>
          </cell>
          <cell r="H4560" t="str">
            <v>Capital Goods</v>
          </cell>
          <cell r="I4560" t="str">
            <v>Capital Goods</v>
          </cell>
          <cell r="J4560">
            <v>2</v>
          </cell>
          <cell r="K4560" t="str">
            <v>Capital Goods</v>
          </cell>
        </row>
        <row r="4561">
          <cell r="D4561">
            <v>845320</v>
          </cell>
          <cell r="E4561" t="str">
            <v>Machinery; for making or repairing footwear, other than sewing machines</v>
          </cell>
          <cell r="F4561">
            <v>0</v>
          </cell>
          <cell r="G4561">
            <v>0</v>
          </cell>
          <cell r="H4561" t="str">
            <v>Capital Goods</v>
          </cell>
          <cell r="I4561" t="str">
            <v>Capital Goods</v>
          </cell>
          <cell r="J4561">
            <v>2</v>
          </cell>
          <cell r="K4561" t="str">
            <v>Capital Goods</v>
          </cell>
        </row>
        <row r="4562">
          <cell r="D4562">
            <v>845380</v>
          </cell>
          <cell r="E4562" t="str">
            <v>Machinery; for making or repairing articles of hides, skins or leather, other than sewing machines</v>
          </cell>
          <cell r="F4562">
            <v>0</v>
          </cell>
          <cell r="G4562">
            <v>0</v>
          </cell>
          <cell r="H4562" t="str">
            <v>Capital Goods</v>
          </cell>
          <cell r="I4562" t="str">
            <v>Capital Goods</v>
          </cell>
          <cell r="J4562">
            <v>2</v>
          </cell>
          <cell r="K4562" t="str">
            <v>Capital Goods</v>
          </cell>
        </row>
        <row r="4563">
          <cell r="D4563">
            <v>853720</v>
          </cell>
          <cell r="E4563" t="str">
            <v>Boards, panels, consoles, desks and other bases; for electric control or the distribution of electricity, (other than switching apparatus of heading no. 8517), for a voltage exceeding 1000 volts</v>
          </cell>
          <cell r="F4563" t="str">
            <v>Parts &amp; Accessories</v>
          </cell>
          <cell r="G4563">
            <v>0</v>
          </cell>
          <cell r="H4563">
            <v>0</v>
          </cell>
          <cell r="I4563" t="str">
            <v>Parts &amp; Accessories</v>
          </cell>
          <cell r="J4563">
            <v>2</v>
          </cell>
          <cell r="K4563" t="str">
            <v>Parts &amp; Accessories</v>
          </cell>
        </row>
        <row r="4564">
          <cell r="D4564">
            <v>845410</v>
          </cell>
          <cell r="E4564" t="str">
            <v>Converters; of a type used in metallurgy or in metal foundries</v>
          </cell>
          <cell r="F4564" t="str">
            <v>Capital Goods</v>
          </cell>
          <cell r="G4564">
            <v>0</v>
          </cell>
          <cell r="H4564" t="str">
            <v>Capital Goods</v>
          </cell>
          <cell r="I4564" t="str">
            <v>Capital Goods</v>
          </cell>
          <cell r="J4564">
            <v>1</v>
          </cell>
          <cell r="K4564" t="str">
            <v>Capital Goods</v>
          </cell>
        </row>
        <row r="4565">
          <cell r="D4565">
            <v>854130</v>
          </cell>
          <cell r="E4565" t="str">
            <v>Electrical apparatus; thyristors, diacs and triacs, other than photosensitive devices</v>
          </cell>
          <cell r="F4565" t="str">
            <v>Parts &amp; Accessories</v>
          </cell>
          <cell r="G4565">
            <v>0</v>
          </cell>
          <cell r="H4565">
            <v>0</v>
          </cell>
          <cell r="I4565" t="str">
            <v>Parts &amp; Accessories</v>
          </cell>
          <cell r="J4565">
            <v>2</v>
          </cell>
          <cell r="K4565" t="str">
            <v>Parts &amp; Accessories</v>
          </cell>
        </row>
        <row r="4566">
          <cell r="D4566">
            <v>845430</v>
          </cell>
          <cell r="E4566" t="str">
            <v>Casting machines; of a kind used in metallurgy or in metal foundries</v>
          </cell>
          <cell r="F4566">
            <v>0</v>
          </cell>
          <cell r="G4566">
            <v>0</v>
          </cell>
          <cell r="H4566" t="str">
            <v>Capital Goods</v>
          </cell>
          <cell r="I4566" t="str">
            <v>Capital Goods</v>
          </cell>
          <cell r="J4566">
            <v>2</v>
          </cell>
          <cell r="K4566" t="str">
            <v>Capital Goods</v>
          </cell>
        </row>
        <row r="4567">
          <cell r="D4567">
            <v>901320</v>
          </cell>
          <cell r="E4567" t="str">
            <v>Lasers; other than laser diodes</v>
          </cell>
          <cell r="F4567" t="str">
            <v>Capital Goods</v>
          </cell>
          <cell r="G4567">
            <v>0</v>
          </cell>
          <cell r="H4567">
            <v>0</v>
          </cell>
          <cell r="I4567" t="str">
            <v>Capital Goods</v>
          </cell>
          <cell r="J4567">
            <v>2</v>
          </cell>
          <cell r="K4567" t="str">
            <v>Parts &amp; Accessories</v>
          </cell>
        </row>
        <row r="4568">
          <cell r="D4568">
            <v>845510</v>
          </cell>
          <cell r="E4568" t="str">
            <v>Metal-rolling mills; tube mills</v>
          </cell>
          <cell r="F4568">
            <v>0</v>
          </cell>
          <cell r="G4568">
            <v>0</v>
          </cell>
          <cell r="H4568">
            <v>0</v>
          </cell>
          <cell r="I4568" t="str">
            <v>Capital Goods</v>
          </cell>
          <cell r="J4568">
            <v>3</v>
          </cell>
          <cell r="K4568" t="str">
            <v>Capital Goods</v>
          </cell>
        </row>
        <row r="4569">
          <cell r="D4569">
            <v>845521</v>
          </cell>
          <cell r="E4569" t="str">
            <v>Metal-rolling mills; hot or combination hot and cold rolling mills</v>
          </cell>
          <cell r="F4569">
            <v>0</v>
          </cell>
          <cell r="G4569">
            <v>0</v>
          </cell>
          <cell r="H4569">
            <v>0</v>
          </cell>
          <cell r="I4569" t="str">
            <v>Capital Goods</v>
          </cell>
          <cell r="J4569">
            <v>3</v>
          </cell>
          <cell r="K4569" t="str">
            <v>Capital Goods</v>
          </cell>
        </row>
        <row r="4570">
          <cell r="D4570">
            <v>845522</v>
          </cell>
          <cell r="E4570" t="str">
            <v>Metal-rolling mills; cold</v>
          </cell>
          <cell r="F4570">
            <v>0</v>
          </cell>
          <cell r="G4570">
            <v>0</v>
          </cell>
          <cell r="H4570">
            <v>0</v>
          </cell>
          <cell r="I4570" t="str">
            <v>Capital Goods</v>
          </cell>
          <cell r="J4570">
            <v>3</v>
          </cell>
          <cell r="K4570" t="str">
            <v>Capital Goods</v>
          </cell>
        </row>
        <row r="4571">
          <cell r="D4571">
            <v>851490</v>
          </cell>
          <cell r="E4571" t="str">
            <v>Furnaces, ovens and heating equipment; parts of the industrial or laboratory equipment of heading no. 8514</v>
          </cell>
          <cell r="F4571" t="str">
            <v>Parts &amp; Accessories</v>
          </cell>
          <cell r="G4571">
            <v>0</v>
          </cell>
          <cell r="H4571" t="str">
            <v>Parts &amp; Accessories</v>
          </cell>
          <cell r="I4571" t="str">
            <v>Parts &amp; Accessories</v>
          </cell>
          <cell r="J4571">
            <v>1</v>
          </cell>
          <cell r="K4571" t="str">
            <v>Parts &amp; Accessories</v>
          </cell>
        </row>
        <row r="4572">
          <cell r="D4572">
            <v>730729</v>
          </cell>
          <cell r="E4572" t="str">
            <v>Steel, stainless; tube or pipe fittings, n.e.c. in item no. 7307.2</v>
          </cell>
          <cell r="F4572" t="str">
            <v>Capital Goods</v>
          </cell>
          <cell r="G4572">
            <v>0</v>
          </cell>
          <cell r="H4572">
            <v>0</v>
          </cell>
          <cell r="I4572" t="str">
            <v>Others</v>
          </cell>
          <cell r="J4572">
            <v>2</v>
          </cell>
          <cell r="K4572" t="str">
            <v>Parts &amp; Accessories</v>
          </cell>
        </row>
        <row r="4573">
          <cell r="D4573">
            <v>845611</v>
          </cell>
          <cell r="E4573" t="str">
            <v>Machine-tools; for working any material by removal of material; operated by laser</v>
          </cell>
          <cell r="F4573" t="str">
            <v>Capital Goods</v>
          </cell>
          <cell r="G4573">
            <v>0</v>
          </cell>
          <cell r="H4573">
            <v>0</v>
          </cell>
          <cell r="I4573" t="str">
            <v>Capital Goods</v>
          </cell>
          <cell r="J4573">
            <v>2</v>
          </cell>
          <cell r="K4573" t="str">
            <v>Capital Goods</v>
          </cell>
        </row>
        <row r="4574">
          <cell r="D4574">
            <v>845612</v>
          </cell>
          <cell r="E4574" t="str">
            <v>Machine-tools; for working any material by removal of material; operated by other light or photon beam processes (not laser)</v>
          </cell>
          <cell r="F4574">
            <v>0</v>
          </cell>
          <cell r="G4574">
            <v>0</v>
          </cell>
          <cell r="H4574" t="str">
            <v>Capital Goods</v>
          </cell>
          <cell r="I4574" t="str">
            <v>Capital Goods</v>
          </cell>
          <cell r="J4574">
            <v>2</v>
          </cell>
          <cell r="K4574" t="str">
            <v>Capital Goods</v>
          </cell>
        </row>
        <row r="4575">
          <cell r="D4575">
            <v>845620</v>
          </cell>
          <cell r="E4575" t="str">
            <v>Machine-tools; for working any material by removal of material, operated by ultrasonic processes</v>
          </cell>
          <cell r="F4575">
            <v>0</v>
          </cell>
          <cell r="G4575">
            <v>0</v>
          </cell>
          <cell r="H4575" t="str">
            <v>Capital Goods</v>
          </cell>
          <cell r="I4575" t="str">
            <v>Capital Goods</v>
          </cell>
          <cell r="J4575">
            <v>2</v>
          </cell>
          <cell r="K4575" t="str">
            <v>Capital Goods</v>
          </cell>
        </row>
        <row r="4576">
          <cell r="D4576">
            <v>845630</v>
          </cell>
          <cell r="E4576" t="str">
            <v>Machine-tools; for working any material by removal of material, operated by electro-discharge processes</v>
          </cell>
          <cell r="F4576">
            <v>0</v>
          </cell>
          <cell r="G4576">
            <v>0</v>
          </cell>
          <cell r="H4576">
            <v>0</v>
          </cell>
          <cell r="I4576" t="str">
            <v>Capital Goods</v>
          </cell>
          <cell r="J4576">
            <v>3</v>
          </cell>
          <cell r="K4576" t="str">
            <v>Capital Goods</v>
          </cell>
        </row>
        <row r="4577">
          <cell r="D4577">
            <v>845640</v>
          </cell>
          <cell r="E4577" t="str">
            <v>Machine tools; for working any material by removal of material; operated by plasma arc processes;</v>
          </cell>
          <cell r="F4577">
            <v>0</v>
          </cell>
          <cell r="G4577">
            <v>0</v>
          </cell>
          <cell r="H4577">
            <v>0</v>
          </cell>
          <cell r="I4577" t="str">
            <v>Capital Goods</v>
          </cell>
          <cell r="J4577">
            <v>3</v>
          </cell>
          <cell r="K4577" t="str">
            <v>Capital Goods</v>
          </cell>
        </row>
        <row r="4578">
          <cell r="D4578">
            <v>845650</v>
          </cell>
          <cell r="E4578" t="str">
            <v>Machine tools; for working any material by removal of material; operated by water-jet cutting machines</v>
          </cell>
          <cell r="F4578">
            <v>0</v>
          </cell>
          <cell r="G4578">
            <v>0</v>
          </cell>
          <cell r="H4578">
            <v>0</v>
          </cell>
          <cell r="I4578" t="str">
            <v>Capital Goods</v>
          </cell>
          <cell r="J4578">
            <v>3</v>
          </cell>
          <cell r="K4578" t="str">
            <v>Capital Goods</v>
          </cell>
        </row>
        <row r="4579">
          <cell r="D4579">
            <v>845690</v>
          </cell>
          <cell r="E4579" t="str">
            <v>Machine tools; for working any material by removal of material; operated by other processes n.e.c. in heading 8456</v>
          </cell>
          <cell r="F4579" t="str">
            <v>Capital Goods</v>
          </cell>
          <cell r="G4579">
            <v>0</v>
          </cell>
          <cell r="H4579">
            <v>0</v>
          </cell>
          <cell r="I4579" t="str">
            <v>Capital Goods</v>
          </cell>
          <cell r="J4579">
            <v>2</v>
          </cell>
          <cell r="K4579" t="str">
            <v>Capital Goods</v>
          </cell>
        </row>
        <row r="4580">
          <cell r="D4580">
            <v>845710</v>
          </cell>
          <cell r="E4580" t="str">
            <v>Machining centres; for working metal</v>
          </cell>
          <cell r="F4580" t="str">
            <v>Capital Goods</v>
          </cell>
          <cell r="G4580">
            <v>0</v>
          </cell>
          <cell r="H4580" t="str">
            <v>Capital Goods</v>
          </cell>
          <cell r="I4580" t="str">
            <v>Capital Goods</v>
          </cell>
          <cell r="J4580">
            <v>1</v>
          </cell>
          <cell r="K4580" t="str">
            <v>Capital Goods</v>
          </cell>
        </row>
        <row r="4581">
          <cell r="D4581">
            <v>845720</v>
          </cell>
          <cell r="E4581" t="str">
            <v>Machines; unit construction machines (single station), for working metal</v>
          </cell>
          <cell r="F4581">
            <v>0</v>
          </cell>
          <cell r="G4581">
            <v>0</v>
          </cell>
          <cell r="H4581" t="str">
            <v>Capital Goods</v>
          </cell>
          <cell r="I4581" t="str">
            <v>Capital Goods</v>
          </cell>
          <cell r="J4581">
            <v>2</v>
          </cell>
          <cell r="K4581" t="str">
            <v>Capital Goods</v>
          </cell>
        </row>
        <row r="4582">
          <cell r="D4582">
            <v>845730</v>
          </cell>
          <cell r="E4582" t="str">
            <v>Metal machines; multi-station transfer machines, for working metal</v>
          </cell>
          <cell r="F4582">
            <v>0</v>
          </cell>
          <cell r="G4582">
            <v>0</v>
          </cell>
          <cell r="H4582" t="str">
            <v>Capital Goods</v>
          </cell>
          <cell r="I4582" t="str">
            <v>Capital Goods</v>
          </cell>
          <cell r="J4582">
            <v>2</v>
          </cell>
          <cell r="K4582" t="str">
            <v>Capital Goods</v>
          </cell>
        </row>
        <row r="4583">
          <cell r="D4583">
            <v>845811</v>
          </cell>
          <cell r="E4583" t="str">
            <v>Lathes; for removing metal, horizontal, numerically controlled</v>
          </cell>
          <cell r="F4583">
            <v>0</v>
          </cell>
          <cell r="G4583">
            <v>0</v>
          </cell>
          <cell r="H4583">
            <v>0</v>
          </cell>
          <cell r="I4583" t="str">
            <v>Capital Goods</v>
          </cell>
          <cell r="J4583">
            <v>3</v>
          </cell>
          <cell r="K4583" t="str">
            <v>Capital Goods</v>
          </cell>
        </row>
        <row r="4584">
          <cell r="D4584">
            <v>845819</v>
          </cell>
          <cell r="E4584" t="str">
            <v>Lathes; for removing metal, horizontal, other than numerically controlled</v>
          </cell>
          <cell r="F4584" t="str">
            <v>Capital Goods</v>
          </cell>
          <cell r="G4584">
            <v>0</v>
          </cell>
          <cell r="H4584">
            <v>0</v>
          </cell>
          <cell r="I4584" t="str">
            <v>Capital Goods</v>
          </cell>
          <cell r="J4584">
            <v>2</v>
          </cell>
          <cell r="K4584" t="str">
            <v>Capital Goods</v>
          </cell>
        </row>
        <row r="4585">
          <cell r="D4585">
            <v>845891</v>
          </cell>
          <cell r="E4585" t="str">
            <v>Lathes; for removing metal, numerically controlled, other than horizontal lathes</v>
          </cell>
          <cell r="F4585">
            <v>0</v>
          </cell>
          <cell r="G4585">
            <v>0</v>
          </cell>
          <cell r="H4585" t="str">
            <v>Capital Goods</v>
          </cell>
          <cell r="I4585" t="str">
            <v>Capital Goods</v>
          </cell>
          <cell r="J4585">
            <v>2</v>
          </cell>
          <cell r="K4585" t="str">
            <v>Capital Goods</v>
          </cell>
        </row>
        <row r="4586">
          <cell r="D4586">
            <v>845899</v>
          </cell>
          <cell r="E4586" t="str">
            <v>Lathes; for removing metal, other than horizontal or numerically controlled lathes</v>
          </cell>
          <cell r="F4586">
            <v>0</v>
          </cell>
          <cell r="G4586">
            <v>0</v>
          </cell>
          <cell r="H4586">
            <v>0</v>
          </cell>
          <cell r="I4586" t="str">
            <v>Capital Goods</v>
          </cell>
          <cell r="J4586">
            <v>3</v>
          </cell>
          <cell r="K4586" t="str">
            <v>Capital Goods</v>
          </cell>
        </row>
        <row r="4587">
          <cell r="D4587">
            <v>845910</v>
          </cell>
          <cell r="E4587" t="str">
            <v>Machine-tools; way-type unit head machines, for drilling, boring, milling, threading or tapping by removing metal, other than lathes of heading no. 8458</v>
          </cell>
          <cell r="F4587" t="str">
            <v>Capital Goods</v>
          </cell>
          <cell r="G4587">
            <v>0</v>
          </cell>
          <cell r="H4587">
            <v>0</v>
          </cell>
          <cell r="I4587" t="str">
            <v>Capital Goods</v>
          </cell>
          <cell r="J4587">
            <v>2</v>
          </cell>
          <cell r="K4587" t="str">
            <v>Capital Goods</v>
          </cell>
        </row>
        <row r="4588">
          <cell r="D4588">
            <v>845921</v>
          </cell>
          <cell r="E4588" t="str">
            <v>Machine-tools; for drilling by removing metal, numerically controlled</v>
          </cell>
          <cell r="F4588">
            <v>0</v>
          </cell>
          <cell r="G4588">
            <v>0</v>
          </cell>
          <cell r="H4588">
            <v>0</v>
          </cell>
          <cell r="I4588" t="str">
            <v>Capital Goods</v>
          </cell>
          <cell r="J4588">
            <v>3</v>
          </cell>
          <cell r="K4588" t="str">
            <v>Capital Goods</v>
          </cell>
        </row>
        <row r="4589">
          <cell r="D4589">
            <v>845929</v>
          </cell>
          <cell r="E4589" t="str">
            <v>Machine-tools; for drilling by removing metal, other than numerically controlled</v>
          </cell>
          <cell r="F4589" t="str">
            <v>Capital Goods</v>
          </cell>
          <cell r="G4589">
            <v>0</v>
          </cell>
          <cell r="H4589">
            <v>0</v>
          </cell>
          <cell r="I4589" t="str">
            <v>Capital Goods</v>
          </cell>
          <cell r="J4589">
            <v>2</v>
          </cell>
          <cell r="K4589" t="str">
            <v>Capital Goods</v>
          </cell>
        </row>
        <row r="4590">
          <cell r="D4590">
            <v>845931</v>
          </cell>
          <cell r="E4590" t="str">
            <v>Machine-tools; for boring-milling by removing metal, numerically controlled</v>
          </cell>
          <cell r="F4590">
            <v>0</v>
          </cell>
          <cell r="G4590">
            <v>0</v>
          </cell>
          <cell r="H4590">
            <v>0</v>
          </cell>
          <cell r="I4590" t="str">
            <v>Capital Goods</v>
          </cell>
          <cell r="J4590">
            <v>3</v>
          </cell>
          <cell r="K4590" t="str">
            <v>Capital Goods</v>
          </cell>
        </row>
        <row r="4591">
          <cell r="D4591">
            <v>845939</v>
          </cell>
          <cell r="E4591" t="str">
            <v>Machine-tools; for boring-milling by removing metal, other than numerically controlled</v>
          </cell>
          <cell r="F4591">
            <v>0</v>
          </cell>
          <cell r="G4591">
            <v>0</v>
          </cell>
          <cell r="H4591">
            <v>0</v>
          </cell>
          <cell r="I4591" t="str">
            <v>Capital Goods</v>
          </cell>
          <cell r="J4591">
            <v>3</v>
          </cell>
          <cell r="K4591" t="str">
            <v>Capital Goods</v>
          </cell>
        </row>
        <row r="4592">
          <cell r="D4592">
            <v>845941</v>
          </cell>
          <cell r="E4592" t="str">
            <v>Machine-tools; for boring by removing metal, numerically controlled boring machines, n.e.c. in heading 8459</v>
          </cell>
          <cell r="F4592" t="str">
            <v>Capital Goods</v>
          </cell>
          <cell r="G4592">
            <v>0</v>
          </cell>
          <cell r="H4592">
            <v>0</v>
          </cell>
          <cell r="I4592" t="str">
            <v>Capital Goods</v>
          </cell>
          <cell r="J4592">
            <v>2</v>
          </cell>
          <cell r="K4592" t="str">
            <v>Capital Goods</v>
          </cell>
        </row>
        <row r="4593">
          <cell r="D4593">
            <v>845949</v>
          </cell>
          <cell r="E4593" t="str">
            <v>Machine-tools; for boring by removing metal, not numerically controlled boring machines, n.e.c. in heading 8459</v>
          </cell>
          <cell r="F4593">
            <v>0</v>
          </cell>
          <cell r="G4593">
            <v>0</v>
          </cell>
          <cell r="H4593">
            <v>0</v>
          </cell>
          <cell r="I4593" t="str">
            <v>Capital Goods</v>
          </cell>
          <cell r="J4593">
            <v>3</v>
          </cell>
          <cell r="K4593" t="str">
            <v>Capital Goods</v>
          </cell>
        </row>
        <row r="4594">
          <cell r="D4594">
            <v>845951</v>
          </cell>
          <cell r="E4594" t="str">
            <v>Machine-tools; for milling by removing metal, knee-type, numerically controlled</v>
          </cell>
          <cell r="F4594">
            <v>0</v>
          </cell>
          <cell r="G4594">
            <v>0</v>
          </cell>
          <cell r="H4594">
            <v>0</v>
          </cell>
          <cell r="I4594" t="str">
            <v>Capital Goods</v>
          </cell>
          <cell r="J4594">
            <v>3</v>
          </cell>
          <cell r="K4594" t="str">
            <v>Capital Goods</v>
          </cell>
        </row>
        <row r="4595">
          <cell r="D4595">
            <v>845959</v>
          </cell>
          <cell r="E4595" t="str">
            <v>Machine-tools; for milling by removing metal, knee-type, other than numerically controlled</v>
          </cell>
          <cell r="F4595" t="str">
            <v>Capital Goods</v>
          </cell>
          <cell r="G4595">
            <v>0</v>
          </cell>
          <cell r="H4595">
            <v>0</v>
          </cell>
          <cell r="I4595" t="str">
            <v>Capital Goods</v>
          </cell>
          <cell r="J4595">
            <v>2</v>
          </cell>
          <cell r="K4595" t="str">
            <v>Capital Goods</v>
          </cell>
        </row>
        <row r="4596">
          <cell r="D4596">
            <v>845961</v>
          </cell>
          <cell r="E4596" t="str">
            <v>Machine-tools; for milling by removing metal, (not knee-type), numerically controlled</v>
          </cell>
          <cell r="F4596" t="str">
            <v>Capital Goods</v>
          </cell>
          <cell r="G4596">
            <v>0</v>
          </cell>
          <cell r="H4596">
            <v>0</v>
          </cell>
          <cell r="I4596" t="str">
            <v>Capital Goods</v>
          </cell>
          <cell r="J4596">
            <v>2</v>
          </cell>
          <cell r="K4596" t="str">
            <v>Capital Goods</v>
          </cell>
        </row>
        <row r="4597">
          <cell r="D4597">
            <v>845969</v>
          </cell>
          <cell r="E4597" t="str">
            <v>Machine-tools; for milling by removing metal, not knee-type, other than numerically controlled</v>
          </cell>
          <cell r="F4597">
            <v>0</v>
          </cell>
          <cell r="G4597">
            <v>0</v>
          </cell>
          <cell r="H4597" t="str">
            <v>Capital Goods</v>
          </cell>
          <cell r="I4597" t="str">
            <v>Capital Goods</v>
          </cell>
          <cell r="J4597">
            <v>2</v>
          </cell>
          <cell r="K4597" t="str">
            <v>Capital Goods</v>
          </cell>
        </row>
        <row r="4598">
          <cell r="D4598">
            <v>845970</v>
          </cell>
          <cell r="E4598" t="str">
            <v>Machine-tools; for threading or tapping by removing metal</v>
          </cell>
          <cell r="F4598" t="str">
            <v>Capital Goods</v>
          </cell>
          <cell r="G4598">
            <v>0</v>
          </cell>
          <cell r="H4598" t="str">
            <v>Capital Goods</v>
          </cell>
          <cell r="I4598" t="str">
            <v>Capital Goods</v>
          </cell>
          <cell r="J4598">
            <v>1</v>
          </cell>
          <cell r="K4598" t="str">
            <v>Capital Goods</v>
          </cell>
        </row>
        <row r="4599">
          <cell r="D4599">
            <v>846012</v>
          </cell>
          <cell r="E4599" t="str">
            <v>Machine-tools; flat-surface grinding machines, numerically controlled</v>
          </cell>
          <cell r="F4599">
            <v>0</v>
          </cell>
          <cell r="G4599">
            <v>0</v>
          </cell>
          <cell r="H4599" t="str">
            <v>Capital Goods</v>
          </cell>
          <cell r="I4599" t="str">
            <v>Capital Goods</v>
          </cell>
          <cell r="J4599">
            <v>2</v>
          </cell>
          <cell r="K4599" t="str">
            <v>Capital Goods</v>
          </cell>
        </row>
        <row r="4600">
          <cell r="D4600">
            <v>846019</v>
          </cell>
          <cell r="E4600" t="str">
            <v>Machine-tools; flat-surface grinding machines, other than numerically controlled</v>
          </cell>
          <cell r="F4600" t="str">
            <v>Capital Goods</v>
          </cell>
          <cell r="G4600">
            <v>0</v>
          </cell>
          <cell r="H4600" t="str">
            <v>Capital Goods</v>
          </cell>
          <cell r="I4600" t="str">
            <v>Capital Goods</v>
          </cell>
          <cell r="J4600">
            <v>1</v>
          </cell>
          <cell r="K4600" t="str">
            <v>Capital Goods</v>
          </cell>
        </row>
        <row r="4601">
          <cell r="D4601">
            <v>846022</v>
          </cell>
          <cell r="E4601" t="str">
            <v>Machine-tools; grinding machines (excluding flat-surface), centreless, numerically controlled</v>
          </cell>
          <cell r="F4601">
            <v>0</v>
          </cell>
          <cell r="G4601">
            <v>0</v>
          </cell>
          <cell r="H4601">
            <v>0</v>
          </cell>
          <cell r="I4601" t="str">
            <v>Capital Goods</v>
          </cell>
          <cell r="J4601">
            <v>3</v>
          </cell>
          <cell r="K4601" t="str">
            <v>Capital Goods</v>
          </cell>
        </row>
        <row r="4602">
          <cell r="D4602">
            <v>846023</v>
          </cell>
          <cell r="E4602" t="str">
            <v>Machine-tools; cylindrical grinding machines (excluding flat-surface and centreless), numerically controlled</v>
          </cell>
          <cell r="F4602" t="str">
            <v>Capital Goods</v>
          </cell>
          <cell r="G4602">
            <v>0</v>
          </cell>
          <cell r="H4602">
            <v>0</v>
          </cell>
          <cell r="I4602" t="str">
            <v>Capital Goods</v>
          </cell>
          <cell r="J4602">
            <v>2</v>
          </cell>
          <cell r="K4602" t="str">
            <v>Capital Goods</v>
          </cell>
        </row>
        <row r="4603">
          <cell r="D4603">
            <v>846024</v>
          </cell>
          <cell r="E4603" t="str">
            <v>Machine-tools; grinding machines (excluding flat-surface, cylindrical and centreless), numerically controlled</v>
          </cell>
          <cell r="F4603">
            <v>0</v>
          </cell>
          <cell r="G4603">
            <v>0</v>
          </cell>
          <cell r="H4603">
            <v>0</v>
          </cell>
          <cell r="I4603" t="str">
            <v>Capital Goods</v>
          </cell>
          <cell r="J4603">
            <v>3</v>
          </cell>
          <cell r="K4603" t="str">
            <v>Capital Goods</v>
          </cell>
        </row>
        <row r="4604">
          <cell r="D4604">
            <v>846029</v>
          </cell>
          <cell r="E4604" t="str">
            <v>Machine-tools; grinding machines (excluding flat-surface), other than numerically controlled</v>
          </cell>
          <cell r="F4604" t="str">
            <v>Capital Goods</v>
          </cell>
          <cell r="G4604">
            <v>0</v>
          </cell>
          <cell r="H4604">
            <v>0</v>
          </cell>
          <cell r="I4604" t="str">
            <v>Capital Goods</v>
          </cell>
          <cell r="J4604">
            <v>2</v>
          </cell>
          <cell r="K4604" t="str">
            <v>Capital Goods</v>
          </cell>
        </row>
        <row r="4605">
          <cell r="D4605">
            <v>846031</v>
          </cell>
          <cell r="E4605" t="str">
            <v>Machine-tools; sharpening (tool or cutter grinding) machines, numerically controlled</v>
          </cell>
          <cell r="F4605" t="str">
            <v>Capital Goods</v>
          </cell>
          <cell r="G4605">
            <v>0</v>
          </cell>
          <cell r="H4605">
            <v>0</v>
          </cell>
          <cell r="I4605" t="str">
            <v>Capital Goods</v>
          </cell>
          <cell r="J4605">
            <v>2</v>
          </cell>
          <cell r="K4605" t="str">
            <v>Capital Goods</v>
          </cell>
        </row>
        <row r="4606">
          <cell r="D4606">
            <v>846039</v>
          </cell>
          <cell r="E4606" t="str">
            <v>Machine-tools; sharpening (tool or cutter grinding) machines, other than numerically controlled</v>
          </cell>
          <cell r="F4606" t="str">
            <v>Capital Goods</v>
          </cell>
          <cell r="G4606">
            <v>0</v>
          </cell>
          <cell r="H4606" t="str">
            <v>Capital Goods</v>
          </cell>
          <cell r="I4606" t="str">
            <v>Capital Goods</v>
          </cell>
          <cell r="J4606">
            <v>1</v>
          </cell>
          <cell r="K4606" t="str">
            <v>Capital Goods</v>
          </cell>
        </row>
        <row r="4607">
          <cell r="D4607">
            <v>846040</v>
          </cell>
          <cell r="E4607" t="str">
            <v>Machine-tools; for honing or lapping</v>
          </cell>
          <cell r="F4607" t="str">
            <v>Capital Goods</v>
          </cell>
          <cell r="G4607">
            <v>0</v>
          </cell>
          <cell r="H4607">
            <v>0</v>
          </cell>
          <cell r="I4607" t="str">
            <v>Capital Goods</v>
          </cell>
          <cell r="J4607">
            <v>2</v>
          </cell>
          <cell r="K4607" t="str">
            <v>Capital Goods</v>
          </cell>
        </row>
        <row r="4608">
          <cell r="D4608">
            <v>846090</v>
          </cell>
          <cell r="E4608" t="str">
            <v>Machine-tools; for deburring, grinding, polishing or otherwise finishing metal, sintered metal carbides or cermets by means of grinding stones, abrasives or polishing products, n.e.c. in heading no. 8460</v>
          </cell>
          <cell r="F4608" t="str">
            <v>Capital Goods</v>
          </cell>
          <cell r="G4608">
            <v>0</v>
          </cell>
          <cell r="H4608">
            <v>0</v>
          </cell>
          <cell r="I4608" t="str">
            <v>Capital Goods</v>
          </cell>
          <cell r="J4608">
            <v>2</v>
          </cell>
          <cell r="K4608" t="str">
            <v>Capital Goods</v>
          </cell>
        </row>
        <row r="4609">
          <cell r="D4609">
            <v>846120</v>
          </cell>
          <cell r="E4609" t="str">
            <v>Machine-tools; shaping or slotting machines, working by removing metal, sintered metal carbides or cermets</v>
          </cell>
          <cell r="F4609">
            <v>0</v>
          </cell>
          <cell r="G4609">
            <v>0</v>
          </cell>
          <cell r="H4609">
            <v>0</v>
          </cell>
          <cell r="I4609" t="str">
            <v>Capital Goods</v>
          </cell>
          <cell r="J4609">
            <v>3</v>
          </cell>
          <cell r="K4609" t="str">
            <v>Capital Goods</v>
          </cell>
        </row>
        <row r="4610">
          <cell r="D4610">
            <v>846130</v>
          </cell>
          <cell r="E4610" t="str">
            <v>Machine-tools; broaching machines, working by removing metal, sintered metal carbides or cermets</v>
          </cell>
          <cell r="F4610">
            <v>0</v>
          </cell>
          <cell r="G4610">
            <v>0</v>
          </cell>
          <cell r="H4610">
            <v>0</v>
          </cell>
          <cell r="I4610" t="str">
            <v>Capital Goods</v>
          </cell>
          <cell r="J4610">
            <v>3</v>
          </cell>
          <cell r="K4610" t="str">
            <v>Capital Goods</v>
          </cell>
        </row>
        <row r="4611">
          <cell r="D4611">
            <v>846140</v>
          </cell>
          <cell r="E4611" t="str">
            <v>Machine-tools; gear cutting, gear grinding or gear finishing machines, working by removing metal, sintered metal carbides or cermets</v>
          </cell>
          <cell r="F4611" t="str">
            <v>Capital Goods</v>
          </cell>
          <cell r="G4611">
            <v>0</v>
          </cell>
          <cell r="H4611" t="str">
            <v>Capital Goods</v>
          </cell>
          <cell r="I4611" t="str">
            <v>Capital Goods</v>
          </cell>
          <cell r="J4611">
            <v>1</v>
          </cell>
          <cell r="K4611" t="str">
            <v>Capital Goods</v>
          </cell>
        </row>
        <row r="4612">
          <cell r="D4612">
            <v>846150</v>
          </cell>
          <cell r="E4612" t="str">
            <v>Machine-tools; sawing or cutting-off machines, working by removing metal, sintered metal carbides or cermets</v>
          </cell>
          <cell r="F4612" t="str">
            <v>Capital Goods</v>
          </cell>
          <cell r="G4612">
            <v>0</v>
          </cell>
          <cell r="H4612">
            <v>0</v>
          </cell>
          <cell r="I4612" t="str">
            <v>Capital Goods</v>
          </cell>
          <cell r="J4612">
            <v>2</v>
          </cell>
          <cell r="K4612" t="str">
            <v>Capital Goods</v>
          </cell>
        </row>
        <row r="4613">
          <cell r="D4613">
            <v>846190</v>
          </cell>
          <cell r="E4613" t="str">
            <v>Machine-tools; planing machines, and other machine-tools n.e.c. in heading no. 8461; working by removing metal, sinistered metal carbides or cerments.</v>
          </cell>
          <cell r="F4613" t="str">
            <v>Capital Goods</v>
          </cell>
          <cell r="G4613">
            <v>0</v>
          </cell>
          <cell r="H4613">
            <v>0</v>
          </cell>
          <cell r="I4613" t="str">
            <v>Capital Goods</v>
          </cell>
          <cell r="J4613">
            <v>2</v>
          </cell>
          <cell r="K4613" t="str">
            <v>Capital Goods</v>
          </cell>
        </row>
        <row r="4614">
          <cell r="D4614">
            <v>846211</v>
          </cell>
          <cell r="E4614" t="str">
            <v>Machine-tools; forging and die-forging machines (including presses), closed die forging machines, for working metal</v>
          </cell>
          <cell r="F4614">
            <v>0</v>
          </cell>
          <cell r="G4614">
            <v>0</v>
          </cell>
          <cell r="H4614">
            <v>0</v>
          </cell>
          <cell r="I4614" t="str">
            <v>Capital Goods</v>
          </cell>
          <cell r="J4614">
            <v>3</v>
          </cell>
          <cell r="K4614" t="str">
            <v>Capital Goods</v>
          </cell>
        </row>
        <row r="4615">
          <cell r="D4615">
            <v>846219</v>
          </cell>
          <cell r="E4615" t="str">
            <v>Machine-tools; hot forming machines, hot hammers, for working metal</v>
          </cell>
          <cell r="F4615">
            <v>0</v>
          </cell>
          <cell r="G4615">
            <v>0</v>
          </cell>
          <cell r="H4615">
            <v>0</v>
          </cell>
          <cell r="I4615" t="str">
            <v>Capital Goods</v>
          </cell>
          <cell r="J4615">
            <v>3</v>
          </cell>
          <cell r="K4615" t="str">
            <v>Capital Goods</v>
          </cell>
        </row>
        <row r="4616">
          <cell r="D4616">
            <v>846222</v>
          </cell>
          <cell r="E4616" t="str">
            <v>Machine-tools; bending, folding, straightening or flattening machines (including press brakes) for flat products, for working metal, numerically controlled</v>
          </cell>
          <cell r="F4616">
            <v>0</v>
          </cell>
          <cell r="G4616">
            <v>0</v>
          </cell>
          <cell r="H4616">
            <v>0</v>
          </cell>
          <cell r="I4616" t="str">
            <v>Capital Goods</v>
          </cell>
          <cell r="J4616">
            <v>3</v>
          </cell>
          <cell r="K4616" t="str">
            <v>Capital Goods</v>
          </cell>
        </row>
        <row r="4617">
          <cell r="D4617">
            <v>846223</v>
          </cell>
          <cell r="E4617" t="str">
            <v>Machine-tools; bending, folding, straightening or flattening machines (including presses), for working metal, numerically controlled press brakes</v>
          </cell>
          <cell r="F4617">
            <v>0</v>
          </cell>
          <cell r="G4617">
            <v>0</v>
          </cell>
          <cell r="H4617">
            <v>0</v>
          </cell>
          <cell r="I4617" t="str">
            <v>Capital Goods</v>
          </cell>
          <cell r="J4617">
            <v>3</v>
          </cell>
          <cell r="K4617" t="str">
            <v>Capital Goods</v>
          </cell>
        </row>
        <row r="4618">
          <cell r="D4618">
            <v>846224</v>
          </cell>
          <cell r="E4618" t="str">
            <v>Machine-tools; bending, folding, straightening or flattening machines (including presses), for working metal, numerically controlled panel benders</v>
          </cell>
          <cell r="F4618">
            <v>0</v>
          </cell>
          <cell r="G4618">
            <v>0</v>
          </cell>
          <cell r="H4618">
            <v>0</v>
          </cell>
          <cell r="I4618" t="str">
            <v>Capital Goods</v>
          </cell>
          <cell r="J4618">
            <v>3</v>
          </cell>
          <cell r="K4618" t="str">
            <v>Capital Goods</v>
          </cell>
        </row>
        <row r="4619">
          <cell r="D4619">
            <v>846225</v>
          </cell>
          <cell r="E4619" t="str">
            <v>Machine-tools; bending, folding, straightening or flattening machines (including presses), for working metal, numerically controlled roll forming machines</v>
          </cell>
          <cell r="F4619">
            <v>0</v>
          </cell>
          <cell r="G4619">
            <v>0</v>
          </cell>
          <cell r="H4619">
            <v>0</v>
          </cell>
          <cell r="I4619" t="str">
            <v>Capital Goods</v>
          </cell>
          <cell r="J4619">
            <v>3</v>
          </cell>
          <cell r="K4619" t="str">
            <v>Capital Goods</v>
          </cell>
        </row>
        <row r="4620">
          <cell r="D4620">
            <v>846226</v>
          </cell>
          <cell r="E4620" t="str">
            <v>Machine-tools; bending, folding, straightening or flattening machines (including presses), for working metal, numerically controlled bending, folding, straightening or fattening machines (not press brakes, panel benders or roll forming machines)</v>
          </cell>
          <cell r="F4620">
            <v>0</v>
          </cell>
          <cell r="G4620">
            <v>0</v>
          </cell>
          <cell r="H4620">
            <v>0</v>
          </cell>
          <cell r="I4620" t="str">
            <v>Capital Goods</v>
          </cell>
          <cell r="J4620">
            <v>3</v>
          </cell>
          <cell r="K4620" t="str">
            <v>Capital Goods</v>
          </cell>
        </row>
        <row r="4621">
          <cell r="D4621">
            <v>846229</v>
          </cell>
          <cell r="E4621" t="str">
            <v>Machine-tools; bending, folding, straightening or flattening machines (including press brakes), for working metal, numerically controlled n.e.c. in item 84.62.2</v>
          </cell>
          <cell r="F4621" t="str">
            <v>Capital Goods</v>
          </cell>
          <cell r="G4621">
            <v>0</v>
          </cell>
          <cell r="H4621">
            <v>0</v>
          </cell>
          <cell r="I4621" t="str">
            <v>Capital Goods</v>
          </cell>
          <cell r="J4621">
            <v>2</v>
          </cell>
          <cell r="K4621" t="str">
            <v>Capital Goods</v>
          </cell>
        </row>
        <row r="4622">
          <cell r="D4622">
            <v>846232</v>
          </cell>
          <cell r="E4622" t="str">
            <v>Machine-tools; slitting lines and cut-to-length lines, for working metal</v>
          </cell>
          <cell r="F4622">
            <v>0</v>
          </cell>
          <cell r="G4622">
            <v>0</v>
          </cell>
          <cell r="H4622">
            <v>0</v>
          </cell>
          <cell r="I4622" t="str">
            <v>Capital Goods</v>
          </cell>
          <cell r="J4622">
            <v>3</v>
          </cell>
          <cell r="K4622" t="str">
            <v>Capital Goods</v>
          </cell>
        </row>
        <row r="4623">
          <cell r="D4623">
            <v>846233</v>
          </cell>
          <cell r="E4623" t="str">
            <v>Machine-tools; shearing machines (excluding presses) for flat products, numerically controlled, other than combined punching and shearing machines, for working metal</v>
          </cell>
          <cell r="F4623">
            <v>0</v>
          </cell>
          <cell r="G4623">
            <v>0</v>
          </cell>
          <cell r="H4623" t="str">
            <v>Capital Goods</v>
          </cell>
          <cell r="I4623" t="str">
            <v>Capital Goods</v>
          </cell>
          <cell r="J4623">
            <v>2</v>
          </cell>
          <cell r="K4623" t="str">
            <v>Capital Goods</v>
          </cell>
        </row>
        <row r="4624">
          <cell r="D4624">
            <v>846239</v>
          </cell>
          <cell r="E4624" t="str">
            <v>Machine-tools; shearing machines (excluding presses) for flat products, other than numerically controlled, other than combined punching and shearing machines, for working metal</v>
          </cell>
          <cell r="F4624">
            <v>0</v>
          </cell>
          <cell r="G4624">
            <v>0</v>
          </cell>
          <cell r="H4624" t="str">
            <v>Capital Goods</v>
          </cell>
          <cell r="I4624" t="str">
            <v>Capital Goods</v>
          </cell>
          <cell r="J4624">
            <v>2</v>
          </cell>
          <cell r="K4624" t="str">
            <v>Capital Goods</v>
          </cell>
        </row>
        <row r="4625">
          <cell r="D4625">
            <v>846241</v>
          </cell>
          <cell r="E4625" t="e">
            <v>#VALUE!</v>
          </cell>
          <cell r="F4625" t="str">
            <v>Capital Goods</v>
          </cell>
          <cell r="G4625">
            <v>0</v>
          </cell>
          <cell r="H4625">
            <v>0</v>
          </cell>
          <cell r="I4625">
            <v>0</v>
          </cell>
          <cell r="J4625">
            <v>3</v>
          </cell>
          <cell r="K4625" t="str">
            <v>Capital Goods</v>
          </cell>
        </row>
        <row r="4626">
          <cell r="D4626">
            <v>846242</v>
          </cell>
          <cell r="E4626" t="str">
            <v>Machine-tools; punching, notching or nibbling machines (excluding presses) for flat products including combined punching and shearing machines, numerically controlled, for working metal</v>
          </cell>
          <cell r="F4626">
            <v>0</v>
          </cell>
          <cell r="G4626">
            <v>0</v>
          </cell>
          <cell r="H4626" t="str">
            <v>Capital Goods</v>
          </cell>
          <cell r="I4626" t="str">
            <v>Capital Goods</v>
          </cell>
          <cell r="J4626">
            <v>2</v>
          </cell>
          <cell r="K4626" t="str">
            <v>Capital Goods</v>
          </cell>
        </row>
        <row r="4627">
          <cell r="D4627">
            <v>846249</v>
          </cell>
          <cell r="E4627" t="str">
            <v>Machine-tools; punching, notching or nibbling machines (excluding presses) for flat products including combined punching and shearing machines, other than numerically controlled, for working metal</v>
          </cell>
          <cell r="F4627" t="str">
            <v>Capital Goods</v>
          </cell>
          <cell r="G4627">
            <v>0</v>
          </cell>
          <cell r="H4627">
            <v>0</v>
          </cell>
          <cell r="I4627" t="str">
            <v>Capital Goods</v>
          </cell>
          <cell r="J4627">
            <v>2</v>
          </cell>
          <cell r="K4627" t="str">
            <v>Capital Goods</v>
          </cell>
        </row>
        <row r="4628">
          <cell r="D4628">
            <v>846251</v>
          </cell>
          <cell r="E4628" t="str">
            <v>Machine-tools; for working tube, pipe, hollow section and bar (excluding presses), for working metal, numerically controlled</v>
          </cell>
          <cell r="F4628">
            <v>0</v>
          </cell>
          <cell r="G4628">
            <v>0</v>
          </cell>
          <cell r="H4628">
            <v>0</v>
          </cell>
          <cell r="I4628" t="str">
            <v>Capital Goods</v>
          </cell>
          <cell r="J4628">
            <v>3</v>
          </cell>
          <cell r="K4628" t="str">
            <v>Capital Goods</v>
          </cell>
        </row>
        <row r="4629">
          <cell r="D4629">
            <v>846259</v>
          </cell>
          <cell r="E4629" t="str">
            <v>Machine-tools; for working tube, pipe, hollow section and bar (excluding presses), for working metal, not numerically controlled</v>
          </cell>
          <cell r="F4629">
            <v>0</v>
          </cell>
          <cell r="G4629">
            <v>0</v>
          </cell>
          <cell r="H4629">
            <v>0</v>
          </cell>
          <cell r="I4629" t="str">
            <v>Capital Goods</v>
          </cell>
          <cell r="J4629">
            <v>3</v>
          </cell>
          <cell r="K4629" t="str">
            <v>Capital Goods</v>
          </cell>
        </row>
        <row r="4630">
          <cell r="D4630">
            <v>846261</v>
          </cell>
          <cell r="E4630" t="str">
            <v>Machine-tools; cold metal working presses, hydraulic presses</v>
          </cell>
          <cell r="F4630">
            <v>0</v>
          </cell>
          <cell r="G4630">
            <v>0</v>
          </cell>
          <cell r="H4630">
            <v>0</v>
          </cell>
          <cell r="I4630" t="str">
            <v>Capital Goods</v>
          </cell>
          <cell r="J4630">
            <v>3</v>
          </cell>
          <cell r="K4630" t="str">
            <v>Capital Goods</v>
          </cell>
        </row>
        <row r="4631">
          <cell r="D4631">
            <v>846262</v>
          </cell>
          <cell r="E4631" t="str">
            <v>Machine-tools; cold metal working presses, mechanical presses</v>
          </cell>
          <cell r="F4631">
            <v>0</v>
          </cell>
          <cell r="G4631">
            <v>0</v>
          </cell>
          <cell r="H4631">
            <v>0</v>
          </cell>
          <cell r="I4631" t="str">
            <v>Capital Goods</v>
          </cell>
          <cell r="J4631">
            <v>3</v>
          </cell>
          <cell r="K4631" t="str">
            <v>Capital Goods</v>
          </cell>
        </row>
        <row r="4632">
          <cell r="D4632">
            <v>846263</v>
          </cell>
          <cell r="E4632" t="str">
            <v>Machine-tools; cold metal working presses, servo-presses</v>
          </cell>
          <cell r="F4632">
            <v>0</v>
          </cell>
          <cell r="G4632">
            <v>0</v>
          </cell>
          <cell r="H4632">
            <v>0</v>
          </cell>
          <cell r="I4632" t="str">
            <v>Capital Goods</v>
          </cell>
          <cell r="J4632">
            <v>3</v>
          </cell>
          <cell r="K4632" t="str">
            <v>Capital Goods</v>
          </cell>
        </row>
        <row r="4633">
          <cell r="D4633">
            <v>846269</v>
          </cell>
          <cell r="E4633" t="str">
            <v>Machine-tools; cold metal working presses, other than hydraulic, mechanical or servo-presses</v>
          </cell>
          <cell r="F4633">
            <v>0</v>
          </cell>
          <cell r="G4633">
            <v>0</v>
          </cell>
          <cell r="H4633">
            <v>0</v>
          </cell>
          <cell r="I4633" t="str">
            <v>Capital Goods</v>
          </cell>
          <cell r="J4633">
            <v>3</v>
          </cell>
          <cell r="K4633" t="str">
            <v>Capital Goods</v>
          </cell>
        </row>
        <row r="4634">
          <cell r="D4634">
            <v>846290</v>
          </cell>
          <cell r="E4634" t="str">
            <v>Machine-tools; (including presses) for working metal by forging, hammering or die-forging, for bending, folding, straightening, flattening, shearing, punching, notching or nibbling metal, n.e.c. in heading 8462</v>
          </cell>
          <cell r="F4634" t="str">
            <v>Capital Goods</v>
          </cell>
          <cell r="G4634">
            <v>0</v>
          </cell>
          <cell r="H4634">
            <v>0</v>
          </cell>
          <cell r="I4634" t="str">
            <v>Capital Goods</v>
          </cell>
          <cell r="J4634">
            <v>2</v>
          </cell>
          <cell r="K4634" t="str">
            <v>Capital Goods</v>
          </cell>
        </row>
        <row r="4635">
          <cell r="D4635">
            <v>846291</v>
          </cell>
          <cell r="E4635" t="e">
            <v>#VALUE!</v>
          </cell>
          <cell r="F4635" t="str">
            <v>Capital Goods</v>
          </cell>
          <cell r="G4635">
            <v>0</v>
          </cell>
          <cell r="H4635">
            <v>0</v>
          </cell>
          <cell r="I4635">
            <v>0</v>
          </cell>
          <cell r="J4635">
            <v>3</v>
          </cell>
          <cell r="K4635" t="str">
            <v>Capital Goods</v>
          </cell>
        </row>
        <row r="4636">
          <cell r="D4636">
            <v>846299</v>
          </cell>
          <cell r="E4636" t="e">
            <v>#VALUE!</v>
          </cell>
          <cell r="F4636" t="str">
            <v>Capital Goods</v>
          </cell>
          <cell r="G4636">
            <v>0</v>
          </cell>
          <cell r="H4636">
            <v>0</v>
          </cell>
          <cell r="I4636">
            <v>0</v>
          </cell>
          <cell r="J4636">
            <v>3</v>
          </cell>
          <cell r="K4636" t="str">
            <v>Capital Goods</v>
          </cell>
        </row>
        <row r="4637">
          <cell r="D4637">
            <v>846310</v>
          </cell>
          <cell r="E4637" t="str">
            <v>Machine-tools; for working metal, sintered metal carbides or cermets, without removing material, draw-benches for bars, tubes, profiles, wire or the like</v>
          </cell>
          <cell r="F4637">
            <v>0</v>
          </cell>
          <cell r="G4637">
            <v>0</v>
          </cell>
          <cell r="H4637" t="str">
            <v>Capital Goods</v>
          </cell>
          <cell r="I4637" t="str">
            <v>Capital Goods</v>
          </cell>
          <cell r="J4637">
            <v>2</v>
          </cell>
          <cell r="K4637" t="str">
            <v>Capital Goods</v>
          </cell>
        </row>
        <row r="4638">
          <cell r="D4638">
            <v>846320</v>
          </cell>
          <cell r="E4638" t="str">
            <v>Machine-tools; for working metal, sintered metal carbides or cermets, without removing material, thread rolling machines</v>
          </cell>
          <cell r="F4638">
            <v>0</v>
          </cell>
          <cell r="G4638">
            <v>0</v>
          </cell>
          <cell r="H4638" t="str">
            <v>Capital Goods</v>
          </cell>
          <cell r="I4638" t="str">
            <v>Capital Goods</v>
          </cell>
          <cell r="J4638">
            <v>2</v>
          </cell>
          <cell r="K4638" t="str">
            <v>Capital Goods</v>
          </cell>
        </row>
        <row r="4639">
          <cell r="D4639">
            <v>846330</v>
          </cell>
          <cell r="E4639" t="str">
            <v>Machine-tools; machines for working wire, without removing material</v>
          </cell>
          <cell r="F4639">
            <v>0</v>
          </cell>
          <cell r="G4639">
            <v>0</v>
          </cell>
          <cell r="H4639" t="str">
            <v>Capital Goods</v>
          </cell>
          <cell r="I4639" t="str">
            <v>Capital Goods</v>
          </cell>
          <cell r="J4639">
            <v>2</v>
          </cell>
          <cell r="K4639" t="str">
            <v>Capital Goods</v>
          </cell>
        </row>
        <row r="4640">
          <cell r="D4640">
            <v>846390</v>
          </cell>
          <cell r="E4640" t="str">
            <v>Machine-tools; for working metal, sintered metal carbides or cermets, without removing material, n.e.c. in heading no. 8463</v>
          </cell>
          <cell r="F4640" t="str">
            <v>Capital Goods</v>
          </cell>
          <cell r="G4640">
            <v>0</v>
          </cell>
          <cell r="H4640" t="str">
            <v>Capital Goods</v>
          </cell>
          <cell r="I4640" t="str">
            <v>Capital Goods</v>
          </cell>
          <cell r="J4640">
            <v>1</v>
          </cell>
          <cell r="K4640" t="str">
            <v>Capital Goods</v>
          </cell>
        </row>
        <row r="4641">
          <cell r="D4641">
            <v>846410</v>
          </cell>
          <cell r="E4641" t="str">
            <v>Machine-tools; sawing machines, for working stone, ceramics, concrete, asbestos-cement or like mineral materials or for cold working glass</v>
          </cell>
          <cell r="F4641" t="str">
            <v>Capital Goods</v>
          </cell>
          <cell r="G4641">
            <v>0</v>
          </cell>
          <cell r="H4641" t="str">
            <v>Capital Goods</v>
          </cell>
          <cell r="I4641" t="str">
            <v>Capital Goods</v>
          </cell>
          <cell r="J4641">
            <v>1</v>
          </cell>
          <cell r="K4641" t="str">
            <v>Capital Goods</v>
          </cell>
        </row>
        <row r="4642">
          <cell r="D4642">
            <v>846420</v>
          </cell>
          <cell r="E4642" t="str">
            <v>Machine-tools; grinding or polishing machines, for working stone, ceramics, concrete, asbestos-cement or like mineral materials or for cold working glass</v>
          </cell>
          <cell r="F4642" t="str">
            <v>Capital Goods</v>
          </cell>
          <cell r="G4642">
            <v>0</v>
          </cell>
          <cell r="H4642">
            <v>0</v>
          </cell>
          <cell r="I4642" t="str">
            <v>Capital Goods</v>
          </cell>
          <cell r="J4642">
            <v>2</v>
          </cell>
          <cell r="K4642" t="str">
            <v>Capital Goods</v>
          </cell>
        </row>
        <row r="4643">
          <cell r="D4643">
            <v>846490</v>
          </cell>
          <cell r="E4643" t="str">
            <v>Machine-tools; for working stone, ceramics, concrete, asbestos-cement or like mineral materials or for cold working glass, (other than sawing, grinding or polishing machines)</v>
          </cell>
          <cell r="F4643" t="str">
            <v>Capital Goods</v>
          </cell>
          <cell r="G4643">
            <v>0</v>
          </cell>
          <cell r="H4643">
            <v>0</v>
          </cell>
          <cell r="I4643" t="str">
            <v>Capital Goods</v>
          </cell>
          <cell r="J4643">
            <v>2</v>
          </cell>
          <cell r="K4643" t="str">
            <v>Capital Goods</v>
          </cell>
        </row>
        <row r="4644">
          <cell r="D4644">
            <v>846510</v>
          </cell>
          <cell r="E4644" t="str">
            <v>Machine-tools; which can carry out different types of machining operations without tool change between such operations, for working wood, cork, bone, hard rubber, hard plastics or similar</v>
          </cell>
          <cell r="F4644">
            <v>0</v>
          </cell>
          <cell r="G4644">
            <v>0</v>
          </cell>
          <cell r="H4644" t="str">
            <v>Capital Goods</v>
          </cell>
          <cell r="I4644" t="str">
            <v>Capital Goods</v>
          </cell>
          <cell r="J4644">
            <v>2</v>
          </cell>
          <cell r="K4644" t="str">
            <v>Capital Goods</v>
          </cell>
        </row>
        <row r="4645">
          <cell r="D4645">
            <v>846520</v>
          </cell>
          <cell r="E4645" t="str">
            <v>Machine-tools; for working wood, cork, bone, hard rubber, hard plastics or similar hard materials; machining centres</v>
          </cell>
          <cell r="F4645">
            <v>0</v>
          </cell>
          <cell r="G4645">
            <v>0</v>
          </cell>
          <cell r="H4645">
            <v>0</v>
          </cell>
          <cell r="I4645" t="str">
            <v>Capital Goods</v>
          </cell>
          <cell r="J4645">
            <v>3</v>
          </cell>
          <cell r="K4645" t="str">
            <v>Capital Goods</v>
          </cell>
        </row>
        <row r="4646">
          <cell r="D4646">
            <v>846591</v>
          </cell>
          <cell r="E4646" t="str">
            <v>Machine-tools; for working wood, cork, bone, hard rubber, hard plastics or similar hard materials; sawing machines</v>
          </cell>
          <cell r="F4646">
            <v>0</v>
          </cell>
          <cell r="G4646">
            <v>0</v>
          </cell>
          <cell r="H4646">
            <v>0</v>
          </cell>
          <cell r="I4646" t="str">
            <v>Capital Goods</v>
          </cell>
          <cell r="J4646">
            <v>3</v>
          </cell>
          <cell r="K4646" t="str">
            <v>Capital Goods</v>
          </cell>
        </row>
        <row r="4647">
          <cell r="D4647">
            <v>846592</v>
          </cell>
          <cell r="E4647" t="str">
            <v>Machine-tools; for working wood, cork, bone, hard rubber, hard plastics or similar hard materials; planing, milling or moulding (by cutting) machines</v>
          </cell>
          <cell r="F4647" t="str">
            <v>Capital Goods</v>
          </cell>
          <cell r="G4647">
            <v>0</v>
          </cell>
          <cell r="H4647">
            <v>0</v>
          </cell>
          <cell r="I4647" t="str">
            <v>Capital Goods</v>
          </cell>
          <cell r="J4647">
            <v>2</v>
          </cell>
          <cell r="K4647" t="str">
            <v>Capital Goods</v>
          </cell>
        </row>
        <row r="4648">
          <cell r="D4648">
            <v>846593</v>
          </cell>
          <cell r="E4648" t="str">
            <v>Machine-tools; for working wood, cork, bone, hard rubber, hard plastics or similar hard materials; grinding, sanding or polishing machines</v>
          </cell>
          <cell r="F4648" t="str">
            <v>Capital Goods</v>
          </cell>
          <cell r="G4648">
            <v>0</v>
          </cell>
          <cell r="H4648">
            <v>0</v>
          </cell>
          <cell r="I4648" t="str">
            <v>Capital Goods</v>
          </cell>
          <cell r="J4648">
            <v>2</v>
          </cell>
          <cell r="K4648" t="str">
            <v>Capital Goods</v>
          </cell>
        </row>
        <row r="4649">
          <cell r="D4649">
            <v>846594</v>
          </cell>
          <cell r="E4649" t="str">
            <v>Machine-tools; for working wood, cork, bone, hard rubber, hard plastics or similar hard materials; bending or assembling machines</v>
          </cell>
          <cell r="F4649">
            <v>0</v>
          </cell>
          <cell r="G4649">
            <v>0</v>
          </cell>
          <cell r="H4649">
            <v>0</v>
          </cell>
          <cell r="I4649" t="str">
            <v>Capital Goods</v>
          </cell>
          <cell r="J4649">
            <v>3</v>
          </cell>
          <cell r="K4649" t="str">
            <v>Capital Goods</v>
          </cell>
        </row>
        <row r="4650">
          <cell r="D4650">
            <v>846595</v>
          </cell>
          <cell r="E4650" t="str">
            <v>Machine-tools; for working wood, cork, bone, hard rubber, hard plastics or similar hard materials; drilling or morticing machines</v>
          </cell>
          <cell r="F4650">
            <v>0</v>
          </cell>
          <cell r="G4650">
            <v>0</v>
          </cell>
          <cell r="H4650">
            <v>0</v>
          </cell>
          <cell r="I4650" t="str">
            <v>Capital Goods</v>
          </cell>
          <cell r="J4650">
            <v>3</v>
          </cell>
          <cell r="K4650" t="str">
            <v>Capital Goods</v>
          </cell>
        </row>
        <row r="4651">
          <cell r="D4651">
            <v>846596</v>
          </cell>
          <cell r="E4651" t="str">
            <v>Machine-tools; for working wood, cork, bone, hard rubber, hard plastics or similar hard materials; splitting, slicing or paring machines</v>
          </cell>
          <cell r="F4651" t="str">
            <v>Capital Goods</v>
          </cell>
          <cell r="G4651">
            <v>0</v>
          </cell>
          <cell r="H4651">
            <v>0</v>
          </cell>
          <cell r="I4651" t="str">
            <v>Capital Goods</v>
          </cell>
          <cell r="J4651">
            <v>2</v>
          </cell>
          <cell r="K4651" t="str">
            <v>Capital Goods</v>
          </cell>
        </row>
        <row r="4652">
          <cell r="D4652">
            <v>846599</v>
          </cell>
          <cell r="E4652" t="str">
            <v>Machine-tools; for working wood, cork, bone, hard rubber, hard plastics or similar hard materials; n.e.c. in heading no. 8465</v>
          </cell>
          <cell r="F4652" t="str">
            <v>Capital Goods</v>
          </cell>
          <cell r="G4652">
            <v>0</v>
          </cell>
          <cell r="H4652">
            <v>0</v>
          </cell>
          <cell r="I4652" t="str">
            <v>Capital Goods</v>
          </cell>
          <cell r="J4652">
            <v>2</v>
          </cell>
          <cell r="K4652" t="str">
            <v>Capital Goods</v>
          </cell>
        </row>
        <row r="4653">
          <cell r="D4653">
            <v>844250</v>
          </cell>
          <cell r="E4653" t="str">
            <v>Plates, cylinders and other printing components; lithographic stones prepared for printing purposes (for example, planed, grained or polished)</v>
          </cell>
          <cell r="F4653" t="str">
            <v>Capital Goods</v>
          </cell>
          <cell r="G4653">
            <v>0</v>
          </cell>
          <cell r="H4653" t="str">
            <v>Parts &amp; Accessories</v>
          </cell>
          <cell r="I4653" t="str">
            <v>Parts &amp; Accessories</v>
          </cell>
          <cell r="J4653">
            <v>1</v>
          </cell>
          <cell r="K4653" t="str">
            <v>Parts &amp; Accessories</v>
          </cell>
        </row>
        <row r="4654">
          <cell r="D4654">
            <v>843120</v>
          </cell>
          <cell r="E4654" t="str">
            <v>Machinery; parts of the machinery of heading no. 8427</v>
          </cell>
          <cell r="F4654" t="str">
            <v>Parts &amp; Accessories</v>
          </cell>
          <cell r="G4654">
            <v>0</v>
          </cell>
          <cell r="H4654" t="str">
            <v>Parts &amp; Accessories</v>
          </cell>
          <cell r="I4654" t="str">
            <v>Parts &amp; Accessories</v>
          </cell>
          <cell r="J4654">
            <v>1</v>
          </cell>
          <cell r="K4654" t="str">
            <v>Parts &amp; Accessories</v>
          </cell>
        </row>
        <row r="4655">
          <cell r="D4655">
            <v>844832</v>
          </cell>
          <cell r="E4655" t="str">
            <v>Machines; parts and accessories of machines or auxiliary machinery for preparing textile fibres, other than card clothing</v>
          </cell>
          <cell r="F4655">
            <v>0</v>
          </cell>
          <cell r="G4655">
            <v>0</v>
          </cell>
          <cell r="H4655" t="str">
            <v>Parts &amp; Accessories</v>
          </cell>
          <cell r="I4655" t="str">
            <v>Parts &amp; Accessories</v>
          </cell>
          <cell r="J4655">
            <v>2</v>
          </cell>
          <cell r="K4655" t="str">
            <v>Parts &amp; Accessories</v>
          </cell>
        </row>
        <row r="4656">
          <cell r="D4656">
            <v>854511</v>
          </cell>
          <cell r="E4656" t="str">
            <v>Carbon electrodes; with or without metal, of a kind used for furnaces</v>
          </cell>
          <cell r="F4656">
            <v>0</v>
          </cell>
          <cell r="G4656">
            <v>0</v>
          </cell>
          <cell r="H4656" t="str">
            <v>Parts &amp; Accessories</v>
          </cell>
          <cell r="I4656" t="str">
            <v>Parts &amp; Accessories</v>
          </cell>
          <cell r="J4656">
            <v>2</v>
          </cell>
          <cell r="K4656" t="str">
            <v>Parts &amp; Accessories</v>
          </cell>
        </row>
        <row r="4657">
          <cell r="D4657">
            <v>853310</v>
          </cell>
          <cell r="E4657" t="str">
            <v>Electrical resistors; fixed carbon resistors, composition or film types (including rheostats and potentiometers but excluding heating resistors)</v>
          </cell>
          <cell r="F4657" t="str">
            <v>Parts &amp; Accessories</v>
          </cell>
          <cell r="G4657">
            <v>0</v>
          </cell>
          <cell r="H4657">
            <v>0</v>
          </cell>
          <cell r="I4657" t="str">
            <v>Parts &amp; Accessories</v>
          </cell>
          <cell r="J4657">
            <v>2</v>
          </cell>
          <cell r="K4657" t="str">
            <v>Parts &amp; Accessories</v>
          </cell>
        </row>
        <row r="4658">
          <cell r="D4658">
            <v>391729</v>
          </cell>
          <cell r="E4658" t="str">
            <v>Plastics; tubes, pipes and hoses thereof, rigid, of plastics n.e.c. in heading no. 3917</v>
          </cell>
          <cell r="F4658" t="str">
            <v>Capital Goods</v>
          </cell>
          <cell r="G4658">
            <v>0</v>
          </cell>
          <cell r="H4658">
            <v>0</v>
          </cell>
          <cell r="I4658" t="str">
            <v>Others</v>
          </cell>
          <cell r="J4658">
            <v>2</v>
          </cell>
          <cell r="K4658" t="str">
            <v>Parts &amp; Accessories</v>
          </cell>
        </row>
        <row r="4659">
          <cell r="D4659">
            <v>848049</v>
          </cell>
          <cell r="E4659" t="str">
            <v>Moulds; for metal or metal carbides, other than injection or compression types</v>
          </cell>
          <cell r="F4659" t="str">
            <v>Capital Goods</v>
          </cell>
          <cell r="G4659">
            <v>0</v>
          </cell>
          <cell r="H4659" t="str">
            <v>Capital Goods</v>
          </cell>
          <cell r="I4659" t="str">
            <v>Capital Goods</v>
          </cell>
          <cell r="J4659">
            <v>1</v>
          </cell>
          <cell r="K4659" t="str">
            <v>Parts &amp; Accessories</v>
          </cell>
        </row>
        <row r="4660">
          <cell r="D4660">
            <v>846711</v>
          </cell>
          <cell r="E4660" t="str">
            <v>Tools; for working in the hand, pneumatic, rotary type (including combined rotary-percussion)</v>
          </cell>
          <cell r="F4660" t="str">
            <v>Capital Goods</v>
          </cell>
          <cell r="G4660" t="str">
            <v>Capital Goods</v>
          </cell>
          <cell r="H4660">
            <v>0</v>
          </cell>
          <cell r="I4660" t="str">
            <v>Capital Goods</v>
          </cell>
          <cell r="J4660">
            <v>1</v>
          </cell>
          <cell r="K4660" t="str">
            <v>Capital Goods</v>
          </cell>
        </row>
        <row r="4661">
          <cell r="D4661">
            <v>846719</v>
          </cell>
          <cell r="E4661" t="str">
            <v>Tools; for working in the hand, pneumatic, other than rotary type</v>
          </cell>
          <cell r="F4661" t="str">
            <v>Capital Goods</v>
          </cell>
          <cell r="G4661" t="str">
            <v>Capital Goods</v>
          </cell>
          <cell r="H4661">
            <v>0</v>
          </cell>
          <cell r="I4661" t="str">
            <v>Capital Goods</v>
          </cell>
          <cell r="J4661">
            <v>1</v>
          </cell>
          <cell r="K4661" t="str">
            <v>Capital Goods</v>
          </cell>
        </row>
        <row r="4662">
          <cell r="D4662">
            <v>846721</v>
          </cell>
          <cell r="E4662" t="str">
            <v>Tools; for working in the hand, with self-contained electric motor; drills of all kinds</v>
          </cell>
          <cell r="F4662" t="str">
            <v>Capital Goods</v>
          </cell>
          <cell r="G4662" t="str">
            <v>Capital Goods</v>
          </cell>
          <cell r="H4662">
            <v>0</v>
          </cell>
          <cell r="I4662" t="str">
            <v>Capital Goods</v>
          </cell>
          <cell r="J4662">
            <v>1</v>
          </cell>
          <cell r="K4662" t="str">
            <v>Capital Goods</v>
          </cell>
        </row>
        <row r="4663">
          <cell r="D4663">
            <v>846722</v>
          </cell>
          <cell r="E4663" t="str">
            <v>Tools; for working in the hand, with self-contained electric motor; saws</v>
          </cell>
          <cell r="F4663" t="str">
            <v>Capital Goods</v>
          </cell>
          <cell r="G4663" t="str">
            <v>Capital Goods</v>
          </cell>
          <cell r="H4663" t="str">
            <v>Capital Goods</v>
          </cell>
          <cell r="I4663" t="str">
            <v>Capital Goods</v>
          </cell>
          <cell r="J4663">
            <v>0</v>
          </cell>
          <cell r="K4663" t="str">
            <v>Capital Goods</v>
          </cell>
        </row>
        <row r="4664">
          <cell r="D4664">
            <v>846729</v>
          </cell>
          <cell r="E4664" t="str">
            <v>Tools; for working in the hand, with self-contained electric motor; other than saws and drills</v>
          </cell>
          <cell r="F4664" t="str">
            <v>Capital Goods</v>
          </cell>
          <cell r="G4664" t="str">
            <v>Capital Goods</v>
          </cell>
          <cell r="H4664">
            <v>0</v>
          </cell>
          <cell r="I4664" t="str">
            <v>Capital Goods</v>
          </cell>
          <cell r="J4664">
            <v>1</v>
          </cell>
          <cell r="K4664" t="str">
            <v>Capital Goods</v>
          </cell>
        </row>
        <row r="4665">
          <cell r="D4665">
            <v>846781</v>
          </cell>
          <cell r="E4665" t="str">
            <v>Tools; for working in the hand, chain saws with self-contained non-electric motor</v>
          </cell>
          <cell r="F4665">
            <v>0</v>
          </cell>
          <cell r="G4665" t="str">
            <v>Capital Goods</v>
          </cell>
          <cell r="H4665" t="str">
            <v>Capital Goods</v>
          </cell>
          <cell r="I4665" t="str">
            <v>Capital Goods</v>
          </cell>
          <cell r="J4665">
            <v>1</v>
          </cell>
          <cell r="K4665" t="str">
            <v>Capital Goods</v>
          </cell>
        </row>
        <row r="4666">
          <cell r="D4666">
            <v>846789</v>
          </cell>
          <cell r="E4666" t="str">
            <v>Tools; for working in the hand, (other than chain saws), hydraulic or with self-contained non-electric motor, (not pneumatic)</v>
          </cell>
          <cell r="F4666" t="str">
            <v>Capital Goods</v>
          </cell>
          <cell r="G4666" t="str">
            <v>Capital Goods</v>
          </cell>
          <cell r="H4666">
            <v>0</v>
          </cell>
          <cell r="I4666" t="str">
            <v>Capital Goods</v>
          </cell>
          <cell r="J4666">
            <v>1</v>
          </cell>
          <cell r="K4666" t="str">
            <v>Capital Goods</v>
          </cell>
        </row>
        <row r="4667">
          <cell r="D4667">
            <v>846791</v>
          </cell>
          <cell r="E4667" t="str">
            <v>Tools; for working in the hand, parts of chain saws, with self-contained non-electric motor</v>
          </cell>
          <cell r="F4667">
            <v>0</v>
          </cell>
          <cell r="G4667" t="str">
            <v>Capital Goods</v>
          </cell>
          <cell r="H4667" t="str">
            <v>Capital Goods</v>
          </cell>
          <cell r="I4667" t="str">
            <v>Parts &amp; Accessories</v>
          </cell>
          <cell r="J4667">
            <v>1</v>
          </cell>
          <cell r="K4667" t="str">
            <v>Capital Goods</v>
          </cell>
        </row>
        <row r="4668">
          <cell r="D4668">
            <v>846792</v>
          </cell>
          <cell r="E4668" t="str">
            <v>Tools; for working in the hand, parts of pneumatic tools</v>
          </cell>
          <cell r="F4668" t="str">
            <v>Capital Goods</v>
          </cell>
          <cell r="G4668" t="str">
            <v>Parts &amp; Accessories</v>
          </cell>
          <cell r="H4668" t="str">
            <v>Parts &amp; Accessories</v>
          </cell>
          <cell r="I4668" t="str">
            <v>Parts &amp; Accessories</v>
          </cell>
          <cell r="J4668">
            <v>0</v>
          </cell>
          <cell r="K4668" t="str">
            <v>Capital Goods</v>
          </cell>
        </row>
        <row r="4669">
          <cell r="D4669">
            <v>846610</v>
          </cell>
          <cell r="E4669" t="str">
            <v>Parts &amp; accessories suited for use solely/principally with machines of headings 8456-8465; tool holders and self-opening dieheads</v>
          </cell>
          <cell r="F4669" t="str">
            <v>Parts &amp; Accessories</v>
          </cell>
          <cell r="G4669">
            <v>0</v>
          </cell>
          <cell r="H4669" t="str">
            <v>Parts &amp; Accessories</v>
          </cell>
          <cell r="I4669" t="str">
            <v>Parts &amp; Accessories</v>
          </cell>
          <cell r="J4669">
            <v>1</v>
          </cell>
          <cell r="K4669" t="str">
            <v>Parts &amp; Accessories</v>
          </cell>
        </row>
        <row r="4670">
          <cell r="D4670">
            <v>846810</v>
          </cell>
          <cell r="E4670" t="str">
            <v>Machinery and apparatus; hand-held blow pipes for soldering, brazing or welding, whether or not capable of cutting</v>
          </cell>
          <cell r="F4670">
            <v>0</v>
          </cell>
          <cell r="G4670">
            <v>0</v>
          </cell>
          <cell r="H4670">
            <v>0</v>
          </cell>
          <cell r="I4670" t="str">
            <v>Capital Goods</v>
          </cell>
          <cell r="J4670">
            <v>3</v>
          </cell>
          <cell r="K4670" t="str">
            <v>Capital Goods</v>
          </cell>
        </row>
        <row r="4671">
          <cell r="D4671">
            <v>846820</v>
          </cell>
          <cell r="E4671" t="str">
            <v>Machinery and apparatus; gas operated machinery and apparatus n.e.c. in item no. 8468.10, for soldering, brazing or welding, whether or not capable of cutting</v>
          </cell>
          <cell r="F4671" t="str">
            <v>Capital Goods</v>
          </cell>
          <cell r="G4671">
            <v>0</v>
          </cell>
          <cell r="H4671">
            <v>0</v>
          </cell>
          <cell r="I4671" t="str">
            <v>Capital Goods</v>
          </cell>
          <cell r="J4671">
            <v>2</v>
          </cell>
          <cell r="K4671" t="str">
            <v>Capital Goods</v>
          </cell>
        </row>
        <row r="4672">
          <cell r="D4672">
            <v>846880</v>
          </cell>
          <cell r="E4672" t="str">
            <v>Machinery and apparatus; for soldering, brazing or welding, whether or not capable of cutting, n.e.c. in heading no. 8468</v>
          </cell>
          <cell r="F4672" t="str">
            <v>Capital Goods</v>
          </cell>
          <cell r="G4672">
            <v>0</v>
          </cell>
          <cell r="H4672">
            <v>0</v>
          </cell>
          <cell r="I4672" t="str">
            <v>Capital Goods</v>
          </cell>
          <cell r="J4672">
            <v>2</v>
          </cell>
          <cell r="K4672" t="str">
            <v>Capital Goods</v>
          </cell>
        </row>
        <row r="4673">
          <cell r="D4673">
            <v>854790</v>
          </cell>
          <cell r="E4673" t="str">
            <v>Insulating fittings; (other than of ceramics or plastics), for electrical machines, appliances and equipment, excluding insulators of heading no. 8546</v>
          </cell>
          <cell r="F4673" t="str">
            <v>Capital Goods</v>
          </cell>
          <cell r="G4673">
            <v>0</v>
          </cell>
          <cell r="H4673" t="str">
            <v>Parts &amp; Accessories</v>
          </cell>
          <cell r="I4673" t="str">
            <v>Parts &amp; Accessories</v>
          </cell>
          <cell r="J4673">
            <v>1</v>
          </cell>
          <cell r="K4673" t="str">
            <v>Parts &amp; Accessories</v>
          </cell>
        </row>
        <row r="4674">
          <cell r="D4674">
            <v>847010</v>
          </cell>
          <cell r="E4674" t="str">
            <v>Calculating machines; electronic calculators capable of operation without an external source of electric power and pocket-size data recording, reproducing and displaying machines with calculating functions</v>
          </cell>
          <cell r="F4674" t="str">
            <v>Capital Goods</v>
          </cell>
          <cell r="G4674">
            <v>0</v>
          </cell>
          <cell r="H4674">
            <v>0</v>
          </cell>
          <cell r="I4674" t="str">
            <v>Others</v>
          </cell>
          <cell r="J4674">
            <v>2</v>
          </cell>
          <cell r="K4674" t="str">
            <v>Capital Goods</v>
          </cell>
        </row>
        <row r="4675">
          <cell r="D4675">
            <v>847021</v>
          </cell>
          <cell r="E4675" t="str">
            <v>Calculating machines; electronic, incorporating a printing device, needing an external source of power</v>
          </cell>
          <cell r="F4675">
            <v>0</v>
          </cell>
          <cell r="G4675">
            <v>0</v>
          </cell>
          <cell r="H4675">
            <v>0</v>
          </cell>
          <cell r="I4675" t="str">
            <v>Capital Goods</v>
          </cell>
          <cell r="J4675">
            <v>3</v>
          </cell>
          <cell r="K4675" t="str">
            <v>Capital Goods</v>
          </cell>
        </row>
        <row r="4676">
          <cell r="D4676">
            <v>847029</v>
          </cell>
          <cell r="E4676" t="str">
            <v>Calculating machines; electronic, (not incorporating a printing device), needing an external power source</v>
          </cell>
          <cell r="F4676">
            <v>0</v>
          </cell>
          <cell r="G4676">
            <v>0</v>
          </cell>
          <cell r="H4676">
            <v>0</v>
          </cell>
          <cell r="I4676" t="str">
            <v>Capital Goods</v>
          </cell>
          <cell r="J4676">
            <v>3</v>
          </cell>
          <cell r="K4676" t="str">
            <v>Capital Goods</v>
          </cell>
        </row>
        <row r="4677">
          <cell r="D4677">
            <v>847030</v>
          </cell>
          <cell r="E4677" t="str">
            <v>Calculating machines; non-electronic</v>
          </cell>
          <cell r="F4677">
            <v>0</v>
          </cell>
          <cell r="G4677">
            <v>0</v>
          </cell>
          <cell r="H4677">
            <v>0</v>
          </cell>
          <cell r="I4677" t="str">
            <v>Capital Goods</v>
          </cell>
          <cell r="J4677">
            <v>3</v>
          </cell>
          <cell r="K4677" t="str">
            <v>Capital Goods</v>
          </cell>
        </row>
        <row r="4678">
          <cell r="D4678">
            <v>847050</v>
          </cell>
          <cell r="E4678" t="str">
            <v>Cash registers</v>
          </cell>
          <cell r="F4678" t="str">
            <v>Capital Goods</v>
          </cell>
          <cell r="G4678">
            <v>0</v>
          </cell>
          <cell r="H4678">
            <v>0</v>
          </cell>
          <cell r="I4678" t="str">
            <v>Capital Goods</v>
          </cell>
          <cell r="J4678">
            <v>2</v>
          </cell>
          <cell r="K4678" t="str">
            <v>Capital Goods - rc</v>
          </cell>
        </row>
        <row r="4679">
          <cell r="D4679">
            <v>847090</v>
          </cell>
          <cell r="E4679" t="str">
            <v>Machines incorporating a calculating device; n.e.c. in heading no. 8470</v>
          </cell>
          <cell r="F4679">
            <v>0</v>
          </cell>
          <cell r="G4679">
            <v>0</v>
          </cell>
          <cell r="H4679">
            <v>0</v>
          </cell>
          <cell r="I4679" t="str">
            <v>Capital Goods</v>
          </cell>
          <cell r="J4679">
            <v>3</v>
          </cell>
          <cell r="K4679" t="str">
            <v>Capital Goods</v>
          </cell>
        </row>
        <row r="4680">
          <cell r="D4680">
            <v>847130</v>
          </cell>
          <cell r="E4680" t="str">
            <v>Automatic data processing machines; portable, weighing not more than 10kg, consisting of at least a central processing unit, a keyboard and a display</v>
          </cell>
          <cell r="F4680" t="str">
            <v>Capital Goods</v>
          </cell>
          <cell r="G4680">
            <v>0</v>
          </cell>
          <cell r="H4680">
            <v>0</v>
          </cell>
          <cell r="I4680" t="str">
            <v>Capital Goods</v>
          </cell>
          <cell r="J4680">
            <v>2</v>
          </cell>
          <cell r="K4680" t="str">
            <v>Durable</v>
          </cell>
        </row>
        <row r="4681">
          <cell r="D4681">
            <v>847141</v>
          </cell>
          <cell r="E4681" t="str">
            <v>Automatic data processing machines; comprising in the same housing at least a central processing unit and an input and output unit, whether or not combined, n.e.c. in item no. 8471.30</v>
          </cell>
          <cell r="F4681" t="str">
            <v>Capital Goods</v>
          </cell>
          <cell r="G4681">
            <v>0</v>
          </cell>
          <cell r="H4681">
            <v>0</v>
          </cell>
          <cell r="I4681" t="str">
            <v>Capital Goods</v>
          </cell>
          <cell r="J4681">
            <v>2</v>
          </cell>
          <cell r="K4681" t="str">
            <v>Durable</v>
          </cell>
        </row>
        <row r="4682">
          <cell r="D4682">
            <v>847149</v>
          </cell>
          <cell r="E4682" t="str">
            <v>Automatic data processing machines; presented in the form of systems, n.e.c. in item no. 8471.30 or 8471.41</v>
          </cell>
          <cell r="F4682" t="str">
            <v>Capital Goods</v>
          </cell>
          <cell r="G4682">
            <v>0</v>
          </cell>
          <cell r="H4682">
            <v>0</v>
          </cell>
          <cell r="I4682" t="str">
            <v>Capital Goods</v>
          </cell>
          <cell r="J4682">
            <v>2</v>
          </cell>
          <cell r="K4682" t="str">
            <v>Durable</v>
          </cell>
        </row>
        <row r="4683">
          <cell r="D4683">
            <v>847150</v>
          </cell>
          <cell r="E4683" t="str">
            <v>Units of automatic data processing machines; processing units other than those of item no. 8471.41 or 8471.49, whether or not containing in the same housing one or two of the following types of unit: storage units, input units or output units</v>
          </cell>
          <cell r="F4683" t="str">
            <v>Capital Goods</v>
          </cell>
          <cell r="G4683">
            <v>0</v>
          </cell>
          <cell r="H4683">
            <v>0</v>
          </cell>
          <cell r="I4683" t="str">
            <v>Capital Goods</v>
          </cell>
          <cell r="J4683">
            <v>2</v>
          </cell>
          <cell r="K4683" t="str">
            <v>Parts &amp; Accessories - rc</v>
          </cell>
        </row>
        <row r="4684">
          <cell r="D4684">
            <v>847160</v>
          </cell>
          <cell r="E4684" t="str">
            <v>Units of automatic data processing machines; input or output units, whether or not containing storage units in the same housing</v>
          </cell>
          <cell r="F4684" t="str">
            <v>Capital Goods</v>
          </cell>
          <cell r="G4684">
            <v>0</v>
          </cell>
          <cell r="H4684">
            <v>0</v>
          </cell>
          <cell r="I4684" t="str">
            <v>Capital Goods</v>
          </cell>
          <cell r="J4684">
            <v>2</v>
          </cell>
          <cell r="K4684" t="str">
            <v>Durable</v>
          </cell>
        </row>
        <row r="4685">
          <cell r="D4685">
            <v>847170</v>
          </cell>
          <cell r="E4685" t="str">
            <v>Units of automatic data processing machines; storage units</v>
          </cell>
          <cell r="F4685" t="str">
            <v>Capital Goods</v>
          </cell>
          <cell r="G4685">
            <v>0</v>
          </cell>
          <cell r="H4685">
            <v>0</v>
          </cell>
          <cell r="I4685" t="str">
            <v>Capital Goods</v>
          </cell>
          <cell r="J4685">
            <v>2</v>
          </cell>
          <cell r="K4685" t="str">
            <v>Parts &amp; Accessories - rc</v>
          </cell>
        </row>
        <row r="4686">
          <cell r="D4686">
            <v>847180</v>
          </cell>
          <cell r="E4686" t="str">
            <v>Units of automatic data processing machines; n.e.c. in item no. 8471.50, 8471.60 or 8471.70</v>
          </cell>
          <cell r="F4686" t="str">
            <v>Capital Goods</v>
          </cell>
          <cell r="G4686">
            <v>0</v>
          </cell>
          <cell r="H4686">
            <v>0</v>
          </cell>
          <cell r="I4686" t="str">
            <v>Capital Goods</v>
          </cell>
          <cell r="J4686">
            <v>2</v>
          </cell>
          <cell r="K4686" t="str">
            <v>Capital Goods - rc</v>
          </cell>
        </row>
        <row r="4687">
          <cell r="D4687">
            <v>847190</v>
          </cell>
          <cell r="E4687" t="str">
            <v>Magnetic or optical readers, machines for transcribing data onto data media in coded form and machines for processing such data, not elsewhere specified or included</v>
          </cell>
          <cell r="F4687" t="str">
            <v>Capital Goods</v>
          </cell>
          <cell r="G4687">
            <v>0</v>
          </cell>
          <cell r="H4687">
            <v>0</v>
          </cell>
          <cell r="I4687" t="str">
            <v>Capital Goods</v>
          </cell>
          <cell r="J4687">
            <v>2</v>
          </cell>
          <cell r="K4687" t="str">
            <v>Durable</v>
          </cell>
        </row>
        <row r="4688">
          <cell r="D4688">
            <v>847210</v>
          </cell>
          <cell r="E4688" t="str">
            <v>Office machines; duplicating machines</v>
          </cell>
          <cell r="F4688">
            <v>0</v>
          </cell>
          <cell r="G4688">
            <v>0</v>
          </cell>
          <cell r="H4688">
            <v>0</v>
          </cell>
          <cell r="I4688" t="str">
            <v>Capital Goods</v>
          </cell>
          <cell r="J4688">
            <v>3</v>
          </cell>
          <cell r="K4688" t="str">
            <v>Capital Goods</v>
          </cell>
        </row>
        <row r="4689">
          <cell r="D4689">
            <v>847230</v>
          </cell>
          <cell r="E4689" t="str">
            <v>Office machines; for sorting or folding mail or for inserting mail in envelopes or bands, machines for opening, closing or sealing mail and machines for affixing or cancelling postage stamps</v>
          </cell>
          <cell r="F4689">
            <v>0</v>
          </cell>
          <cell r="G4689">
            <v>0</v>
          </cell>
          <cell r="H4689">
            <v>0</v>
          </cell>
          <cell r="I4689" t="str">
            <v>Capital Goods</v>
          </cell>
          <cell r="J4689">
            <v>3</v>
          </cell>
          <cell r="K4689" t="str">
            <v>Capital Goods</v>
          </cell>
        </row>
        <row r="4690">
          <cell r="D4690">
            <v>847290</v>
          </cell>
          <cell r="E4690" t="str">
            <v>Office machines; not elsewhere classified</v>
          </cell>
          <cell r="F4690" t="str">
            <v>Capital Goods</v>
          </cell>
          <cell r="G4690">
            <v>0</v>
          </cell>
          <cell r="H4690">
            <v>0</v>
          </cell>
          <cell r="I4690" t="str">
            <v>Capital Goods</v>
          </cell>
          <cell r="J4690">
            <v>2</v>
          </cell>
          <cell r="K4690" t="str">
            <v>Capital Goods - rc</v>
          </cell>
        </row>
        <row r="4691">
          <cell r="D4691">
            <v>843999</v>
          </cell>
          <cell r="E4691" t="str">
            <v>Machinery; parts of machinery for making or finishing paper or paperboard</v>
          </cell>
          <cell r="F4691" t="str">
            <v>Capital Goods</v>
          </cell>
          <cell r="G4691">
            <v>0</v>
          </cell>
          <cell r="H4691" t="str">
            <v>Capital Goods</v>
          </cell>
          <cell r="I4691" t="str">
            <v>Parts &amp; Accessories</v>
          </cell>
          <cell r="J4691">
            <v>1</v>
          </cell>
          <cell r="K4691" t="str">
            <v>Parts &amp; Accessories</v>
          </cell>
        </row>
        <row r="4692">
          <cell r="D4692">
            <v>680421</v>
          </cell>
          <cell r="E4692" t="str">
            <v>Millstones, grindstones, grinding wheels and the like; of agglomerated synthetic or natural diamond</v>
          </cell>
          <cell r="F4692">
            <v>0</v>
          </cell>
          <cell r="G4692">
            <v>0</v>
          </cell>
          <cell r="H4692" t="str">
            <v>Parts &amp; Accessories</v>
          </cell>
          <cell r="I4692" t="str">
            <v>Others</v>
          </cell>
          <cell r="J4692">
            <v>2</v>
          </cell>
          <cell r="K4692" t="str">
            <v>Parts &amp; Accessories</v>
          </cell>
        </row>
        <row r="4693">
          <cell r="D4693">
            <v>847330</v>
          </cell>
          <cell r="E4693" t="str">
            <v>Machinery; parts and accessories (other than covers, carrying cases and the like) of the machines of heading no. 8471</v>
          </cell>
          <cell r="F4693" t="str">
            <v>Parts &amp; Accessories</v>
          </cell>
          <cell r="G4693">
            <v>0</v>
          </cell>
          <cell r="H4693">
            <v>0</v>
          </cell>
          <cell r="I4693" t="str">
            <v>Parts &amp; Accessories</v>
          </cell>
          <cell r="J4693">
            <v>2</v>
          </cell>
          <cell r="K4693" t="str">
            <v>Parts &amp; Accessories - rc</v>
          </cell>
        </row>
        <row r="4694">
          <cell r="D4694">
            <v>844833</v>
          </cell>
          <cell r="E4694" t="str">
            <v>Machines; parts and accessories of machines or auxiliary machinery, spindles, spindle flyers, spinning rings and ring travellers</v>
          </cell>
          <cell r="F4694">
            <v>0</v>
          </cell>
          <cell r="G4694">
            <v>0</v>
          </cell>
          <cell r="H4694" t="str">
            <v>Parts &amp; Accessories</v>
          </cell>
          <cell r="I4694" t="str">
            <v>Parts &amp; Accessories</v>
          </cell>
          <cell r="J4694">
            <v>2</v>
          </cell>
          <cell r="K4694" t="str">
            <v>Parts &amp; Accessories</v>
          </cell>
        </row>
        <row r="4695">
          <cell r="D4695">
            <v>848490</v>
          </cell>
          <cell r="E4695" t="str">
            <v>Gasket sets or assortments of gaskets and similar joints; dissimilar in composition, put up in pouches, envelopes or similar packings</v>
          </cell>
          <cell r="F4695" t="str">
            <v>Parts &amp; Accessories</v>
          </cell>
          <cell r="G4695">
            <v>0</v>
          </cell>
          <cell r="H4695">
            <v>0</v>
          </cell>
          <cell r="I4695" t="str">
            <v>Parts &amp; Accessories</v>
          </cell>
          <cell r="J4695">
            <v>2</v>
          </cell>
          <cell r="K4695" t="str">
            <v>Parts &amp; Accessories</v>
          </cell>
        </row>
        <row r="4696">
          <cell r="D4696">
            <v>847410</v>
          </cell>
          <cell r="E4696" t="str">
            <v>Machines; for sorting, screening, separating or washing earth, stone, ores or other mineral substances</v>
          </cell>
          <cell r="F4696" t="str">
            <v>Capital Goods</v>
          </cell>
          <cell r="G4696">
            <v>0</v>
          </cell>
          <cell r="H4696" t="str">
            <v>Capital Goods</v>
          </cell>
          <cell r="I4696" t="str">
            <v>Capital Goods</v>
          </cell>
          <cell r="J4696">
            <v>1</v>
          </cell>
          <cell r="K4696" t="str">
            <v>Capital Goods</v>
          </cell>
        </row>
        <row r="4697">
          <cell r="D4697">
            <v>847420</v>
          </cell>
          <cell r="E4697" t="str">
            <v>Machines; for crushing or grinding earth, stone, ores or other mineral substances</v>
          </cell>
          <cell r="F4697">
            <v>0</v>
          </cell>
          <cell r="G4697">
            <v>0</v>
          </cell>
          <cell r="H4697" t="str">
            <v>Capital Goods</v>
          </cell>
          <cell r="I4697" t="str">
            <v>Capital Goods</v>
          </cell>
          <cell r="J4697">
            <v>2</v>
          </cell>
          <cell r="K4697" t="str">
            <v>Capital Goods</v>
          </cell>
        </row>
        <row r="4698">
          <cell r="D4698">
            <v>847431</v>
          </cell>
          <cell r="E4698" t="str">
            <v>Machines; concrete or mortar mixers</v>
          </cell>
          <cell r="F4698">
            <v>0</v>
          </cell>
          <cell r="G4698">
            <v>0</v>
          </cell>
          <cell r="H4698" t="str">
            <v>Capital Goods</v>
          </cell>
          <cell r="I4698" t="str">
            <v>Capital Goods</v>
          </cell>
          <cell r="J4698">
            <v>2</v>
          </cell>
          <cell r="K4698" t="str">
            <v>Capital Goods</v>
          </cell>
        </row>
        <row r="4699">
          <cell r="D4699">
            <v>847432</v>
          </cell>
          <cell r="E4699" t="str">
            <v>Machines; for mixing mineral substances with bitumen</v>
          </cell>
          <cell r="F4699">
            <v>0</v>
          </cell>
          <cell r="G4699">
            <v>0</v>
          </cell>
          <cell r="H4699" t="str">
            <v>Capital Goods</v>
          </cell>
          <cell r="I4699" t="str">
            <v>Capital Goods</v>
          </cell>
          <cell r="J4699">
            <v>2</v>
          </cell>
          <cell r="K4699" t="str">
            <v>Capital Goods</v>
          </cell>
        </row>
        <row r="4700">
          <cell r="D4700">
            <v>847439</v>
          </cell>
          <cell r="E4700" t="str">
            <v>Machines; for mixing or kneading mineral substances, excluding concrete mixers and machines for mixing mineral substances with bitumen</v>
          </cell>
          <cell r="F4700" t="str">
            <v>Capital Goods</v>
          </cell>
          <cell r="G4700">
            <v>0</v>
          </cell>
          <cell r="H4700" t="str">
            <v>Capital Goods</v>
          </cell>
          <cell r="I4700" t="str">
            <v>Capital Goods</v>
          </cell>
          <cell r="J4700">
            <v>1</v>
          </cell>
          <cell r="K4700" t="str">
            <v>Capital Goods</v>
          </cell>
        </row>
        <row r="4701">
          <cell r="D4701">
            <v>730722</v>
          </cell>
          <cell r="E4701" t="str">
            <v>Steel, stainless; tube or pipe fittings, threaded elbows, bends and sleeves</v>
          </cell>
          <cell r="F4701" t="str">
            <v>Capital Goods</v>
          </cell>
          <cell r="G4701">
            <v>0</v>
          </cell>
          <cell r="H4701">
            <v>0</v>
          </cell>
          <cell r="I4701" t="str">
            <v>Others</v>
          </cell>
          <cell r="J4701">
            <v>2</v>
          </cell>
          <cell r="K4701" t="str">
            <v>Parts &amp; Accessories</v>
          </cell>
        </row>
        <row r="4702">
          <cell r="D4702">
            <v>847490</v>
          </cell>
          <cell r="E4702" t="str">
            <v>Machines, for sorting, screening, separating, washing, crushing etc mineral substances, for agglomerating, shaping or moulding solid fuels, ceramic pastes etc, for forming foundry moulds of sand; parts</v>
          </cell>
          <cell r="F4702" t="str">
            <v>Parts &amp; Accessories</v>
          </cell>
          <cell r="G4702">
            <v>0</v>
          </cell>
          <cell r="H4702" t="str">
            <v>Parts &amp; Accessories</v>
          </cell>
          <cell r="I4702" t="str">
            <v>Parts &amp; Accessories</v>
          </cell>
          <cell r="J4702">
            <v>1</v>
          </cell>
          <cell r="K4702" t="str">
            <v>Parts &amp; Accessories - rc</v>
          </cell>
        </row>
        <row r="4703">
          <cell r="D4703">
            <v>847510</v>
          </cell>
          <cell r="E4703" t="str">
            <v>Machines; for assembling electric or electronic lamps, tubes, valves or flashbulbs, in glass envelopes</v>
          </cell>
          <cell r="F4703">
            <v>0</v>
          </cell>
          <cell r="G4703">
            <v>0</v>
          </cell>
          <cell r="H4703" t="str">
            <v>Capital Goods</v>
          </cell>
          <cell r="I4703" t="str">
            <v>Capital Goods</v>
          </cell>
          <cell r="J4703">
            <v>2</v>
          </cell>
          <cell r="K4703" t="str">
            <v>Capital Goods</v>
          </cell>
        </row>
        <row r="4704">
          <cell r="D4704">
            <v>847521</v>
          </cell>
          <cell r="E4704" t="str">
            <v>Machines; for manufacturing or hot working glass or glassware, for making optical fibres and preforms thereof</v>
          </cell>
          <cell r="F4704">
            <v>0</v>
          </cell>
          <cell r="G4704">
            <v>0</v>
          </cell>
          <cell r="H4704">
            <v>0</v>
          </cell>
          <cell r="I4704" t="str">
            <v>Capital Goods</v>
          </cell>
          <cell r="J4704">
            <v>3</v>
          </cell>
          <cell r="K4704" t="str">
            <v>Capital Goods</v>
          </cell>
        </row>
        <row r="4705">
          <cell r="D4705">
            <v>847529</v>
          </cell>
          <cell r="E4705" t="str">
            <v>Machines; for manufacturing or hot working glass or glassware, not for making optical fibres and preforms thereof</v>
          </cell>
          <cell r="F4705">
            <v>0</v>
          </cell>
          <cell r="G4705">
            <v>0</v>
          </cell>
          <cell r="H4705">
            <v>0</v>
          </cell>
          <cell r="I4705" t="str">
            <v>Capital Goods</v>
          </cell>
          <cell r="J4705">
            <v>3</v>
          </cell>
          <cell r="K4705" t="str">
            <v>Capital Goods</v>
          </cell>
        </row>
        <row r="4706">
          <cell r="D4706">
            <v>847590</v>
          </cell>
          <cell r="E4706" t="str">
            <v>Machines; parts, of those for assembling electric or electronic lamps, tubes, valves or flash-bulbs, in glass envelopes and manufacturing or hot working glass or glassware</v>
          </cell>
          <cell r="F4706">
            <v>0</v>
          </cell>
          <cell r="G4706">
            <v>0</v>
          </cell>
          <cell r="H4706">
            <v>0</v>
          </cell>
          <cell r="I4706" t="str">
            <v>Parts &amp; Accessories</v>
          </cell>
          <cell r="J4706">
            <v>3</v>
          </cell>
          <cell r="K4706" t="str">
            <v>Parts &amp; Accessories - rc</v>
          </cell>
        </row>
        <row r="4707">
          <cell r="D4707">
            <v>847621</v>
          </cell>
          <cell r="E4707" t="str">
            <v>Machines; automatic beverage-vending machines, incorporating heating or refrigerating devices</v>
          </cell>
          <cell r="F4707">
            <v>0</v>
          </cell>
          <cell r="G4707">
            <v>0</v>
          </cell>
          <cell r="H4707" t="str">
            <v>Others</v>
          </cell>
          <cell r="I4707" t="str">
            <v>Capital Goods</v>
          </cell>
          <cell r="J4707">
            <v>2</v>
          </cell>
          <cell r="K4707" t="str">
            <v>Capital Goods</v>
          </cell>
        </row>
        <row r="4708">
          <cell r="D4708">
            <v>847629</v>
          </cell>
          <cell r="E4708" t="str">
            <v>Machines; automatic beverage-vending machines, not incorporating heating or refrigerating devices</v>
          </cell>
          <cell r="F4708">
            <v>0</v>
          </cell>
          <cell r="G4708">
            <v>0</v>
          </cell>
          <cell r="H4708" t="str">
            <v>Others</v>
          </cell>
          <cell r="I4708" t="str">
            <v>Capital Goods</v>
          </cell>
          <cell r="J4708">
            <v>2</v>
          </cell>
          <cell r="K4708" t="str">
            <v>Capital Goods</v>
          </cell>
        </row>
        <row r="4709">
          <cell r="D4709">
            <v>847681</v>
          </cell>
          <cell r="E4709" t="str">
            <v>Machines; automatic goods-vending machines, (e.g. postage stamp, cigarette, food or money-changing machines, excluding beverage-vending machines), incorporating heating or refrigerating devices</v>
          </cell>
          <cell r="F4709">
            <v>0</v>
          </cell>
          <cell r="G4709">
            <v>0</v>
          </cell>
          <cell r="H4709" t="str">
            <v>Others</v>
          </cell>
          <cell r="I4709" t="str">
            <v>Capital Goods</v>
          </cell>
          <cell r="J4709">
            <v>2</v>
          </cell>
          <cell r="K4709" t="str">
            <v>Capital Goods</v>
          </cell>
        </row>
        <row r="4710">
          <cell r="D4710">
            <v>847689</v>
          </cell>
          <cell r="E4710" t="str">
            <v>Machines; automatic goods-vending machines, (e.g. postage stamp, cigarette, food or money-changing machines, excluding beverage-vending machines), not incorporating heating or refrigerating devices</v>
          </cell>
          <cell r="F4710">
            <v>0</v>
          </cell>
          <cell r="G4710">
            <v>0</v>
          </cell>
          <cell r="H4710" t="str">
            <v>Others</v>
          </cell>
          <cell r="I4710" t="str">
            <v>Capital Goods</v>
          </cell>
          <cell r="J4710">
            <v>2</v>
          </cell>
          <cell r="K4710" t="str">
            <v>Capital Goods</v>
          </cell>
        </row>
        <row r="4711">
          <cell r="D4711">
            <v>847690</v>
          </cell>
          <cell r="E4711" t="str">
            <v>Machines; parts of automatic goods-vending machines</v>
          </cell>
          <cell r="F4711">
            <v>0</v>
          </cell>
          <cell r="G4711">
            <v>0</v>
          </cell>
          <cell r="H4711" t="str">
            <v>Parts &amp; Accessories</v>
          </cell>
          <cell r="I4711" t="str">
            <v>Parts &amp; Accessories</v>
          </cell>
          <cell r="J4711">
            <v>2</v>
          </cell>
          <cell r="K4711" t="str">
            <v>Parts &amp; Accessories - rc</v>
          </cell>
        </row>
        <row r="4712">
          <cell r="D4712">
            <v>847710</v>
          </cell>
          <cell r="E4712" t="str">
            <v>Machinery; injection-moulding machines, for working rubber or plastics or for the manufacture of products from these materials</v>
          </cell>
          <cell r="F4712" t="str">
            <v>Capital Goods</v>
          </cell>
          <cell r="G4712">
            <v>0</v>
          </cell>
          <cell r="H4712" t="str">
            <v>Capital Goods</v>
          </cell>
          <cell r="I4712" t="str">
            <v>Capital Goods</v>
          </cell>
          <cell r="J4712">
            <v>1</v>
          </cell>
          <cell r="K4712" t="str">
            <v>Capital Goods</v>
          </cell>
        </row>
        <row r="4713">
          <cell r="D4713">
            <v>847720</v>
          </cell>
          <cell r="E4713" t="str">
            <v>Machinery; extruders, for working rubber or plastics or for the manufacture of products from these materials</v>
          </cell>
          <cell r="F4713">
            <v>0</v>
          </cell>
          <cell r="G4713">
            <v>0</v>
          </cell>
          <cell r="H4713" t="str">
            <v>Parts &amp; Accessories</v>
          </cell>
          <cell r="I4713" t="str">
            <v>Capital Goods</v>
          </cell>
          <cell r="J4713">
            <v>2</v>
          </cell>
          <cell r="K4713" t="str">
            <v>Capital Goods</v>
          </cell>
        </row>
        <row r="4714">
          <cell r="D4714">
            <v>847730</v>
          </cell>
          <cell r="E4714" t="str">
            <v>Machinery; blow moulding machines, for working rubber or plastics or for the manufacture of products from these materials</v>
          </cell>
          <cell r="F4714">
            <v>0</v>
          </cell>
          <cell r="G4714">
            <v>0</v>
          </cell>
          <cell r="H4714" t="str">
            <v>Capital Goods</v>
          </cell>
          <cell r="I4714" t="str">
            <v>Capital Goods</v>
          </cell>
          <cell r="J4714">
            <v>2</v>
          </cell>
          <cell r="K4714" t="str">
            <v>Capital Goods</v>
          </cell>
        </row>
        <row r="4715">
          <cell r="D4715">
            <v>847740</v>
          </cell>
          <cell r="E4715" t="str">
            <v>Machinery; vacuum moulding machines and other thermoforming machines, for working rubber or plastics or for the manufacture of products from these materials</v>
          </cell>
          <cell r="F4715" t="str">
            <v>Capital Goods</v>
          </cell>
          <cell r="G4715">
            <v>0</v>
          </cell>
          <cell r="H4715" t="str">
            <v>Capital Goods</v>
          </cell>
          <cell r="I4715" t="str">
            <v>Capital Goods</v>
          </cell>
          <cell r="J4715">
            <v>1</v>
          </cell>
          <cell r="K4715" t="str">
            <v>Capital Goods</v>
          </cell>
        </row>
        <row r="4716">
          <cell r="D4716">
            <v>847751</v>
          </cell>
          <cell r="E4716" t="str">
            <v>Machinery; for moulding or retreading pneumatic tyres or for moulding or otherwise forming inner tubes</v>
          </cell>
          <cell r="F4716">
            <v>0</v>
          </cell>
          <cell r="G4716">
            <v>0</v>
          </cell>
          <cell r="H4716" t="str">
            <v>Capital Goods</v>
          </cell>
          <cell r="I4716" t="str">
            <v>Capital Goods</v>
          </cell>
          <cell r="J4716">
            <v>2</v>
          </cell>
          <cell r="K4716" t="str">
            <v>Capital Goods</v>
          </cell>
        </row>
        <row r="4717">
          <cell r="D4717">
            <v>847759</v>
          </cell>
          <cell r="E4717" t="str">
            <v>Machinery; for moulding or forming, for working rubber or plastics or for the manufacture of products from these materials, n.e.c. in this chapter</v>
          </cell>
          <cell r="F4717">
            <v>0</v>
          </cell>
          <cell r="G4717">
            <v>0</v>
          </cell>
          <cell r="H4717" t="str">
            <v>Capital Goods</v>
          </cell>
          <cell r="I4717" t="str">
            <v>Capital Goods</v>
          </cell>
          <cell r="J4717">
            <v>2</v>
          </cell>
          <cell r="K4717" t="str">
            <v>Capital Goods</v>
          </cell>
        </row>
        <row r="4718">
          <cell r="D4718">
            <v>847780</v>
          </cell>
          <cell r="E4718" t="str">
            <v>Machinery; for working rubber or plastics or for the manufacture of products from these materials, n.e.c. in this chapter</v>
          </cell>
          <cell r="F4718" t="str">
            <v>Capital Goods</v>
          </cell>
          <cell r="G4718">
            <v>0</v>
          </cell>
          <cell r="H4718" t="str">
            <v>Capital Goods</v>
          </cell>
          <cell r="I4718" t="str">
            <v>Capital Goods</v>
          </cell>
          <cell r="J4718">
            <v>1</v>
          </cell>
          <cell r="K4718" t="str">
            <v>Capital Goods</v>
          </cell>
        </row>
        <row r="4719">
          <cell r="D4719">
            <v>848130</v>
          </cell>
          <cell r="E4719" t="str">
            <v>Valves; check (nonreturn) valves, for pipes, boiler shells, tanks, vats or the like</v>
          </cell>
          <cell r="F4719" t="str">
            <v>Capital Goods</v>
          </cell>
          <cell r="G4719">
            <v>0</v>
          </cell>
          <cell r="H4719" t="str">
            <v>Parts &amp; Accessories</v>
          </cell>
          <cell r="I4719" t="str">
            <v>Parts &amp; Accessories</v>
          </cell>
          <cell r="J4719">
            <v>1</v>
          </cell>
          <cell r="K4719" t="str">
            <v>Parts &amp; Accessories</v>
          </cell>
        </row>
        <row r="4720">
          <cell r="D4720">
            <v>847810</v>
          </cell>
          <cell r="E4720" t="str">
            <v>Machinery; for preparing or making up tobacco, n.e.c. in this chapter</v>
          </cell>
          <cell r="F4720">
            <v>0</v>
          </cell>
          <cell r="G4720">
            <v>0</v>
          </cell>
          <cell r="H4720" t="str">
            <v>Capital Goods</v>
          </cell>
          <cell r="I4720" t="str">
            <v>Capital Goods</v>
          </cell>
          <cell r="J4720">
            <v>2</v>
          </cell>
          <cell r="K4720" t="str">
            <v>Capital Goods</v>
          </cell>
        </row>
        <row r="4721">
          <cell r="D4721">
            <v>848240</v>
          </cell>
          <cell r="E4721" t="str">
            <v>Bearings; needle roller bearings, including cage and needle roller assemblies</v>
          </cell>
          <cell r="F4721" t="str">
            <v>Capital Goods</v>
          </cell>
          <cell r="G4721">
            <v>0</v>
          </cell>
          <cell r="H4721" t="str">
            <v>Parts &amp; Accessories</v>
          </cell>
          <cell r="I4721" t="str">
            <v>Parts &amp; Accessories</v>
          </cell>
          <cell r="J4721">
            <v>1</v>
          </cell>
          <cell r="K4721" t="str">
            <v>Parts &amp; Accessories</v>
          </cell>
        </row>
        <row r="4722">
          <cell r="D4722">
            <v>847910</v>
          </cell>
          <cell r="E4722" t="str">
            <v>Machinery and mechanical appliances; for public works, building or the like</v>
          </cell>
          <cell r="F4722" t="str">
            <v>Capital Goods</v>
          </cell>
          <cell r="G4722">
            <v>0</v>
          </cell>
          <cell r="H4722" t="str">
            <v>Capital Goods</v>
          </cell>
          <cell r="I4722" t="str">
            <v>Capital Goods</v>
          </cell>
          <cell r="J4722">
            <v>1</v>
          </cell>
          <cell r="K4722" t="str">
            <v>Capital Goods</v>
          </cell>
        </row>
        <row r="4723">
          <cell r="D4723">
            <v>847920</v>
          </cell>
          <cell r="E4723" t="str">
            <v>Machinery; for the extraction or preparation of animal or fixed vegetable or microbial fats or oils</v>
          </cell>
          <cell r="F4723">
            <v>0</v>
          </cell>
          <cell r="G4723">
            <v>0</v>
          </cell>
          <cell r="H4723" t="str">
            <v>Capital Goods</v>
          </cell>
          <cell r="I4723" t="str">
            <v>Capital Goods</v>
          </cell>
          <cell r="J4723">
            <v>2</v>
          </cell>
          <cell r="K4723" t="str">
            <v>Capital Goods</v>
          </cell>
        </row>
        <row r="4724">
          <cell r="D4724">
            <v>847930</v>
          </cell>
          <cell r="E4724" t="str">
            <v>Machinery and mechanical appliances; presses for the manufacture of particle or fibre building board of wood or other ligneous materials and other machinery for treating wood or cork</v>
          </cell>
          <cell r="F4724">
            <v>0</v>
          </cell>
          <cell r="G4724">
            <v>0</v>
          </cell>
          <cell r="H4724" t="str">
            <v>Capital Goods</v>
          </cell>
          <cell r="I4724" t="str">
            <v>Capital Goods</v>
          </cell>
          <cell r="J4724">
            <v>2</v>
          </cell>
          <cell r="K4724" t="str">
            <v>Capital Goods</v>
          </cell>
        </row>
        <row r="4725">
          <cell r="D4725">
            <v>847940</v>
          </cell>
          <cell r="E4725" t="str">
            <v>Machines; for making rope or cable</v>
          </cell>
          <cell r="F4725">
            <v>0</v>
          </cell>
          <cell r="G4725">
            <v>0</v>
          </cell>
          <cell r="H4725" t="str">
            <v>Capital Goods</v>
          </cell>
          <cell r="I4725" t="str">
            <v>Capital Goods</v>
          </cell>
          <cell r="J4725">
            <v>2</v>
          </cell>
          <cell r="K4725" t="str">
            <v>Capital Goods</v>
          </cell>
        </row>
        <row r="4726">
          <cell r="D4726">
            <v>847950</v>
          </cell>
          <cell r="E4726" t="str">
            <v>Machinery and mechanical appliances; industrial robots, n.e.c. or included</v>
          </cell>
          <cell r="F4726" t="str">
            <v>Capital Goods</v>
          </cell>
          <cell r="G4726">
            <v>0</v>
          </cell>
          <cell r="H4726" t="str">
            <v>Capital Goods</v>
          </cell>
          <cell r="I4726" t="str">
            <v>Capital Goods</v>
          </cell>
          <cell r="J4726">
            <v>1</v>
          </cell>
          <cell r="K4726" t="str">
            <v>Capital Goods</v>
          </cell>
        </row>
        <row r="4727">
          <cell r="D4727">
            <v>847960</v>
          </cell>
          <cell r="E4727" t="str">
            <v>Machinery and mechanical appliances; evaporative air coolers</v>
          </cell>
          <cell r="F4727" t="str">
            <v>Capital Goods</v>
          </cell>
          <cell r="G4727">
            <v>0</v>
          </cell>
          <cell r="H4727" t="str">
            <v>Capital Goods</v>
          </cell>
          <cell r="I4727" t="str">
            <v>Capital Goods</v>
          </cell>
          <cell r="J4727">
            <v>1</v>
          </cell>
          <cell r="K4727" t="str">
            <v>Capital Goods</v>
          </cell>
        </row>
        <row r="4728">
          <cell r="D4728">
            <v>847971</v>
          </cell>
          <cell r="E4728" t="str">
            <v>Machinery and mechanical appliances; passenger boarding bridges, of a kind used in airports</v>
          </cell>
          <cell r="F4728">
            <v>0</v>
          </cell>
          <cell r="G4728">
            <v>0</v>
          </cell>
          <cell r="H4728">
            <v>0</v>
          </cell>
          <cell r="I4728" t="str">
            <v>Capital Goods</v>
          </cell>
          <cell r="J4728">
            <v>3</v>
          </cell>
          <cell r="K4728" t="str">
            <v>Capital Goods</v>
          </cell>
        </row>
        <row r="4729">
          <cell r="D4729">
            <v>847979</v>
          </cell>
          <cell r="E4729" t="str">
            <v>Machinery and mechanical appliances; passenger boarding bridges, other than of a kind used in airports</v>
          </cell>
          <cell r="F4729" t="str">
            <v>Capital Goods</v>
          </cell>
          <cell r="G4729">
            <v>0</v>
          </cell>
          <cell r="H4729">
            <v>0</v>
          </cell>
          <cell r="I4729" t="str">
            <v>Capital Goods</v>
          </cell>
          <cell r="J4729">
            <v>2</v>
          </cell>
          <cell r="K4729" t="str">
            <v>Capital Goods</v>
          </cell>
        </row>
        <row r="4730">
          <cell r="D4730">
            <v>847981</v>
          </cell>
          <cell r="E4730" t="str">
            <v>Machines and mechanical appliances; for treating metal, including electric wire coil-winders</v>
          </cell>
          <cell r="F4730" t="str">
            <v>Capital Goods</v>
          </cell>
          <cell r="G4730">
            <v>0</v>
          </cell>
          <cell r="H4730" t="str">
            <v>Capital Goods</v>
          </cell>
          <cell r="I4730" t="str">
            <v>Capital Goods</v>
          </cell>
          <cell r="J4730">
            <v>1</v>
          </cell>
          <cell r="K4730" t="str">
            <v>Capital Goods</v>
          </cell>
        </row>
        <row r="4731">
          <cell r="D4731">
            <v>847982</v>
          </cell>
          <cell r="E4731" t="str">
            <v>Machines; for mixing, kneading, crushing, grinding, screening, sifting, homogenising, emulsifying or stirring</v>
          </cell>
          <cell r="F4731" t="str">
            <v>Capital Goods</v>
          </cell>
          <cell r="G4731">
            <v>0</v>
          </cell>
          <cell r="H4731" t="str">
            <v>Capital Goods</v>
          </cell>
          <cell r="I4731" t="str">
            <v>Capital Goods</v>
          </cell>
          <cell r="J4731">
            <v>1</v>
          </cell>
          <cell r="K4731" t="str">
            <v>Capital Goods</v>
          </cell>
        </row>
        <row r="4732">
          <cell r="D4732">
            <v>847983</v>
          </cell>
          <cell r="E4732" t="str">
            <v>Machines and mechanical appliances; cold isostatic presses</v>
          </cell>
          <cell r="F4732">
            <v>0</v>
          </cell>
          <cell r="G4732">
            <v>0</v>
          </cell>
          <cell r="H4732">
            <v>0</v>
          </cell>
          <cell r="I4732" t="str">
            <v>Capital Goods</v>
          </cell>
          <cell r="J4732">
            <v>3</v>
          </cell>
          <cell r="K4732" t="str">
            <v>Capital Goods</v>
          </cell>
        </row>
        <row r="4733">
          <cell r="D4733">
            <v>847989</v>
          </cell>
          <cell r="E4733" t="str">
            <v>Machines and mechanical appliances; having individual functions, n.e.c. or included in this chapter</v>
          </cell>
          <cell r="F4733" t="str">
            <v>Capital Goods</v>
          </cell>
          <cell r="G4733">
            <v>0</v>
          </cell>
          <cell r="H4733" t="str">
            <v>Capital Goods</v>
          </cell>
          <cell r="I4733" t="str">
            <v>Capital Goods</v>
          </cell>
          <cell r="J4733">
            <v>1</v>
          </cell>
          <cell r="K4733" t="str">
            <v>Capital Goods</v>
          </cell>
        </row>
        <row r="4734">
          <cell r="D4734">
            <v>854470</v>
          </cell>
          <cell r="E4734" t="str">
            <v>Insulated electric conductors; optical fibre cables</v>
          </cell>
          <cell r="F4734" t="str">
            <v>Capital Goods</v>
          </cell>
          <cell r="G4734">
            <v>0</v>
          </cell>
          <cell r="H4734" t="str">
            <v>Parts &amp; Accessories</v>
          </cell>
          <cell r="I4734" t="str">
            <v>Others</v>
          </cell>
          <cell r="J4734">
            <v>1</v>
          </cell>
          <cell r="K4734" t="str">
            <v>Parts &amp; Accessories</v>
          </cell>
        </row>
        <row r="4735">
          <cell r="D4735">
            <v>848010</v>
          </cell>
          <cell r="E4735" t="str">
            <v>Moulding boxes; for metal foundry</v>
          </cell>
          <cell r="F4735">
            <v>0</v>
          </cell>
          <cell r="G4735">
            <v>0</v>
          </cell>
          <cell r="H4735" t="str">
            <v>Capital Goods</v>
          </cell>
          <cell r="I4735" t="str">
            <v>Capital Goods</v>
          </cell>
          <cell r="J4735">
            <v>2</v>
          </cell>
          <cell r="K4735" t="str">
            <v>Capital Goods</v>
          </cell>
        </row>
        <row r="4736">
          <cell r="D4736">
            <v>848020</v>
          </cell>
          <cell r="E4736" t="str">
            <v>Mould bases; for metal, metal carbides, glass, mineral materials, rubber or plastics</v>
          </cell>
          <cell r="F4736">
            <v>0</v>
          </cell>
          <cell r="G4736">
            <v>0</v>
          </cell>
          <cell r="H4736" t="str">
            <v>Capital Goods</v>
          </cell>
          <cell r="I4736" t="str">
            <v>Capital Goods</v>
          </cell>
          <cell r="J4736">
            <v>2</v>
          </cell>
          <cell r="K4736" t="str">
            <v>Capital Goods</v>
          </cell>
        </row>
        <row r="4737">
          <cell r="D4737">
            <v>848030</v>
          </cell>
          <cell r="E4737" t="str">
            <v>Moulding patterns; of metal, metal carbides, glass, mineral materials, rubber or plastics</v>
          </cell>
          <cell r="F4737">
            <v>0</v>
          </cell>
          <cell r="G4737">
            <v>0</v>
          </cell>
          <cell r="H4737" t="str">
            <v>Capital Goods</v>
          </cell>
          <cell r="I4737" t="str">
            <v>Capital Goods</v>
          </cell>
          <cell r="J4737">
            <v>2</v>
          </cell>
          <cell r="K4737" t="str">
            <v>Capital Goods</v>
          </cell>
        </row>
        <row r="4738">
          <cell r="D4738">
            <v>844190</v>
          </cell>
          <cell r="E4738" t="str">
            <v>Machinery; parts of machinery for making up paper pulp, paper or paperboard, including cutting machines of all kinds</v>
          </cell>
          <cell r="F4738" t="str">
            <v>Parts &amp; Accessories</v>
          </cell>
          <cell r="G4738">
            <v>0</v>
          </cell>
          <cell r="H4738" t="str">
            <v>Parts &amp; Accessories</v>
          </cell>
          <cell r="I4738" t="str">
            <v>Parts &amp; Accessories</v>
          </cell>
          <cell r="J4738">
            <v>1</v>
          </cell>
          <cell r="K4738" t="str">
            <v>Parts &amp; Accessories</v>
          </cell>
        </row>
        <row r="4739">
          <cell r="D4739">
            <v>730411</v>
          </cell>
          <cell r="E4739" t="str">
            <v>Iron or steel (excluding cast iron); seamless, line pipe of a kind used for oil or gas pipelines, of stainless steel</v>
          </cell>
          <cell r="F4739" t="str">
            <v>Capital Goods</v>
          </cell>
          <cell r="G4739">
            <v>0</v>
          </cell>
          <cell r="H4739">
            <v>0</v>
          </cell>
          <cell r="I4739" t="str">
            <v>Others</v>
          </cell>
          <cell r="J4739">
            <v>2</v>
          </cell>
          <cell r="K4739" t="str">
            <v>Parts &amp; Accessories</v>
          </cell>
        </row>
        <row r="4740">
          <cell r="D4740">
            <v>854520</v>
          </cell>
          <cell r="E4740" t="str">
            <v>Carbon brushes; with or without metal, used for electrical purposes</v>
          </cell>
          <cell r="F4740" t="str">
            <v>Capital Goods</v>
          </cell>
          <cell r="G4740">
            <v>0</v>
          </cell>
          <cell r="H4740" t="str">
            <v>Parts &amp; Accessories</v>
          </cell>
          <cell r="I4740" t="str">
            <v>Parts &amp; Accessories</v>
          </cell>
          <cell r="J4740">
            <v>1</v>
          </cell>
          <cell r="K4740" t="str">
            <v>Parts &amp; Accessories</v>
          </cell>
        </row>
        <row r="4741">
          <cell r="D4741">
            <v>731511</v>
          </cell>
          <cell r="E4741" t="str">
            <v>Chain; articulated link, roller, of iron or steel</v>
          </cell>
          <cell r="F4741" t="str">
            <v>Capital Goods</v>
          </cell>
          <cell r="G4741">
            <v>0</v>
          </cell>
          <cell r="H4741">
            <v>0</v>
          </cell>
          <cell r="I4741" t="str">
            <v>Others</v>
          </cell>
          <cell r="J4741">
            <v>2</v>
          </cell>
          <cell r="K4741" t="str">
            <v>Parts &amp; Accessories</v>
          </cell>
        </row>
        <row r="4742">
          <cell r="D4742">
            <v>847350</v>
          </cell>
          <cell r="E4742" t="str">
            <v>Machines; parts and accessories (other than covers, carrying cases and the like) equally suitable for use with machines of two or more of the headings 8470 to 8472</v>
          </cell>
          <cell r="F4742">
            <v>0</v>
          </cell>
          <cell r="G4742">
            <v>0</v>
          </cell>
          <cell r="H4742">
            <v>0</v>
          </cell>
          <cell r="I4742" t="str">
            <v>Parts &amp; Accessories</v>
          </cell>
          <cell r="J4742">
            <v>3</v>
          </cell>
          <cell r="K4742" t="str">
            <v>Parts &amp; Accessories</v>
          </cell>
        </row>
        <row r="4743">
          <cell r="D4743">
            <v>841690</v>
          </cell>
          <cell r="E4743" t="str">
            <v>Furnaces; parts of furnace burners, for liquid fuel, pulverized solid fuel or gas, mechanical stokers, grates, ash dischargers and the like</v>
          </cell>
          <cell r="F4743">
            <v>0</v>
          </cell>
          <cell r="G4743">
            <v>0</v>
          </cell>
          <cell r="H4743" t="str">
            <v>Parts &amp; Accessories</v>
          </cell>
          <cell r="I4743" t="str">
            <v>Parts &amp; Accessories</v>
          </cell>
          <cell r="J4743">
            <v>2</v>
          </cell>
          <cell r="K4743" t="str">
            <v>Parts &amp; Accessories</v>
          </cell>
        </row>
        <row r="4744">
          <cell r="D4744">
            <v>848110</v>
          </cell>
          <cell r="E4744" t="str">
            <v>Valves; pressure reducing, for pipes, boiler shells, tanks, vats or the like</v>
          </cell>
          <cell r="F4744" t="str">
            <v>Capital Goods</v>
          </cell>
          <cell r="G4744">
            <v>0</v>
          </cell>
          <cell r="H4744" t="str">
            <v>Parts &amp; Accessories</v>
          </cell>
          <cell r="I4744" t="str">
            <v>Parts &amp; Accessories</v>
          </cell>
          <cell r="J4744">
            <v>1</v>
          </cell>
          <cell r="K4744" t="str">
            <v>Parts &amp; Accessories - rc</v>
          </cell>
        </row>
        <row r="4745">
          <cell r="D4745">
            <v>845190</v>
          </cell>
          <cell r="E4745" t="str">
            <v>Machinery; parts, of the machinery of heading no. 8451</v>
          </cell>
          <cell r="F4745" t="str">
            <v>Capital Goods</v>
          </cell>
          <cell r="G4745">
            <v>0</v>
          </cell>
          <cell r="H4745" t="str">
            <v>Capital Goods</v>
          </cell>
          <cell r="I4745" t="str">
            <v>Parts &amp; Accessories</v>
          </cell>
          <cell r="J4745">
            <v>1</v>
          </cell>
          <cell r="K4745" t="str">
            <v>Parts &amp; Accessories</v>
          </cell>
        </row>
        <row r="4746">
          <cell r="D4746">
            <v>844859</v>
          </cell>
          <cell r="E4746" t="str">
            <v>Machines; parts and accessories of machines or auxiliary machinery of heading no. 8447, other than sinkers, needles and other articles used in forming stitches</v>
          </cell>
          <cell r="F4746" t="str">
            <v>Parts &amp; Accessories</v>
          </cell>
          <cell r="G4746">
            <v>0</v>
          </cell>
          <cell r="H4746">
            <v>0</v>
          </cell>
          <cell r="I4746" t="str">
            <v>Parts &amp; Accessories</v>
          </cell>
          <cell r="J4746">
            <v>2</v>
          </cell>
          <cell r="K4746" t="str">
            <v>Parts &amp; Accessories</v>
          </cell>
        </row>
        <row r="4747">
          <cell r="D4747">
            <v>902590</v>
          </cell>
          <cell r="E4747" t="str">
            <v>Hydrometers and similar floating instruments, barometers, hygrometers, psychrometers, thermometers, pyrometers; recording or not, any combination of these instruments, parts and accessories</v>
          </cell>
          <cell r="F4747" t="str">
            <v>Parts &amp; Accessories</v>
          </cell>
          <cell r="G4747">
            <v>0</v>
          </cell>
          <cell r="H4747">
            <v>0</v>
          </cell>
          <cell r="I4747" t="str">
            <v>Parts &amp; Accessories</v>
          </cell>
          <cell r="J4747">
            <v>2</v>
          </cell>
          <cell r="K4747" t="str">
            <v>Parts &amp; Accessories</v>
          </cell>
        </row>
        <row r="4748">
          <cell r="D4748">
            <v>847329</v>
          </cell>
          <cell r="E4748" t="str">
            <v>Machinery; parts and accessories of the machines of item no. 8470.30. 8470.50 or 8470.90 (other than covers, carrying cases and the like)</v>
          </cell>
          <cell r="F4748" t="str">
            <v>Parts &amp; Accessories</v>
          </cell>
          <cell r="G4748">
            <v>0</v>
          </cell>
          <cell r="H4748">
            <v>0</v>
          </cell>
          <cell r="I4748" t="str">
            <v>Parts &amp; Accessories</v>
          </cell>
          <cell r="J4748">
            <v>2</v>
          </cell>
          <cell r="K4748" t="str">
            <v>Parts &amp; Accessories</v>
          </cell>
        </row>
        <row r="4749">
          <cell r="D4749">
            <v>844851</v>
          </cell>
          <cell r="E4749" t="str">
            <v>Machines; parts and accessories of machines of heading no. 8447 or auxiliary machinery, sinkers, needles and other articles used in forming stitches</v>
          </cell>
          <cell r="F4749" t="str">
            <v>Parts &amp; Accessories</v>
          </cell>
          <cell r="G4749">
            <v>0</v>
          </cell>
          <cell r="H4749">
            <v>0</v>
          </cell>
          <cell r="I4749" t="str">
            <v>Parts &amp; Accessories</v>
          </cell>
          <cell r="J4749">
            <v>2</v>
          </cell>
          <cell r="K4749" t="str">
            <v>Parts &amp; Accessories</v>
          </cell>
        </row>
        <row r="4750">
          <cell r="D4750">
            <v>741220</v>
          </cell>
          <cell r="E4750" t="str">
            <v>Copper; tube or pipe fittings (e.g. couplings, elbows, sleeves) of copper alloys</v>
          </cell>
          <cell r="F4750" t="str">
            <v>Capital Goods</v>
          </cell>
          <cell r="G4750">
            <v>0</v>
          </cell>
          <cell r="H4750">
            <v>0</v>
          </cell>
          <cell r="I4750" t="str">
            <v>Others</v>
          </cell>
          <cell r="J4750">
            <v>2</v>
          </cell>
          <cell r="K4750" t="str">
            <v>Parts &amp; Accessories</v>
          </cell>
        </row>
        <row r="4751">
          <cell r="D4751">
            <v>901190</v>
          </cell>
          <cell r="E4751" t="str">
            <v>Microscopes, compound optical; parts and accessories (including those for photomicrography, cinephotomicrography or microprojection)</v>
          </cell>
          <cell r="F4751" t="str">
            <v>Parts &amp; Accessories</v>
          </cell>
          <cell r="G4751">
            <v>0</v>
          </cell>
          <cell r="H4751">
            <v>0</v>
          </cell>
          <cell r="I4751" t="str">
            <v>Parts &amp; Accessories</v>
          </cell>
          <cell r="J4751">
            <v>2</v>
          </cell>
          <cell r="K4751" t="str">
            <v>Parts &amp; Accessories</v>
          </cell>
        </row>
        <row r="4752">
          <cell r="D4752">
            <v>840290</v>
          </cell>
          <cell r="E4752" t="str">
            <v>Boilers; parts of steam or other vapour generating boilers</v>
          </cell>
          <cell r="F4752">
            <v>0</v>
          </cell>
          <cell r="G4752">
            <v>0</v>
          </cell>
          <cell r="H4752">
            <v>0</v>
          </cell>
          <cell r="I4752" t="str">
            <v>Parts &amp; Accessories</v>
          </cell>
          <cell r="J4752">
            <v>3</v>
          </cell>
          <cell r="K4752" t="str">
            <v>Parts &amp; Accessories</v>
          </cell>
        </row>
        <row r="4753">
          <cell r="D4753">
            <v>391721</v>
          </cell>
          <cell r="E4753" t="str">
            <v>Plastics; tubes, pipes and hoses thereof, rigid, of polymers of ethylene</v>
          </cell>
          <cell r="F4753" t="str">
            <v>Capital Goods</v>
          </cell>
          <cell r="G4753">
            <v>0</v>
          </cell>
          <cell r="H4753">
            <v>0</v>
          </cell>
          <cell r="I4753" t="str">
            <v>Others</v>
          </cell>
          <cell r="J4753">
            <v>2</v>
          </cell>
          <cell r="K4753" t="str">
            <v>Parts &amp; Accessories</v>
          </cell>
        </row>
        <row r="4754">
          <cell r="D4754">
            <v>843790</v>
          </cell>
          <cell r="E4754" t="str">
            <v>Machines; parts of those for cleaning, sorting or grading seed, grain or dried leguminous vegetables or for milling or working cereals or dried leguminous vegetables (not farm-type machinery)</v>
          </cell>
          <cell r="F4754" t="str">
            <v>Parts &amp; Accessories</v>
          </cell>
          <cell r="G4754">
            <v>0</v>
          </cell>
          <cell r="H4754" t="str">
            <v>Parts &amp; Accessories</v>
          </cell>
          <cell r="I4754" t="str">
            <v>Parts &amp; Accessories</v>
          </cell>
          <cell r="J4754">
            <v>1</v>
          </cell>
          <cell r="K4754" t="str">
            <v>Parts &amp; Accessories</v>
          </cell>
        </row>
        <row r="4755">
          <cell r="D4755">
            <v>960720</v>
          </cell>
          <cell r="E4755" t="str">
            <v>Slide fasteners; parts</v>
          </cell>
          <cell r="F4755" t="str">
            <v>Parts &amp; Accessories</v>
          </cell>
          <cell r="G4755">
            <v>0</v>
          </cell>
          <cell r="H4755">
            <v>0</v>
          </cell>
          <cell r="I4755" t="str">
            <v>Others</v>
          </cell>
          <cell r="J4755">
            <v>2</v>
          </cell>
          <cell r="K4755" t="str">
            <v>Parts &amp; Accessories</v>
          </cell>
        </row>
        <row r="4756">
          <cell r="D4756">
            <v>843110</v>
          </cell>
          <cell r="E4756" t="str">
            <v>Machinery; parts of the machinery of heading no. 8425</v>
          </cell>
          <cell r="F4756" t="str">
            <v>Parts &amp; Accessories</v>
          </cell>
          <cell r="G4756">
            <v>0</v>
          </cell>
          <cell r="H4756" t="str">
            <v>Parts &amp; Accessories</v>
          </cell>
          <cell r="I4756" t="str">
            <v>Parts &amp; Accessories</v>
          </cell>
          <cell r="J4756">
            <v>1</v>
          </cell>
          <cell r="K4756" t="str">
            <v>Parts &amp; Accessories</v>
          </cell>
        </row>
        <row r="4757">
          <cell r="D4757">
            <v>853225</v>
          </cell>
          <cell r="E4757" t="str">
            <v>Electrical capacitors; fixed, dielectric of paper or plastics</v>
          </cell>
          <cell r="F4757" t="str">
            <v>Parts &amp; Accessories</v>
          </cell>
          <cell r="G4757">
            <v>0</v>
          </cell>
          <cell r="H4757">
            <v>0</v>
          </cell>
          <cell r="I4757" t="str">
            <v>Parts &amp; Accessories</v>
          </cell>
          <cell r="J4757">
            <v>2</v>
          </cell>
          <cell r="K4757" t="str">
            <v>Parts &amp; Accessories</v>
          </cell>
        </row>
        <row r="4758">
          <cell r="D4758">
            <v>848310</v>
          </cell>
          <cell r="E4758" t="str">
            <v>Transmission shafts (including cam shafts and crank shafts) and cranks</v>
          </cell>
          <cell r="F4758" t="str">
            <v>Capital Goods</v>
          </cell>
          <cell r="G4758">
            <v>0</v>
          </cell>
          <cell r="H4758" t="str">
            <v>Parts &amp; Accessories</v>
          </cell>
          <cell r="I4758" t="str">
            <v>Parts &amp; Accessories</v>
          </cell>
          <cell r="J4758">
            <v>1</v>
          </cell>
          <cell r="K4758" t="str">
            <v>Parts &amp; Accessories - rc</v>
          </cell>
        </row>
        <row r="4759">
          <cell r="D4759">
            <v>850432</v>
          </cell>
          <cell r="E4759" t="str">
            <v>Transformers; n.e.c. in item no. 8504.2, having a power handling capacity exceeding 1kVA but not exceeding 16kVA</v>
          </cell>
          <cell r="F4759" t="str">
            <v>Capital Goods</v>
          </cell>
          <cell r="G4759">
            <v>0</v>
          </cell>
          <cell r="H4759">
            <v>0</v>
          </cell>
          <cell r="I4759" t="str">
            <v>Capital Goods</v>
          </cell>
          <cell r="J4759">
            <v>2</v>
          </cell>
          <cell r="K4759" t="str">
            <v>Parts &amp; Accessories</v>
          </cell>
        </row>
        <row r="4760">
          <cell r="D4760">
            <v>848690</v>
          </cell>
          <cell r="E4760" t="str">
            <v>Machines and apparatus of heading 8486; parts and accessories</v>
          </cell>
          <cell r="F4760" t="str">
            <v>Parts &amp; Accessories</v>
          </cell>
          <cell r="G4760">
            <v>0</v>
          </cell>
          <cell r="H4760">
            <v>0</v>
          </cell>
          <cell r="I4760" t="str">
            <v>Parts &amp; Accessories</v>
          </cell>
          <cell r="J4760">
            <v>2</v>
          </cell>
          <cell r="K4760" t="str">
            <v>Parts &amp; Accessories</v>
          </cell>
        </row>
        <row r="4761">
          <cell r="D4761">
            <v>731512</v>
          </cell>
          <cell r="E4761" t="str">
            <v>Chain; articulated link, (other than roller), of iron or steel</v>
          </cell>
          <cell r="F4761" t="str">
            <v>Capital Goods</v>
          </cell>
          <cell r="G4761">
            <v>0</v>
          </cell>
          <cell r="H4761">
            <v>0</v>
          </cell>
          <cell r="I4761" t="str">
            <v>Others</v>
          </cell>
          <cell r="J4761">
            <v>2</v>
          </cell>
          <cell r="K4761" t="str">
            <v>Parts &amp; Accessories</v>
          </cell>
        </row>
        <row r="4762">
          <cell r="D4762">
            <v>401011</v>
          </cell>
          <cell r="E4762" t="str">
            <v>Rubber; vulcanised, conveyor belts or belting, reinforced only with metal</v>
          </cell>
          <cell r="F4762" t="str">
            <v>Parts &amp; Accessories</v>
          </cell>
          <cell r="G4762">
            <v>0</v>
          </cell>
          <cell r="H4762">
            <v>0</v>
          </cell>
          <cell r="I4762" t="str">
            <v>Parts &amp; Accessories</v>
          </cell>
          <cell r="J4762">
            <v>2</v>
          </cell>
          <cell r="K4762" t="str">
            <v>Parts &amp; Accessories</v>
          </cell>
        </row>
        <row r="4763">
          <cell r="D4763">
            <v>848360</v>
          </cell>
          <cell r="E4763" t="str">
            <v>Clutches and shaft couplings (including universal joints)</v>
          </cell>
          <cell r="F4763" t="str">
            <v>Capital Goods</v>
          </cell>
          <cell r="G4763">
            <v>0</v>
          </cell>
          <cell r="H4763" t="str">
            <v>Parts &amp; Accessories</v>
          </cell>
          <cell r="I4763" t="str">
            <v>Parts &amp; Accessories</v>
          </cell>
          <cell r="J4763">
            <v>1</v>
          </cell>
          <cell r="K4763" t="str">
            <v>Parts &amp; Accessories - rc</v>
          </cell>
        </row>
        <row r="4764">
          <cell r="D4764">
            <v>845290</v>
          </cell>
          <cell r="E4764" t="str">
            <v>Sewing machines; furniture, bases and covers for sewing machines and parts thereof, and other parts of sewing machines</v>
          </cell>
          <cell r="F4764" t="str">
            <v>Parts &amp; Accessories</v>
          </cell>
          <cell r="G4764">
            <v>0</v>
          </cell>
          <cell r="H4764" t="str">
            <v>Consumables</v>
          </cell>
          <cell r="I4764" t="str">
            <v>Parts &amp; Accessories</v>
          </cell>
          <cell r="J4764">
            <v>1</v>
          </cell>
          <cell r="K4764" t="str">
            <v>Parts &amp; Accessories</v>
          </cell>
        </row>
        <row r="4765">
          <cell r="D4765">
            <v>848410</v>
          </cell>
          <cell r="E4765" t="str">
            <v>Gaskets and similar joints; of metal sheeting combined with other material or two or more layers of metal</v>
          </cell>
          <cell r="F4765" t="str">
            <v>Parts &amp; Accessories</v>
          </cell>
          <cell r="G4765">
            <v>0</v>
          </cell>
          <cell r="H4765">
            <v>0</v>
          </cell>
          <cell r="I4765" t="str">
            <v>Parts &amp; Accessories</v>
          </cell>
          <cell r="J4765">
            <v>2</v>
          </cell>
          <cell r="K4765" t="str">
            <v>Consumables</v>
          </cell>
        </row>
        <row r="4766">
          <cell r="D4766">
            <v>848420</v>
          </cell>
          <cell r="E4766" t="str">
            <v>Seals; mechanical</v>
          </cell>
          <cell r="F4766" t="str">
            <v>Capital Goods</v>
          </cell>
          <cell r="G4766">
            <v>0</v>
          </cell>
          <cell r="H4766" t="str">
            <v>Parts &amp; Accessories</v>
          </cell>
          <cell r="I4766" t="str">
            <v>Parts &amp; Accessories</v>
          </cell>
          <cell r="J4766">
            <v>1</v>
          </cell>
          <cell r="K4766" t="str">
            <v>Parts &amp; Accessories - rc</v>
          </cell>
        </row>
        <row r="4767">
          <cell r="D4767">
            <v>848041</v>
          </cell>
          <cell r="E4767" t="str">
            <v>Moulds; for metal or metal carbides, injection or compression types</v>
          </cell>
          <cell r="F4767" t="str">
            <v>Capital Goods</v>
          </cell>
          <cell r="G4767">
            <v>0</v>
          </cell>
          <cell r="H4767" t="str">
            <v>Capital Goods</v>
          </cell>
          <cell r="I4767" t="str">
            <v>Capital Goods</v>
          </cell>
          <cell r="J4767">
            <v>1</v>
          </cell>
          <cell r="K4767" t="str">
            <v>Parts &amp; Accessories</v>
          </cell>
        </row>
        <row r="4768">
          <cell r="D4768">
            <v>848510</v>
          </cell>
          <cell r="E4768" t="str">
            <v>Machines for additive manufacturing; by metal deposit</v>
          </cell>
          <cell r="F4768">
            <v>0</v>
          </cell>
          <cell r="G4768">
            <v>0</v>
          </cell>
          <cell r="H4768">
            <v>0</v>
          </cell>
          <cell r="I4768" t="str">
            <v>Capital Goods</v>
          </cell>
          <cell r="J4768">
            <v>3</v>
          </cell>
          <cell r="K4768" t="str">
            <v>Capital Goods</v>
          </cell>
        </row>
        <row r="4769">
          <cell r="D4769">
            <v>848520</v>
          </cell>
          <cell r="E4769" t="str">
            <v>Machines for additive manufacturing; by plastic or rubber deposit</v>
          </cell>
          <cell r="F4769">
            <v>0</v>
          </cell>
          <cell r="G4769">
            <v>0</v>
          </cell>
          <cell r="H4769">
            <v>0</v>
          </cell>
          <cell r="I4769" t="str">
            <v>Capital Goods</v>
          </cell>
          <cell r="J4769">
            <v>3</v>
          </cell>
          <cell r="K4769" t="str">
            <v>Capital Goods</v>
          </cell>
        </row>
        <row r="4770">
          <cell r="D4770">
            <v>848530</v>
          </cell>
          <cell r="E4770" t="str">
            <v>Machines for additive manufacturing; by plaster, cement, ceramics or glass deposit</v>
          </cell>
          <cell r="F4770">
            <v>0</v>
          </cell>
          <cell r="G4770">
            <v>0</v>
          </cell>
          <cell r="H4770">
            <v>0</v>
          </cell>
          <cell r="I4770" t="str">
            <v>Capital Goods</v>
          </cell>
          <cell r="J4770">
            <v>3</v>
          </cell>
          <cell r="K4770" t="str">
            <v>Capital Goods</v>
          </cell>
        </row>
        <row r="4771">
          <cell r="D4771">
            <v>848580</v>
          </cell>
          <cell r="E4771" t="str">
            <v>Machines for additive manufacturing; by other than metal, plastic, rubber, plaster, cement, ceramics or glass deposits</v>
          </cell>
          <cell r="F4771">
            <v>0</v>
          </cell>
          <cell r="G4771">
            <v>0</v>
          </cell>
          <cell r="H4771">
            <v>0</v>
          </cell>
          <cell r="I4771" t="str">
            <v>Capital Goods</v>
          </cell>
          <cell r="J4771">
            <v>3</v>
          </cell>
          <cell r="K4771" t="str">
            <v>Capital Goods</v>
          </cell>
        </row>
        <row r="4772">
          <cell r="D4772">
            <v>846620</v>
          </cell>
          <cell r="E4772" t="str">
            <v>Parts &amp; accessories suited for use solely/principally with machines of headings 8456-8465; work holders</v>
          </cell>
          <cell r="F4772" t="str">
            <v>Parts &amp; Accessories</v>
          </cell>
          <cell r="G4772">
            <v>0</v>
          </cell>
          <cell r="H4772">
            <v>0</v>
          </cell>
          <cell r="I4772" t="str">
            <v>Parts &amp; Accessories</v>
          </cell>
          <cell r="J4772">
            <v>2</v>
          </cell>
          <cell r="K4772" t="str">
            <v>Parts &amp; Accessories</v>
          </cell>
        </row>
        <row r="4773">
          <cell r="D4773">
            <v>848610</v>
          </cell>
          <cell r="E4773" t="str">
            <v>Machines and apparatus of a kind used solely or principally for the manufacture of semiconductor boules or wafers</v>
          </cell>
          <cell r="F4773">
            <v>0</v>
          </cell>
          <cell r="G4773">
            <v>0</v>
          </cell>
          <cell r="H4773">
            <v>0</v>
          </cell>
          <cell r="I4773" t="str">
            <v>Capital Goods</v>
          </cell>
          <cell r="J4773">
            <v>3</v>
          </cell>
          <cell r="K4773" t="str">
            <v>Capital Goods</v>
          </cell>
        </row>
        <row r="4774">
          <cell r="D4774">
            <v>848620</v>
          </cell>
          <cell r="E4774" t="str">
            <v>Machines and apparatus of a kind used solely or principally for the manufacture of semiconductor devices or of electronic integrated circuits</v>
          </cell>
          <cell r="F4774">
            <v>0</v>
          </cell>
          <cell r="G4774">
            <v>0</v>
          </cell>
          <cell r="H4774">
            <v>0</v>
          </cell>
          <cell r="I4774" t="str">
            <v>Capital Goods</v>
          </cell>
          <cell r="J4774">
            <v>3</v>
          </cell>
          <cell r="K4774" t="str">
            <v>Capital Goods</v>
          </cell>
        </row>
        <row r="4775">
          <cell r="D4775">
            <v>848630</v>
          </cell>
          <cell r="E4775" t="str">
            <v>Machines and apparatus of a kind used solely or principally for the manufacture of flat panel displays</v>
          </cell>
          <cell r="F4775">
            <v>0</v>
          </cell>
          <cell r="G4775">
            <v>0</v>
          </cell>
          <cell r="H4775">
            <v>0</v>
          </cell>
          <cell r="I4775" t="str">
            <v>Capital Goods</v>
          </cell>
          <cell r="J4775">
            <v>3</v>
          </cell>
          <cell r="K4775" t="str">
            <v>Capital Goods</v>
          </cell>
        </row>
        <row r="4776">
          <cell r="D4776">
            <v>848640</v>
          </cell>
          <cell r="E4776" t="str">
            <v>Machines and apparatus of a kind used solely or principally for the manufacture or repair of masks and reticles, assembling semiconductor devices or electronic integrated circuits, or for lifting, handling, loading or unloading items of heading 8486</v>
          </cell>
          <cell r="F4776" t="str">
            <v>Capital Goods</v>
          </cell>
          <cell r="G4776">
            <v>0</v>
          </cell>
          <cell r="H4776">
            <v>0</v>
          </cell>
          <cell r="I4776" t="str">
            <v>Capital Goods</v>
          </cell>
          <cell r="J4776">
            <v>2</v>
          </cell>
          <cell r="K4776" t="str">
            <v>Capital Goods</v>
          </cell>
        </row>
        <row r="4777">
          <cell r="D4777">
            <v>844831</v>
          </cell>
          <cell r="E4777" t="str">
            <v>Machines, card clothing; parts and accessories</v>
          </cell>
          <cell r="F4777">
            <v>0</v>
          </cell>
          <cell r="G4777">
            <v>0</v>
          </cell>
          <cell r="H4777" t="str">
            <v>Parts &amp; Accessories</v>
          </cell>
          <cell r="I4777" t="str">
            <v>Parts &amp; Accessories</v>
          </cell>
          <cell r="J4777">
            <v>2</v>
          </cell>
          <cell r="K4777" t="str">
            <v>Parts &amp; Accessories</v>
          </cell>
        </row>
        <row r="4778">
          <cell r="D4778">
            <v>848710</v>
          </cell>
          <cell r="E4778" t="str">
            <v>Ships' or boats' propellers and blades therefor</v>
          </cell>
          <cell r="F4778">
            <v>0</v>
          </cell>
          <cell r="G4778">
            <v>0</v>
          </cell>
          <cell r="H4778">
            <v>0</v>
          </cell>
          <cell r="I4778" t="str">
            <v>Parts &amp; Accessories</v>
          </cell>
          <cell r="J4778">
            <v>3</v>
          </cell>
          <cell r="K4778" t="str">
            <v>Parts &amp; Accessories - rc</v>
          </cell>
        </row>
        <row r="4779">
          <cell r="D4779">
            <v>730792</v>
          </cell>
          <cell r="E4779" t="str">
            <v>Iron or steel; tube or pipe fittings, threaded elbows, bends and sleeves, other than stainless steel</v>
          </cell>
          <cell r="F4779" t="str">
            <v>Capital Goods</v>
          </cell>
          <cell r="G4779">
            <v>0</v>
          </cell>
          <cell r="H4779">
            <v>0</v>
          </cell>
          <cell r="I4779" t="str">
            <v>Others</v>
          </cell>
          <cell r="J4779">
            <v>2</v>
          </cell>
          <cell r="K4779" t="str">
            <v>Parts &amp; Accessories</v>
          </cell>
        </row>
        <row r="4780">
          <cell r="D4780">
            <v>850110</v>
          </cell>
          <cell r="E4780" t="str">
            <v>Electric motors; of an output not exceeding 37.5W</v>
          </cell>
          <cell r="F4780" t="str">
            <v>Parts &amp; Accessories</v>
          </cell>
          <cell r="G4780">
            <v>0</v>
          </cell>
          <cell r="H4780" t="str">
            <v>Parts &amp; Accessories</v>
          </cell>
          <cell r="I4780" t="str">
            <v>Capital Goods</v>
          </cell>
          <cell r="J4780">
            <v>1</v>
          </cell>
          <cell r="K4780" t="str">
            <v>Parts &amp; Accessories - rc</v>
          </cell>
        </row>
        <row r="4781">
          <cell r="D4781">
            <v>850120</v>
          </cell>
          <cell r="E4781" t="str">
            <v>Electric motors; universal AC/DC of an output exceeding 37.5W</v>
          </cell>
          <cell r="F4781" t="str">
            <v>Parts &amp; Accessories</v>
          </cell>
          <cell r="G4781">
            <v>0</v>
          </cell>
          <cell r="H4781" t="str">
            <v>Parts &amp; Accessories</v>
          </cell>
          <cell r="I4781" t="str">
            <v>Capital Goods</v>
          </cell>
          <cell r="J4781">
            <v>1</v>
          </cell>
          <cell r="K4781" t="str">
            <v>Capital Goods</v>
          </cell>
        </row>
        <row r="4782">
          <cell r="D4782">
            <v>741300</v>
          </cell>
          <cell r="E4782" t="str">
            <v>Copper; stranded wire, cables, plaited bands and the like, not electrically insulated</v>
          </cell>
          <cell r="F4782" t="str">
            <v>Capital Goods</v>
          </cell>
          <cell r="G4782">
            <v>0</v>
          </cell>
          <cell r="H4782">
            <v>0</v>
          </cell>
          <cell r="I4782" t="str">
            <v>Others</v>
          </cell>
          <cell r="J4782">
            <v>2</v>
          </cell>
          <cell r="K4782" t="str">
            <v>Parts &amp; Accessories</v>
          </cell>
        </row>
        <row r="4783">
          <cell r="D4783">
            <v>850132</v>
          </cell>
          <cell r="E4783" t="str">
            <v>Electric motors and generators; DC, of an output exceeding 750W but not exceeding 75kW</v>
          </cell>
          <cell r="F4783" t="str">
            <v>Parts &amp; Accessories</v>
          </cell>
          <cell r="G4783">
            <v>0</v>
          </cell>
          <cell r="H4783" t="str">
            <v>Parts &amp; Accessories</v>
          </cell>
          <cell r="I4783" t="str">
            <v>Capital Goods</v>
          </cell>
          <cell r="J4783">
            <v>1</v>
          </cell>
          <cell r="K4783" t="str">
            <v>Capital Goods</v>
          </cell>
        </row>
        <row r="4784">
          <cell r="D4784">
            <v>850133</v>
          </cell>
          <cell r="E4784" t="str">
            <v>Electric motors and generators; DC, of an output exceeding 75kW but not exceeding 375kW</v>
          </cell>
          <cell r="F4784">
            <v>0</v>
          </cell>
          <cell r="G4784">
            <v>0</v>
          </cell>
          <cell r="H4784" t="str">
            <v>Parts &amp; Accessories</v>
          </cell>
          <cell r="I4784" t="str">
            <v>Capital Goods</v>
          </cell>
          <cell r="J4784">
            <v>2</v>
          </cell>
          <cell r="K4784" t="str">
            <v>Capital Goods</v>
          </cell>
        </row>
        <row r="4785">
          <cell r="D4785">
            <v>850134</v>
          </cell>
          <cell r="E4785" t="str">
            <v>Electric motors and generators; DC, of an output exceeding 375kW</v>
          </cell>
          <cell r="F4785">
            <v>0</v>
          </cell>
          <cell r="G4785">
            <v>0</v>
          </cell>
          <cell r="H4785" t="str">
            <v>Parts &amp; Accessories</v>
          </cell>
          <cell r="I4785" t="str">
            <v>Capital Goods</v>
          </cell>
          <cell r="J4785">
            <v>2</v>
          </cell>
          <cell r="K4785" t="str">
            <v>Capital Goods</v>
          </cell>
        </row>
        <row r="4786">
          <cell r="D4786">
            <v>850140</v>
          </cell>
          <cell r="E4786" t="str">
            <v>Electric motors; AC motors, single-phase</v>
          </cell>
          <cell r="F4786" t="str">
            <v>Parts &amp; Accessories</v>
          </cell>
          <cell r="G4786">
            <v>0</v>
          </cell>
          <cell r="H4786" t="str">
            <v>Parts &amp; Accessories</v>
          </cell>
          <cell r="I4786" t="str">
            <v>Capital Goods</v>
          </cell>
          <cell r="J4786">
            <v>1</v>
          </cell>
          <cell r="K4786" t="str">
            <v>Capital Goods</v>
          </cell>
        </row>
        <row r="4787">
          <cell r="D4787">
            <v>850151</v>
          </cell>
          <cell r="E4787" t="str">
            <v>Electric motors; AC motors, multi-phase, of an output not exceeding 750W</v>
          </cell>
          <cell r="F4787" t="str">
            <v>Parts &amp; Accessories</v>
          </cell>
          <cell r="G4787">
            <v>0</v>
          </cell>
          <cell r="H4787" t="str">
            <v>Parts &amp; Accessories</v>
          </cell>
          <cell r="I4787" t="str">
            <v>Capital Goods</v>
          </cell>
          <cell r="J4787">
            <v>1</v>
          </cell>
          <cell r="K4787" t="str">
            <v>Capital Goods</v>
          </cell>
        </row>
        <row r="4788">
          <cell r="D4788">
            <v>850152</v>
          </cell>
          <cell r="E4788" t="str">
            <v>Electric motors; AC motors, multi-phase, of an output exceeding 750W but not exceeding 75kW</v>
          </cell>
          <cell r="F4788" t="str">
            <v>Parts &amp; Accessories</v>
          </cell>
          <cell r="G4788">
            <v>0</v>
          </cell>
          <cell r="H4788" t="str">
            <v>Parts &amp; Accessories</v>
          </cell>
          <cell r="I4788" t="str">
            <v>Capital Goods</v>
          </cell>
          <cell r="J4788">
            <v>1</v>
          </cell>
          <cell r="K4788" t="str">
            <v>Capital Goods</v>
          </cell>
        </row>
        <row r="4789">
          <cell r="D4789">
            <v>850153</v>
          </cell>
          <cell r="E4789" t="str">
            <v>Electric motors; AC motors, multi-phase, of an output exceeding 75kW</v>
          </cell>
          <cell r="F4789" t="str">
            <v>Parts &amp; Accessories</v>
          </cell>
          <cell r="G4789">
            <v>0</v>
          </cell>
          <cell r="H4789" t="str">
            <v>Parts &amp; Accessories</v>
          </cell>
          <cell r="I4789" t="str">
            <v>Capital Goods</v>
          </cell>
          <cell r="J4789">
            <v>1</v>
          </cell>
          <cell r="K4789" t="str">
            <v>Capital Goods</v>
          </cell>
        </row>
        <row r="4790">
          <cell r="D4790">
            <v>850161</v>
          </cell>
          <cell r="E4790" t="str">
            <v>Generators; AC generators, (alternators), other than photovoltaic generators, of an output not exceeding 75kVA</v>
          </cell>
          <cell r="F4790" t="str">
            <v>Capital Goods</v>
          </cell>
          <cell r="G4790">
            <v>0</v>
          </cell>
          <cell r="H4790" t="str">
            <v>Capital Goods</v>
          </cell>
          <cell r="I4790" t="str">
            <v>Capital Goods</v>
          </cell>
          <cell r="J4790">
            <v>1</v>
          </cell>
          <cell r="K4790" t="str">
            <v>Capital Goods</v>
          </cell>
        </row>
        <row r="4791">
          <cell r="D4791">
            <v>850162</v>
          </cell>
          <cell r="E4791" t="str">
            <v>Electric generators; AC generators, (alternators), other than photovoltaic generators, of an output exceeding 75kVA but not exceeding 375kVA</v>
          </cell>
          <cell r="F4791">
            <v>0</v>
          </cell>
          <cell r="G4791">
            <v>0</v>
          </cell>
          <cell r="H4791" t="str">
            <v>Capital Goods</v>
          </cell>
          <cell r="I4791" t="str">
            <v>Capital Goods</v>
          </cell>
          <cell r="J4791">
            <v>2</v>
          </cell>
          <cell r="K4791" t="str">
            <v>Capital Goods</v>
          </cell>
        </row>
        <row r="4792">
          <cell r="D4792">
            <v>850163</v>
          </cell>
          <cell r="E4792" t="str">
            <v>Electric generators; AC generators, (alternators), other than photovoltaic generators, of an output exceeding 375kVA but not exceeding 750kVA</v>
          </cell>
          <cell r="F4792">
            <v>0</v>
          </cell>
          <cell r="G4792">
            <v>0</v>
          </cell>
          <cell r="H4792" t="str">
            <v>Capital Goods</v>
          </cell>
          <cell r="I4792" t="str">
            <v>Capital Goods</v>
          </cell>
          <cell r="J4792">
            <v>2</v>
          </cell>
          <cell r="K4792" t="str">
            <v>Capital Goods</v>
          </cell>
        </row>
        <row r="4793">
          <cell r="D4793">
            <v>850164</v>
          </cell>
          <cell r="E4793" t="str">
            <v>Electric generators; AC generators, (alternators), other than photovoltaic generators, of an output exceeding 750kVA</v>
          </cell>
          <cell r="F4793">
            <v>0</v>
          </cell>
          <cell r="G4793">
            <v>0</v>
          </cell>
          <cell r="H4793" t="str">
            <v>Capital Goods</v>
          </cell>
          <cell r="I4793" t="str">
            <v>Capital Goods</v>
          </cell>
          <cell r="J4793">
            <v>2</v>
          </cell>
          <cell r="K4793" t="str">
            <v>Capital Goods</v>
          </cell>
        </row>
        <row r="4794">
          <cell r="D4794">
            <v>850171</v>
          </cell>
          <cell r="E4794" t="str">
            <v>Electric generators; photovoltaic DC generators, of an output not exceeding 50W</v>
          </cell>
          <cell r="F4794" t="str">
            <v>Capital Goods</v>
          </cell>
          <cell r="G4794">
            <v>0</v>
          </cell>
          <cell r="H4794">
            <v>0</v>
          </cell>
          <cell r="I4794" t="str">
            <v>Capital Goods</v>
          </cell>
          <cell r="J4794">
            <v>2</v>
          </cell>
          <cell r="K4794" t="str">
            <v>Capital Goods</v>
          </cell>
        </row>
        <row r="4795">
          <cell r="D4795">
            <v>850172</v>
          </cell>
          <cell r="E4795" t="str">
            <v>Electric generators; photovoltaic DC generators, of an output exceeding 50W</v>
          </cell>
          <cell r="F4795" t="str">
            <v>Parts &amp; Accessories</v>
          </cell>
          <cell r="G4795">
            <v>0</v>
          </cell>
          <cell r="H4795">
            <v>0</v>
          </cell>
          <cell r="I4795" t="str">
            <v>Capital Goods</v>
          </cell>
          <cell r="J4795">
            <v>2</v>
          </cell>
          <cell r="K4795" t="str">
            <v>Capital Goods</v>
          </cell>
        </row>
        <row r="4796">
          <cell r="D4796">
            <v>850180</v>
          </cell>
          <cell r="E4796" t="str">
            <v>Electric generators; (excluding generating sets), photovoltaic AC generators (alternators)</v>
          </cell>
          <cell r="F4796" t="str">
            <v>Capital Goods</v>
          </cell>
          <cell r="G4796">
            <v>0</v>
          </cell>
          <cell r="H4796">
            <v>0</v>
          </cell>
          <cell r="I4796" t="str">
            <v>Capital Goods</v>
          </cell>
          <cell r="J4796">
            <v>2</v>
          </cell>
          <cell r="K4796" t="str">
            <v>Capital Goods</v>
          </cell>
        </row>
        <row r="4797">
          <cell r="D4797">
            <v>850211</v>
          </cell>
          <cell r="E4797" t="str">
            <v>Electric generating sets; with compression-ignition internal combustion piston engines (diesel or semi-diesel engines), of an output not exceeding 75kVA</v>
          </cell>
          <cell r="F4797">
            <v>0</v>
          </cell>
          <cell r="G4797">
            <v>0</v>
          </cell>
          <cell r="H4797" t="str">
            <v>Capital Goods</v>
          </cell>
          <cell r="I4797" t="str">
            <v>Capital Goods</v>
          </cell>
          <cell r="J4797">
            <v>2</v>
          </cell>
          <cell r="K4797" t="str">
            <v>Capital Goods - rc</v>
          </cell>
        </row>
        <row r="4798">
          <cell r="D4798">
            <v>850212</v>
          </cell>
          <cell r="E4798" t="str">
            <v>Electric generating sets; with compression-ignition internal combustion piston engines (diesel or semi-diesel engines), of an output exceeding 75kVA but not exceeding 375kVA</v>
          </cell>
          <cell r="F4798">
            <v>0</v>
          </cell>
          <cell r="G4798">
            <v>0</v>
          </cell>
          <cell r="H4798" t="str">
            <v>Capital Goods</v>
          </cell>
          <cell r="I4798" t="str">
            <v>Capital Goods</v>
          </cell>
          <cell r="J4798">
            <v>2</v>
          </cell>
          <cell r="K4798" t="str">
            <v>Capital Goods - rc</v>
          </cell>
        </row>
        <row r="4799">
          <cell r="D4799">
            <v>850213</v>
          </cell>
          <cell r="E4799" t="str">
            <v>Electric generating sets; with compression-ignition internal combustion piston engines (diesel or semi-diesel engines), of an output exceeding 375kVA</v>
          </cell>
          <cell r="F4799">
            <v>0</v>
          </cell>
          <cell r="G4799">
            <v>0</v>
          </cell>
          <cell r="H4799" t="str">
            <v>Capital Goods</v>
          </cell>
          <cell r="I4799" t="str">
            <v>Capital Goods</v>
          </cell>
          <cell r="J4799">
            <v>2</v>
          </cell>
          <cell r="K4799" t="str">
            <v>Capital Goods - rc</v>
          </cell>
        </row>
        <row r="4800">
          <cell r="D4800">
            <v>850220</v>
          </cell>
          <cell r="E4800" t="str">
            <v>Electric generating sets; with spark-ignition internal combustion piston engines</v>
          </cell>
          <cell r="F4800">
            <v>0</v>
          </cell>
          <cell r="G4800">
            <v>0</v>
          </cell>
          <cell r="H4800" t="str">
            <v>Capital Goods</v>
          </cell>
          <cell r="I4800" t="str">
            <v>Capital Goods</v>
          </cell>
          <cell r="J4800">
            <v>2</v>
          </cell>
          <cell r="K4800" t="str">
            <v>Capital Goods - rc</v>
          </cell>
        </row>
        <row r="4801">
          <cell r="D4801">
            <v>850231</v>
          </cell>
          <cell r="E4801" t="str">
            <v>Electric generating sets; wind-powered, (excluding those with spark-ignition or compression-ignition internal combustion piston engines)</v>
          </cell>
          <cell r="F4801">
            <v>0</v>
          </cell>
          <cell r="G4801">
            <v>0</v>
          </cell>
          <cell r="H4801" t="str">
            <v>Capital Goods</v>
          </cell>
          <cell r="I4801" t="str">
            <v>Capital Goods</v>
          </cell>
          <cell r="J4801">
            <v>2</v>
          </cell>
          <cell r="K4801" t="str">
            <v>Capital Goods</v>
          </cell>
        </row>
        <row r="4802">
          <cell r="D4802">
            <v>850239</v>
          </cell>
          <cell r="E4802" t="str">
            <v>Electric generating sets; (excluding those with spark-ignition or compression-ignition internal combustion piston engines), other than wind powered</v>
          </cell>
          <cell r="F4802">
            <v>0</v>
          </cell>
          <cell r="G4802">
            <v>0</v>
          </cell>
          <cell r="H4802" t="str">
            <v>Capital Goods</v>
          </cell>
          <cell r="I4802" t="str">
            <v>Capital Goods</v>
          </cell>
          <cell r="J4802">
            <v>2</v>
          </cell>
          <cell r="K4802" t="str">
            <v>Capital Goods</v>
          </cell>
        </row>
        <row r="4803">
          <cell r="D4803">
            <v>850240</v>
          </cell>
          <cell r="E4803" t="str">
            <v>Electric rotary converters</v>
          </cell>
          <cell r="F4803">
            <v>0</v>
          </cell>
          <cell r="G4803">
            <v>0</v>
          </cell>
          <cell r="H4803" t="str">
            <v>Capital Goods</v>
          </cell>
          <cell r="I4803" t="str">
            <v>Capital Goods</v>
          </cell>
          <cell r="J4803">
            <v>2</v>
          </cell>
          <cell r="K4803" t="str">
            <v>Capital Goods - rc</v>
          </cell>
        </row>
        <row r="4804">
          <cell r="D4804">
            <v>843991</v>
          </cell>
          <cell r="E4804" t="str">
            <v>Machinery; parts of machinery for making pulp of fibrous cellulosic material</v>
          </cell>
          <cell r="F4804">
            <v>0</v>
          </cell>
          <cell r="G4804">
            <v>0</v>
          </cell>
          <cell r="H4804" t="str">
            <v>Parts &amp; Accessories</v>
          </cell>
          <cell r="I4804" t="str">
            <v>Parts &amp; Accessories</v>
          </cell>
          <cell r="J4804">
            <v>2</v>
          </cell>
          <cell r="K4804" t="str">
            <v>Parts &amp; Accessories</v>
          </cell>
        </row>
        <row r="4805">
          <cell r="D4805">
            <v>854190</v>
          </cell>
          <cell r="E4805" t="str">
            <v>Electrical apparatus; parts for diodes, transistors and similar semiconductor devices and photosensitive semiconductor devices</v>
          </cell>
          <cell r="F4805" t="str">
            <v>Parts &amp; Accessories</v>
          </cell>
          <cell r="G4805">
            <v>0</v>
          </cell>
          <cell r="H4805">
            <v>0</v>
          </cell>
          <cell r="I4805" t="str">
            <v>Parts &amp; Accessories</v>
          </cell>
          <cell r="J4805">
            <v>2</v>
          </cell>
          <cell r="K4805" t="str">
            <v>Parts &amp; Accessories</v>
          </cell>
        </row>
        <row r="4806">
          <cell r="D4806">
            <v>850421</v>
          </cell>
          <cell r="E4806" t="str">
            <v>Electrical transformers; liquid dielectric, having a power handling capacity not exceeding 650kVA</v>
          </cell>
          <cell r="F4806" t="str">
            <v>Capital Goods</v>
          </cell>
          <cell r="G4806">
            <v>0</v>
          </cell>
          <cell r="H4806">
            <v>0</v>
          </cell>
          <cell r="I4806" t="str">
            <v>Capital Goods</v>
          </cell>
          <cell r="J4806">
            <v>2</v>
          </cell>
          <cell r="K4806" t="str">
            <v>Capital Goods</v>
          </cell>
        </row>
        <row r="4807">
          <cell r="D4807">
            <v>850422</v>
          </cell>
          <cell r="E4807" t="str">
            <v>Electrical transformers; liquid dielectric, having a power handling capacity exceeding 650kVA but not exceeding 10,000kVA</v>
          </cell>
          <cell r="F4807">
            <v>0</v>
          </cell>
          <cell r="G4807">
            <v>0</v>
          </cell>
          <cell r="H4807">
            <v>0</v>
          </cell>
          <cell r="I4807" t="str">
            <v>Capital Goods</v>
          </cell>
          <cell r="J4807">
            <v>3</v>
          </cell>
          <cell r="K4807" t="str">
            <v>Capital Goods</v>
          </cell>
        </row>
        <row r="4808">
          <cell r="D4808">
            <v>850423</v>
          </cell>
          <cell r="E4808" t="str">
            <v>Electrical transformers; liquid dielectric, having a power handling capacity exceeding 10,000kVA</v>
          </cell>
          <cell r="F4808">
            <v>0</v>
          </cell>
          <cell r="G4808">
            <v>0</v>
          </cell>
          <cell r="H4808" t="str">
            <v>Capital Goods</v>
          </cell>
          <cell r="I4808" t="str">
            <v>Capital Goods</v>
          </cell>
          <cell r="J4808">
            <v>2</v>
          </cell>
          <cell r="K4808" t="str">
            <v>Capital Goods</v>
          </cell>
        </row>
        <row r="4809">
          <cell r="D4809">
            <v>842191</v>
          </cell>
          <cell r="E4809" t="str">
            <v>Centrifuges; parts thereof, including parts for centrifugal dryers</v>
          </cell>
          <cell r="F4809" t="str">
            <v>Capital Goods</v>
          </cell>
          <cell r="G4809">
            <v>0</v>
          </cell>
          <cell r="H4809" t="str">
            <v>Capital Goods</v>
          </cell>
          <cell r="I4809" t="str">
            <v>Parts &amp; Accessories</v>
          </cell>
          <cell r="J4809">
            <v>1</v>
          </cell>
          <cell r="K4809" t="str">
            <v>Parts &amp; Accessories</v>
          </cell>
        </row>
        <row r="4810">
          <cell r="D4810">
            <v>846691</v>
          </cell>
          <cell r="E4810" t="str">
            <v>Parts &amp; accessories suited for use solely/principally; for the machines of heading no. 8464, n.e.c. in heading no. 8466</v>
          </cell>
          <cell r="F4810" t="str">
            <v>Parts &amp; Accessories</v>
          </cell>
          <cell r="G4810">
            <v>0</v>
          </cell>
          <cell r="H4810">
            <v>0</v>
          </cell>
          <cell r="I4810" t="str">
            <v>Parts &amp; Accessories</v>
          </cell>
          <cell r="J4810">
            <v>2</v>
          </cell>
          <cell r="K4810" t="str">
            <v>Parts &amp; Accessories</v>
          </cell>
        </row>
        <row r="4811">
          <cell r="D4811">
            <v>850433</v>
          </cell>
          <cell r="E4811" t="str">
            <v>Transformers; n.e.c. in item no. 8504.2, having a power handling capacity exceeding 16kVA but not exceeding 500kVA</v>
          </cell>
          <cell r="F4811" t="str">
            <v>Capital Goods</v>
          </cell>
          <cell r="G4811">
            <v>0</v>
          </cell>
          <cell r="H4811" t="str">
            <v>Capital Goods</v>
          </cell>
          <cell r="I4811" t="str">
            <v>Capital Goods</v>
          </cell>
          <cell r="J4811">
            <v>1</v>
          </cell>
          <cell r="K4811" t="str">
            <v>Capital Goods</v>
          </cell>
        </row>
        <row r="4812">
          <cell r="D4812">
            <v>850434</v>
          </cell>
          <cell r="E4812" t="str">
            <v>Transformers; n.e.c. in item no. 8504.2, having a power handling capacity exceeding 500kVA</v>
          </cell>
          <cell r="F4812" t="str">
            <v>Capital Goods</v>
          </cell>
          <cell r="G4812">
            <v>0</v>
          </cell>
          <cell r="H4812" t="str">
            <v>Capital Goods</v>
          </cell>
          <cell r="I4812" t="str">
            <v>Capital Goods</v>
          </cell>
          <cell r="J4812">
            <v>1</v>
          </cell>
          <cell r="K4812" t="str">
            <v>Capital Goods</v>
          </cell>
        </row>
        <row r="4813">
          <cell r="D4813">
            <v>850440</v>
          </cell>
          <cell r="E4813" t="str">
            <v>Electrical static converters</v>
          </cell>
          <cell r="F4813" t="str">
            <v>Capital Goods</v>
          </cell>
          <cell r="G4813">
            <v>0</v>
          </cell>
          <cell r="H4813">
            <v>0</v>
          </cell>
          <cell r="I4813" t="str">
            <v>Capital Goods</v>
          </cell>
          <cell r="J4813">
            <v>2</v>
          </cell>
          <cell r="K4813" t="str">
            <v>Capital Goods</v>
          </cell>
        </row>
        <row r="4814">
          <cell r="D4814">
            <v>850410</v>
          </cell>
          <cell r="E4814" t="str">
            <v>Discharge lamps or tubes; ballasts therefor</v>
          </cell>
          <cell r="F4814" t="str">
            <v>Capital Goods</v>
          </cell>
          <cell r="G4814">
            <v>0</v>
          </cell>
          <cell r="H4814" t="str">
            <v>Consumables</v>
          </cell>
          <cell r="I4814" t="str">
            <v>Capital Goods</v>
          </cell>
          <cell r="J4814">
            <v>1</v>
          </cell>
          <cell r="K4814" t="str">
            <v>Parts &amp; Accessories</v>
          </cell>
        </row>
        <row r="4815">
          <cell r="D4815">
            <v>902990</v>
          </cell>
          <cell r="E4815" t="str">
            <v>Meters and counters; parts and accessories for revolution and production counters, taximeters, mileometers, pedometers and the like; speed indicators, tachometers (excluding heading no. 9015), stroboscopes</v>
          </cell>
          <cell r="F4815" t="str">
            <v>Parts &amp; Accessories</v>
          </cell>
          <cell r="G4815">
            <v>0</v>
          </cell>
          <cell r="H4815">
            <v>0</v>
          </cell>
          <cell r="I4815" t="str">
            <v>Parts &amp; Accessories</v>
          </cell>
          <cell r="J4815">
            <v>2</v>
          </cell>
          <cell r="K4815" t="str">
            <v>Parts &amp; Accessories</v>
          </cell>
        </row>
        <row r="4816">
          <cell r="D4816">
            <v>850511</v>
          </cell>
          <cell r="E4816" t="str">
            <v>Magnets; permanent magnets and articles intended to become permanent magnets after magnetisation, of metal</v>
          </cell>
          <cell r="F4816" t="str">
            <v>Parts &amp; Accessories</v>
          </cell>
          <cell r="G4816">
            <v>0</v>
          </cell>
          <cell r="H4816">
            <v>0</v>
          </cell>
          <cell r="I4816" t="str">
            <v>Capital Goods</v>
          </cell>
          <cell r="J4816">
            <v>2</v>
          </cell>
          <cell r="K4816" t="str">
            <v>Parts &amp; Accessories - rc</v>
          </cell>
        </row>
        <row r="4817">
          <cell r="D4817">
            <v>850519</v>
          </cell>
          <cell r="E4817" t="str">
            <v>Magnets; permanent magnets and articles intended to become permanent magnets after magnetisation, other than of metal</v>
          </cell>
          <cell r="F4817" t="str">
            <v>Parts &amp; Accessories</v>
          </cell>
          <cell r="G4817">
            <v>0</v>
          </cell>
          <cell r="H4817">
            <v>0</v>
          </cell>
          <cell r="I4817" t="str">
            <v>Capital Goods</v>
          </cell>
          <cell r="J4817">
            <v>2</v>
          </cell>
          <cell r="K4817" t="str">
            <v>Parts &amp; Accessories - rc</v>
          </cell>
        </row>
        <row r="4818">
          <cell r="D4818">
            <v>850520</v>
          </cell>
          <cell r="E4818" t="str">
            <v>Magnets; electro-magnetic couplings, clutches and brakes</v>
          </cell>
          <cell r="F4818" t="str">
            <v>Parts &amp; Accessories</v>
          </cell>
          <cell r="G4818">
            <v>0</v>
          </cell>
          <cell r="H4818" t="str">
            <v>Parts &amp; Accessories</v>
          </cell>
          <cell r="I4818" t="str">
            <v>Capital Goods</v>
          </cell>
          <cell r="J4818">
            <v>1</v>
          </cell>
          <cell r="K4818" t="str">
            <v>Capital Goods</v>
          </cell>
        </row>
        <row r="4819">
          <cell r="D4819">
            <v>850590</v>
          </cell>
          <cell r="E4819" t="str">
            <v>Magnets; electro-magnets, holding devices and parts n.e.c. in heading no. 8505</v>
          </cell>
          <cell r="F4819" t="str">
            <v>Parts &amp; Accessories</v>
          </cell>
          <cell r="G4819">
            <v>0</v>
          </cell>
          <cell r="H4819" t="str">
            <v>Parts &amp; Accessories</v>
          </cell>
          <cell r="I4819" t="str">
            <v>Capital Goods</v>
          </cell>
          <cell r="J4819">
            <v>1</v>
          </cell>
          <cell r="K4819" t="str">
            <v>Capital Goods</v>
          </cell>
        </row>
        <row r="4820">
          <cell r="D4820">
            <v>850610</v>
          </cell>
          <cell r="E4820" t="str">
            <v>Cells and batteries; primary, manganese dioxide</v>
          </cell>
          <cell r="F4820">
            <v>0</v>
          </cell>
          <cell r="G4820">
            <v>0</v>
          </cell>
          <cell r="H4820" t="str">
            <v>Parts &amp; Accessories</v>
          </cell>
          <cell r="I4820" t="str">
            <v>Others</v>
          </cell>
          <cell r="J4820">
            <v>2</v>
          </cell>
          <cell r="K4820" t="str">
            <v>Consumables</v>
          </cell>
        </row>
        <row r="4821">
          <cell r="D4821">
            <v>850630</v>
          </cell>
          <cell r="E4821" t="str">
            <v>Cells and batteries; primary, mercuric oxide</v>
          </cell>
          <cell r="F4821">
            <v>0</v>
          </cell>
          <cell r="G4821">
            <v>0</v>
          </cell>
          <cell r="H4821" t="str">
            <v>Others</v>
          </cell>
          <cell r="I4821" t="str">
            <v>Others</v>
          </cell>
          <cell r="J4821">
            <v>2</v>
          </cell>
          <cell r="K4821" t="str">
            <v>Others</v>
          </cell>
        </row>
        <row r="4822">
          <cell r="D4822">
            <v>850640</v>
          </cell>
          <cell r="E4822" t="str">
            <v>Cells and batteries; primary, silver oxide</v>
          </cell>
          <cell r="F4822">
            <v>0</v>
          </cell>
          <cell r="G4822">
            <v>0</v>
          </cell>
          <cell r="H4822" t="str">
            <v>Others</v>
          </cell>
          <cell r="I4822" t="str">
            <v>Others</v>
          </cell>
          <cell r="J4822">
            <v>2</v>
          </cell>
          <cell r="K4822" t="str">
            <v>Others</v>
          </cell>
        </row>
        <row r="4823">
          <cell r="D4823">
            <v>850650</v>
          </cell>
          <cell r="E4823" t="str">
            <v>Cells and batteries; primary, lithium</v>
          </cell>
          <cell r="F4823" t="str">
            <v>Consumables</v>
          </cell>
          <cell r="G4823">
            <v>0</v>
          </cell>
          <cell r="H4823" t="str">
            <v>Others</v>
          </cell>
          <cell r="I4823" t="str">
            <v>Others</v>
          </cell>
          <cell r="J4823">
            <v>1</v>
          </cell>
          <cell r="K4823" t="str">
            <v>Consumables</v>
          </cell>
        </row>
        <row r="4824">
          <cell r="D4824">
            <v>850660</v>
          </cell>
          <cell r="E4824" t="str">
            <v>Cells and batteries; primary, air-zinc</v>
          </cell>
          <cell r="F4824">
            <v>0</v>
          </cell>
          <cell r="G4824">
            <v>0</v>
          </cell>
          <cell r="H4824" t="str">
            <v>Others</v>
          </cell>
          <cell r="I4824" t="str">
            <v>Others</v>
          </cell>
          <cell r="J4824">
            <v>2</v>
          </cell>
          <cell r="K4824" t="str">
            <v>Others</v>
          </cell>
        </row>
        <row r="4825">
          <cell r="D4825">
            <v>850680</v>
          </cell>
          <cell r="E4825" t="str">
            <v>Cells and batteries; primary, (other than manganese dioxide, mercuric oxide, silver oxide, lithium or air-zinc)</v>
          </cell>
          <cell r="F4825" t="str">
            <v>Consumables</v>
          </cell>
          <cell r="G4825">
            <v>0</v>
          </cell>
          <cell r="H4825">
            <v>0</v>
          </cell>
          <cell r="I4825" t="str">
            <v>Others</v>
          </cell>
          <cell r="J4825">
            <v>2</v>
          </cell>
          <cell r="K4825" t="str">
            <v>Consumables</v>
          </cell>
        </row>
        <row r="4826">
          <cell r="D4826">
            <v>850690</v>
          </cell>
          <cell r="E4826" t="str">
            <v>Cells and batteries; primary, parts thereof</v>
          </cell>
          <cell r="F4826">
            <v>0</v>
          </cell>
          <cell r="G4826">
            <v>0</v>
          </cell>
          <cell r="H4826" t="str">
            <v>Others</v>
          </cell>
          <cell r="I4826" t="str">
            <v>Others</v>
          </cell>
          <cell r="J4826">
            <v>2</v>
          </cell>
          <cell r="K4826" t="str">
            <v>Others</v>
          </cell>
        </row>
        <row r="4827">
          <cell r="D4827">
            <v>850710</v>
          </cell>
          <cell r="E4827" t="str">
            <v>Electric accumulators; lead-acid, of a kind used for starting piston engines, including separators, whether or not rectangular (including square)</v>
          </cell>
          <cell r="F4827">
            <v>0</v>
          </cell>
          <cell r="G4827">
            <v>0</v>
          </cell>
          <cell r="H4827" t="str">
            <v>Parts &amp; Accessories</v>
          </cell>
          <cell r="I4827" t="str">
            <v>Parts &amp; Accessories</v>
          </cell>
          <cell r="J4827">
            <v>2</v>
          </cell>
          <cell r="K4827" t="str">
            <v>Parts &amp; Accessories - rc</v>
          </cell>
        </row>
        <row r="4828">
          <cell r="D4828">
            <v>760900</v>
          </cell>
          <cell r="E4828" t="str">
            <v>Aluminium; tube or pipe fittings (e.g. couplings, elbows, sleeves)</v>
          </cell>
          <cell r="F4828" t="str">
            <v>Capital Goods</v>
          </cell>
          <cell r="G4828">
            <v>0</v>
          </cell>
          <cell r="H4828">
            <v>0</v>
          </cell>
          <cell r="I4828" t="str">
            <v>Others</v>
          </cell>
          <cell r="J4828">
            <v>2</v>
          </cell>
          <cell r="K4828" t="str">
            <v>Parts &amp; Accessories</v>
          </cell>
        </row>
        <row r="4829">
          <cell r="D4829">
            <v>730719</v>
          </cell>
          <cell r="E4829" t="str">
            <v>Iron or steel; cast fittings, other than of non-malleable cast iron</v>
          </cell>
          <cell r="F4829" t="str">
            <v>Capital Goods</v>
          </cell>
          <cell r="G4829">
            <v>0</v>
          </cell>
          <cell r="H4829">
            <v>0</v>
          </cell>
          <cell r="I4829" t="str">
            <v>Others</v>
          </cell>
          <cell r="J4829">
            <v>2</v>
          </cell>
          <cell r="K4829" t="str">
            <v>Parts &amp; Accessories</v>
          </cell>
        </row>
        <row r="4830">
          <cell r="D4830">
            <v>850740</v>
          </cell>
          <cell r="E4830" t="str">
            <v>Nickel-iron accumulators</v>
          </cell>
          <cell r="F4830">
            <v>0</v>
          </cell>
          <cell r="G4830">
            <v>0</v>
          </cell>
          <cell r="H4830" t="str">
            <v>Parts &amp; Accessories</v>
          </cell>
          <cell r="I4830">
            <v>0</v>
          </cell>
          <cell r="J4830">
            <v>3</v>
          </cell>
          <cell r="K4830" t="str">
            <v>Capital Goods</v>
          </cell>
        </row>
        <row r="4831">
          <cell r="D4831">
            <v>853290</v>
          </cell>
          <cell r="E4831" t="str">
            <v>Electrical capacitors; parts of the capacitors of heading no. 8532</v>
          </cell>
          <cell r="F4831">
            <v>0</v>
          </cell>
          <cell r="G4831">
            <v>0</v>
          </cell>
          <cell r="H4831">
            <v>0</v>
          </cell>
          <cell r="I4831" t="str">
            <v>Parts &amp; Accessories</v>
          </cell>
          <cell r="J4831">
            <v>3</v>
          </cell>
          <cell r="K4831" t="str">
            <v>Parts &amp; Accessories</v>
          </cell>
        </row>
        <row r="4832">
          <cell r="D4832">
            <v>850760</v>
          </cell>
          <cell r="E4832" t="str">
            <v>Electric accumulators; lithium-ion, including separators, whether or not rectangular (including square)</v>
          </cell>
          <cell r="F4832" t="str">
            <v>Parts &amp; Accessories</v>
          </cell>
          <cell r="G4832">
            <v>0</v>
          </cell>
          <cell r="H4832">
            <v>0</v>
          </cell>
          <cell r="I4832" t="str">
            <v>Parts &amp; Accessories</v>
          </cell>
          <cell r="J4832">
            <v>2</v>
          </cell>
          <cell r="K4832" t="str">
            <v>Parts &amp; Accessories - rc</v>
          </cell>
        </row>
        <row r="4833">
          <cell r="D4833">
            <v>853223</v>
          </cell>
          <cell r="E4833" t="str">
            <v>Electrical capacitors; fixed, ceramic dielectric, single layer</v>
          </cell>
          <cell r="F4833" t="str">
            <v>Parts &amp; Accessories</v>
          </cell>
          <cell r="G4833">
            <v>0</v>
          </cell>
          <cell r="H4833">
            <v>0</v>
          </cell>
          <cell r="I4833" t="str">
            <v>Parts &amp; Accessories</v>
          </cell>
          <cell r="J4833">
            <v>2</v>
          </cell>
          <cell r="K4833" t="str">
            <v>Parts &amp; Accessories</v>
          </cell>
        </row>
        <row r="4834">
          <cell r="D4834">
            <v>902490</v>
          </cell>
          <cell r="E4834" t="str">
            <v>Machines and appliances; parts and accessories for those testing hardness, strength, compressibility, elasticity or other mechanical properties of materials (e.g. metal, wood, textiles, paper, plastics)</v>
          </cell>
          <cell r="F4834" t="str">
            <v>Parts &amp; Accessories</v>
          </cell>
          <cell r="G4834">
            <v>0</v>
          </cell>
          <cell r="H4834">
            <v>0</v>
          </cell>
          <cell r="I4834" t="str">
            <v>Parts &amp; Accessories</v>
          </cell>
          <cell r="J4834">
            <v>2</v>
          </cell>
          <cell r="K4834" t="str">
            <v>Parts &amp; Accessories</v>
          </cell>
        </row>
        <row r="4835">
          <cell r="D4835">
            <v>850811</v>
          </cell>
          <cell r="E4835" t="str">
            <v>Vacuum cleaners, with self-contained electric motor, of a power not exceeding 1,500 W and having a dust bag or other receptacle capacity not exceeding 20L</v>
          </cell>
          <cell r="F4835">
            <v>0</v>
          </cell>
          <cell r="G4835">
            <v>0</v>
          </cell>
          <cell r="H4835">
            <v>0</v>
          </cell>
          <cell r="I4835" t="str">
            <v>Durable</v>
          </cell>
          <cell r="J4835">
            <v>3</v>
          </cell>
          <cell r="K4835" t="str">
            <v>Durable</v>
          </cell>
        </row>
        <row r="4836">
          <cell r="D4836">
            <v>850819</v>
          </cell>
          <cell r="E4836" t="str">
            <v>Vacuum cleaners, with self-contained electric motor, n.e.c. in item no. 8508.1</v>
          </cell>
          <cell r="F4836" t="str">
            <v>Capital Goods</v>
          </cell>
          <cell r="G4836">
            <v>0</v>
          </cell>
          <cell r="H4836">
            <v>0</v>
          </cell>
          <cell r="I4836" t="str">
            <v>Capital Goods</v>
          </cell>
          <cell r="J4836">
            <v>2</v>
          </cell>
          <cell r="K4836" t="str">
            <v>Capital Goods</v>
          </cell>
        </row>
        <row r="4837">
          <cell r="D4837">
            <v>850860</v>
          </cell>
          <cell r="E4837" t="str">
            <v>Vacuum cleaners, other than with a self-contained electric motor</v>
          </cell>
          <cell r="F4837" t="str">
            <v>Others</v>
          </cell>
          <cell r="G4837">
            <v>0</v>
          </cell>
          <cell r="H4837">
            <v>0</v>
          </cell>
          <cell r="I4837" t="str">
            <v>Durable</v>
          </cell>
          <cell r="J4837">
            <v>2</v>
          </cell>
          <cell r="K4837" t="str">
            <v>Durable</v>
          </cell>
        </row>
        <row r="4838">
          <cell r="D4838">
            <v>850870</v>
          </cell>
          <cell r="E4838" t="str">
            <v>Parts of vacuum cleaners</v>
          </cell>
          <cell r="F4838" t="str">
            <v>Parts &amp; Accessories</v>
          </cell>
          <cell r="G4838">
            <v>0</v>
          </cell>
          <cell r="H4838">
            <v>0</v>
          </cell>
          <cell r="I4838" t="str">
            <v>Others</v>
          </cell>
          <cell r="J4838">
            <v>2</v>
          </cell>
          <cell r="K4838" t="str">
            <v>Parts &amp; Accessories - rc</v>
          </cell>
        </row>
        <row r="4839">
          <cell r="D4839">
            <v>850940</v>
          </cell>
          <cell r="E4839" t="str">
            <v>Electro-mechanical domestic appliances; food grinders and mixers, fruit or vegetable juice extractors, with self-contained electric motor</v>
          </cell>
          <cell r="F4839">
            <v>0</v>
          </cell>
          <cell r="G4839">
            <v>0</v>
          </cell>
          <cell r="H4839" t="str">
            <v>Others</v>
          </cell>
          <cell r="I4839" t="str">
            <v>Durable</v>
          </cell>
          <cell r="J4839">
            <v>2</v>
          </cell>
          <cell r="K4839" t="str">
            <v>Durable</v>
          </cell>
        </row>
        <row r="4840">
          <cell r="D4840">
            <v>850980</v>
          </cell>
          <cell r="E4840" t="str">
            <v>Electro-mechanical domestic appliances; with self-contained electric motor, other than vacuum cleaners of heading 85.08, n.e.c. in heading no. 8509</v>
          </cell>
          <cell r="F4840">
            <v>0</v>
          </cell>
          <cell r="G4840">
            <v>0</v>
          </cell>
          <cell r="H4840">
            <v>0</v>
          </cell>
          <cell r="I4840" t="str">
            <v>Durable</v>
          </cell>
          <cell r="J4840">
            <v>3</v>
          </cell>
          <cell r="K4840" t="str">
            <v>Durable</v>
          </cell>
        </row>
        <row r="4841">
          <cell r="D4841">
            <v>850990</v>
          </cell>
          <cell r="E4841" t="str">
            <v>Electro-mechanical domestic appliances; parts for the appliances of heading no. 8509</v>
          </cell>
          <cell r="F4841">
            <v>0</v>
          </cell>
          <cell r="G4841">
            <v>0</v>
          </cell>
          <cell r="H4841" t="str">
            <v>Others</v>
          </cell>
          <cell r="I4841" t="str">
            <v>Others</v>
          </cell>
          <cell r="J4841">
            <v>2</v>
          </cell>
          <cell r="K4841" t="str">
            <v>Others</v>
          </cell>
        </row>
        <row r="4842">
          <cell r="D4842">
            <v>851010</v>
          </cell>
          <cell r="E4842" t="str">
            <v>Shavers; with self-contained electric motor</v>
          </cell>
          <cell r="F4842">
            <v>0</v>
          </cell>
          <cell r="G4842">
            <v>0</v>
          </cell>
          <cell r="H4842">
            <v>0</v>
          </cell>
          <cell r="I4842" t="str">
            <v>Durable</v>
          </cell>
          <cell r="J4842">
            <v>3</v>
          </cell>
          <cell r="K4842" t="str">
            <v>Durable</v>
          </cell>
        </row>
        <row r="4843">
          <cell r="D4843">
            <v>851020</v>
          </cell>
          <cell r="E4843" t="str">
            <v>Hair clippers; with a self-contained electric motor</v>
          </cell>
          <cell r="F4843">
            <v>0</v>
          </cell>
          <cell r="G4843">
            <v>0</v>
          </cell>
          <cell r="H4843">
            <v>0</v>
          </cell>
          <cell r="I4843" t="str">
            <v>Durable</v>
          </cell>
          <cell r="J4843">
            <v>3</v>
          </cell>
          <cell r="K4843" t="str">
            <v>Durable</v>
          </cell>
        </row>
        <row r="4844">
          <cell r="D4844">
            <v>851030</v>
          </cell>
          <cell r="E4844" t="str">
            <v>Hair-removing appliances; with self-contained electric motor</v>
          </cell>
          <cell r="F4844">
            <v>0</v>
          </cell>
          <cell r="G4844">
            <v>0</v>
          </cell>
          <cell r="H4844">
            <v>0</v>
          </cell>
          <cell r="I4844" t="str">
            <v>Durable</v>
          </cell>
          <cell r="J4844">
            <v>3</v>
          </cell>
          <cell r="K4844" t="str">
            <v>Durable</v>
          </cell>
        </row>
        <row r="4845">
          <cell r="D4845">
            <v>851090</v>
          </cell>
          <cell r="E4845" t="str">
            <v>Shavers and hair clippers; parts of those with self-contained electric motor</v>
          </cell>
          <cell r="F4845">
            <v>0</v>
          </cell>
          <cell r="G4845">
            <v>0</v>
          </cell>
          <cell r="H4845">
            <v>0</v>
          </cell>
          <cell r="I4845" t="str">
            <v>Others</v>
          </cell>
          <cell r="J4845">
            <v>3</v>
          </cell>
          <cell r="K4845" t="str">
            <v>Others</v>
          </cell>
        </row>
        <row r="4846">
          <cell r="D4846">
            <v>851110</v>
          </cell>
          <cell r="E4846" t="str">
            <v>Ignition or starting equipment; spark plugs, of a kind used for spark or compression-ignition internal combustion engines</v>
          </cell>
          <cell r="F4846">
            <v>0</v>
          </cell>
          <cell r="G4846">
            <v>0</v>
          </cell>
          <cell r="H4846" t="str">
            <v>Parts &amp; Accessories</v>
          </cell>
          <cell r="I4846" t="str">
            <v>Parts &amp; Accessories</v>
          </cell>
          <cell r="J4846">
            <v>2</v>
          </cell>
          <cell r="K4846" t="str">
            <v>Parts &amp; Accessories - rc</v>
          </cell>
        </row>
        <row r="4847">
          <cell r="D4847">
            <v>851120</v>
          </cell>
          <cell r="E4847" t="str">
            <v>Ignition or starting equipment; ignition magnetos, magneto-dynamos and magnetic flywheels, of a kind used for spark or compression-ignition internal combustion engines</v>
          </cell>
          <cell r="F4847">
            <v>0</v>
          </cell>
          <cell r="G4847">
            <v>0</v>
          </cell>
          <cell r="H4847" t="str">
            <v>Parts &amp; Accessories</v>
          </cell>
          <cell r="I4847" t="str">
            <v>Parts &amp; Accessories</v>
          </cell>
          <cell r="J4847">
            <v>2</v>
          </cell>
          <cell r="K4847" t="str">
            <v>Parts &amp; Accessories - rc</v>
          </cell>
        </row>
        <row r="4848">
          <cell r="D4848">
            <v>851130</v>
          </cell>
          <cell r="E4848" t="str">
            <v>Ignition or starting equipment; distributors and ignition coils of a kind used for spark-ignition or compression-ignition internal combustion engines</v>
          </cell>
          <cell r="F4848">
            <v>0</v>
          </cell>
          <cell r="G4848">
            <v>0</v>
          </cell>
          <cell r="H4848" t="str">
            <v>Parts &amp; Accessories</v>
          </cell>
          <cell r="I4848" t="str">
            <v>Parts &amp; Accessories</v>
          </cell>
          <cell r="J4848">
            <v>2</v>
          </cell>
          <cell r="K4848" t="str">
            <v>Parts &amp; Accessories - rc</v>
          </cell>
        </row>
        <row r="4849">
          <cell r="D4849">
            <v>841420</v>
          </cell>
          <cell r="E4849" t="str">
            <v>Pumps; hand or foot-operated air pumps</v>
          </cell>
          <cell r="F4849" t="str">
            <v>Capital Goods</v>
          </cell>
          <cell r="G4849">
            <v>0</v>
          </cell>
          <cell r="H4849" t="str">
            <v>Capital Goods</v>
          </cell>
          <cell r="I4849" t="str">
            <v>Capital Goods</v>
          </cell>
          <cell r="J4849">
            <v>1</v>
          </cell>
          <cell r="K4849" t="str">
            <v>Parts &amp; Accessories</v>
          </cell>
        </row>
        <row r="4850">
          <cell r="D4850">
            <v>851150</v>
          </cell>
          <cell r="E4850" t="str">
            <v>Ignition or starting equipment; generators n.e.c. in heading no. 8511, of a kind used for spark or compression-ignition internal combustion engines</v>
          </cell>
          <cell r="F4850">
            <v>0</v>
          </cell>
          <cell r="G4850">
            <v>0</v>
          </cell>
          <cell r="H4850" t="str">
            <v>Parts &amp; Accessories</v>
          </cell>
          <cell r="I4850" t="str">
            <v>Parts &amp; Accessories</v>
          </cell>
          <cell r="J4850">
            <v>2</v>
          </cell>
          <cell r="K4850" t="str">
            <v>Parts &amp; Accessories - rc</v>
          </cell>
        </row>
        <row r="4851">
          <cell r="D4851">
            <v>851180</v>
          </cell>
          <cell r="E4851" t="str">
            <v>Ignition or starting equipment; n.e.c. in heading no. 8511, of a kind used for spark or compression-ignition internal combustion engines</v>
          </cell>
          <cell r="F4851">
            <v>0</v>
          </cell>
          <cell r="G4851">
            <v>0</v>
          </cell>
          <cell r="H4851" t="str">
            <v>Parts &amp; Accessories</v>
          </cell>
          <cell r="I4851" t="str">
            <v>Parts &amp; Accessories</v>
          </cell>
          <cell r="J4851">
            <v>2</v>
          </cell>
          <cell r="K4851" t="str">
            <v>Parts &amp; Accessories - rc</v>
          </cell>
        </row>
        <row r="4852">
          <cell r="D4852">
            <v>851190</v>
          </cell>
          <cell r="E4852" t="str">
            <v>Ignition or starting equipment; parts of the equipment of heading no. 8511, for use in spark-ignition or compression-ignition internal combustion engines</v>
          </cell>
          <cell r="F4852">
            <v>0</v>
          </cell>
          <cell r="G4852">
            <v>0</v>
          </cell>
          <cell r="H4852" t="str">
            <v>Parts &amp; Accessories</v>
          </cell>
          <cell r="I4852" t="str">
            <v>Parts &amp; Accessories</v>
          </cell>
          <cell r="J4852">
            <v>2</v>
          </cell>
          <cell r="K4852" t="str">
            <v>Parts &amp; Accessories - rc</v>
          </cell>
        </row>
        <row r="4853">
          <cell r="D4853">
            <v>845390</v>
          </cell>
          <cell r="E4853" t="str">
            <v>Machinery; parts of those for preparing, tanning or working hides, skins or leather, for making or repairing footwear or other articles of hides, skin or leather, other than sewing machines</v>
          </cell>
          <cell r="F4853" t="str">
            <v>Parts &amp; Accessories</v>
          </cell>
          <cell r="G4853">
            <v>0</v>
          </cell>
          <cell r="H4853">
            <v>0</v>
          </cell>
          <cell r="I4853" t="str">
            <v>Parts &amp; Accessories</v>
          </cell>
          <cell r="J4853">
            <v>2</v>
          </cell>
          <cell r="K4853" t="str">
            <v>Parts &amp; Accessories</v>
          </cell>
        </row>
        <row r="4854">
          <cell r="D4854">
            <v>851220</v>
          </cell>
          <cell r="E4854" t="str">
            <v>Lighting or visual signalling equipment; electrical, of a kind used on motor vehicles (excluding articles of heading no. 8539)</v>
          </cell>
          <cell r="F4854" t="str">
            <v>Capital Goods</v>
          </cell>
          <cell r="G4854">
            <v>0</v>
          </cell>
          <cell r="H4854">
            <v>0</v>
          </cell>
          <cell r="I4854" t="str">
            <v>Capital Goods</v>
          </cell>
          <cell r="J4854">
            <v>2</v>
          </cell>
          <cell r="K4854" t="str">
            <v>Capital Goods - rc</v>
          </cell>
        </row>
        <row r="4855">
          <cell r="D4855">
            <v>851230</v>
          </cell>
          <cell r="E4855" t="str">
            <v>Sound signalling equipment; electrical, used on cycles or motor vehicles (excluding articles of heading no. 8539)</v>
          </cell>
          <cell r="F4855" t="str">
            <v>Capital Goods</v>
          </cell>
          <cell r="G4855">
            <v>0</v>
          </cell>
          <cell r="H4855">
            <v>0</v>
          </cell>
          <cell r="I4855" t="str">
            <v>Capital Goods</v>
          </cell>
          <cell r="J4855">
            <v>2</v>
          </cell>
          <cell r="K4855" t="str">
            <v>Capital Goods - rc</v>
          </cell>
        </row>
        <row r="4856">
          <cell r="D4856">
            <v>851240</v>
          </cell>
          <cell r="E4856" t="str">
            <v>Windscreen wipers, defrosters and demisters; electrical, of kinds used for cycles or motor vehicles</v>
          </cell>
          <cell r="F4856" t="str">
            <v>Parts &amp; Accessories</v>
          </cell>
          <cell r="G4856">
            <v>0</v>
          </cell>
          <cell r="H4856">
            <v>0</v>
          </cell>
          <cell r="I4856" t="str">
            <v>Parts &amp; Accessories</v>
          </cell>
          <cell r="J4856">
            <v>2</v>
          </cell>
          <cell r="K4856" t="str">
            <v>Parts &amp; Accessories - rc</v>
          </cell>
        </row>
        <row r="4857">
          <cell r="D4857">
            <v>851290</v>
          </cell>
          <cell r="E4857" t="str">
            <v>Lighting or signalling equipment; electrical, (excluding articles of heading no. 8539), windscreen wipers, defrosters and demisters; parts, of those kinds used for cycles or motor vehicles</v>
          </cell>
          <cell r="F4857" t="str">
            <v>Capital Goods</v>
          </cell>
          <cell r="G4857">
            <v>0</v>
          </cell>
          <cell r="H4857">
            <v>0</v>
          </cell>
          <cell r="I4857" t="str">
            <v>Parts &amp; Accessories</v>
          </cell>
          <cell r="J4857">
            <v>2</v>
          </cell>
          <cell r="K4857" t="str">
            <v>Capital Goods - rc</v>
          </cell>
        </row>
        <row r="4858">
          <cell r="D4858">
            <v>851310</v>
          </cell>
          <cell r="E4858" t="str">
            <v>Lamps; portable, electric, designed to function by their own source of energy (excluding lighting equipment of heading no. 8512)</v>
          </cell>
          <cell r="F4858" t="str">
            <v>Capital Goods</v>
          </cell>
          <cell r="G4858">
            <v>0</v>
          </cell>
          <cell r="H4858">
            <v>0</v>
          </cell>
          <cell r="I4858" t="str">
            <v>Others</v>
          </cell>
          <cell r="J4858">
            <v>2</v>
          </cell>
          <cell r="K4858" t="str">
            <v>Capital Goods - rc</v>
          </cell>
        </row>
        <row r="4859">
          <cell r="D4859">
            <v>853510</v>
          </cell>
          <cell r="E4859" t="str">
            <v>Electrical apparatus; fuses, for a voltage exceeding 1000 volts</v>
          </cell>
          <cell r="F4859" t="str">
            <v>Capital Goods</v>
          </cell>
          <cell r="G4859">
            <v>0</v>
          </cell>
          <cell r="H4859" t="str">
            <v>Parts &amp; Accessories</v>
          </cell>
          <cell r="I4859" t="str">
            <v>Parts &amp; Accessories</v>
          </cell>
          <cell r="J4859">
            <v>1</v>
          </cell>
          <cell r="K4859" t="str">
            <v>Parts &amp; Accessories</v>
          </cell>
        </row>
        <row r="4860">
          <cell r="D4860">
            <v>851410</v>
          </cell>
          <cell r="E4860" t="str">
            <v>Electric industrial or laboratory furnaces and ovens (excluding resistance heated, induction, dielectric and drying furnaces and ovens)</v>
          </cell>
          <cell r="F4860" t="str">
            <v>Capital Goods</v>
          </cell>
          <cell r="G4860">
            <v>0</v>
          </cell>
          <cell r="H4860" t="str">
            <v>Capital Goods</v>
          </cell>
          <cell r="I4860">
            <v>0</v>
          </cell>
          <cell r="J4860">
            <v>2</v>
          </cell>
          <cell r="K4860" t="str">
            <v>Capital Goods</v>
          </cell>
        </row>
        <row r="4861">
          <cell r="D4861">
            <v>851411</v>
          </cell>
          <cell r="E4861" t="str">
            <v>Furnaces and ovens; electric, for industrial or laboratory use, resistance heated; hot isostatic presses</v>
          </cell>
          <cell r="F4861">
            <v>0</v>
          </cell>
          <cell r="G4861">
            <v>0</v>
          </cell>
          <cell r="H4861">
            <v>0</v>
          </cell>
          <cell r="I4861" t="str">
            <v>Capital Goods</v>
          </cell>
          <cell r="J4861">
            <v>3</v>
          </cell>
          <cell r="K4861" t="str">
            <v>Capital Goods</v>
          </cell>
        </row>
        <row r="4862">
          <cell r="D4862">
            <v>851419</v>
          </cell>
          <cell r="E4862" t="str">
            <v>Furnaces and ovens; electric, for industrial or laboratory use, resistance heated; other than hot isostatic presses, for the manufacture of semiconductor devices on semiconductor wafers</v>
          </cell>
          <cell r="F4862" t="str">
            <v>Capital Goods</v>
          </cell>
          <cell r="G4862">
            <v>0</v>
          </cell>
          <cell r="H4862">
            <v>0</v>
          </cell>
          <cell r="I4862" t="str">
            <v>Capital Goods</v>
          </cell>
          <cell r="J4862">
            <v>2</v>
          </cell>
          <cell r="K4862" t="str">
            <v>Capital Goods</v>
          </cell>
        </row>
        <row r="4863">
          <cell r="D4863">
            <v>851420</v>
          </cell>
          <cell r="E4863" t="str">
            <v>Furnaces and ovens; electric, for industrial or laboratory use, functioning by induction or dielectric loss</v>
          </cell>
          <cell r="F4863">
            <v>0</v>
          </cell>
          <cell r="G4863">
            <v>0</v>
          </cell>
          <cell r="H4863" t="str">
            <v>Capital Goods</v>
          </cell>
          <cell r="I4863" t="str">
            <v>Capital Goods</v>
          </cell>
          <cell r="J4863">
            <v>2</v>
          </cell>
          <cell r="K4863" t="str">
            <v>Capital Goods</v>
          </cell>
        </row>
        <row r="4864">
          <cell r="D4864">
            <v>391733</v>
          </cell>
          <cell r="E4864" t="str">
            <v>Plastics; tubes, pipes and hoses thereof, other than those of item no. 3917.31, not reinforced or otherwise combined with other materials, with fittings</v>
          </cell>
          <cell r="F4864" t="str">
            <v>Capital Goods</v>
          </cell>
          <cell r="G4864">
            <v>0</v>
          </cell>
          <cell r="H4864">
            <v>0</v>
          </cell>
          <cell r="I4864" t="str">
            <v>Others</v>
          </cell>
          <cell r="J4864">
            <v>2</v>
          </cell>
          <cell r="K4864" t="str">
            <v>Parts &amp; Accessories</v>
          </cell>
        </row>
        <row r="4865">
          <cell r="D4865">
            <v>851431</v>
          </cell>
          <cell r="E4865" t="str">
            <v>Furnaces and ovens; electric, for industrial or laboratory use, other than those functioning by induction, dielectric loss or resistance heated, electron beam furnaces</v>
          </cell>
          <cell r="F4865">
            <v>0</v>
          </cell>
          <cell r="G4865">
            <v>0</v>
          </cell>
          <cell r="H4865">
            <v>0</v>
          </cell>
          <cell r="I4865" t="str">
            <v>Capital Goods</v>
          </cell>
          <cell r="J4865">
            <v>3</v>
          </cell>
          <cell r="K4865" t="str">
            <v>Capital Goods</v>
          </cell>
        </row>
        <row r="4866">
          <cell r="D4866">
            <v>851432</v>
          </cell>
          <cell r="E4866" t="str">
            <v>Furnaces and ovens; electric, for industrial or laboratory use, other than those functioning by induction, dielectric loss or resistance heated, plasma and vacuum arc furnaces</v>
          </cell>
          <cell r="F4866">
            <v>0</v>
          </cell>
          <cell r="G4866">
            <v>0</v>
          </cell>
          <cell r="H4866">
            <v>0</v>
          </cell>
          <cell r="I4866" t="str">
            <v>Capital Goods</v>
          </cell>
          <cell r="J4866">
            <v>3</v>
          </cell>
          <cell r="K4866" t="str">
            <v>Capital Goods</v>
          </cell>
        </row>
        <row r="4867">
          <cell r="D4867">
            <v>851439</v>
          </cell>
          <cell r="E4867" t="str">
            <v>Furnaces and ovens; electric, for industrial or laboratory use, other than those functioning by induction, dielectric loss or resistance heated, other than electron beam, plasma or vacuum arc furnaces</v>
          </cell>
          <cell r="F4867" t="str">
            <v>Capital Goods</v>
          </cell>
          <cell r="G4867">
            <v>0</v>
          </cell>
          <cell r="H4867">
            <v>0</v>
          </cell>
          <cell r="I4867" t="str">
            <v>Capital Goods</v>
          </cell>
          <cell r="J4867">
            <v>2</v>
          </cell>
          <cell r="K4867" t="str">
            <v>Capital Goods</v>
          </cell>
        </row>
        <row r="4868">
          <cell r="D4868">
            <v>851440</v>
          </cell>
          <cell r="E4868" t="str">
            <v>Heating equipment; for the heat treatment of materials by induction or dielectric loss, industrial or laboratory, other than furnaces and ovens</v>
          </cell>
          <cell r="F4868" t="str">
            <v>Capital Goods</v>
          </cell>
          <cell r="G4868">
            <v>0</v>
          </cell>
          <cell r="H4868" t="str">
            <v>Capital Goods</v>
          </cell>
          <cell r="I4868" t="str">
            <v>Capital Goods</v>
          </cell>
          <cell r="J4868">
            <v>1</v>
          </cell>
          <cell r="K4868" t="str">
            <v>Capital Goods</v>
          </cell>
        </row>
        <row r="4869">
          <cell r="D4869">
            <v>846692</v>
          </cell>
          <cell r="E4869" t="str">
            <v>Parts &amp; accessories suited for use solely/principally for the machines of heading no. 8465, n.e.c. in heading no. 8466</v>
          </cell>
          <cell r="F4869" t="str">
            <v>Parts &amp; Accessories</v>
          </cell>
          <cell r="G4869">
            <v>0</v>
          </cell>
          <cell r="H4869">
            <v>0</v>
          </cell>
          <cell r="I4869" t="str">
            <v>Parts &amp; Accessories</v>
          </cell>
          <cell r="J4869">
            <v>2</v>
          </cell>
          <cell r="K4869" t="str">
            <v>Parts &amp; Accessories</v>
          </cell>
        </row>
        <row r="4870">
          <cell r="D4870">
            <v>851511</v>
          </cell>
          <cell r="E4870" t="str">
            <v>Brazing or soldering machines and apparatus; soldering irons and guns, whether or not capable of cutting</v>
          </cell>
          <cell r="F4870" t="str">
            <v>Capital Goods</v>
          </cell>
          <cell r="G4870">
            <v>0</v>
          </cell>
          <cell r="H4870" t="str">
            <v>Capital Goods</v>
          </cell>
          <cell r="I4870" t="str">
            <v>Capital Goods</v>
          </cell>
          <cell r="J4870">
            <v>1</v>
          </cell>
          <cell r="K4870" t="str">
            <v>Capital Goods</v>
          </cell>
        </row>
        <row r="4871">
          <cell r="D4871">
            <v>851519</v>
          </cell>
          <cell r="E4871" t="str">
            <v>Brazing or soldering machines and apparatus; other than soldering irons and guns, whether or not capable of cutting</v>
          </cell>
          <cell r="F4871" t="str">
            <v>Capital Goods</v>
          </cell>
          <cell r="G4871">
            <v>0</v>
          </cell>
          <cell r="H4871" t="str">
            <v>Capital Goods</v>
          </cell>
          <cell r="I4871" t="str">
            <v>Capital Goods</v>
          </cell>
          <cell r="J4871">
            <v>1</v>
          </cell>
          <cell r="K4871" t="str">
            <v>Capital Goods</v>
          </cell>
        </row>
        <row r="4872">
          <cell r="D4872">
            <v>851521</v>
          </cell>
          <cell r="E4872" t="str">
            <v>Welding machines and apparatus; for resistance welding of metal, fully or partly automatic, whether or not capable of cutting</v>
          </cell>
          <cell r="F4872" t="str">
            <v>Capital Goods</v>
          </cell>
          <cell r="G4872">
            <v>0</v>
          </cell>
          <cell r="H4872" t="str">
            <v>Capital Goods</v>
          </cell>
          <cell r="I4872" t="str">
            <v>Capital Goods</v>
          </cell>
          <cell r="J4872">
            <v>1</v>
          </cell>
          <cell r="K4872" t="str">
            <v>Capital Goods</v>
          </cell>
        </row>
        <row r="4873">
          <cell r="D4873">
            <v>851529</v>
          </cell>
          <cell r="E4873" t="str">
            <v>Welding machines and apparatus; for resistance welding of metal, other than fully or partly automatic, whether or not capable of cutting</v>
          </cell>
          <cell r="F4873" t="str">
            <v>Capital Goods</v>
          </cell>
          <cell r="G4873">
            <v>0</v>
          </cell>
          <cell r="H4873" t="str">
            <v>Capital Goods</v>
          </cell>
          <cell r="I4873" t="str">
            <v>Capital Goods</v>
          </cell>
          <cell r="J4873">
            <v>1</v>
          </cell>
          <cell r="K4873" t="str">
            <v>Capital Goods</v>
          </cell>
        </row>
        <row r="4874">
          <cell r="D4874">
            <v>851531</v>
          </cell>
          <cell r="E4874" t="str">
            <v>Welding machines and apparatus; for arc (including plasma arc) welding of metals, fully or partly automatic, whether or not capable of cutting</v>
          </cell>
          <cell r="F4874" t="str">
            <v>Capital Goods</v>
          </cell>
          <cell r="G4874">
            <v>0</v>
          </cell>
          <cell r="H4874" t="str">
            <v>Capital Goods</v>
          </cell>
          <cell r="I4874" t="str">
            <v>Capital Goods</v>
          </cell>
          <cell r="J4874">
            <v>1</v>
          </cell>
          <cell r="K4874" t="str">
            <v>Capital Goods</v>
          </cell>
        </row>
        <row r="4875">
          <cell r="D4875">
            <v>851539</v>
          </cell>
          <cell r="E4875" t="str">
            <v>Welding machines and apparatus; for arc (including plasma arc) welding of metals, other than fully or partly automatic, whether or not capable of cutting</v>
          </cell>
          <cell r="F4875" t="str">
            <v>Capital Goods</v>
          </cell>
          <cell r="G4875">
            <v>0</v>
          </cell>
          <cell r="H4875">
            <v>0</v>
          </cell>
          <cell r="I4875" t="str">
            <v>Capital Goods</v>
          </cell>
          <cell r="J4875">
            <v>2</v>
          </cell>
          <cell r="K4875" t="str">
            <v>Capital Goods</v>
          </cell>
        </row>
        <row r="4876">
          <cell r="D4876">
            <v>851580</v>
          </cell>
          <cell r="E4876" t="str">
            <v>Welding machines and apparatus; n.e.c. in heading no. 8515, whether or not capable of cutting</v>
          </cell>
          <cell r="F4876" t="str">
            <v>Capital Goods</v>
          </cell>
          <cell r="G4876">
            <v>0</v>
          </cell>
          <cell r="H4876" t="str">
            <v>Capital Goods</v>
          </cell>
          <cell r="I4876" t="str">
            <v>Capital Goods</v>
          </cell>
          <cell r="J4876">
            <v>1</v>
          </cell>
          <cell r="K4876" t="str">
            <v>Capital Goods</v>
          </cell>
        </row>
        <row r="4877">
          <cell r="D4877">
            <v>591132</v>
          </cell>
          <cell r="E4877" t="str">
            <v>Textiles; fabrics and felts, endless or fitted with linking devices, of a kind used in paper-making or similar machines, weighing 650g/m2 or more</v>
          </cell>
          <cell r="F4877">
            <v>0</v>
          </cell>
          <cell r="G4877">
            <v>0</v>
          </cell>
          <cell r="H4877">
            <v>0</v>
          </cell>
          <cell r="I4877" t="str">
            <v>Parts &amp; Accessories</v>
          </cell>
          <cell r="J4877">
            <v>3</v>
          </cell>
          <cell r="K4877" t="str">
            <v>Parts &amp; Accessories</v>
          </cell>
        </row>
        <row r="4878">
          <cell r="D4878">
            <v>851610</v>
          </cell>
          <cell r="E4878" t="str">
            <v>Heaters; electric, instantaneous or storage water and immersion heaters</v>
          </cell>
          <cell r="F4878" t="str">
            <v>Capital Goods</v>
          </cell>
          <cell r="G4878">
            <v>0</v>
          </cell>
          <cell r="H4878" t="str">
            <v>Others</v>
          </cell>
          <cell r="I4878" t="str">
            <v>Others</v>
          </cell>
          <cell r="J4878">
            <v>1</v>
          </cell>
          <cell r="K4878" t="str">
            <v>Capital Goods</v>
          </cell>
        </row>
        <row r="4879">
          <cell r="D4879">
            <v>851621</v>
          </cell>
          <cell r="E4879" t="str">
            <v>Heating apparatus; electric storage heating radiators</v>
          </cell>
          <cell r="F4879">
            <v>0</v>
          </cell>
          <cell r="G4879">
            <v>0</v>
          </cell>
          <cell r="H4879" t="str">
            <v>Others</v>
          </cell>
          <cell r="I4879" t="str">
            <v>Durable</v>
          </cell>
          <cell r="J4879">
            <v>2</v>
          </cell>
          <cell r="K4879" t="str">
            <v>Durable</v>
          </cell>
        </row>
        <row r="4880">
          <cell r="D4880">
            <v>851629</v>
          </cell>
          <cell r="E4880" t="str">
            <v>Heating apparatus; electric soil heating apparatus and space heating apparatus (excluding storage heating radiators)</v>
          </cell>
          <cell r="F4880" t="str">
            <v>Capital Goods</v>
          </cell>
          <cell r="G4880">
            <v>0</v>
          </cell>
          <cell r="H4880" t="str">
            <v>Capital Goods</v>
          </cell>
          <cell r="I4880" t="str">
            <v>Durable</v>
          </cell>
          <cell r="J4880">
            <v>1</v>
          </cell>
          <cell r="K4880" t="str">
            <v>Durable</v>
          </cell>
        </row>
        <row r="4881">
          <cell r="D4881">
            <v>851631</v>
          </cell>
          <cell r="E4881" t="str">
            <v>Hair-dressing apparatus; electro-thermic hair dryers</v>
          </cell>
          <cell r="F4881" t="str">
            <v>Others</v>
          </cell>
          <cell r="G4881">
            <v>0</v>
          </cell>
          <cell r="H4881" t="str">
            <v>Capital Goods</v>
          </cell>
          <cell r="I4881" t="str">
            <v>Durable</v>
          </cell>
          <cell r="J4881">
            <v>1</v>
          </cell>
          <cell r="K4881" t="str">
            <v>Durable</v>
          </cell>
        </row>
        <row r="4882">
          <cell r="D4882">
            <v>851632</v>
          </cell>
          <cell r="E4882" t="str">
            <v>Hair-dressing apparatus; electro-thermic, other than hair dryers</v>
          </cell>
          <cell r="F4882">
            <v>0</v>
          </cell>
          <cell r="G4882">
            <v>0</v>
          </cell>
          <cell r="H4882" t="str">
            <v>Others</v>
          </cell>
          <cell r="I4882" t="str">
            <v>Durable</v>
          </cell>
          <cell r="J4882">
            <v>2</v>
          </cell>
          <cell r="K4882" t="str">
            <v>Durable</v>
          </cell>
        </row>
        <row r="4883">
          <cell r="D4883">
            <v>851633</v>
          </cell>
          <cell r="E4883" t="str">
            <v>Hand-drying apparatus; electro-thermic</v>
          </cell>
          <cell r="F4883">
            <v>0</v>
          </cell>
          <cell r="G4883">
            <v>0</v>
          </cell>
          <cell r="H4883" t="str">
            <v>Others</v>
          </cell>
          <cell r="I4883" t="str">
            <v>Capital Goods</v>
          </cell>
          <cell r="J4883">
            <v>2</v>
          </cell>
          <cell r="K4883" t="str">
            <v>Capital Goods</v>
          </cell>
        </row>
        <row r="4884">
          <cell r="D4884">
            <v>851640</v>
          </cell>
          <cell r="E4884" t="str">
            <v>Smoothing irons; electric</v>
          </cell>
          <cell r="F4884">
            <v>0</v>
          </cell>
          <cell r="G4884">
            <v>0</v>
          </cell>
          <cell r="H4884" t="str">
            <v>Parts &amp; Accessories</v>
          </cell>
          <cell r="I4884" t="str">
            <v>Durable</v>
          </cell>
          <cell r="J4884">
            <v>2</v>
          </cell>
          <cell r="K4884" t="str">
            <v>Durable</v>
          </cell>
        </row>
        <row r="4885">
          <cell r="D4885">
            <v>851650</v>
          </cell>
          <cell r="E4885" t="str">
            <v>Ovens; microwave, of a kind used for domestic purposes</v>
          </cell>
          <cell r="F4885" t="str">
            <v>Capital Goods</v>
          </cell>
          <cell r="G4885">
            <v>0</v>
          </cell>
          <cell r="H4885">
            <v>0</v>
          </cell>
          <cell r="I4885" t="str">
            <v>Durable</v>
          </cell>
          <cell r="J4885">
            <v>2</v>
          </cell>
          <cell r="K4885" t="str">
            <v>Durable</v>
          </cell>
        </row>
        <row r="4886">
          <cell r="D4886">
            <v>851660</v>
          </cell>
          <cell r="E4886" t="str">
            <v>Ovens, cookers, cooking plates, boiling rings, grillers and roasters; of a kind used for domestic purposes (excluding microwaves)</v>
          </cell>
          <cell r="F4886" t="str">
            <v>Others</v>
          </cell>
          <cell r="G4886">
            <v>0</v>
          </cell>
          <cell r="H4886" t="str">
            <v>Others</v>
          </cell>
          <cell r="I4886" t="str">
            <v>Durable</v>
          </cell>
          <cell r="J4886">
            <v>1</v>
          </cell>
          <cell r="K4886" t="str">
            <v>Durable</v>
          </cell>
        </row>
        <row r="4887">
          <cell r="D4887">
            <v>851671</v>
          </cell>
          <cell r="E4887" t="str">
            <v>Electro-thermic appliances; coffee or tea makers, of a kind used for domestic purposes</v>
          </cell>
          <cell r="F4887">
            <v>0</v>
          </cell>
          <cell r="G4887">
            <v>0</v>
          </cell>
          <cell r="H4887" t="str">
            <v>Others</v>
          </cell>
          <cell r="I4887" t="str">
            <v>Durable</v>
          </cell>
          <cell r="J4887">
            <v>2</v>
          </cell>
          <cell r="K4887" t="str">
            <v>Durable</v>
          </cell>
        </row>
        <row r="4888">
          <cell r="D4888">
            <v>851672</v>
          </cell>
          <cell r="E4888" t="str">
            <v>Electro-thermic appliances; toasters, of a kind used for domestic purposes</v>
          </cell>
          <cell r="F4888">
            <v>0</v>
          </cell>
          <cell r="G4888">
            <v>0</v>
          </cell>
          <cell r="H4888" t="str">
            <v>Others</v>
          </cell>
          <cell r="I4888" t="str">
            <v>Durable</v>
          </cell>
          <cell r="J4888">
            <v>2</v>
          </cell>
          <cell r="K4888" t="str">
            <v>Durable</v>
          </cell>
        </row>
        <row r="4889">
          <cell r="D4889">
            <v>851679</v>
          </cell>
          <cell r="E4889" t="str">
            <v>Electro-thermic appliances; n.e.c. in heading no. 8516, used for domestic purposes</v>
          </cell>
          <cell r="F4889" t="str">
            <v>Others</v>
          </cell>
          <cell r="G4889">
            <v>0</v>
          </cell>
          <cell r="H4889" t="str">
            <v>Others</v>
          </cell>
          <cell r="I4889" t="str">
            <v>Durable</v>
          </cell>
          <cell r="J4889">
            <v>1</v>
          </cell>
          <cell r="K4889" t="str">
            <v>Durable</v>
          </cell>
        </row>
        <row r="4890">
          <cell r="D4890">
            <v>851680</v>
          </cell>
          <cell r="E4890" t="str">
            <v>Resistors; electric heating, other than those of heading no. 8545</v>
          </cell>
          <cell r="F4890" t="str">
            <v>Capital Goods</v>
          </cell>
          <cell r="G4890">
            <v>0</v>
          </cell>
          <cell r="H4890" t="str">
            <v>Others</v>
          </cell>
          <cell r="I4890" t="str">
            <v>Others</v>
          </cell>
          <cell r="J4890">
            <v>1</v>
          </cell>
          <cell r="K4890" t="str">
            <v>Capital Goods</v>
          </cell>
        </row>
        <row r="4891">
          <cell r="D4891">
            <v>902890</v>
          </cell>
          <cell r="E4891" t="str">
            <v>Meters; parts and accessories of gas, liquid, electricity supply or production meters, including calibrating meters thereof</v>
          </cell>
          <cell r="F4891" t="str">
            <v>Parts &amp; Accessories</v>
          </cell>
          <cell r="G4891">
            <v>0</v>
          </cell>
          <cell r="H4891">
            <v>0</v>
          </cell>
          <cell r="I4891" t="str">
            <v>Parts &amp; Accessories</v>
          </cell>
          <cell r="J4891">
            <v>2</v>
          </cell>
          <cell r="K4891" t="str">
            <v>Parts &amp; Accessories</v>
          </cell>
        </row>
        <row r="4892">
          <cell r="D4892">
            <v>851711</v>
          </cell>
          <cell r="E4892" t="str">
            <v>Line telephone sets with cordless handsets</v>
          </cell>
          <cell r="F4892" t="str">
            <v>Capital Goods</v>
          </cell>
          <cell r="G4892">
            <v>0</v>
          </cell>
          <cell r="H4892">
            <v>0</v>
          </cell>
          <cell r="I4892" t="str">
            <v>Others</v>
          </cell>
          <cell r="J4892">
            <v>2</v>
          </cell>
          <cell r="K4892" t="str">
            <v>Capital Goods - rc</v>
          </cell>
        </row>
        <row r="4893">
          <cell r="D4893">
            <v>851712</v>
          </cell>
          <cell r="E4893" t="e">
            <v>#VALUE!</v>
          </cell>
          <cell r="F4893" t="str">
            <v>Others</v>
          </cell>
          <cell r="G4893">
            <v>0</v>
          </cell>
          <cell r="H4893">
            <v>0</v>
          </cell>
          <cell r="I4893">
            <v>0</v>
          </cell>
          <cell r="J4893">
            <v>3</v>
          </cell>
          <cell r="K4893" t="str">
            <v>Others</v>
          </cell>
        </row>
        <row r="4894">
          <cell r="D4894">
            <v>851713</v>
          </cell>
          <cell r="E4894" t="str">
            <v>Telephone sets; smartphones for cellular or other wireless networks</v>
          </cell>
          <cell r="F4894" t="str">
            <v>Others</v>
          </cell>
          <cell r="G4894">
            <v>0</v>
          </cell>
          <cell r="H4894">
            <v>0</v>
          </cell>
          <cell r="I4894" t="str">
            <v>Capital Goods</v>
          </cell>
          <cell r="J4894">
            <v>2</v>
          </cell>
          <cell r="K4894" t="str">
            <v>Durable</v>
          </cell>
        </row>
        <row r="4895">
          <cell r="D4895">
            <v>851714</v>
          </cell>
          <cell r="E4895" t="str">
            <v>Telephone sets; other than smartphones, for cellular or other wireless networks</v>
          </cell>
          <cell r="F4895">
            <v>0</v>
          </cell>
          <cell r="G4895">
            <v>0</v>
          </cell>
          <cell r="H4895">
            <v>0</v>
          </cell>
          <cell r="I4895" t="str">
            <v>Capital Goods</v>
          </cell>
          <cell r="J4895">
            <v>3</v>
          </cell>
          <cell r="K4895" t="str">
            <v>Durable</v>
          </cell>
        </row>
        <row r="4896">
          <cell r="D4896">
            <v>851718</v>
          </cell>
          <cell r="E4896" t="str">
            <v>Telephone sets n.e.c. in item no. 8517.1</v>
          </cell>
          <cell r="F4896">
            <v>0</v>
          </cell>
          <cell r="G4896">
            <v>0</v>
          </cell>
          <cell r="H4896">
            <v>0</v>
          </cell>
          <cell r="I4896" t="str">
            <v>Capital Goods</v>
          </cell>
          <cell r="J4896">
            <v>3</v>
          </cell>
          <cell r="K4896" t="str">
            <v>Capital Goods - rc</v>
          </cell>
        </row>
        <row r="4897">
          <cell r="D4897">
            <v>851761</v>
          </cell>
          <cell r="E4897" t="str">
            <v>Base stations</v>
          </cell>
          <cell r="F4897" t="str">
            <v>Parts &amp; Accessories</v>
          </cell>
          <cell r="G4897">
            <v>0</v>
          </cell>
          <cell r="H4897">
            <v>0</v>
          </cell>
          <cell r="I4897" t="str">
            <v>Capital Goods</v>
          </cell>
          <cell r="J4897">
            <v>2</v>
          </cell>
          <cell r="K4897" t="str">
            <v>Capital Goods - rc</v>
          </cell>
        </row>
        <row r="4898">
          <cell r="D4898">
            <v>851762</v>
          </cell>
          <cell r="E4898" t="str">
            <v>Communication apparatus (excluding telephone sets or base stations); machines for the reception, conversion and transmission or regeneration of voice, images or other data, including switching and routing apparatus</v>
          </cell>
          <cell r="F4898" t="str">
            <v>Capital Goods</v>
          </cell>
          <cell r="G4898">
            <v>0</v>
          </cell>
          <cell r="H4898">
            <v>0</v>
          </cell>
          <cell r="I4898" t="str">
            <v>Capital Goods</v>
          </cell>
          <cell r="J4898">
            <v>2</v>
          </cell>
          <cell r="K4898" t="str">
            <v>Capital Goods - rc</v>
          </cell>
        </row>
        <row r="4899">
          <cell r="D4899">
            <v>851769</v>
          </cell>
          <cell r="E4899" t="str">
            <v>Communication apparatus (excluding telephone sets or base stations); machines for the transmission or reception of voice, images or other data (including wired/wireless networks), n.e.c. in item no. 8517.6</v>
          </cell>
          <cell r="F4899" t="str">
            <v>Capital Goods</v>
          </cell>
          <cell r="G4899">
            <v>0</v>
          </cell>
          <cell r="H4899">
            <v>0</v>
          </cell>
          <cell r="I4899" t="str">
            <v>Capital Goods</v>
          </cell>
          <cell r="J4899">
            <v>2</v>
          </cell>
          <cell r="K4899" t="str">
            <v>Capital Goods - rc</v>
          </cell>
        </row>
        <row r="4900">
          <cell r="D4900">
            <v>851770</v>
          </cell>
          <cell r="E4900" t="e">
            <v>#VALUE!</v>
          </cell>
          <cell r="F4900" t="str">
            <v>Parts &amp; Accessories</v>
          </cell>
          <cell r="G4900">
            <v>0</v>
          </cell>
          <cell r="H4900">
            <v>0</v>
          </cell>
          <cell r="I4900">
            <v>0</v>
          </cell>
          <cell r="J4900">
            <v>3</v>
          </cell>
          <cell r="K4900" t="str">
            <v>Parts &amp; Accessories - rc</v>
          </cell>
        </row>
        <row r="4901">
          <cell r="D4901">
            <v>851771</v>
          </cell>
          <cell r="E4901" t="str">
            <v>Communication apparatus; parts, aerials and aerial reflectors of all kinds, part suitable for use therewith</v>
          </cell>
          <cell r="F4901" t="str">
            <v>Parts &amp; Accessories</v>
          </cell>
          <cell r="G4901">
            <v>0</v>
          </cell>
          <cell r="H4901">
            <v>0</v>
          </cell>
          <cell r="I4901" t="str">
            <v>Parts &amp; Accessories</v>
          </cell>
          <cell r="J4901">
            <v>2</v>
          </cell>
          <cell r="K4901" t="str">
            <v>Parts &amp; Accessories - rc</v>
          </cell>
        </row>
        <row r="4902">
          <cell r="D4902">
            <v>851779</v>
          </cell>
          <cell r="E4902" t="str">
            <v>Communication apparatus; parts, other than aerials and aerial reflectors of all kinds</v>
          </cell>
          <cell r="F4902" t="str">
            <v>Parts &amp; Accessories</v>
          </cell>
          <cell r="G4902">
            <v>0</v>
          </cell>
          <cell r="H4902">
            <v>0</v>
          </cell>
          <cell r="I4902" t="str">
            <v>Parts &amp; Accessories</v>
          </cell>
          <cell r="J4902">
            <v>2</v>
          </cell>
          <cell r="K4902" t="str">
            <v>Parts &amp; Accessories - rc</v>
          </cell>
        </row>
        <row r="4903">
          <cell r="D4903">
            <v>851810</v>
          </cell>
          <cell r="E4903" t="str">
            <v>Microphones and stands therefor</v>
          </cell>
          <cell r="F4903" t="str">
            <v>Capital Goods</v>
          </cell>
          <cell r="G4903">
            <v>0</v>
          </cell>
          <cell r="H4903">
            <v>0</v>
          </cell>
          <cell r="I4903" t="str">
            <v>Capital Goods</v>
          </cell>
          <cell r="J4903">
            <v>2</v>
          </cell>
          <cell r="K4903" t="str">
            <v>Capital Goods - rc</v>
          </cell>
        </row>
        <row r="4904">
          <cell r="D4904">
            <v>851821</v>
          </cell>
          <cell r="E4904" t="str">
            <v>Loudspeakers; single, mounted in their enclosures</v>
          </cell>
          <cell r="F4904" t="str">
            <v>Parts &amp; Accessories</v>
          </cell>
          <cell r="G4904">
            <v>0</v>
          </cell>
          <cell r="H4904">
            <v>0</v>
          </cell>
          <cell r="I4904" t="str">
            <v>Capital Goods</v>
          </cell>
          <cell r="J4904">
            <v>2</v>
          </cell>
          <cell r="K4904" t="str">
            <v>Durable</v>
          </cell>
        </row>
        <row r="4905">
          <cell r="D4905">
            <v>851822</v>
          </cell>
          <cell r="E4905" t="str">
            <v>Loudspeakers; multiple, mounted in the same enclosure</v>
          </cell>
          <cell r="F4905" t="str">
            <v>Parts &amp; Accessories</v>
          </cell>
          <cell r="G4905">
            <v>0</v>
          </cell>
          <cell r="H4905">
            <v>0</v>
          </cell>
          <cell r="I4905" t="str">
            <v>Capital Goods</v>
          </cell>
          <cell r="J4905">
            <v>2</v>
          </cell>
          <cell r="K4905" t="str">
            <v>Durable</v>
          </cell>
        </row>
        <row r="4906">
          <cell r="D4906">
            <v>851829</v>
          </cell>
          <cell r="E4906" t="str">
            <v>Loudspeakers; not mounted in their enclosures</v>
          </cell>
          <cell r="F4906" t="str">
            <v>Parts &amp; Accessories</v>
          </cell>
          <cell r="G4906">
            <v>0</v>
          </cell>
          <cell r="H4906">
            <v>0</v>
          </cell>
          <cell r="I4906" t="str">
            <v>Parts &amp; Accessories</v>
          </cell>
          <cell r="J4906">
            <v>2</v>
          </cell>
          <cell r="K4906" t="str">
            <v>Parts &amp; Accessories - rc</v>
          </cell>
        </row>
        <row r="4907">
          <cell r="D4907">
            <v>851830</v>
          </cell>
          <cell r="E4907" t="str">
            <v>Headphones and earphones, whether or not combined with a microphone, and sets consisting of a microphone and one or more loudspeakers</v>
          </cell>
          <cell r="F4907" t="str">
            <v>Parts &amp; Accessories</v>
          </cell>
          <cell r="G4907">
            <v>0</v>
          </cell>
          <cell r="H4907">
            <v>0</v>
          </cell>
          <cell r="I4907" t="str">
            <v>Parts &amp; Accessories</v>
          </cell>
          <cell r="J4907">
            <v>2</v>
          </cell>
          <cell r="K4907" t="str">
            <v>Parts &amp; Accessories - rc</v>
          </cell>
        </row>
        <row r="4908">
          <cell r="D4908">
            <v>851840</v>
          </cell>
          <cell r="E4908" t="str">
            <v>Amplifiers; audio-frequency electric</v>
          </cell>
          <cell r="F4908" t="str">
            <v>Capital Goods</v>
          </cell>
          <cell r="G4908">
            <v>0</v>
          </cell>
          <cell r="H4908">
            <v>0</v>
          </cell>
          <cell r="I4908" t="str">
            <v>Capital Goods</v>
          </cell>
          <cell r="J4908">
            <v>2</v>
          </cell>
          <cell r="K4908" t="str">
            <v>Capital Goods - rc</v>
          </cell>
        </row>
        <row r="4909">
          <cell r="D4909">
            <v>851850</v>
          </cell>
          <cell r="E4909" t="str">
            <v>Amplifier sets; electric sound</v>
          </cell>
          <cell r="F4909">
            <v>0</v>
          </cell>
          <cell r="G4909">
            <v>0</v>
          </cell>
          <cell r="H4909">
            <v>0</v>
          </cell>
          <cell r="I4909" t="str">
            <v>Capital Goods</v>
          </cell>
          <cell r="J4909">
            <v>3</v>
          </cell>
          <cell r="K4909" t="str">
            <v>Capital Goods</v>
          </cell>
        </row>
        <row r="4910">
          <cell r="D4910">
            <v>851890</v>
          </cell>
          <cell r="E4910" t="str">
            <v>Microphones, headphones, earphones, amplifier equipment; parts of the equipment of heading no. 8518</v>
          </cell>
          <cell r="F4910" t="str">
            <v>Capital Goods</v>
          </cell>
          <cell r="G4910">
            <v>0</v>
          </cell>
          <cell r="H4910">
            <v>0</v>
          </cell>
          <cell r="I4910" t="str">
            <v>Parts &amp; Accessories</v>
          </cell>
          <cell r="J4910">
            <v>2</v>
          </cell>
          <cell r="K4910" t="str">
            <v>Parts &amp; Accessories - rc</v>
          </cell>
        </row>
        <row r="4911">
          <cell r="D4911">
            <v>851920</v>
          </cell>
          <cell r="E4911" t="str">
            <v>Sound recording or reproducing apparatus; operated by coins, banknotes, bank cards, tokens or by other means of payment</v>
          </cell>
          <cell r="F4911">
            <v>0</v>
          </cell>
          <cell r="G4911">
            <v>0</v>
          </cell>
          <cell r="H4911">
            <v>0</v>
          </cell>
          <cell r="I4911" t="str">
            <v>Capital Goods</v>
          </cell>
          <cell r="J4911">
            <v>3</v>
          </cell>
          <cell r="K4911" t="str">
            <v>Capital Goods</v>
          </cell>
        </row>
        <row r="4912">
          <cell r="D4912">
            <v>851930</v>
          </cell>
          <cell r="E4912" t="str">
            <v>Sound recording or reproducing apparatus; turntables (record-decks)</v>
          </cell>
          <cell r="F4912" t="str">
            <v>Capital Goods</v>
          </cell>
          <cell r="G4912">
            <v>0</v>
          </cell>
          <cell r="H4912">
            <v>0</v>
          </cell>
          <cell r="I4912" t="str">
            <v>Durable</v>
          </cell>
          <cell r="J4912">
            <v>2</v>
          </cell>
          <cell r="K4912" t="str">
            <v>Durable</v>
          </cell>
        </row>
        <row r="4913">
          <cell r="D4913">
            <v>851981</v>
          </cell>
          <cell r="E4913" t="str">
            <v>Sound recording or reproducing apparatus; using magnetic, optical or semiconductor media, n.e.c. in item no 8519.20, 8519.30 or 8519.50</v>
          </cell>
          <cell r="F4913">
            <v>0</v>
          </cell>
          <cell r="G4913">
            <v>0</v>
          </cell>
          <cell r="H4913">
            <v>0</v>
          </cell>
          <cell r="I4913" t="str">
            <v>Capital Goods</v>
          </cell>
          <cell r="J4913">
            <v>3</v>
          </cell>
          <cell r="K4913" t="str">
            <v>Capital Goods</v>
          </cell>
        </row>
        <row r="4914">
          <cell r="D4914">
            <v>851989</v>
          </cell>
          <cell r="E4914" t="str">
            <v>Sound recording or reproducing apparatus; n.e.c. in heading no 8519</v>
          </cell>
          <cell r="F4914">
            <v>0</v>
          </cell>
          <cell r="G4914">
            <v>0</v>
          </cell>
          <cell r="H4914">
            <v>0</v>
          </cell>
          <cell r="I4914" t="str">
            <v>Capital Goods</v>
          </cell>
          <cell r="J4914">
            <v>3</v>
          </cell>
          <cell r="K4914" t="str">
            <v>Capital Goods</v>
          </cell>
        </row>
        <row r="4915">
          <cell r="D4915">
            <v>852110</v>
          </cell>
          <cell r="E4915" t="str">
            <v>Video recording or reproducing apparatus; magnetic tape-type</v>
          </cell>
          <cell r="F4915">
            <v>0</v>
          </cell>
          <cell r="G4915">
            <v>0</v>
          </cell>
          <cell r="H4915">
            <v>0</v>
          </cell>
          <cell r="I4915" t="str">
            <v>Capital Goods</v>
          </cell>
          <cell r="J4915">
            <v>3</v>
          </cell>
          <cell r="K4915" t="str">
            <v>Capital Goods - rc</v>
          </cell>
        </row>
        <row r="4916">
          <cell r="D4916">
            <v>852190</v>
          </cell>
          <cell r="E4916" t="str">
            <v>Video recording or reproducing apparatus; other than magnetic tape-type</v>
          </cell>
          <cell r="F4916">
            <v>0</v>
          </cell>
          <cell r="G4916">
            <v>0</v>
          </cell>
          <cell r="H4916">
            <v>0</v>
          </cell>
          <cell r="I4916" t="str">
            <v>Capital Goods</v>
          </cell>
          <cell r="J4916">
            <v>3</v>
          </cell>
          <cell r="K4916" t="str">
            <v>Capital Goods - rc</v>
          </cell>
        </row>
        <row r="4917">
          <cell r="D4917">
            <v>846890</v>
          </cell>
          <cell r="E4917" t="str">
            <v>Machinery and apparatus; parts, soldering, brazing or welding, whether or not capable of cutting, parts thereof</v>
          </cell>
          <cell r="F4917" t="str">
            <v>Capital Goods</v>
          </cell>
          <cell r="G4917">
            <v>0</v>
          </cell>
          <cell r="H4917" t="str">
            <v>Capital Goods</v>
          </cell>
          <cell r="I4917" t="str">
            <v>Parts &amp; Accessories</v>
          </cell>
          <cell r="J4917">
            <v>1</v>
          </cell>
          <cell r="K4917" t="str">
            <v>Parts &amp; Accessories</v>
          </cell>
        </row>
        <row r="4918">
          <cell r="D4918">
            <v>852290</v>
          </cell>
          <cell r="E4918" t="str">
            <v>Sound or video recording or reproducing apparatus; parts and accessories thereof, other than pick-up cartridges</v>
          </cell>
          <cell r="F4918" t="str">
            <v>Capital Goods</v>
          </cell>
          <cell r="G4918">
            <v>0</v>
          </cell>
          <cell r="H4918">
            <v>0</v>
          </cell>
          <cell r="I4918" t="str">
            <v>Parts &amp; Accessories</v>
          </cell>
          <cell r="J4918">
            <v>2</v>
          </cell>
          <cell r="K4918" t="str">
            <v>Parts &amp; Accessories - rc</v>
          </cell>
        </row>
        <row r="4919">
          <cell r="D4919">
            <v>852321</v>
          </cell>
          <cell r="E4919" t="str">
            <v>Magnetic media; cards incorporating a magnetic stripe, whether or not recorded, excluding products of Chapter 37</v>
          </cell>
          <cell r="F4919" t="str">
            <v>Capital Goods</v>
          </cell>
          <cell r="G4919">
            <v>0</v>
          </cell>
          <cell r="H4919">
            <v>0</v>
          </cell>
          <cell r="I4919" t="str">
            <v>Parts &amp; Accessories</v>
          </cell>
          <cell r="J4919">
            <v>2</v>
          </cell>
          <cell r="K4919" t="str">
            <v>Capital Goods - rc</v>
          </cell>
        </row>
        <row r="4920">
          <cell r="D4920">
            <v>852329</v>
          </cell>
          <cell r="E4920" t="str">
            <v>Magnetic media; other than cards incorporating a magnetic stripe, whether or not recorded, excluding products of Chapter 37</v>
          </cell>
          <cell r="F4920" t="str">
            <v>Capital Goods</v>
          </cell>
          <cell r="G4920">
            <v>0</v>
          </cell>
          <cell r="H4920">
            <v>0</v>
          </cell>
          <cell r="I4920" t="str">
            <v>Parts &amp; Accessories</v>
          </cell>
          <cell r="J4920">
            <v>2</v>
          </cell>
          <cell r="K4920" t="str">
            <v>Capital Goods - rc</v>
          </cell>
        </row>
        <row r="4921">
          <cell r="D4921">
            <v>852341</v>
          </cell>
          <cell r="E4921" t="str">
            <v>Optical media; unrecorded, excluding products of Chapter 37</v>
          </cell>
          <cell r="F4921">
            <v>0</v>
          </cell>
          <cell r="G4921">
            <v>0</v>
          </cell>
          <cell r="H4921">
            <v>0</v>
          </cell>
          <cell r="I4921" t="str">
            <v>Parts &amp; Accessories</v>
          </cell>
          <cell r="J4921">
            <v>3</v>
          </cell>
          <cell r="K4921" t="str">
            <v>Parts &amp; Accessories - rc</v>
          </cell>
        </row>
        <row r="4922">
          <cell r="D4922">
            <v>852349</v>
          </cell>
          <cell r="E4922" t="str">
            <v>Optical media; recorded, excluding products of Chapter 37</v>
          </cell>
          <cell r="F4922" t="str">
            <v>Capital Goods</v>
          </cell>
          <cell r="G4922">
            <v>0</v>
          </cell>
          <cell r="H4922">
            <v>0</v>
          </cell>
          <cell r="I4922" t="str">
            <v>Parts &amp; Accessories</v>
          </cell>
          <cell r="J4922">
            <v>2</v>
          </cell>
          <cell r="K4922" t="str">
            <v>Capital Goods - rc</v>
          </cell>
        </row>
        <row r="4923">
          <cell r="D4923">
            <v>852351</v>
          </cell>
          <cell r="E4923" t="str">
            <v>Semiconductor media; solid-state non-volatile storage devices, whether or not recorded, excluding products of Chapter 37</v>
          </cell>
          <cell r="F4923" t="str">
            <v>Capital Goods</v>
          </cell>
          <cell r="G4923">
            <v>0</v>
          </cell>
          <cell r="H4923">
            <v>0</v>
          </cell>
          <cell r="I4923" t="str">
            <v>Parts &amp; Accessories</v>
          </cell>
          <cell r="J4923">
            <v>2</v>
          </cell>
          <cell r="K4923" t="str">
            <v>Parts &amp; Accessories - rc</v>
          </cell>
        </row>
        <row r="4924">
          <cell r="D4924">
            <v>852352</v>
          </cell>
          <cell r="E4924" t="str">
            <v>Semiconductor media; smart cards, whether or not recorded, excluding products of Chapter 37</v>
          </cell>
          <cell r="F4924" t="str">
            <v>Others</v>
          </cell>
          <cell r="G4924">
            <v>0</v>
          </cell>
          <cell r="H4924">
            <v>0</v>
          </cell>
          <cell r="I4924" t="str">
            <v>Capital Goods</v>
          </cell>
          <cell r="J4924">
            <v>2</v>
          </cell>
          <cell r="K4924" t="str">
            <v>Capital Goods - rc</v>
          </cell>
        </row>
        <row r="4925">
          <cell r="D4925">
            <v>852359</v>
          </cell>
          <cell r="E4925" t="str">
            <v>Semiconductor media; other than smart cards, whether or not recorded, excluding products of Chapter 37</v>
          </cell>
          <cell r="F4925" t="str">
            <v>Capital Goods</v>
          </cell>
          <cell r="G4925">
            <v>0</v>
          </cell>
          <cell r="H4925">
            <v>0</v>
          </cell>
          <cell r="I4925" t="str">
            <v>Capital Goods</v>
          </cell>
          <cell r="J4925">
            <v>2</v>
          </cell>
          <cell r="K4925" t="str">
            <v>Capital Goods - rc</v>
          </cell>
        </row>
        <row r="4926">
          <cell r="D4926">
            <v>852380</v>
          </cell>
          <cell r="E4926" t="str">
            <v>Media n.e.c. in heading 8523, whether or not recorded, excluding products of Chapter 37</v>
          </cell>
          <cell r="F4926" t="str">
            <v>Capital Goods</v>
          </cell>
          <cell r="G4926">
            <v>0</v>
          </cell>
          <cell r="H4926">
            <v>0</v>
          </cell>
          <cell r="I4926" t="str">
            <v>Parts &amp; Accessories</v>
          </cell>
          <cell r="J4926">
            <v>2</v>
          </cell>
          <cell r="K4926" t="str">
            <v>Parts &amp; Accessories - rc</v>
          </cell>
        </row>
        <row r="4927">
          <cell r="D4927">
            <v>852411</v>
          </cell>
          <cell r="E4927" t="str">
            <v>Flat panel display modules, whether or not incorporating touch-sensitive screens; of liquid crystals, without drivers or control circuits</v>
          </cell>
          <cell r="F4927">
            <v>0</v>
          </cell>
          <cell r="G4927">
            <v>0</v>
          </cell>
          <cell r="H4927">
            <v>0</v>
          </cell>
          <cell r="I4927" t="str">
            <v>Others</v>
          </cell>
          <cell r="J4927">
            <v>3</v>
          </cell>
          <cell r="K4927" t="str">
            <v>Others</v>
          </cell>
        </row>
        <row r="4928">
          <cell r="D4928">
            <v>852412</v>
          </cell>
          <cell r="E4928" t="str">
            <v>Flat panel display modules, whether or not incorporating touch-sensitive screens; of organic light-emitting diodes (OLED), without drivers or control circuits</v>
          </cell>
          <cell r="F4928" t="str">
            <v>Consumables</v>
          </cell>
          <cell r="G4928">
            <v>0</v>
          </cell>
          <cell r="H4928">
            <v>0</v>
          </cell>
          <cell r="I4928" t="str">
            <v>Others</v>
          </cell>
          <cell r="J4928">
            <v>2</v>
          </cell>
          <cell r="K4928" t="str">
            <v>Parts &amp; Accessories - rc</v>
          </cell>
        </row>
        <row r="4929">
          <cell r="D4929">
            <v>852419</v>
          </cell>
          <cell r="E4929" t="str">
            <v>Flat panel display modules, whether or not incorporating touch-sensitive screens; of other than liquid crystals or organic light-emitting diodes (OLED), without drivers or control circuits</v>
          </cell>
          <cell r="F4929">
            <v>0</v>
          </cell>
          <cell r="G4929">
            <v>0</v>
          </cell>
          <cell r="H4929">
            <v>0</v>
          </cell>
          <cell r="I4929" t="str">
            <v>Others</v>
          </cell>
          <cell r="J4929">
            <v>3</v>
          </cell>
          <cell r="K4929" t="str">
            <v>Others</v>
          </cell>
        </row>
        <row r="4930">
          <cell r="D4930">
            <v>852491</v>
          </cell>
          <cell r="E4930" t="str">
            <v>Flat panel display modules, whether or not incorporating touch-sensitive screens; of liquid crystals, with drivers or control circuits</v>
          </cell>
          <cell r="F4930" t="str">
            <v>Consumables</v>
          </cell>
          <cell r="G4930">
            <v>0</v>
          </cell>
          <cell r="H4930">
            <v>0</v>
          </cell>
          <cell r="I4930" t="str">
            <v>Others</v>
          </cell>
          <cell r="J4930">
            <v>2</v>
          </cell>
          <cell r="K4930" t="str">
            <v>Parts &amp; Accessories - rc</v>
          </cell>
        </row>
        <row r="4931">
          <cell r="D4931">
            <v>852492</v>
          </cell>
          <cell r="E4931" t="str">
            <v>Flat panel display modules, whether or not incorporating touch-sensitive screens; of organic light-emitting diodes (OLED), with drivers or control circuits</v>
          </cell>
          <cell r="F4931" t="str">
            <v>Consumables</v>
          </cell>
          <cell r="G4931">
            <v>0</v>
          </cell>
          <cell r="H4931">
            <v>0</v>
          </cell>
          <cell r="I4931" t="str">
            <v>Others</v>
          </cell>
          <cell r="J4931">
            <v>2</v>
          </cell>
          <cell r="K4931" t="str">
            <v>Parts &amp; Accessories - rc</v>
          </cell>
        </row>
        <row r="4932">
          <cell r="D4932">
            <v>852499</v>
          </cell>
          <cell r="E4932" t="str">
            <v>Flat panel display modules, whether or not incorporating touch-sensitive screens; of other than liquid crystals or organic light-emitting diodes (OLED), with drivers or control circuits</v>
          </cell>
          <cell r="F4932" t="str">
            <v>Consumables</v>
          </cell>
          <cell r="G4932">
            <v>0</v>
          </cell>
          <cell r="H4932">
            <v>0</v>
          </cell>
          <cell r="I4932" t="str">
            <v>Others</v>
          </cell>
          <cell r="J4932">
            <v>2</v>
          </cell>
          <cell r="K4932" t="str">
            <v>Parts &amp; Accessories - rc</v>
          </cell>
        </row>
        <row r="4933">
          <cell r="D4933">
            <v>852550</v>
          </cell>
          <cell r="E4933" t="str">
            <v>Transmission apparatus for radio-broadcasting or television, whether or not incorporating sound recording or reproducing apparatus, not incorporating reception apparatus</v>
          </cell>
          <cell r="F4933" t="str">
            <v>Capital Goods</v>
          </cell>
          <cell r="G4933">
            <v>0</v>
          </cell>
          <cell r="H4933">
            <v>0</v>
          </cell>
          <cell r="I4933" t="str">
            <v>Capital Goods</v>
          </cell>
          <cell r="J4933">
            <v>2</v>
          </cell>
          <cell r="K4933" t="str">
            <v>Capital Goods - rc</v>
          </cell>
        </row>
        <row r="4934">
          <cell r="D4934">
            <v>852560</v>
          </cell>
          <cell r="E4934" t="str">
            <v>Transmission apparatus for radio-broadcasting or television, whether or not incorporating sound recording or reproducing apparatus, incorporating reception apparatus</v>
          </cell>
          <cell r="F4934">
            <v>0</v>
          </cell>
          <cell r="G4934">
            <v>0</v>
          </cell>
          <cell r="H4934">
            <v>0</v>
          </cell>
          <cell r="I4934" t="str">
            <v>Capital Goods</v>
          </cell>
          <cell r="J4934">
            <v>3</v>
          </cell>
          <cell r="K4934" t="str">
            <v>Capital Goods - rc</v>
          </cell>
        </row>
        <row r="4935">
          <cell r="D4935">
            <v>852580</v>
          </cell>
          <cell r="E4935" t="e">
            <v>#VALUE!</v>
          </cell>
          <cell r="F4935" t="str">
            <v>Capital Goods</v>
          </cell>
          <cell r="G4935">
            <v>0</v>
          </cell>
          <cell r="H4935">
            <v>0</v>
          </cell>
          <cell r="I4935">
            <v>0</v>
          </cell>
          <cell r="J4935">
            <v>3</v>
          </cell>
          <cell r="K4935" t="str">
            <v>Capital Goods - rc</v>
          </cell>
        </row>
        <row r="4936">
          <cell r="D4936">
            <v>852581</v>
          </cell>
          <cell r="E4936" t="str">
            <v>Television cameras, digital cameras and video camera recorders; high-speed goods as specified in subheading note 1 to this chapter</v>
          </cell>
          <cell r="F4936" t="str">
            <v>Capital Goods</v>
          </cell>
          <cell r="G4936">
            <v>0</v>
          </cell>
          <cell r="H4936">
            <v>0</v>
          </cell>
          <cell r="I4936" t="str">
            <v>Capital Goods</v>
          </cell>
          <cell r="J4936">
            <v>2</v>
          </cell>
          <cell r="K4936" t="str">
            <v>Capital Goods - rc</v>
          </cell>
        </row>
        <row r="4937">
          <cell r="D4937">
            <v>852582</v>
          </cell>
          <cell r="E4937" t="str">
            <v>Television cameras, digital cameras and video camera recorders; radiation-hardened or radiation-tolerant goods as specified in subheading note 2 to this chapter</v>
          </cell>
          <cell r="F4937">
            <v>0</v>
          </cell>
          <cell r="G4937">
            <v>0</v>
          </cell>
          <cell r="H4937">
            <v>0</v>
          </cell>
          <cell r="I4937" t="str">
            <v>Capital Goods</v>
          </cell>
          <cell r="J4937">
            <v>3</v>
          </cell>
          <cell r="K4937" t="str">
            <v>Capital Goods - rc</v>
          </cell>
        </row>
        <row r="4938">
          <cell r="D4938">
            <v>852583</v>
          </cell>
          <cell r="E4938" t="str">
            <v>Television cameras, digital cameras and video camera recorders; night vision goods as specified in subheading note 3 to this chapter</v>
          </cell>
          <cell r="F4938">
            <v>0</v>
          </cell>
          <cell r="G4938">
            <v>0</v>
          </cell>
          <cell r="H4938">
            <v>0</v>
          </cell>
          <cell r="I4938" t="str">
            <v>Capital Goods</v>
          </cell>
          <cell r="J4938">
            <v>3</v>
          </cell>
          <cell r="K4938" t="str">
            <v>Capital Goods - rc</v>
          </cell>
        </row>
        <row r="4939">
          <cell r="D4939">
            <v>852589</v>
          </cell>
          <cell r="E4939" t="str">
            <v>Television cameras; n.e.c. in item no 8525.8</v>
          </cell>
          <cell r="F4939" t="str">
            <v>Capital Goods</v>
          </cell>
          <cell r="G4939">
            <v>0</v>
          </cell>
          <cell r="H4939">
            <v>0</v>
          </cell>
          <cell r="I4939" t="str">
            <v>Capital Goods</v>
          </cell>
          <cell r="J4939">
            <v>2</v>
          </cell>
          <cell r="K4939" t="str">
            <v>Durable</v>
          </cell>
        </row>
        <row r="4940">
          <cell r="D4940">
            <v>852610</v>
          </cell>
          <cell r="E4940" t="str">
            <v>Radar apparatus</v>
          </cell>
          <cell r="F4940">
            <v>0</v>
          </cell>
          <cell r="G4940">
            <v>0</v>
          </cell>
          <cell r="H4940">
            <v>0</v>
          </cell>
          <cell r="I4940" t="str">
            <v>Capital Goods</v>
          </cell>
          <cell r="J4940">
            <v>3</v>
          </cell>
          <cell r="K4940" t="str">
            <v>Capital Goods - rc</v>
          </cell>
        </row>
        <row r="4941">
          <cell r="D4941">
            <v>852691</v>
          </cell>
          <cell r="E4941" t="str">
            <v>Radio navigational aid apparatus</v>
          </cell>
          <cell r="F4941" t="str">
            <v>Capital Goods</v>
          </cell>
          <cell r="G4941">
            <v>0</v>
          </cell>
          <cell r="H4941">
            <v>0</v>
          </cell>
          <cell r="I4941" t="str">
            <v>Capital Goods</v>
          </cell>
          <cell r="J4941">
            <v>2</v>
          </cell>
          <cell r="K4941" t="str">
            <v>Capital Goods - rc</v>
          </cell>
        </row>
        <row r="4942">
          <cell r="D4942">
            <v>852692</v>
          </cell>
          <cell r="E4942" t="str">
            <v>Radio remote control apparatus</v>
          </cell>
          <cell r="F4942" t="str">
            <v>Capital Goods</v>
          </cell>
          <cell r="G4942">
            <v>0</v>
          </cell>
          <cell r="H4942">
            <v>0</v>
          </cell>
          <cell r="I4942" t="str">
            <v>Capital Goods</v>
          </cell>
          <cell r="J4942">
            <v>2</v>
          </cell>
          <cell r="K4942" t="str">
            <v>Capital Goods - rc</v>
          </cell>
        </row>
        <row r="4943">
          <cell r="D4943">
            <v>852712</v>
          </cell>
          <cell r="E4943" t="str">
            <v>Radio broadcast receivers capable of operating without an external power source; pocket-size radio cassette-players</v>
          </cell>
          <cell r="F4943">
            <v>0</v>
          </cell>
          <cell r="G4943">
            <v>0</v>
          </cell>
          <cell r="H4943">
            <v>0</v>
          </cell>
          <cell r="I4943" t="str">
            <v>Durable</v>
          </cell>
          <cell r="J4943">
            <v>3</v>
          </cell>
          <cell r="K4943" t="str">
            <v>Durable</v>
          </cell>
        </row>
        <row r="4944">
          <cell r="D4944">
            <v>852713</v>
          </cell>
          <cell r="E4944" t="str">
            <v>Radio broadcast receivers capable of operating without an external power source; apparatus (other than pocket-size radio cassette-players), combined with sound recording or reproducing apparatus</v>
          </cell>
          <cell r="F4944" t="str">
            <v>Consumables</v>
          </cell>
          <cell r="G4944">
            <v>0</v>
          </cell>
          <cell r="H4944">
            <v>0</v>
          </cell>
          <cell r="I4944" t="str">
            <v>Durable</v>
          </cell>
          <cell r="J4944">
            <v>2</v>
          </cell>
          <cell r="K4944" t="str">
            <v>Durable</v>
          </cell>
        </row>
        <row r="4945">
          <cell r="D4945">
            <v>852719</v>
          </cell>
          <cell r="E4945" t="str">
            <v>Radio broadcast receivers capable of operating without an external power source; n.e.c. in item no. 8527.1</v>
          </cell>
          <cell r="F4945">
            <v>0</v>
          </cell>
          <cell r="G4945">
            <v>0</v>
          </cell>
          <cell r="H4945">
            <v>0</v>
          </cell>
          <cell r="I4945" t="str">
            <v>Durable</v>
          </cell>
          <cell r="J4945">
            <v>3</v>
          </cell>
          <cell r="K4945" t="str">
            <v>Durable</v>
          </cell>
        </row>
        <row r="4946">
          <cell r="D4946">
            <v>852721</v>
          </cell>
          <cell r="E4946" t="str">
            <v>Radio-broadcast receivers not capable of operating without an external source of power, of a kind used in motor vehicles; combined with sound recording or reproducing apparatus</v>
          </cell>
          <cell r="F4946">
            <v>0</v>
          </cell>
          <cell r="G4946">
            <v>0</v>
          </cell>
          <cell r="H4946">
            <v>0</v>
          </cell>
          <cell r="I4946" t="str">
            <v>Parts &amp; Accessories</v>
          </cell>
          <cell r="J4946">
            <v>3</v>
          </cell>
          <cell r="K4946" t="str">
            <v>Parts &amp; Accessories - rc</v>
          </cell>
        </row>
        <row r="4947">
          <cell r="D4947">
            <v>852729</v>
          </cell>
          <cell r="E4947" t="str">
            <v>Radio-broadcast receivers not capable of operating without an external source of power, of a kind used in motor vehicles; not combined with sound recording or reproducing apparatus</v>
          </cell>
          <cell r="F4947">
            <v>0</v>
          </cell>
          <cell r="G4947">
            <v>0</v>
          </cell>
          <cell r="H4947">
            <v>0</v>
          </cell>
          <cell r="I4947" t="str">
            <v>Parts &amp; Accessories</v>
          </cell>
          <cell r="J4947">
            <v>3</v>
          </cell>
          <cell r="K4947" t="str">
            <v>Parts &amp; Accessories - rc</v>
          </cell>
        </row>
        <row r="4948">
          <cell r="D4948">
            <v>852791</v>
          </cell>
          <cell r="E4948" t="str">
            <v>Radio-broadcast receivers n.e.c. in heading no. 8527; combined with sound recording or reproducing apparatus</v>
          </cell>
          <cell r="F4948">
            <v>0</v>
          </cell>
          <cell r="G4948">
            <v>0</v>
          </cell>
          <cell r="H4948">
            <v>0</v>
          </cell>
          <cell r="I4948" t="str">
            <v>Capital Goods</v>
          </cell>
          <cell r="J4948">
            <v>3</v>
          </cell>
          <cell r="K4948" t="str">
            <v>Capital Goods - rc</v>
          </cell>
        </row>
        <row r="4949">
          <cell r="D4949">
            <v>852792</v>
          </cell>
          <cell r="E4949" t="str">
            <v>Radio-broadcast receivers n.e.c. in heading no. 8527; not combined with sound recording or reproducing apparatus but combined with a clock</v>
          </cell>
          <cell r="F4949">
            <v>0</v>
          </cell>
          <cell r="G4949">
            <v>0</v>
          </cell>
          <cell r="H4949">
            <v>0</v>
          </cell>
          <cell r="I4949" t="str">
            <v>Capital Goods</v>
          </cell>
          <cell r="J4949">
            <v>3</v>
          </cell>
          <cell r="K4949" t="str">
            <v>Capital Goods - rc</v>
          </cell>
        </row>
        <row r="4950">
          <cell r="D4950">
            <v>852799</v>
          </cell>
          <cell r="E4950" t="str">
            <v>Radio-broadcast receivers n.e.c. in heading no. 8527; not combined with sound recording or reproducing apparatus and not combined with a clock</v>
          </cell>
          <cell r="F4950">
            <v>0</v>
          </cell>
          <cell r="G4950">
            <v>0</v>
          </cell>
          <cell r="H4950">
            <v>0</v>
          </cell>
          <cell r="I4950" t="str">
            <v>Capital Goods</v>
          </cell>
          <cell r="J4950">
            <v>3</v>
          </cell>
          <cell r="K4950" t="str">
            <v>Capital Goods - rc</v>
          </cell>
        </row>
        <row r="4951">
          <cell r="D4951">
            <v>852842</v>
          </cell>
          <cell r="E4951" t="str">
            <v>Monitors; cathode-ray tube, capable of directly connecting to and designed for use with an automatic data processing machine of heading 84.71</v>
          </cell>
          <cell r="F4951">
            <v>0</v>
          </cell>
          <cell r="G4951">
            <v>0</v>
          </cell>
          <cell r="H4951">
            <v>0</v>
          </cell>
          <cell r="I4951" t="str">
            <v>Capital Goods</v>
          </cell>
          <cell r="J4951">
            <v>3</v>
          </cell>
          <cell r="K4951" t="str">
            <v>Capital Goods - rc</v>
          </cell>
        </row>
        <row r="4952">
          <cell r="D4952">
            <v>852849</v>
          </cell>
          <cell r="E4952" t="str">
            <v>Monitors; cathode-ray tube, n.e.c. in subheading 8528.42, whether or not colour</v>
          </cell>
          <cell r="F4952" t="str">
            <v>Capital Goods</v>
          </cell>
          <cell r="G4952">
            <v>0</v>
          </cell>
          <cell r="H4952">
            <v>0</v>
          </cell>
          <cell r="I4952" t="str">
            <v>Capital Goods</v>
          </cell>
          <cell r="J4952">
            <v>2</v>
          </cell>
          <cell r="K4952" t="str">
            <v>Capital Goods - rc</v>
          </cell>
        </row>
        <row r="4953">
          <cell r="D4953">
            <v>852852</v>
          </cell>
          <cell r="E4953" t="str">
            <v>Monitors; other than cathode-ray tube; capable of directly connecting to and designed for use with an automatic data processing machine of heading 84.71</v>
          </cell>
          <cell r="F4953" t="str">
            <v>Capital Goods</v>
          </cell>
          <cell r="G4953">
            <v>0</v>
          </cell>
          <cell r="H4953">
            <v>0</v>
          </cell>
          <cell r="I4953" t="str">
            <v>Capital Goods</v>
          </cell>
          <cell r="J4953">
            <v>2</v>
          </cell>
          <cell r="K4953" t="str">
            <v>Durable</v>
          </cell>
        </row>
        <row r="4954">
          <cell r="D4954">
            <v>852859</v>
          </cell>
          <cell r="E4954" t="str">
            <v>Monitors other than cathode-ray tube; n.e.c. in subheading 8528.52, whether or not colour</v>
          </cell>
          <cell r="F4954" t="str">
            <v>Capital Goods</v>
          </cell>
          <cell r="G4954">
            <v>0</v>
          </cell>
          <cell r="H4954">
            <v>0</v>
          </cell>
          <cell r="I4954" t="str">
            <v>Capital Goods</v>
          </cell>
          <cell r="J4954">
            <v>2</v>
          </cell>
          <cell r="K4954" t="str">
            <v>Durable</v>
          </cell>
        </row>
        <row r="4955">
          <cell r="D4955">
            <v>852862</v>
          </cell>
          <cell r="E4955" t="str">
            <v>Projectors; capable of directly connecting to and designed for use with an automatic data processing machine of heading 84.71</v>
          </cell>
          <cell r="F4955">
            <v>0</v>
          </cell>
          <cell r="G4955">
            <v>0</v>
          </cell>
          <cell r="H4955">
            <v>0</v>
          </cell>
          <cell r="I4955" t="str">
            <v>Capital Goods</v>
          </cell>
          <cell r="J4955">
            <v>3</v>
          </cell>
          <cell r="K4955" t="str">
            <v>Capital Goods - rc</v>
          </cell>
        </row>
        <row r="4956">
          <cell r="D4956">
            <v>852869</v>
          </cell>
          <cell r="E4956" t="str">
            <v>Projectors; n.e.c. in subheading 8528.62, whether or not colour</v>
          </cell>
          <cell r="F4956" t="str">
            <v>Capital Goods</v>
          </cell>
          <cell r="G4956">
            <v>0</v>
          </cell>
          <cell r="H4956">
            <v>0</v>
          </cell>
          <cell r="I4956" t="str">
            <v>Durable</v>
          </cell>
          <cell r="J4956">
            <v>2</v>
          </cell>
          <cell r="K4956" t="str">
            <v>Durable</v>
          </cell>
        </row>
        <row r="4957">
          <cell r="D4957">
            <v>852871</v>
          </cell>
          <cell r="E4957" t="str">
            <v>Reception apparatus for television, whether or not incorporating radio-broadcast receivers or sound or video recording or reproducing apparatus; not designed to incorporate a video display or screen</v>
          </cell>
          <cell r="F4957" t="str">
            <v>Capital Goods</v>
          </cell>
          <cell r="G4957">
            <v>0</v>
          </cell>
          <cell r="H4957">
            <v>0</v>
          </cell>
          <cell r="I4957" t="str">
            <v>Capital Goods</v>
          </cell>
          <cell r="J4957">
            <v>2</v>
          </cell>
          <cell r="K4957" t="str">
            <v>Capital Goods - rc</v>
          </cell>
        </row>
        <row r="4958">
          <cell r="D4958">
            <v>852872</v>
          </cell>
          <cell r="E4958" t="str">
            <v>Reception apparatus for television, whether or not incorporating radio-broadcast receivers or sound or video recording or reproducing apparatus; incorporating a colour video display or screen</v>
          </cell>
          <cell r="F4958" t="str">
            <v>Capital Goods</v>
          </cell>
          <cell r="G4958">
            <v>0</v>
          </cell>
          <cell r="H4958">
            <v>0</v>
          </cell>
          <cell r="I4958" t="str">
            <v>Durable</v>
          </cell>
          <cell r="J4958">
            <v>2</v>
          </cell>
          <cell r="K4958" t="str">
            <v>Durable</v>
          </cell>
        </row>
        <row r="4959">
          <cell r="D4959">
            <v>852873</v>
          </cell>
          <cell r="E4959" t="str">
            <v>Reception apparatus for television, whether or not incorporating radio-broadcast receivers or sound or video recording or reproducing apparatus; incorporating a monochrome video display or screen</v>
          </cell>
          <cell r="F4959" t="str">
            <v>Capital Goods</v>
          </cell>
          <cell r="G4959">
            <v>0</v>
          </cell>
          <cell r="H4959">
            <v>0</v>
          </cell>
          <cell r="I4959" t="str">
            <v>Capital Goods</v>
          </cell>
          <cell r="J4959">
            <v>2</v>
          </cell>
          <cell r="K4959" t="str">
            <v>Capital Goods - rc</v>
          </cell>
        </row>
        <row r="4960">
          <cell r="D4960">
            <v>852910</v>
          </cell>
          <cell r="E4960" t="str">
            <v>Reception and transmission apparatus; aerials and aerial reflectors of all kinds and parts suitable for use therewith</v>
          </cell>
          <cell r="F4960" t="str">
            <v>Parts &amp; Accessories</v>
          </cell>
          <cell r="G4960">
            <v>0</v>
          </cell>
          <cell r="H4960">
            <v>0</v>
          </cell>
          <cell r="I4960" t="str">
            <v>Parts &amp; Accessories</v>
          </cell>
          <cell r="J4960">
            <v>2</v>
          </cell>
          <cell r="K4960" t="str">
            <v>Parts &amp; Accessories - rc</v>
          </cell>
        </row>
        <row r="4961">
          <cell r="D4961">
            <v>852990</v>
          </cell>
          <cell r="E4961" t="str">
            <v>Reception and transmission apparatus; for use with the apparatus of heading no. 8524 to 8528, excluding aerials and aerial reflectors</v>
          </cell>
          <cell r="F4961" t="str">
            <v>Capital Goods</v>
          </cell>
          <cell r="G4961">
            <v>0</v>
          </cell>
          <cell r="H4961">
            <v>0</v>
          </cell>
          <cell r="I4961" t="str">
            <v>Others</v>
          </cell>
          <cell r="J4961">
            <v>2</v>
          </cell>
          <cell r="K4961" t="str">
            <v>Consumables - rc</v>
          </cell>
        </row>
        <row r="4962">
          <cell r="D4962">
            <v>853010</v>
          </cell>
          <cell r="E4962" t="str">
            <v>Signalling, safety or traffic control equipment; for railways or tramways (excluding those of heading no. 8608)</v>
          </cell>
          <cell r="F4962">
            <v>0</v>
          </cell>
          <cell r="G4962">
            <v>0</v>
          </cell>
          <cell r="H4962" t="str">
            <v>Capital Goods</v>
          </cell>
          <cell r="I4962" t="str">
            <v>Capital Goods</v>
          </cell>
          <cell r="J4962">
            <v>2</v>
          </cell>
          <cell r="K4962" t="str">
            <v>Capital Goods</v>
          </cell>
        </row>
        <row r="4963">
          <cell r="D4963">
            <v>853020</v>
          </cell>
          <cell r="E4963" t="str">
            <v>Equipment for roads, parking facilities, port installations or airfields</v>
          </cell>
          <cell r="F4963">
            <v>0</v>
          </cell>
          <cell r="G4963">
            <v>0</v>
          </cell>
          <cell r="H4963" t="str">
            <v>Capital Goods</v>
          </cell>
          <cell r="I4963">
            <v>0</v>
          </cell>
          <cell r="J4963">
            <v>3</v>
          </cell>
          <cell r="K4963" t="str">
            <v>Capital Goods - No data</v>
          </cell>
        </row>
        <row r="4964">
          <cell r="D4964">
            <v>853080</v>
          </cell>
          <cell r="E4964" t="str">
            <v>Signalling, safety or traffic control equipment; for roads, inland waterways, parking facilities, port installations or airfields (excluding those of heading no. 8608)</v>
          </cell>
          <cell r="F4964">
            <v>0</v>
          </cell>
          <cell r="G4964">
            <v>0</v>
          </cell>
          <cell r="H4964">
            <v>0</v>
          </cell>
          <cell r="I4964" t="str">
            <v>Capital Goods</v>
          </cell>
          <cell r="J4964">
            <v>3</v>
          </cell>
          <cell r="K4964" t="str">
            <v>Capital Goods</v>
          </cell>
        </row>
        <row r="4965">
          <cell r="D4965">
            <v>853090</v>
          </cell>
          <cell r="E4965" t="str">
            <v>Signalling apparatus; parts of safety, traffic control equipment for railways, tramways, roads, inland waterways, airfields, parking facilities, port instalments (excluding those of heading no. 8608)</v>
          </cell>
          <cell r="F4965">
            <v>0</v>
          </cell>
          <cell r="G4965">
            <v>0</v>
          </cell>
          <cell r="H4965" t="str">
            <v>Parts &amp; Accessories</v>
          </cell>
          <cell r="I4965" t="str">
            <v>Parts &amp; Accessories</v>
          </cell>
          <cell r="J4965">
            <v>2</v>
          </cell>
          <cell r="K4965" t="str">
            <v>Parts &amp; Accessories - rc</v>
          </cell>
        </row>
        <row r="4966">
          <cell r="D4966">
            <v>731519</v>
          </cell>
          <cell r="E4966" t="str">
            <v>Chain; articulated link parts, of iron or steel</v>
          </cell>
          <cell r="F4966" t="str">
            <v>Capital Goods</v>
          </cell>
          <cell r="G4966">
            <v>0</v>
          </cell>
          <cell r="H4966">
            <v>0</v>
          </cell>
          <cell r="I4966" t="str">
            <v>Others</v>
          </cell>
          <cell r="J4966">
            <v>2</v>
          </cell>
          <cell r="K4966" t="str">
            <v>Parts &amp; Accessories</v>
          </cell>
        </row>
        <row r="4967">
          <cell r="D4967">
            <v>401140</v>
          </cell>
          <cell r="E4967" t="str">
            <v>Rubber; new pneumatic tyres, of a kind used on motorcycles</v>
          </cell>
          <cell r="F4967">
            <v>0</v>
          </cell>
          <cell r="G4967">
            <v>0</v>
          </cell>
          <cell r="H4967">
            <v>0</v>
          </cell>
          <cell r="I4967" t="str">
            <v>Parts &amp; Accessories</v>
          </cell>
          <cell r="J4967">
            <v>3</v>
          </cell>
          <cell r="K4967" t="str">
            <v>Parts &amp; Accessories</v>
          </cell>
        </row>
        <row r="4968">
          <cell r="D4968">
            <v>853339</v>
          </cell>
          <cell r="E4968" t="str">
            <v>Electrical resistors; wirewound variable, including rheostats and potentiometers, for a power handling capacity exceeding 20W (excluding heating)</v>
          </cell>
          <cell r="F4968" t="str">
            <v>Parts &amp; Accessories</v>
          </cell>
          <cell r="G4968">
            <v>0</v>
          </cell>
          <cell r="H4968">
            <v>0</v>
          </cell>
          <cell r="I4968" t="str">
            <v>Parts &amp; Accessories</v>
          </cell>
          <cell r="J4968">
            <v>2</v>
          </cell>
          <cell r="K4968" t="str">
            <v>Parts &amp; Accessories</v>
          </cell>
        </row>
        <row r="4969">
          <cell r="D4969">
            <v>853230</v>
          </cell>
          <cell r="E4969" t="str">
            <v>Electrical capacitors; variable or adjustable (pre-set) capacitors</v>
          </cell>
          <cell r="F4969">
            <v>0</v>
          </cell>
          <cell r="G4969">
            <v>0</v>
          </cell>
          <cell r="H4969">
            <v>0</v>
          </cell>
          <cell r="I4969" t="str">
            <v>Parts &amp; Accessories</v>
          </cell>
          <cell r="J4969">
            <v>3</v>
          </cell>
          <cell r="K4969" t="str">
            <v>Parts &amp; Accessories</v>
          </cell>
        </row>
        <row r="4970">
          <cell r="D4970">
            <v>842099</v>
          </cell>
          <cell r="E4970" t="str">
            <v>Machines; parts, (other than cylinders), for calendering or other rolling machines, for other than metal or glass</v>
          </cell>
          <cell r="F4970" t="str">
            <v>Parts &amp; Accessories</v>
          </cell>
          <cell r="G4970">
            <v>0</v>
          </cell>
          <cell r="H4970" t="str">
            <v>Parts &amp; Accessories</v>
          </cell>
          <cell r="I4970" t="str">
            <v>Parts &amp; Accessories</v>
          </cell>
          <cell r="J4970">
            <v>1</v>
          </cell>
          <cell r="K4970" t="str">
            <v>Parts &amp; Accessories</v>
          </cell>
        </row>
        <row r="4971">
          <cell r="D4971">
            <v>901390</v>
          </cell>
          <cell r="E4971" t="str">
            <v>Optical appliances and instruments; parts and accessories for articles of heading no. 9013</v>
          </cell>
          <cell r="F4971" t="str">
            <v>Parts &amp; Accessories</v>
          </cell>
          <cell r="G4971">
            <v>0</v>
          </cell>
          <cell r="H4971">
            <v>0</v>
          </cell>
          <cell r="I4971" t="str">
            <v>Parts &amp; Accessories</v>
          </cell>
          <cell r="J4971">
            <v>2</v>
          </cell>
          <cell r="K4971" t="str">
            <v>Parts &amp; Accessories</v>
          </cell>
        </row>
        <row r="4972">
          <cell r="D4972">
            <v>844842</v>
          </cell>
          <cell r="E4972" t="str">
            <v>Weaving machines (looms); parts including their auxiliary machinery, and accessories thereof, reeds for looms, healds and heald-frames</v>
          </cell>
          <cell r="F4972">
            <v>0</v>
          </cell>
          <cell r="G4972">
            <v>0</v>
          </cell>
          <cell r="H4972">
            <v>0</v>
          </cell>
          <cell r="I4972" t="str">
            <v>Parts &amp; Accessories</v>
          </cell>
          <cell r="J4972">
            <v>3</v>
          </cell>
          <cell r="K4972" t="str">
            <v>Parts &amp; Accessories</v>
          </cell>
        </row>
        <row r="4973">
          <cell r="D4973">
            <v>391731</v>
          </cell>
          <cell r="E4973" t="str">
            <v>Plastics; tubes, pipes and hoses thereof, flexible, having a minimum burst pressure of 27.6MPa</v>
          </cell>
          <cell r="F4973" t="str">
            <v>Capital Goods</v>
          </cell>
          <cell r="G4973">
            <v>0</v>
          </cell>
          <cell r="H4973">
            <v>0</v>
          </cell>
          <cell r="I4973" t="str">
            <v>Others</v>
          </cell>
          <cell r="J4973">
            <v>2</v>
          </cell>
          <cell r="K4973" t="str">
            <v>Parts &amp; Accessories</v>
          </cell>
        </row>
        <row r="4974">
          <cell r="D4974">
            <v>845230</v>
          </cell>
          <cell r="E4974" t="str">
            <v>Sewing machine needles</v>
          </cell>
          <cell r="F4974">
            <v>0</v>
          </cell>
          <cell r="G4974">
            <v>0</v>
          </cell>
          <cell r="H4974" t="str">
            <v>Consumables</v>
          </cell>
          <cell r="I4974" t="str">
            <v>Parts &amp; Accessories</v>
          </cell>
          <cell r="J4974">
            <v>2</v>
          </cell>
          <cell r="K4974" t="str">
            <v>Parts &amp; Accessories</v>
          </cell>
        </row>
        <row r="4975">
          <cell r="D4975">
            <v>844811</v>
          </cell>
          <cell r="E4975" t="str">
            <v>Machinery, auxiliary; dobbies and jacquards, card reducing, copying, punching or assembling machines for use therewith</v>
          </cell>
          <cell r="F4975" t="str">
            <v>Parts &amp; Accessories</v>
          </cell>
          <cell r="G4975">
            <v>0</v>
          </cell>
          <cell r="H4975">
            <v>0</v>
          </cell>
          <cell r="I4975" t="str">
            <v>Parts &amp; Accessories</v>
          </cell>
          <cell r="J4975">
            <v>2</v>
          </cell>
          <cell r="K4975" t="str">
            <v>Parts &amp; Accessories</v>
          </cell>
        </row>
        <row r="4976">
          <cell r="D4976">
            <v>853221</v>
          </cell>
          <cell r="E4976" t="str">
            <v>Electrical capacitors; fixed, tantalum</v>
          </cell>
          <cell r="F4976" t="str">
            <v>Capital Goods</v>
          </cell>
          <cell r="G4976">
            <v>0</v>
          </cell>
          <cell r="H4976">
            <v>0</v>
          </cell>
          <cell r="I4976" t="str">
            <v>Capital Goods</v>
          </cell>
          <cell r="J4976">
            <v>2</v>
          </cell>
          <cell r="K4976" t="str">
            <v>Parts &amp; Accessories</v>
          </cell>
        </row>
        <row r="4977">
          <cell r="D4977">
            <v>731589</v>
          </cell>
          <cell r="E4977" t="str">
            <v>Chain; n.e.c. in heading no. 7315, of iron or steel</v>
          </cell>
          <cell r="F4977" t="str">
            <v>Capital Goods</v>
          </cell>
          <cell r="G4977">
            <v>0</v>
          </cell>
          <cell r="H4977">
            <v>0</v>
          </cell>
          <cell r="I4977" t="str">
            <v>Others</v>
          </cell>
          <cell r="J4977">
            <v>2</v>
          </cell>
          <cell r="K4977" t="str">
            <v>Parts &amp; Accessories</v>
          </cell>
        </row>
        <row r="4978">
          <cell r="D4978">
            <v>854800</v>
          </cell>
          <cell r="E4978" t="str">
            <v>Electrical parts of machinery or apparatus; not specified or elsewhere included in this chapter</v>
          </cell>
          <cell r="F4978" t="str">
            <v>Parts &amp; Accessories</v>
          </cell>
          <cell r="G4978">
            <v>0</v>
          </cell>
          <cell r="H4978">
            <v>0</v>
          </cell>
          <cell r="I4978" t="str">
            <v>Parts &amp; Accessories</v>
          </cell>
          <cell r="J4978">
            <v>2</v>
          </cell>
          <cell r="K4978" t="str">
            <v>Parts &amp; Accessories</v>
          </cell>
        </row>
        <row r="4979">
          <cell r="D4979">
            <v>843141</v>
          </cell>
          <cell r="E4979" t="str">
            <v>Machinery parts; buckets, shovels, grabs and grips, for the machinery of heading no. 8426 and 8430</v>
          </cell>
          <cell r="F4979">
            <v>0</v>
          </cell>
          <cell r="G4979">
            <v>0</v>
          </cell>
          <cell r="H4979" t="str">
            <v>Parts &amp; Accessories</v>
          </cell>
          <cell r="I4979" t="str">
            <v>Parts &amp; Accessories</v>
          </cell>
          <cell r="J4979">
            <v>2</v>
          </cell>
          <cell r="K4979" t="str">
            <v>Parts &amp; Accessories</v>
          </cell>
        </row>
        <row r="4980">
          <cell r="D4980">
            <v>853521</v>
          </cell>
          <cell r="E4980" t="str">
            <v>Electrical apparatus; automatic circuit breakers, for a voltage exceeding 1000 volts but less than 72.5kV</v>
          </cell>
          <cell r="F4980" t="str">
            <v>Capital Goods</v>
          </cell>
          <cell r="G4980">
            <v>0</v>
          </cell>
          <cell r="H4980" t="str">
            <v>Parts &amp; Accessories</v>
          </cell>
          <cell r="I4980" t="str">
            <v>Parts &amp; Accessories</v>
          </cell>
          <cell r="J4980">
            <v>1</v>
          </cell>
          <cell r="K4980" t="str">
            <v>Parts &amp; Accessories</v>
          </cell>
        </row>
        <row r="4981">
          <cell r="D4981">
            <v>854620</v>
          </cell>
          <cell r="E4981" t="str">
            <v>Electrical insulators; of ceramics</v>
          </cell>
          <cell r="F4981">
            <v>0</v>
          </cell>
          <cell r="G4981">
            <v>0</v>
          </cell>
          <cell r="H4981">
            <v>0</v>
          </cell>
          <cell r="I4981" t="str">
            <v>Parts &amp; Accessories</v>
          </cell>
          <cell r="J4981">
            <v>3</v>
          </cell>
          <cell r="K4981" t="str">
            <v>Parts &amp; Accessories</v>
          </cell>
        </row>
        <row r="4982">
          <cell r="D4982">
            <v>853390</v>
          </cell>
          <cell r="E4982" t="str">
            <v>Resistors; parts of the resistors of heading no. 8533</v>
          </cell>
          <cell r="F4982" t="str">
            <v>Parts &amp; Accessories</v>
          </cell>
          <cell r="G4982">
            <v>0</v>
          </cell>
          <cell r="H4982">
            <v>0</v>
          </cell>
          <cell r="I4982" t="str">
            <v>Parts &amp; Accessories</v>
          </cell>
          <cell r="J4982">
            <v>2</v>
          </cell>
          <cell r="K4982" t="str">
            <v>Parts &amp; Accessories</v>
          </cell>
        </row>
        <row r="4983">
          <cell r="D4983">
            <v>840490</v>
          </cell>
          <cell r="E4983" t="str">
            <v>Boilers; parts of auxiliary plant, for use with boilers of heading no. 8402 and 8403 and parts of condensers for steam or other vapour power units</v>
          </cell>
          <cell r="F4983">
            <v>0</v>
          </cell>
          <cell r="G4983">
            <v>0</v>
          </cell>
          <cell r="H4983">
            <v>0</v>
          </cell>
          <cell r="I4983" t="str">
            <v>Parts &amp; Accessories</v>
          </cell>
          <cell r="J4983">
            <v>3</v>
          </cell>
          <cell r="K4983" t="str">
            <v>Parts &amp; Accessories</v>
          </cell>
        </row>
        <row r="4984">
          <cell r="D4984">
            <v>391723</v>
          </cell>
          <cell r="E4984" t="str">
            <v>Plastics; tubes, pipes and hoses thereof, rigid, of polymers of vinyl chloride</v>
          </cell>
          <cell r="F4984" t="str">
            <v>Capital Goods</v>
          </cell>
          <cell r="G4984">
            <v>0</v>
          </cell>
          <cell r="H4984">
            <v>0</v>
          </cell>
          <cell r="I4984" t="str">
            <v>Others</v>
          </cell>
          <cell r="J4984">
            <v>2</v>
          </cell>
          <cell r="K4984" t="str">
            <v>Parts &amp; Accessories</v>
          </cell>
        </row>
        <row r="4985">
          <cell r="D4985">
            <v>854710</v>
          </cell>
          <cell r="E4985" t="str">
            <v>Insulating fittings; of ceramics, for electrical machines, of insulating material only (except minor assembly parts), excluding those of heading no. 8546</v>
          </cell>
          <cell r="F4985" t="str">
            <v>Parts &amp; Accessories</v>
          </cell>
          <cell r="G4985">
            <v>0</v>
          </cell>
          <cell r="H4985">
            <v>0</v>
          </cell>
          <cell r="I4985" t="str">
            <v>Parts &amp; Accessories</v>
          </cell>
          <cell r="J4985">
            <v>2</v>
          </cell>
          <cell r="K4985" t="str">
            <v>Parts &amp; Accessories</v>
          </cell>
        </row>
        <row r="4986">
          <cell r="D4986">
            <v>853400</v>
          </cell>
          <cell r="E4986" t="str">
            <v>Circuits; printed</v>
          </cell>
          <cell r="F4986" t="str">
            <v>Parts &amp; Accessories</v>
          </cell>
          <cell r="G4986">
            <v>0</v>
          </cell>
          <cell r="H4986">
            <v>0</v>
          </cell>
          <cell r="I4986" t="str">
            <v>Parts &amp; Accessories</v>
          </cell>
          <cell r="J4986">
            <v>2</v>
          </cell>
          <cell r="K4986" t="str">
            <v>Parts &amp; Accessories - rc</v>
          </cell>
        </row>
        <row r="4987">
          <cell r="D4987">
            <v>850750</v>
          </cell>
          <cell r="E4987" t="str">
            <v>Electric accumulators; nickel-metal hydride, including separators, whether or not rectangular (including square)</v>
          </cell>
          <cell r="F4987">
            <v>0</v>
          </cell>
          <cell r="G4987">
            <v>0</v>
          </cell>
          <cell r="H4987">
            <v>0</v>
          </cell>
          <cell r="I4987" t="str">
            <v>Parts &amp; Accessories</v>
          </cell>
          <cell r="J4987">
            <v>3</v>
          </cell>
          <cell r="K4987" t="str">
            <v>Parts &amp; Accessories</v>
          </cell>
        </row>
        <row r="4988">
          <cell r="D4988">
            <v>848050</v>
          </cell>
          <cell r="E4988" t="str">
            <v>Moulds; for glass</v>
          </cell>
          <cell r="F4988">
            <v>0</v>
          </cell>
          <cell r="G4988">
            <v>0</v>
          </cell>
          <cell r="H4988" t="str">
            <v>Capital Goods</v>
          </cell>
          <cell r="I4988" t="str">
            <v>Capital Goods</v>
          </cell>
          <cell r="J4988">
            <v>2</v>
          </cell>
          <cell r="K4988" t="str">
            <v>Parts &amp; Accessories</v>
          </cell>
        </row>
        <row r="4989">
          <cell r="D4989">
            <v>853529</v>
          </cell>
          <cell r="E4989" t="str">
            <v>Electrical apparatus; automatic circuit breakers, for a voltage of 72.5kV or more</v>
          </cell>
          <cell r="F4989">
            <v>0</v>
          </cell>
          <cell r="G4989">
            <v>0</v>
          </cell>
          <cell r="H4989" t="str">
            <v>Capital Goods</v>
          </cell>
          <cell r="I4989" t="str">
            <v>Capital Goods</v>
          </cell>
          <cell r="J4989">
            <v>2</v>
          </cell>
          <cell r="K4989" t="str">
            <v>Capital Goods</v>
          </cell>
        </row>
        <row r="4990">
          <cell r="D4990">
            <v>853530</v>
          </cell>
          <cell r="E4990" t="str">
            <v>Electrical apparatus; isolating and make-and-break switches, for a voltage exceeding 1000 volts</v>
          </cell>
          <cell r="F4990" t="str">
            <v>Capital Goods</v>
          </cell>
          <cell r="G4990">
            <v>0</v>
          </cell>
          <cell r="H4990" t="str">
            <v>Capital Goods</v>
          </cell>
          <cell r="I4990" t="str">
            <v>Capital Goods</v>
          </cell>
          <cell r="J4990">
            <v>1</v>
          </cell>
          <cell r="K4990" t="str">
            <v>Capital Goods</v>
          </cell>
        </row>
        <row r="4991">
          <cell r="D4991">
            <v>853540</v>
          </cell>
          <cell r="E4991" t="str">
            <v>Electrical apparatus; lightning arresters, voltage limiters and surge suppressors (for a voltage exceeding 1000 volts)</v>
          </cell>
          <cell r="F4991" t="str">
            <v>Capital Goods</v>
          </cell>
          <cell r="G4991">
            <v>0</v>
          </cell>
          <cell r="H4991" t="str">
            <v>Capital Goods</v>
          </cell>
          <cell r="I4991" t="str">
            <v>Capital Goods</v>
          </cell>
          <cell r="J4991">
            <v>1</v>
          </cell>
          <cell r="K4991" t="str">
            <v>Capital Goods</v>
          </cell>
        </row>
        <row r="4992">
          <cell r="D4992">
            <v>853590</v>
          </cell>
          <cell r="E4992" t="str">
            <v>Electrical apparatus; n.e.c. in heading no. 8535, for switching or protecting electrical circuits, for a voltage exceeding 1000 volts</v>
          </cell>
          <cell r="F4992" t="str">
            <v>Capital Goods</v>
          </cell>
          <cell r="G4992">
            <v>0</v>
          </cell>
          <cell r="H4992" t="str">
            <v>Capital Goods</v>
          </cell>
          <cell r="I4992" t="str">
            <v>Capital Goods</v>
          </cell>
          <cell r="J4992">
            <v>1</v>
          </cell>
          <cell r="K4992" t="str">
            <v>Capital Goods</v>
          </cell>
        </row>
        <row r="4993">
          <cell r="D4993">
            <v>401213</v>
          </cell>
          <cell r="E4993" t="str">
            <v>Retreaded tyres; of a kind used on aircraft</v>
          </cell>
          <cell r="F4993">
            <v>0</v>
          </cell>
          <cell r="G4993">
            <v>0</v>
          </cell>
          <cell r="H4993">
            <v>0</v>
          </cell>
          <cell r="I4993" t="str">
            <v>Parts &amp; Accessories</v>
          </cell>
          <cell r="J4993">
            <v>3</v>
          </cell>
          <cell r="K4993" t="str">
            <v>Parts &amp; Accessories</v>
          </cell>
        </row>
        <row r="4994">
          <cell r="D4994">
            <v>401032</v>
          </cell>
          <cell r="E4994" t="str">
            <v>Rubber; vulcanised, endless transmission belts of trapezoidal cross-section (V-belts), other than V-ribbed, of an outside circumference exceeding 60cm but not exceeding 180 cm</v>
          </cell>
          <cell r="F4994">
            <v>0</v>
          </cell>
          <cell r="G4994">
            <v>0</v>
          </cell>
          <cell r="H4994">
            <v>0</v>
          </cell>
          <cell r="I4994" t="str">
            <v>Parts &amp; Accessories</v>
          </cell>
          <cell r="J4994">
            <v>3</v>
          </cell>
          <cell r="K4994" t="str">
            <v>Parts &amp; Accessories</v>
          </cell>
        </row>
        <row r="4995">
          <cell r="D4995">
            <v>853630</v>
          </cell>
          <cell r="E4995" t="str">
            <v>Electrical apparatus; for protecting electrical circuits, n.e.c. in heading no. 8536, for a voltage not exceeding 1000 volts</v>
          </cell>
          <cell r="F4995" t="str">
            <v>Capital Goods</v>
          </cell>
          <cell r="G4995">
            <v>0</v>
          </cell>
          <cell r="H4995" t="str">
            <v>Capital Goods</v>
          </cell>
          <cell r="I4995" t="str">
            <v>Capital Goods</v>
          </cell>
          <cell r="J4995">
            <v>1</v>
          </cell>
          <cell r="K4995" t="str">
            <v>Capital Goods</v>
          </cell>
        </row>
        <row r="4996">
          <cell r="D4996">
            <v>731590</v>
          </cell>
          <cell r="E4996" t="str">
            <v>Chain; parts n.e.c. in heading no. 7315, of iron or steel</v>
          </cell>
          <cell r="F4996" t="str">
            <v>Capital Goods</v>
          </cell>
          <cell r="G4996">
            <v>0</v>
          </cell>
          <cell r="H4996">
            <v>0</v>
          </cell>
          <cell r="I4996" t="str">
            <v>Others</v>
          </cell>
          <cell r="J4996">
            <v>2</v>
          </cell>
          <cell r="K4996" t="str">
            <v>Parts &amp; Accessories</v>
          </cell>
        </row>
        <row r="4997">
          <cell r="D4997">
            <v>845420</v>
          </cell>
          <cell r="E4997" t="str">
            <v>Ingot moulds and ladles; of a kind used in metallurgy or in metal foundries</v>
          </cell>
          <cell r="F4997">
            <v>0</v>
          </cell>
          <cell r="G4997">
            <v>0</v>
          </cell>
          <cell r="H4997" t="str">
            <v>Capital Goods</v>
          </cell>
          <cell r="I4997" t="str">
            <v>Capital Goods</v>
          </cell>
          <cell r="J4997">
            <v>2</v>
          </cell>
          <cell r="K4997" t="str">
            <v>Parts &amp; Accessories</v>
          </cell>
        </row>
        <row r="4998">
          <cell r="D4998">
            <v>840590</v>
          </cell>
          <cell r="E4998" t="str">
            <v>Generators; parts of producer gas, water gas, acetylene gas and similar water process gas generators, with or without their purifiers</v>
          </cell>
          <cell r="F4998">
            <v>0</v>
          </cell>
          <cell r="G4998">
            <v>0</v>
          </cell>
          <cell r="H4998" t="str">
            <v>Parts &amp; Accessories</v>
          </cell>
          <cell r="I4998" t="str">
            <v>Parts &amp; Accessories</v>
          </cell>
          <cell r="J4998">
            <v>2</v>
          </cell>
          <cell r="K4998" t="str">
            <v>Parts &amp; Accessories</v>
          </cell>
        </row>
        <row r="4999">
          <cell r="D4999">
            <v>853661</v>
          </cell>
          <cell r="E4999" t="str">
            <v>Electrical apparatus; lamp-holders, for a voltage not exceeding 1000 volts</v>
          </cell>
          <cell r="F4999" t="str">
            <v>Capital Goods</v>
          </cell>
          <cell r="G4999">
            <v>0</v>
          </cell>
          <cell r="H4999" t="str">
            <v>Parts &amp; Accessories</v>
          </cell>
          <cell r="I4999" t="str">
            <v>Parts &amp; Accessories</v>
          </cell>
          <cell r="J4999">
            <v>1</v>
          </cell>
          <cell r="K4999" t="str">
            <v>Parts &amp; Accessories - rc</v>
          </cell>
        </row>
        <row r="5000">
          <cell r="D5000">
            <v>843490</v>
          </cell>
          <cell r="E5000" t="str">
            <v>Milking machines and dairy machinery; parts thereof</v>
          </cell>
          <cell r="F5000">
            <v>0</v>
          </cell>
          <cell r="G5000">
            <v>0</v>
          </cell>
          <cell r="H5000" t="str">
            <v>Parts &amp; Accessories</v>
          </cell>
          <cell r="I5000" t="str">
            <v>Parts &amp; Accessories</v>
          </cell>
          <cell r="J5000">
            <v>2</v>
          </cell>
          <cell r="K5000" t="str">
            <v>Parts &amp; Accessories</v>
          </cell>
        </row>
        <row r="5001">
          <cell r="D5001">
            <v>853670</v>
          </cell>
          <cell r="E5001" t="str">
            <v>Connectors for optical fibres, optical fibre bundles or cables</v>
          </cell>
          <cell r="F5001" t="str">
            <v>Capital Goods</v>
          </cell>
          <cell r="G5001">
            <v>0</v>
          </cell>
          <cell r="H5001">
            <v>0</v>
          </cell>
          <cell r="I5001" t="str">
            <v>Others</v>
          </cell>
          <cell r="J5001">
            <v>2</v>
          </cell>
          <cell r="K5001" t="str">
            <v>Capital Goods</v>
          </cell>
        </row>
        <row r="5002">
          <cell r="D5002">
            <v>841121</v>
          </cell>
          <cell r="E5002" t="str">
            <v>Turbo-propellers; of a power not exceeding 1100kW</v>
          </cell>
          <cell r="F5002">
            <v>0</v>
          </cell>
          <cell r="G5002">
            <v>0</v>
          </cell>
          <cell r="H5002" t="str">
            <v>Parts &amp; Accessories</v>
          </cell>
          <cell r="I5002" t="str">
            <v>Parts &amp; Accessories</v>
          </cell>
          <cell r="J5002">
            <v>2</v>
          </cell>
          <cell r="K5002" t="str">
            <v>Parts &amp; Accessories</v>
          </cell>
        </row>
        <row r="5003">
          <cell r="D5003">
            <v>854081</v>
          </cell>
          <cell r="E5003" t="str">
            <v>Valves and tubes; receiver or amplifier</v>
          </cell>
          <cell r="F5003">
            <v>0</v>
          </cell>
          <cell r="G5003">
            <v>0</v>
          </cell>
          <cell r="H5003">
            <v>0</v>
          </cell>
          <cell r="I5003" t="str">
            <v>Parts &amp; Accessories</v>
          </cell>
          <cell r="J5003">
            <v>3</v>
          </cell>
          <cell r="K5003" t="str">
            <v>Parts &amp; Accessories</v>
          </cell>
        </row>
        <row r="5004">
          <cell r="D5004">
            <v>901290</v>
          </cell>
          <cell r="E5004" t="str">
            <v>Microscopes (excluding optical microscopes); diffraction apparatus; parts and accessories</v>
          </cell>
          <cell r="F5004">
            <v>0</v>
          </cell>
          <cell r="G5004">
            <v>0</v>
          </cell>
          <cell r="H5004">
            <v>0</v>
          </cell>
          <cell r="I5004" t="str">
            <v>Parts &amp; Accessories</v>
          </cell>
          <cell r="J5004">
            <v>3</v>
          </cell>
          <cell r="K5004" t="str">
            <v>Parts &amp; Accessories</v>
          </cell>
        </row>
        <row r="5005">
          <cell r="D5005">
            <v>854089</v>
          </cell>
          <cell r="E5005" t="str">
            <v>Valves and tubes; n.e.c. in heading no. 8540</v>
          </cell>
          <cell r="F5005">
            <v>0</v>
          </cell>
          <cell r="G5005">
            <v>0</v>
          </cell>
          <cell r="H5005">
            <v>0</v>
          </cell>
          <cell r="I5005" t="str">
            <v>Parts &amp; Accessories</v>
          </cell>
          <cell r="J5005">
            <v>3</v>
          </cell>
          <cell r="K5005" t="str">
            <v>Parts &amp; Accessories</v>
          </cell>
        </row>
        <row r="5006">
          <cell r="D5006">
            <v>850730</v>
          </cell>
          <cell r="E5006" t="str">
            <v>Electric accumulators; nickel-cadmium, including separators, whether or not rectangular (including square)</v>
          </cell>
          <cell r="F5006">
            <v>0</v>
          </cell>
          <cell r="G5006">
            <v>0</v>
          </cell>
          <cell r="H5006" t="str">
            <v>Parts &amp; Accessories</v>
          </cell>
          <cell r="I5006" t="str">
            <v>Parts &amp; Accessories</v>
          </cell>
          <cell r="J5006">
            <v>2</v>
          </cell>
          <cell r="K5006" t="str">
            <v>Parts &amp; Accessories</v>
          </cell>
        </row>
        <row r="5007">
          <cell r="D5007">
            <v>853910</v>
          </cell>
          <cell r="E5007" t="str">
            <v>Lamps; sealed beam units</v>
          </cell>
          <cell r="F5007">
            <v>0</v>
          </cell>
          <cell r="G5007">
            <v>0</v>
          </cell>
          <cell r="H5007">
            <v>0</v>
          </cell>
          <cell r="I5007" t="str">
            <v>Capital Goods</v>
          </cell>
          <cell r="J5007">
            <v>3</v>
          </cell>
          <cell r="K5007" t="str">
            <v>Capital Goods - rc</v>
          </cell>
        </row>
        <row r="5008">
          <cell r="D5008">
            <v>853921</v>
          </cell>
          <cell r="E5008" t="str">
            <v>Lamps; filament, (excluding ultra-violet or infra-red), tungsten halogen</v>
          </cell>
          <cell r="F5008" t="str">
            <v>Capital Goods</v>
          </cell>
          <cell r="G5008">
            <v>0</v>
          </cell>
          <cell r="H5008" t="str">
            <v>Parts &amp; Accessories</v>
          </cell>
          <cell r="I5008" t="str">
            <v>Others</v>
          </cell>
          <cell r="J5008">
            <v>1</v>
          </cell>
          <cell r="K5008" t="str">
            <v>Consumables - rc</v>
          </cell>
        </row>
        <row r="5009">
          <cell r="D5009">
            <v>853922</v>
          </cell>
          <cell r="E5009" t="str">
            <v>Lamps; filament, (excluding ultra-violet or infra-red), of a power not exceeding 200W and for a voltage exceeding 100 volts, other than tungsten halogen</v>
          </cell>
          <cell r="F5009" t="str">
            <v>Capital Goods</v>
          </cell>
          <cell r="G5009">
            <v>0</v>
          </cell>
          <cell r="H5009" t="str">
            <v>Capital Goods</v>
          </cell>
          <cell r="I5009" t="str">
            <v>Others</v>
          </cell>
          <cell r="J5009">
            <v>1</v>
          </cell>
          <cell r="K5009" t="str">
            <v>Parts &amp; Accessories - rc</v>
          </cell>
        </row>
        <row r="5010">
          <cell r="D5010">
            <v>853929</v>
          </cell>
          <cell r="E5010" t="str">
            <v>Lamps; filament, (excluding ultra-violet or infra-red), n.e.c. in item no. 8539.2</v>
          </cell>
          <cell r="F5010" t="str">
            <v>Capital Goods</v>
          </cell>
          <cell r="G5010">
            <v>0</v>
          </cell>
          <cell r="H5010" t="str">
            <v>Capital Goods</v>
          </cell>
          <cell r="I5010" t="str">
            <v>Capital Goods</v>
          </cell>
          <cell r="J5010">
            <v>1</v>
          </cell>
          <cell r="K5010" t="str">
            <v>Capital Goods - rc</v>
          </cell>
        </row>
        <row r="5011">
          <cell r="D5011">
            <v>853931</v>
          </cell>
          <cell r="E5011" t="str">
            <v>Lamps; discharge, (excluding ultra-violet), fluorescent, hot cathode</v>
          </cell>
          <cell r="F5011" t="str">
            <v>Capital Goods</v>
          </cell>
          <cell r="G5011">
            <v>0</v>
          </cell>
          <cell r="H5011" t="str">
            <v>Capital Goods</v>
          </cell>
          <cell r="I5011" t="str">
            <v>Capital Goods</v>
          </cell>
          <cell r="J5011">
            <v>1</v>
          </cell>
          <cell r="K5011" t="str">
            <v>Capital Goods - rc</v>
          </cell>
        </row>
        <row r="5012">
          <cell r="D5012">
            <v>853932</v>
          </cell>
          <cell r="E5012" t="str">
            <v>Lamps; discharge, (excluding ultra-violet), mercury or sodium vapour lamps, metal halide lamps</v>
          </cell>
          <cell r="F5012">
            <v>0</v>
          </cell>
          <cell r="G5012">
            <v>0</v>
          </cell>
          <cell r="H5012" t="str">
            <v>Capital Goods</v>
          </cell>
          <cell r="I5012" t="str">
            <v>Capital Goods</v>
          </cell>
          <cell r="J5012">
            <v>2</v>
          </cell>
          <cell r="K5012" t="str">
            <v>Capital Goods - rc</v>
          </cell>
        </row>
        <row r="5013">
          <cell r="D5013">
            <v>853939</v>
          </cell>
          <cell r="E5013" t="str">
            <v>Lamps; discharge, (excluding ultra-violet, excluding fluorescent, hot cathode)</v>
          </cell>
          <cell r="F5013" t="str">
            <v>Capital Goods</v>
          </cell>
          <cell r="G5013">
            <v>0</v>
          </cell>
          <cell r="H5013" t="str">
            <v>Others</v>
          </cell>
          <cell r="I5013" t="str">
            <v>Parts &amp; Accessories</v>
          </cell>
          <cell r="J5013">
            <v>1</v>
          </cell>
          <cell r="K5013" t="str">
            <v>Capital Goods - No data</v>
          </cell>
        </row>
        <row r="5014">
          <cell r="D5014">
            <v>853940</v>
          </cell>
          <cell r="E5014" t="str">
            <v>Arc-lamps</v>
          </cell>
          <cell r="F5014">
            <v>0</v>
          </cell>
          <cell r="G5014">
            <v>0</v>
          </cell>
          <cell r="H5014" t="str">
            <v>Capital Goods</v>
          </cell>
          <cell r="I5014">
            <v>0</v>
          </cell>
          <cell r="J5014">
            <v>3</v>
          </cell>
          <cell r="K5014" t="str">
            <v>Capital Goods - No data</v>
          </cell>
        </row>
        <row r="5015">
          <cell r="D5015">
            <v>853941</v>
          </cell>
          <cell r="E5015" t="str">
            <v>Lamps; arc-lamps</v>
          </cell>
          <cell r="F5015">
            <v>0</v>
          </cell>
          <cell r="G5015">
            <v>0</v>
          </cell>
          <cell r="H5015">
            <v>0</v>
          </cell>
          <cell r="I5015" t="str">
            <v>Capital Goods</v>
          </cell>
          <cell r="J5015">
            <v>3</v>
          </cell>
          <cell r="K5015" t="str">
            <v>Capital Goods - rc</v>
          </cell>
        </row>
        <row r="5016">
          <cell r="D5016">
            <v>853949</v>
          </cell>
          <cell r="E5016" t="str">
            <v>Lamps; ultra-violet or infra-red lamps, (excluding arc-lamps)</v>
          </cell>
          <cell r="F5016" t="str">
            <v>Capital Goods</v>
          </cell>
          <cell r="G5016">
            <v>0</v>
          </cell>
          <cell r="H5016">
            <v>0</v>
          </cell>
          <cell r="I5016" t="str">
            <v>Capital Goods</v>
          </cell>
          <cell r="J5016">
            <v>2</v>
          </cell>
          <cell r="K5016" t="str">
            <v>Capital Goods - rc</v>
          </cell>
        </row>
        <row r="5017">
          <cell r="D5017">
            <v>853950</v>
          </cell>
          <cell r="E5017" t="e">
            <v>#VALUE!</v>
          </cell>
          <cell r="F5017" t="str">
            <v>Capital Goods</v>
          </cell>
          <cell r="G5017">
            <v>0</v>
          </cell>
          <cell r="H5017">
            <v>0</v>
          </cell>
          <cell r="I5017">
            <v>0</v>
          </cell>
          <cell r="J5017">
            <v>3</v>
          </cell>
          <cell r="K5017" t="str">
            <v>Capital Goods - rc</v>
          </cell>
        </row>
        <row r="5018">
          <cell r="D5018">
            <v>853951</v>
          </cell>
          <cell r="E5018" t="str">
            <v>Lamps; light-emitting diode (LED) light sources, light-emitting diode (LED) modules</v>
          </cell>
          <cell r="F5018" t="str">
            <v>Capital Goods</v>
          </cell>
          <cell r="G5018">
            <v>0</v>
          </cell>
          <cell r="H5018">
            <v>0</v>
          </cell>
          <cell r="I5018" t="str">
            <v>Others</v>
          </cell>
          <cell r="J5018">
            <v>2</v>
          </cell>
          <cell r="K5018" t="str">
            <v>Capital Goods - rc</v>
          </cell>
        </row>
        <row r="5019">
          <cell r="D5019">
            <v>853952</v>
          </cell>
          <cell r="E5019" t="str">
            <v>Lamps; light-emitting diode (LED) light sources, light-emitting diode (LED) lamps</v>
          </cell>
          <cell r="F5019" t="str">
            <v>Capital Goods</v>
          </cell>
          <cell r="G5019">
            <v>0</v>
          </cell>
          <cell r="H5019">
            <v>0</v>
          </cell>
          <cell r="I5019" t="str">
            <v>Capital Goods</v>
          </cell>
          <cell r="J5019">
            <v>2</v>
          </cell>
          <cell r="K5019" t="str">
            <v>Durable</v>
          </cell>
        </row>
        <row r="5020">
          <cell r="D5020">
            <v>853990</v>
          </cell>
          <cell r="E5020" t="str">
            <v>Lamps; parts of the lamps of heading no. 8539</v>
          </cell>
          <cell r="F5020" t="str">
            <v>Parts &amp; Accessories</v>
          </cell>
          <cell r="G5020">
            <v>0</v>
          </cell>
          <cell r="H5020" t="str">
            <v>Parts &amp; Accessories</v>
          </cell>
          <cell r="I5020" t="str">
            <v>Parts &amp; Accessories</v>
          </cell>
          <cell r="J5020">
            <v>1</v>
          </cell>
          <cell r="K5020" t="str">
            <v>Parts &amp; Accessories - rc</v>
          </cell>
        </row>
        <row r="5021">
          <cell r="D5021">
            <v>901310</v>
          </cell>
          <cell r="E5021" t="str">
            <v>Optical appliances and instruments; telescopic sights for fitting to arms; periscopes; telescopes designed to form parts of machines, appliances, instruments or apparatus of this chapter</v>
          </cell>
          <cell r="F5021" t="str">
            <v>Parts &amp; Accessories</v>
          </cell>
          <cell r="G5021">
            <v>0</v>
          </cell>
          <cell r="H5021">
            <v>0</v>
          </cell>
          <cell r="I5021" t="str">
            <v>Parts &amp; Accessories</v>
          </cell>
          <cell r="J5021">
            <v>2</v>
          </cell>
          <cell r="K5021" t="str">
            <v>Parts &amp; Accessories</v>
          </cell>
        </row>
        <row r="5022">
          <cell r="D5022">
            <v>847321</v>
          </cell>
          <cell r="E5022" t="str">
            <v>Calculating machines; parts and accessories of the electronic calculating machines of item no. 8470.10, 8470.21 or 8470.29 (other than covers, carrying cases and the like)</v>
          </cell>
          <cell r="F5022">
            <v>0</v>
          </cell>
          <cell r="G5022">
            <v>0</v>
          </cell>
          <cell r="H5022">
            <v>0</v>
          </cell>
          <cell r="I5022" t="str">
            <v>Parts &amp; Accessories</v>
          </cell>
          <cell r="J5022">
            <v>3</v>
          </cell>
          <cell r="K5022" t="str">
            <v>Parts &amp; Accessories</v>
          </cell>
        </row>
        <row r="5023">
          <cell r="D5023">
            <v>854020</v>
          </cell>
          <cell r="E5023" t="str">
            <v>Tubes; television camera tubes, image converters and intensifiers, other photo-cathode tubes</v>
          </cell>
          <cell r="F5023">
            <v>0</v>
          </cell>
          <cell r="G5023">
            <v>0</v>
          </cell>
          <cell r="H5023">
            <v>0</v>
          </cell>
          <cell r="I5023" t="str">
            <v>Parts &amp; Accessories</v>
          </cell>
          <cell r="J5023">
            <v>3</v>
          </cell>
          <cell r="K5023" t="str">
            <v>Parts &amp; Accessories - rc</v>
          </cell>
        </row>
        <row r="5024">
          <cell r="D5024">
            <v>841392</v>
          </cell>
          <cell r="E5024" t="str">
            <v>Liquid elevators; parts thereof</v>
          </cell>
          <cell r="F5024" t="str">
            <v>Capital Goods</v>
          </cell>
          <cell r="G5024">
            <v>0</v>
          </cell>
          <cell r="H5024" t="str">
            <v>Capital Goods</v>
          </cell>
          <cell r="I5024" t="str">
            <v>Parts &amp; Accessories</v>
          </cell>
          <cell r="J5024">
            <v>1</v>
          </cell>
          <cell r="K5024" t="str">
            <v>Parts &amp; Accessories</v>
          </cell>
        </row>
        <row r="5025">
          <cell r="D5025">
            <v>842091</v>
          </cell>
          <cell r="E5025" t="str">
            <v>Machines; parts, cylinders for calendering or other rolling machines, for other than metal or glass</v>
          </cell>
          <cell r="F5025" t="str">
            <v>Parts &amp; Accessories</v>
          </cell>
          <cell r="G5025">
            <v>0</v>
          </cell>
          <cell r="H5025" t="str">
            <v>Parts &amp; Accessories</v>
          </cell>
          <cell r="I5025" t="str">
            <v>Parts &amp; Accessories</v>
          </cell>
          <cell r="J5025">
            <v>1</v>
          </cell>
          <cell r="K5025" t="str">
            <v>Parts &amp; Accessories</v>
          </cell>
        </row>
        <row r="5026">
          <cell r="D5026">
            <v>854071</v>
          </cell>
          <cell r="E5026" t="str">
            <v>Tubes; microwave, magnetrons, excluding grid-controlled tubes</v>
          </cell>
          <cell r="F5026" t="str">
            <v>Parts &amp; Accessories</v>
          </cell>
          <cell r="G5026">
            <v>0</v>
          </cell>
          <cell r="H5026">
            <v>0</v>
          </cell>
          <cell r="I5026" t="str">
            <v>Parts &amp; Accessories</v>
          </cell>
          <cell r="J5026">
            <v>2</v>
          </cell>
          <cell r="K5026" t="str">
            <v>Parts &amp; Accessories - rc</v>
          </cell>
        </row>
        <row r="5027">
          <cell r="D5027">
            <v>854079</v>
          </cell>
          <cell r="E5027" t="str">
            <v>Tubes; microwave (for example klystrons, travelling wave tubes, carlinotrons), excluding magnetrons and grid-controlled tubes</v>
          </cell>
          <cell r="F5027">
            <v>0</v>
          </cell>
          <cell r="G5027">
            <v>0</v>
          </cell>
          <cell r="H5027">
            <v>0</v>
          </cell>
          <cell r="I5027" t="str">
            <v>Parts &amp; Accessories</v>
          </cell>
          <cell r="J5027">
            <v>3</v>
          </cell>
          <cell r="K5027" t="str">
            <v>Parts &amp; Accessories - rc</v>
          </cell>
        </row>
        <row r="5028">
          <cell r="D5028">
            <v>591131</v>
          </cell>
          <cell r="E5028" t="str">
            <v>Textiles; fabrics and felts, endless or fitted with linking devices, of a kind used in paper-making or similar machines, weighing less than 650g/m2</v>
          </cell>
          <cell r="F5028">
            <v>0</v>
          </cell>
          <cell r="G5028">
            <v>0</v>
          </cell>
          <cell r="H5028">
            <v>0</v>
          </cell>
          <cell r="I5028" t="str">
            <v>Parts &amp; Accessories</v>
          </cell>
          <cell r="J5028">
            <v>3</v>
          </cell>
          <cell r="K5028" t="str">
            <v>Parts &amp; Accessories</v>
          </cell>
        </row>
        <row r="5029">
          <cell r="D5029">
            <v>401019</v>
          </cell>
          <cell r="E5029" t="str">
            <v>Rubber; vulcanised, conveyor belts or belting, (reinforced with other than metal only or textile materials only)</v>
          </cell>
          <cell r="F5029" t="str">
            <v>Parts &amp; Accessories</v>
          </cell>
          <cell r="G5029">
            <v>0</v>
          </cell>
          <cell r="H5029">
            <v>0</v>
          </cell>
          <cell r="I5029" t="str">
            <v>Parts &amp; Accessories</v>
          </cell>
          <cell r="J5029">
            <v>2</v>
          </cell>
          <cell r="K5029" t="str">
            <v>Parts &amp; Accessories</v>
          </cell>
        </row>
        <row r="5030">
          <cell r="D5030">
            <v>591140</v>
          </cell>
          <cell r="E5030" t="str">
            <v>Textile products and articles for technical uses; straining cloth of a kind used in oil presses and the like, including that of human hair</v>
          </cell>
          <cell r="F5030">
            <v>0</v>
          </cell>
          <cell r="G5030">
            <v>0</v>
          </cell>
          <cell r="H5030">
            <v>0</v>
          </cell>
          <cell r="I5030" t="str">
            <v>Parts &amp; Accessories</v>
          </cell>
          <cell r="J5030">
            <v>3</v>
          </cell>
          <cell r="K5030" t="str">
            <v>Parts &amp; Accessories</v>
          </cell>
        </row>
        <row r="5031">
          <cell r="D5031">
            <v>848590</v>
          </cell>
          <cell r="E5031" t="str">
            <v>Machines for additive manufacturing; parts</v>
          </cell>
          <cell r="F5031">
            <v>0</v>
          </cell>
          <cell r="G5031">
            <v>0</v>
          </cell>
          <cell r="H5031">
            <v>0</v>
          </cell>
          <cell r="I5031" t="str">
            <v>Parts &amp; Accessories</v>
          </cell>
          <cell r="J5031">
            <v>3</v>
          </cell>
          <cell r="K5031" t="str">
            <v>Parts &amp; Accessories</v>
          </cell>
        </row>
        <row r="5032">
          <cell r="D5032">
            <v>854110</v>
          </cell>
          <cell r="E5032" t="str">
            <v>Electrical apparatus; diodes, other than photosensitive or light-emitting diodes (LED)</v>
          </cell>
          <cell r="F5032" t="str">
            <v>Parts &amp; Accessories</v>
          </cell>
          <cell r="G5032">
            <v>0</v>
          </cell>
          <cell r="H5032">
            <v>0</v>
          </cell>
          <cell r="I5032" t="str">
            <v>Parts &amp; Accessories</v>
          </cell>
          <cell r="J5032">
            <v>2</v>
          </cell>
          <cell r="K5032" t="str">
            <v>Parts &amp; Accessories - rc</v>
          </cell>
        </row>
        <row r="5033">
          <cell r="D5033">
            <v>690911</v>
          </cell>
          <cell r="E5033" t="str">
            <v>Ceramic wares; for laboratory, chemical or other technical uses, of porcelain or china</v>
          </cell>
          <cell r="F5033" t="str">
            <v>Capital Goods</v>
          </cell>
          <cell r="G5033">
            <v>0</v>
          </cell>
          <cell r="H5033">
            <v>0</v>
          </cell>
          <cell r="I5033" t="str">
            <v>Others</v>
          </cell>
          <cell r="J5033">
            <v>2</v>
          </cell>
          <cell r="K5033" t="str">
            <v>Parts &amp; Accessories</v>
          </cell>
        </row>
        <row r="5034">
          <cell r="D5034">
            <v>843691</v>
          </cell>
          <cell r="E5034" t="str">
            <v>Machinery; parts of poultry-keeping machinery or poultry incubators and brooders</v>
          </cell>
          <cell r="F5034">
            <v>0</v>
          </cell>
          <cell r="G5034">
            <v>0</v>
          </cell>
          <cell r="H5034">
            <v>0</v>
          </cell>
          <cell r="I5034" t="str">
            <v>Parts &amp; Accessories</v>
          </cell>
          <cell r="J5034">
            <v>3</v>
          </cell>
          <cell r="K5034" t="str">
            <v>Parts &amp; Accessories</v>
          </cell>
        </row>
        <row r="5035">
          <cell r="D5035">
            <v>851390</v>
          </cell>
          <cell r="E5035" t="str">
            <v>Lamps; parts of portable, electric lamps of heading no. 8513, designed to function by their own source of energy</v>
          </cell>
          <cell r="F5035">
            <v>0</v>
          </cell>
          <cell r="G5035">
            <v>0</v>
          </cell>
          <cell r="H5035">
            <v>0</v>
          </cell>
          <cell r="I5035" t="str">
            <v>Parts &amp; Accessories</v>
          </cell>
          <cell r="J5035">
            <v>3</v>
          </cell>
          <cell r="K5035" t="str">
            <v>Parts &amp; Accessories</v>
          </cell>
        </row>
        <row r="5036">
          <cell r="D5036">
            <v>854140</v>
          </cell>
          <cell r="E5036" t="str">
            <v xml:space="preserve">Photosensitive semiconductor devices, including photovoltaic 
cells whether or not assembled in modules or made up into 
panels; light emitting diodes </v>
          </cell>
          <cell r="F5036" t="str">
            <v>Others</v>
          </cell>
          <cell r="G5036">
            <v>0</v>
          </cell>
          <cell r="H5036">
            <v>0</v>
          </cell>
          <cell r="I5036">
            <v>0</v>
          </cell>
          <cell r="J5036">
            <v>3</v>
          </cell>
          <cell r="K5036" t="str">
            <v>Others</v>
          </cell>
        </row>
        <row r="5037">
          <cell r="D5037">
            <v>854141</v>
          </cell>
          <cell r="E5037" t="str">
            <v>Electrical apparatus; photosensitive semiconductor devices, light emitting diodes (LED)</v>
          </cell>
          <cell r="F5037" t="str">
            <v>Parts &amp; Accessories</v>
          </cell>
          <cell r="G5037">
            <v>0</v>
          </cell>
          <cell r="H5037">
            <v>0</v>
          </cell>
          <cell r="I5037" t="str">
            <v>Parts &amp; Accessories</v>
          </cell>
          <cell r="J5037">
            <v>2</v>
          </cell>
          <cell r="K5037" t="str">
            <v>Parts &amp; Accessories - rc</v>
          </cell>
        </row>
        <row r="5038">
          <cell r="D5038">
            <v>854142</v>
          </cell>
          <cell r="E5038" t="str">
            <v>Electrical apparatus; photosensitive semiconductor devices, photovoltaic cells not assembled in modules or made up into panels</v>
          </cell>
          <cell r="F5038">
            <v>0</v>
          </cell>
          <cell r="G5038">
            <v>0</v>
          </cell>
          <cell r="H5038">
            <v>0</v>
          </cell>
          <cell r="I5038" t="str">
            <v>Parts &amp; Accessories</v>
          </cell>
          <cell r="J5038">
            <v>3</v>
          </cell>
          <cell r="K5038" t="str">
            <v>Parts &amp; Accessories - rc</v>
          </cell>
        </row>
        <row r="5039">
          <cell r="D5039">
            <v>854143</v>
          </cell>
          <cell r="E5039" t="str">
            <v>Electrical apparatus; photosensitive semiconductor devices, photovoltaic cells assembled in modules or made up into panels</v>
          </cell>
          <cell r="F5039">
            <v>0</v>
          </cell>
          <cell r="G5039">
            <v>0</v>
          </cell>
          <cell r="H5039">
            <v>0</v>
          </cell>
          <cell r="I5039" t="str">
            <v>Parts &amp; Accessories</v>
          </cell>
          <cell r="J5039">
            <v>3</v>
          </cell>
          <cell r="K5039" t="str">
            <v>Parts &amp; Accessories - rc</v>
          </cell>
        </row>
        <row r="5040">
          <cell r="D5040">
            <v>854149</v>
          </cell>
          <cell r="E5040" t="str">
            <v>Electrical apparatus; photosensitive semiconductor devices, diodes other than light emitting diodes and photovoltaic cells whether or not assembled in modules or made up into panels</v>
          </cell>
          <cell r="F5040" t="str">
            <v>Parts &amp; Accessories</v>
          </cell>
          <cell r="G5040">
            <v>0</v>
          </cell>
          <cell r="H5040">
            <v>0</v>
          </cell>
          <cell r="I5040" t="str">
            <v>Parts &amp; Accessories</v>
          </cell>
          <cell r="J5040">
            <v>2</v>
          </cell>
          <cell r="K5040" t="str">
            <v>Parts &amp; Accessories - rc</v>
          </cell>
        </row>
        <row r="5041">
          <cell r="D5041">
            <v>854150</v>
          </cell>
          <cell r="E5041" t="e">
            <v>#VALUE!</v>
          </cell>
          <cell r="F5041" t="str">
            <v>Consumables</v>
          </cell>
          <cell r="G5041">
            <v>0</v>
          </cell>
          <cell r="H5041">
            <v>0</v>
          </cell>
          <cell r="I5041">
            <v>0</v>
          </cell>
          <cell r="J5041">
            <v>3</v>
          </cell>
          <cell r="K5041" t="str">
            <v>Consumables</v>
          </cell>
        </row>
        <row r="5042">
          <cell r="D5042">
            <v>854151</v>
          </cell>
          <cell r="E5042" t="str">
            <v>Electrical apparatus; photosensitive semiconductor devices, semiconductor-based transducers</v>
          </cell>
          <cell r="F5042" t="str">
            <v>Capital Goods</v>
          </cell>
          <cell r="G5042">
            <v>0</v>
          </cell>
          <cell r="H5042">
            <v>0</v>
          </cell>
          <cell r="I5042" t="str">
            <v>Others</v>
          </cell>
          <cell r="J5042">
            <v>2</v>
          </cell>
          <cell r="K5042" t="str">
            <v>Capital Goods</v>
          </cell>
        </row>
        <row r="5043">
          <cell r="D5043">
            <v>854159</v>
          </cell>
          <cell r="E5043" t="str">
            <v>Electrical apparatus; photosensitive semiconductor devices n.e.c. in heading no. 8541</v>
          </cell>
          <cell r="F5043" t="str">
            <v>Capital Goods</v>
          </cell>
          <cell r="G5043">
            <v>0</v>
          </cell>
          <cell r="H5043">
            <v>0</v>
          </cell>
          <cell r="I5043" t="str">
            <v>Others</v>
          </cell>
          <cell r="J5043">
            <v>2</v>
          </cell>
          <cell r="K5043" t="str">
            <v>Capital Goods</v>
          </cell>
        </row>
        <row r="5044">
          <cell r="D5044">
            <v>854160</v>
          </cell>
          <cell r="E5044" t="str">
            <v>Crystals; mounted piezo-electric</v>
          </cell>
          <cell r="F5044" t="str">
            <v>Parts &amp; Accessories</v>
          </cell>
          <cell r="G5044">
            <v>0</v>
          </cell>
          <cell r="H5044">
            <v>0</v>
          </cell>
          <cell r="I5044" t="str">
            <v>Parts &amp; Accessories</v>
          </cell>
          <cell r="J5044">
            <v>2</v>
          </cell>
          <cell r="K5044" t="str">
            <v>Parts &amp; Accessories - rc</v>
          </cell>
        </row>
        <row r="5045">
          <cell r="D5045">
            <v>854099</v>
          </cell>
          <cell r="E5045" t="str">
            <v>Valves and tubes; parts of the valves and tubes of heading no. 8540, excluding parts of cathode-ray tubes</v>
          </cell>
          <cell r="F5045" t="str">
            <v>Parts &amp; Accessories</v>
          </cell>
          <cell r="G5045">
            <v>0</v>
          </cell>
          <cell r="H5045">
            <v>0</v>
          </cell>
          <cell r="I5045" t="str">
            <v>Parts &amp; Accessories</v>
          </cell>
          <cell r="J5045">
            <v>2</v>
          </cell>
          <cell r="K5045" t="str">
            <v>Parts &amp; Accessories</v>
          </cell>
        </row>
        <row r="5046">
          <cell r="D5046">
            <v>854231</v>
          </cell>
          <cell r="E5046" t="str">
            <v>Electronic integrated circuits; processors and controllers, whether or not combined with memories, converters, logic circuits, amplifiers, clock and timing circuits, or other circuits</v>
          </cell>
          <cell r="F5046" t="str">
            <v>Consumables</v>
          </cell>
          <cell r="G5046">
            <v>0</v>
          </cell>
          <cell r="H5046">
            <v>0</v>
          </cell>
          <cell r="I5046" t="str">
            <v>Others</v>
          </cell>
          <cell r="J5046">
            <v>2</v>
          </cell>
          <cell r="K5046" t="str">
            <v>Consumables - rc</v>
          </cell>
        </row>
        <row r="5047">
          <cell r="D5047">
            <v>854232</v>
          </cell>
          <cell r="E5047" t="str">
            <v>Electronic integrated circuits; memories</v>
          </cell>
          <cell r="F5047" t="str">
            <v>Consumables</v>
          </cell>
          <cell r="G5047">
            <v>0</v>
          </cell>
          <cell r="H5047">
            <v>0</v>
          </cell>
          <cell r="I5047" t="str">
            <v>Others</v>
          </cell>
          <cell r="J5047">
            <v>2</v>
          </cell>
          <cell r="K5047" t="str">
            <v>Consumables - rc</v>
          </cell>
        </row>
        <row r="5048">
          <cell r="D5048">
            <v>854233</v>
          </cell>
          <cell r="E5048" t="str">
            <v>Electronic integrated circuits; amplifiers</v>
          </cell>
          <cell r="F5048" t="str">
            <v>Consumables</v>
          </cell>
          <cell r="G5048">
            <v>0</v>
          </cell>
          <cell r="H5048">
            <v>0</v>
          </cell>
          <cell r="I5048" t="str">
            <v>Others</v>
          </cell>
          <cell r="J5048">
            <v>2</v>
          </cell>
          <cell r="K5048" t="str">
            <v>Consumables - rc</v>
          </cell>
        </row>
        <row r="5049">
          <cell r="D5049">
            <v>854239</v>
          </cell>
          <cell r="E5049" t="str">
            <v>Electronic integrated circuits; n.e.c. in heading no. 8542</v>
          </cell>
          <cell r="F5049" t="str">
            <v>Consumables</v>
          </cell>
          <cell r="G5049">
            <v>0</v>
          </cell>
          <cell r="H5049">
            <v>0</v>
          </cell>
          <cell r="I5049" t="str">
            <v>Others</v>
          </cell>
          <cell r="J5049">
            <v>2</v>
          </cell>
          <cell r="K5049" t="str">
            <v>Consumables - rc</v>
          </cell>
        </row>
        <row r="5050">
          <cell r="D5050">
            <v>854290</v>
          </cell>
          <cell r="E5050" t="str">
            <v>Parts of electronic integrated circuits</v>
          </cell>
          <cell r="F5050" t="str">
            <v>Parts &amp; Accessories</v>
          </cell>
          <cell r="G5050">
            <v>0</v>
          </cell>
          <cell r="H5050">
            <v>0</v>
          </cell>
          <cell r="I5050" t="str">
            <v>Parts &amp; Accessories</v>
          </cell>
          <cell r="J5050">
            <v>2</v>
          </cell>
          <cell r="K5050" t="str">
            <v>Parts &amp; Accessories - rc</v>
          </cell>
        </row>
        <row r="5051">
          <cell r="D5051">
            <v>854310</v>
          </cell>
          <cell r="E5051" t="str">
            <v>Electrical machines and apparatus; particle accelerators</v>
          </cell>
          <cell r="F5051" t="str">
            <v>Capital Goods</v>
          </cell>
          <cell r="G5051">
            <v>0</v>
          </cell>
          <cell r="H5051">
            <v>0</v>
          </cell>
          <cell r="I5051" t="str">
            <v>Capital Goods</v>
          </cell>
          <cell r="J5051">
            <v>2</v>
          </cell>
          <cell r="K5051" t="str">
            <v>Capital Goods</v>
          </cell>
        </row>
        <row r="5052">
          <cell r="D5052">
            <v>854320</v>
          </cell>
          <cell r="E5052" t="str">
            <v>Electrical machines and apparatus; signal generators</v>
          </cell>
          <cell r="F5052" t="str">
            <v>Capital Goods</v>
          </cell>
          <cell r="G5052">
            <v>0</v>
          </cell>
          <cell r="H5052">
            <v>0</v>
          </cell>
          <cell r="I5052" t="str">
            <v>Capital Goods</v>
          </cell>
          <cell r="J5052">
            <v>2</v>
          </cell>
          <cell r="K5052" t="str">
            <v>Capital Goods</v>
          </cell>
        </row>
        <row r="5053">
          <cell r="D5053">
            <v>854330</v>
          </cell>
          <cell r="E5053" t="str">
            <v>Electrical machines and apparatus; for electroplating, electrolysis or electrophoresis</v>
          </cell>
          <cell r="F5053" t="str">
            <v>Capital Goods</v>
          </cell>
          <cell r="G5053">
            <v>0</v>
          </cell>
          <cell r="H5053">
            <v>0</v>
          </cell>
          <cell r="I5053" t="str">
            <v>Capital Goods</v>
          </cell>
          <cell r="J5053">
            <v>2</v>
          </cell>
          <cell r="K5053" t="str">
            <v>Capital Goods</v>
          </cell>
        </row>
        <row r="5054">
          <cell r="D5054">
            <v>854340</v>
          </cell>
          <cell r="E5054" t="str">
            <v>Electrical machines and apparatus; electronic cigarettes and similar personal electric vaporising devices</v>
          </cell>
          <cell r="F5054">
            <v>0</v>
          </cell>
          <cell r="G5054">
            <v>0</v>
          </cell>
          <cell r="H5054">
            <v>0</v>
          </cell>
          <cell r="I5054" t="str">
            <v>Capital Goods</v>
          </cell>
          <cell r="J5054">
            <v>3</v>
          </cell>
          <cell r="K5054" t="str">
            <v>Others</v>
          </cell>
        </row>
        <row r="5055">
          <cell r="D5055">
            <v>854370</v>
          </cell>
          <cell r="E5055" t="str">
            <v>Electrical machines and apparatus; having individual functions, not specified or included elsewhere in this chapter, n.e.c. in heading no. 8543</v>
          </cell>
          <cell r="F5055" t="str">
            <v>Capital Goods</v>
          </cell>
          <cell r="G5055">
            <v>0</v>
          </cell>
          <cell r="H5055">
            <v>0</v>
          </cell>
          <cell r="I5055" t="str">
            <v>Capital Goods</v>
          </cell>
          <cell r="J5055">
            <v>2</v>
          </cell>
          <cell r="K5055" t="str">
            <v>Capital Goods</v>
          </cell>
        </row>
        <row r="5056">
          <cell r="D5056">
            <v>741210</v>
          </cell>
          <cell r="E5056" t="str">
            <v>Copper; tube or pipe fittings (e.g. couplings, elbows, sleeves) of refined copper</v>
          </cell>
          <cell r="F5056" t="str">
            <v>Capital Goods</v>
          </cell>
          <cell r="G5056">
            <v>0</v>
          </cell>
          <cell r="H5056">
            <v>0</v>
          </cell>
          <cell r="I5056" t="str">
            <v>Others</v>
          </cell>
          <cell r="J5056">
            <v>2</v>
          </cell>
          <cell r="K5056" t="str">
            <v>Parts &amp; Accessories</v>
          </cell>
        </row>
        <row r="5057">
          <cell r="D5057">
            <v>731600</v>
          </cell>
          <cell r="E5057" t="str">
            <v>Iron or steel; anchors, grapnels and parts thereof</v>
          </cell>
          <cell r="F5057" t="str">
            <v>Parts &amp; Accessories</v>
          </cell>
          <cell r="G5057">
            <v>0</v>
          </cell>
          <cell r="H5057">
            <v>0</v>
          </cell>
          <cell r="I5057" t="str">
            <v>Parts &amp; Accessories</v>
          </cell>
          <cell r="J5057">
            <v>2</v>
          </cell>
          <cell r="K5057" t="str">
            <v>Parts &amp; Accessories</v>
          </cell>
        </row>
        <row r="5058">
          <cell r="D5058">
            <v>854419</v>
          </cell>
          <cell r="E5058" t="str">
            <v>Insulated electric conductors; winding wire, (of other than copper)</v>
          </cell>
          <cell r="F5058" t="str">
            <v>Capital Goods</v>
          </cell>
          <cell r="G5058">
            <v>0</v>
          </cell>
          <cell r="H5058" t="str">
            <v>Others</v>
          </cell>
          <cell r="I5058" t="str">
            <v>Others</v>
          </cell>
          <cell r="J5058">
            <v>1</v>
          </cell>
          <cell r="K5058" t="str">
            <v>Consumables - rc</v>
          </cell>
        </row>
        <row r="5059">
          <cell r="D5059">
            <v>901790</v>
          </cell>
          <cell r="E5059" t="str">
            <v>Drawing, marking-out equipment and mathematical instruments; parts and accessories</v>
          </cell>
          <cell r="F5059" t="str">
            <v>Parts &amp; Accessories</v>
          </cell>
          <cell r="G5059">
            <v>0</v>
          </cell>
          <cell r="H5059">
            <v>0</v>
          </cell>
          <cell r="I5059" t="str">
            <v>Parts &amp; Accessories</v>
          </cell>
          <cell r="J5059">
            <v>2</v>
          </cell>
          <cell r="K5059" t="str">
            <v>Parts &amp; Accessories</v>
          </cell>
        </row>
        <row r="5060">
          <cell r="D5060">
            <v>854430</v>
          </cell>
          <cell r="E5060" t="str">
            <v>Insulated electric conductors; ignition wiring sets and other wiring sets of a kind used in vehicles, aircraft or ships</v>
          </cell>
          <cell r="F5060" t="str">
            <v>Capital Goods</v>
          </cell>
          <cell r="G5060">
            <v>0</v>
          </cell>
          <cell r="H5060" t="str">
            <v>Parts &amp; Accessories</v>
          </cell>
          <cell r="I5060" t="str">
            <v>Parts &amp; Accessories</v>
          </cell>
          <cell r="J5060">
            <v>1</v>
          </cell>
          <cell r="K5060" t="str">
            <v>Parts &amp; Accessories - rc</v>
          </cell>
        </row>
        <row r="5061">
          <cell r="D5061">
            <v>844090</v>
          </cell>
          <cell r="E5061" t="str">
            <v>Book-binding machinery; including book-sewing machines, parts thereof</v>
          </cell>
          <cell r="F5061" t="str">
            <v>Parts &amp; Accessories</v>
          </cell>
          <cell r="G5061">
            <v>0</v>
          </cell>
          <cell r="H5061" t="str">
            <v>Parts &amp; Accessories</v>
          </cell>
          <cell r="I5061" t="str">
            <v>Parts &amp; Accessories</v>
          </cell>
          <cell r="J5061">
            <v>1</v>
          </cell>
          <cell r="K5061" t="str">
            <v>Parts &amp; Accessories</v>
          </cell>
        </row>
        <row r="5062">
          <cell r="D5062">
            <v>853331</v>
          </cell>
          <cell r="E5062" t="str">
            <v>Electrical resistors; wirewound variable, including rheostats and potentiometers, for a power handling capacity not exceeding 20W (excluding heating)</v>
          </cell>
          <cell r="F5062" t="str">
            <v>Parts &amp; Accessories</v>
          </cell>
          <cell r="G5062">
            <v>0</v>
          </cell>
          <cell r="H5062">
            <v>0</v>
          </cell>
          <cell r="I5062" t="str">
            <v>Parts &amp; Accessories</v>
          </cell>
          <cell r="J5062">
            <v>2</v>
          </cell>
          <cell r="K5062" t="str">
            <v>Parts &amp; Accessories</v>
          </cell>
        </row>
        <row r="5063">
          <cell r="D5063">
            <v>900140</v>
          </cell>
          <cell r="E5063" t="str">
            <v>Lenses, spectacle; unmounted, of glass, excluding elements of glass not optically worked</v>
          </cell>
          <cell r="F5063" t="str">
            <v>Consumables</v>
          </cell>
          <cell r="G5063">
            <v>0</v>
          </cell>
          <cell r="H5063">
            <v>0</v>
          </cell>
          <cell r="I5063" t="str">
            <v>Others</v>
          </cell>
          <cell r="J5063">
            <v>2</v>
          </cell>
          <cell r="K5063" t="str">
            <v>Parts &amp; Accessories</v>
          </cell>
        </row>
        <row r="5064">
          <cell r="D5064">
            <v>844240</v>
          </cell>
          <cell r="E5064" t="str">
            <v>Machinery, apparatus and equipment (excluding machines of heading no. 8456 to 8465) for preparing or making printing components; parts thereof</v>
          </cell>
          <cell r="F5064">
            <v>0</v>
          </cell>
          <cell r="G5064">
            <v>0</v>
          </cell>
          <cell r="H5064" t="str">
            <v>Parts &amp; Accessories</v>
          </cell>
          <cell r="I5064" t="str">
            <v>Parts &amp; Accessories</v>
          </cell>
          <cell r="J5064">
            <v>2</v>
          </cell>
          <cell r="K5064" t="str">
            <v>Parts &amp; Accessories</v>
          </cell>
        </row>
        <row r="5065">
          <cell r="D5065">
            <v>680430</v>
          </cell>
          <cell r="E5065" t="str">
            <v>Stones; hand sharpening or polishing stones, of natural stone, agglomerated natural or artificial abrasives or ceramics, with or without parts of other materials</v>
          </cell>
          <cell r="F5065">
            <v>0</v>
          </cell>
          <cell r="G5065">
            <v>0</v>
          </cell>
          <cell r="H5065" t="str">
            <v>Parts &amp; Accessories</v>
          </cell>
          <cell r="I5065" t="str">
            <v>Others</v>
          </cell>
          <cell r="J5065">
            <v>2</v>
          </cell>
          <cell r="K5065" t="str">
            <v>Parts &amp; Accessories</v>
          </cell>
        </row>
        <row r="5066">
          <cell r="D5066">
            <v>847890</v>
          </cell>
          <cell r="E5066" t="str">
            <v>Machinery; parts of those for preparing or making up tobacco, n.e.c. in this chapter</v>
          </cell>
          <cell r="F5066">
            <v>0</v>
          </cell>
          <cell r="G5066">
            <v>0</v>
          </cell>
          <cell r="H5066" t="str">
            <v>Parts &amp; Accessories</v>
          </cell>
          <cell r="I5066" t="str">
            <v>Parts &amp; Accessories</v>
          </cell>
          <cell r="J5066">
            <v>2</v>
          </cell>
          <cell r="K5066" t="str">
            <v>Parts &amp; Accessories</v>
          </cell>
        </row>
        <row r="5067">
          <cell r="D5067">
            <v>732219</v>
          </cell>
          <cell r="E5067" t="str">
            <v>Radiators and parts thereof; for central heating, (not electrically heated), of iron or steel other than cast iron</v>
          </cell>
          <cell r="F5067">
            <v>0</v>
          </cell>
          <cell r="G5067">
            <v>0</v>
          </cell>
          <cell r="H5067">
            <v>0</v>
          </cell>
          <cell r="I5067" t="str">
            <v>Parts &amp; Accessories</v>
          </cell>
          <cell r="J5067">
            <v>3</v>
          </cell>
          <cell r="K5067" t="str">
            <v>Parts &amp; Accessories</v>
          </cell>
        </row>
        <row r="5068">
          <cell r="D5068">
            <v>401033</v>
          </cell>
          <cell r="E5068" t="str">
            <v>Rubber; vulcanised, endless transmission belts of trapezoidal cross-section (V-belts), V-ribbed, of an outside circumference exceeding 180cm but not exceeding 240 cm</v>
          </cell>
          <cell r="F5068">
            <v>0</v>
          </cell>
          <cell r="G5068">
            <v>0</v>
          </cell>
          <cell r="H5068">
            <v>0</v>
          </cell>
          <cell r="I5068" t="str">
            <v>Parts &amp; Accessories</v>
          </cell>
          <cell r="J5068">
            <v>3</v>
          </cell>
          <cell r="K5068" t="str">
            <v>Parts &amp; Accessories</v>
          </cell>
        </row>
        <row r="5069">
          <cell r="D5069">
            <v>900792</v>
          </cell>
          <cell r="E5069" t="str">
            <v>Projectors, cinematographic; parts and accessories, whether or not incorporating sound reproducing apparatus</v>
          </cell>
          <cell r="F5069">
            <v>0</v>
          </cell>
          <cell r="G5069">
            <v>0</v>
          </cell>
          <cell r="H5069">
            <v>0</v>
          </cell>
          <cell r="I5069" t="str">
            <v>Parts &amp; Accessories</v>
          </cell>
          <cell r="J5069">
            <v>3</v>
          </cell>
          <cell r="K5069" t="str">
            <v>Parts &amp; Accessories</v>
          </cell>
        </row>
        <row r="5070">
          <cell r="D5070">
            <v>401036</v>
          </cell>
          <cell r="E5070" t="str">
            <v>Rubber; vulcanised, endless synchronous belts, of an outside circumference exceeding 150 cm but not exceeding 198 cm</v>
          </cell>
          <cell r="F5070" t="str">
            <v>Parts &amp; Accessories</v>
          </cell>
          <cell r="G5070">
            <v>0</v>
          </cell>
          <cell r="H5070">
            <v>0</v>
          </cell>
          <cell r="I5070" t="str">
            <v>Parts &amp; Accessories</v>
          </cell>
          <cell r="J5070">
            <v>2</v>
          </cell>
          <cell r="K5070" t="str">
            <v>Parts &amp; Accessories</v>
          </cell>
        </row>
        <row r="5071">
          <cell r="D5071">
            <v>960630</v>
          </cell>
          <cell r="E5071" t="str">
            <v>Button moulds and other parts of buttons; button blanks</v>
          </cell>
          <cell r="F5071">
            <v>0</v>
          </cell>
          <cell r="G5071">
            <v>0</v>
          </cell>
          <cell r="H5071">
            <v>0</v>
          </cell>
          <cell r="I5071" t="str">
            <v>Others</v>
          </cell>
          <cell r="J5071">
            <v>3</v>
          </cell>
          <cell r="K5071" t="str">
            <v>Parts &amp; Accessories</v>
          </cell>
        </row>
        <row r="5072">
          <cell r="D5072">
            <v>851210</v>
          </cell>
          <cell r="E5072" t="str">
            <v>Lighting or visual signalling equipment; electrical, of a kind used on bicycles, excluding articles of heading no. 8539</v>
          </cell>
          <cell r="F5072">
            <v>0</v>
          </cell>
          <cell r="G5072">
            <v>0</v>
          </cell>
          <cell r="H5072">
            <v>0</v>
          </cell>
          <cell r="I5072" t="str">
            <v>Parts &amp; Accessories</v>
          </cell>
          <cell r="J5072">
            <v>3</v>
          </cell>
          <cell r="K5072" t="str">
            <v>Parts &amp; Accessories</v>
          </cell>
        </row>
        <row r="5073">
          <cell r="D5073">
            <v>854720</v>
          </cell>
          <cell r="E5073" t="str">
            <v>Insulating fittings; of plastics, for electrical machines, of insulating material only (except minor assembly parts), excluding those of heading no. 8546</v>
          </cell>
          <cell r="F5073" t="str">
            <v>Parts &amp; Accessories</v>
          </cell>
          <cell r="G5073">
            <v>0</v>
          </cell>
          <cell r="H5073">
            <v>0</v>
          </cell>
          <cell r="I5073" t="str">
            <v>Parts &amp; Accessories</v>
          </cell>
          <cell r="J5073">
            <v>2</v>
          </cell>
          <cell r="K5073" t="str">
            <v>Parts &amp; Accessories - rc</v>
          </cell>
        </row>
        <row r="5074">
          <cell r="D5074">
            <v>401034</v>
          </cell>
          <cell r="E5074" t="str">
            <v>Rubber; vulcanised, endless transmission belts of trapezoidal cross-section (V-belts), other than V-ribbed, of an outside circumference exceeding 180cm but not exceeding 240 cm</v>
          </cell>
          <cell r="F5074">
            <v>0</v>
          </cell>
          <cell r="G5074">
            <v>0</v>
          </cell>
          <cell r="H5074">
            <v>0</v>
          </cell>
          <cell r="I5074" t="str">
            <v>Parts &amp; Accessories</v>
          </cell>
          <cell r="J5074">
            <v>3</v>
          </cell>
          <cell r="K5074" t="str">
            <v>Parts &amp; Accessories</v>
          </cell>
        </row>
        <row r="5075">
          <cell r="D5075">
            <v>731412</v>
          </cell>
          <cell r="E5075" t="str">
            <v>Iron or steel; woven cloth, endless bands for machinery, of stainless steel</v>
          </cell>
          <cell r="F5075">
            <v>0</v>
          </cell>
          <cell r="G5075">
            <v>0</v>
          </cell>
          <cell r="H5075">
            <v>0</v>
          </cell>
          <cell r="I5075" t="str">
            <v>Parts &amp; Accessories</v>
          </cell>
          <cell r="J5075">
            <v>3</v>
          </cell>
          <cell r="K5075" t="str">
            <v>Parts &amp; Accessories</v>
          </cell>
        </row>
        <row r="5076">
          <cell r="D5076">
            <v>854890</v>
          </cell>
          <cell r="E5076" t="str">
            <v>Insulating fittings for electrical purposes, of materials Others than ceramics or plastics; electrical conduit tubing and joints therefor, of base metal lined with insulating material</v>
          </cell>
          <cell r="F5076">
            <v>0</v>
          </cell>
          <cell r="G5076">
            <v>0</v>
          </cell>
          <cell r="H5076" t="str">
            <v>Parts &amp; Accessories</v>
          </cell>
          <cell r="I5076">
            <v>0</v>
          </cell>
          <cell r="J5076">
            <v>3</v>
          </cell>
          <cell r="K5076" t="str">
            <v>Consumables</v>
          </cell>
        </row>
        <row r="5077">
          <cell r="D5077">
            <v>854911</v>
          </cell>
          <cell r="E5077" t="str">
            <v>Waste and scrap of lead-acid accumulators; spent lead-acid accumulators</v>
          </cell>
          <cell r="F5077">
            <v>0</v>
          </cell>
          <cell r="G5077">
            <v>0</v>
          </cell>
          <cell r="H5077">
            <v>0</v>
          </cell>
          <cell r="I5077" t="str">
            <v>Others</v>
          </cell>
          <cell r="J5077">
            <v>3</v>
          </cell>
          <cell r="K5077" t="str">
            <v>Others</v>
          </cell>
        </row>
        <row r="5078">
          <cell r="D5078">
            <v>854912</v>
          </cell>
          <cell r="E5078" t="str">
            <v>Waste and scrap; of primary cells, primary batteries and electric accumulators, spent or not, containing lead, cadmium or mercury, other than lead-acid accumulators</v>
          </cell>
          <cell r="F5078">
            <v>0</v>
          </cell>
          <cell r="G5078">
            <v>0</v>
          </cell>
          <cell r="H5078">
            <v>0</v>
          </cell>
          <cell r="I5078" t="str">
            <v>Others</v>
          </cell>
          <cell r="J5078">
            <v>3</v>
          </cell>
          <cell r="K5078" t="str">
            <v>Others</v>
          </cell>
        </row>
        <row r="5079">
          <cell r="D5079">
            <v>854913</v>
          </cell>
          <cell r="E5079" t="str">
            <v>Waste and scrap; of primary cells, primary batteries and electric accumulators, spent or not, sorted by chemical type and not containing lead, cadmium or mercury</v>
          </cell>
          <cell r="F5079">
            <v>0</v>
          </cell>
          <cell r="G5079">
            <v>0</v>
          </cell>
          <cell r="H5079">
            <v>0</v>
          </cell>
          <cell r="I5079" t="str">
            <v>Others</v>
          </cell>
          <cell r="J5079">
            <v>3</v>
          </cell>
          <cell r="K5079" t="str">
            <v>Others</v>
          </cell>
        </row>
        <row r="5080">
          <cell r="D5080">
            <v>854914</v>
          </cell>
          <cell r="E5080" t="str">
            <v>Waste and scrap; of primary cells, primary batteries and electric accumulators, spent or not, unsorted and not containing lead, cadmium or mercury</v>
          </cell>
          <cell r="F5080">
            <v>0</v>
          </cell>
          <cell r="G5080">
            <v>0</v>
          </cell>
          <cell r="H5080">
            <v>0</v>
          </cell>
          <cell r="I5080" t="str">
            <v>Others</v>
          </cell>
          <cell r="J5080">
            <v>3</v>
          </cell>
          <cell r="K5080" t="str">
            <v>Others</v>
          </cell>
        </row>
        <row r="5081">
          <cell r="D5081">
            <v>854919</v>
          </cell>
          <cell r="E5081" t="str">
            <v>Waste and scrap; of primary cells, primary batteries and electric accumulators, n.e.c. in item no 8549.1</v>
          </cell>
          <cell r="F5081">
            <v>0</v>
          </cell>
          <cell r="G5081">
            <v>0</v>
          </cell>
          <cell r="H5081">
            <v>0</v>
          </cell>
          <cell r="I5081" t="str">
            <v>Others</v>
          </cell>
          <cell r="J5081">
            <v>3</v>
          </cell>
          <cell r="K5081" t="str">
            <v>Others</v>
          </cell>
        </row>
        <row r="5082">
          <cell r="D5082">
            <v>854921</v>
          </cell>
          <cell r="E5082" t="str">
            <v>Electrical and electronic waste and scrap; of a kind used principally for the recovery of precious metal, containing primary cells and batteries, electric accumulators, mercury-switches, glass from cathode ray tubes or other activated glass, or electrical</v>
          </cell>
          <cell r="F5082">
            <v>0</v>
          </cell>
          <cell r="G5082">
            <v>0</v>
          </cell>
          <cell r="H5082">
            <v>0</v>
          </cell>
          <cell r="I5082" t="str">
            <v>Others</v>
          </cell>
          <cell r="J5082">
            <v>3</v>
          </cell>
          <cell r="K5082" t="str">
            <v>Others</v>
          </cell>
        </row>
        <row r="5083">
          <cell r="D5083">
            <v>854929</v>
          </cell>
          <cell r="E5083" t="str">
            <v>Waste and scrap; of a kind used principally for the recovery of precious metal n.e.c. in item no 8549.21</v>
          </cell>
          <cell r="F5083">
            <v>0</v>
          </cell>
          <cell r="G5083">
            <v>0</v>
          </cell>
          <cell r="H5083">
            <v>0</v>
          </cell>
          <cell r="I5083" t="str">
            <v>Others</v>
          </cell>
          <cell r="J5083">
            <v>3</v>
          </cell>
          <cell r="K5083" t="str">
            <v>Others</v>
          </cell>
        </row>
        <row r="5084">
          <cell r="D5084">
            <v>854931</v>
          </cell>
          <cell r="E5084" t="str">
            <v>Electrical and electronic waste and scrap; electrical and electronic assemblies and printed circuit boards, other than those used principally for the recovery of precious metal, containing primary cells and batteries, electric accumulators, mercury-switch</v>
          </cell>
          <cell r="F5084">
            <v>0</v>
          </cell>
          <cell r="G5084">
            <v>0</v>
          </cell>
          <cell r="H5084">
            <v>0</v>
          </cell>
          <cell r="I5084" t="str">
            <v>Others</v>
          </cell>
          <cell r="J5084">
            <v>3</v>
          </cell>
          <cell r="K5084" t="str">
            <v>Others</v>
          </cell>
        </row>
        <row r="5085">
          <cell r="D5085">
            <v>854939</v>
          </cell>
          <cell r="E5085" t="str">
            <v>Waste and scrap; electrical and electronic assemblies and printed circuit boards, other than those used principally for the recovery of precious metal n.e.c. in item no 8549.31</v>
          </cell>
          <cell r="F5085">
            <v>0</v>
          </cell>
          <cell r="G5085">
            <v>0</v>
          </cell>
          <cell r="H5085">
            <v>0</v>
          </cell>
          <cell r="I5085" t="str">
            <v>Others</v>
          </cell>
          <cell r="J5085">
            <v>3</v>
          </cell>
          <cell r="K5085" t="str">
            <v>Others</v>
          </cell>
        </row>
        <row r="5086">
          <cell r="D5086">
            <v>854991</v>
          </cell>
          <cell r="E5086" t="str">
            <v>Waste and scrap; n.e.c. in heading no 8549</v>
          </cell>
          <cell r="F5086">
            <v>0</v>
          </cell>
          <cell r="G5086">
            <v>0</v>
          </cell>
          <cell r="H5086">
            <v>0</v>
          </cell>
          <cell r="I5086" t="str">
            <v>Others</v>
          </cell>
          <cell r="J5086">
            <v>3</v>
          </cell>
          <cell r="K5086" t="str">
            <v>Others</v>
          </cell>
        </row>
        <row r="5087">
          <cell r="D5087">
            <v>854999</v>
          </cell>
          <cell r="E5087" t="str">
            <v>Waste and scrap; n.e.c. in item no 8549.91</v>
          </cell>
          <cell r="F5087">
            <v>0</v>
          </cell>
          <cell r="G5087">
            <v>0</v>
          </cell>
          <cell r="H5087">
            <v>0</v>
          </cell>
          <cell r="I5087" t="str">
            <v>Others</v>
          </cell>
          <cell r="J5087">
            <v>3</v>
          </cell>
          <cell r="K5087" t="str">
            <v>Others</v>
          </cell>
        </row>
        <row r="5088">
          <cell r="D5088">
            <v>860110</v>
          </cell>
          <cell r="E5088" t="str">
            <v>Rail locomotives; powered from an external source of electricity</v>
          </cell>
          <cell r="F5088">
            <v>0</v>
          </cell>
          <cell r="G5088">
            <v>0</v>
          </cell>
          <cell r="H5088">
            <v>0</v>
          </cell>
          <cell r="I5088" t="str">
            <v>Others</v>
          </cell>
          <cell r="J5088">
            <v>3</v>
          </cell>
          <cell r="K5088" t="str">
            <v>Others</v>
          </cell>
        </row>
        <row r="5089">
          <cell r="D5089">
            <v>860120</v>
          </cell>
          <cell r="E5089" t="str">
            <v>Rail locomotives; powered by electric accumulators</v>
          </cell>
          <cell r="F5089">
            <v>0</v>
          </cell>
          <cell r="G5089">
            <v>0</v>
          </cell>
          <cell r="H5089">
            <v>0</v>
          </cell>
          <cell r="I5089" t="str">
            <v>Others</v>
          </cell>
          <cell r="J5089">
            <v>3</v>
          </cell>
          <cell r="K5089" t="str">
            <v>Others</v>
          </cell>
        </row>
        <row r="5090">
          <cell r="D5090">
            <v>860210</v>
          </cell>
          <cell r="E5090" t="str">
            <v>Rail locomotives; diesel-electric powered</v>
          </cell>
          <cell r="F5090">
            <v>0</v>
          </cell>
          <cell r="G5090">
            <v>0</v>
          </cell>
          <cell r="H5090">
            <v>0</v>
          </cell>
          <cell r="I5090" t="str">
            <v>Others</v>
          </cell>
          <cell r="J5090">
            <v>3</v>
          </cell>
          <cell r="K5090" t="str">
            <v>Others</v>
          </cell>
        </row>
        <row r="5091">
          <cell r="D5091">
            <v>860290</v>
          </cell>
          <cell r="E5091" t="str">
            <v>Rail locomotives and locomotive tenders; other than diesel-electric powered</v>
          </cell>
          <cell r="F5091">
            <v>0</v>
          </cell>
          <cell r="G5091">
            <v>0</v>
          </cell>
          <cell r="H5091">
            <v>0</v>
          </cell>
          <cell r="I5091" t="str">
            <v>Others</v>
          </cell>
          <cell r="J5091">
            <v>3</v>
          </cell>
          <cell r="K5091" t="str">
            <v>Others</v>
          </cell>
        </row>
        <row r="5092">
          <cell r="D5092">
            <v>860310</v>
          </cell>
          <cell r="E5092" t="str">
            <v>Railway or tramway coaches, vans and trucks; self-propelled, powered from an external source of electricity (excluding those of heading no. 8604)</v>
          </cell>
          <cell r="F5092">
            <v>0</v>
          </cell>
          <cell r="G5092">
            <v>0</v>
          </cell>
          <cell r="H5092">
            <v>0</v>
          </cell>
          <cell r="I5092" t="str">
            <v>Others</v>
          </cell>
          <cell r="J5092">
            <v>3</v>
          </cell>
          <cell r="K5092" t="str">
            <v>Others</v>
          </cell>
        </row>
        <row r="5093">
          <cell r="D5093">
            <v>860390</v>
          </cell>
          <cell r="E5093" t="str">
            <v>Railway or tramway coaches, vans and trucks; self-propelled, powered other than from an external source of electricity (excluding those of heading no. 8604)</v>
          </cell>
          <cell r="F5093">
            <v>0</v>
          </cell>
          <cell r="G5093">
            <v>0</v>
          </cell>
          <cell r="H5093">
            <v>0</v>
          </cell>
          <cell r="I5093" t="str">
            <v>Others</v>
          </cell>
          <cell r="J5093">
            <v>3</v>
          </cell>
          <cell r="K5093" t="str">
            <v>Others</v>
          </cell>
        </row>
        <row r="5094">
          <cell r="D5094">
            <v>860400</v>
          </cell>
          <cell r="E5094" t="str">
            <v>Railway or tramway maintenance or service vehicles; whether or not self-propelled (e.g. workshops, cranes, ballast tampers, trackliners, testing coaches and track inspection vehicles)</v>
          </cell>
          <cell r="F5094">
            <v>0</v>
          </cell>
          <cell r="G5094">
            <v>0</v>
          </cell>
          <cell r="H5094">
            <v>0</v>
          </cell>
          <cell r="I5094" t="str">
            <v>Others</v>
          </cell>
          <cell r="J5094">
            <v>3</v>
          </cell>
          <cell r="K5094" t="str">
            <v>Others</v>
          </cell>
        </row>
        <row r="5095">
          <cell r="D5095">
            <v>860500</v>
          </cell>
          <cell r="E5095" t="str">
            <v>Railway or tramway coaches; passenger coaches, luggage vans, post office coaches and other special purpose railway or tramway coaches, not self-propelled (excluding those of heading no. 8604)</v>
          </cell>
          <cell r="F5095">
            <v>0</v>
          </cell>
          <cell r="G5095">
            <v>0</v>
          </cell>
          <cell r="H5095">
            <v>0</v>
          </cell>
          <cell r="I5095" t="str">
            <v>Others</v>
          </cell>
          <cell r="J5095">
            <v>3</v>
          </cell>
          <cell r="K5095" t="str">
            <v>Others</v>
          </cell>
        </row>
        <row r="5096">
          <cell r="D5096">
            <v>860610</v>
          </cell>
          <cell r="E5096" t="str">
            <v>Railway or tramway goods vans and wagons; tank wagons and the like, not self-propelled</v>
          </cell>
          <cell r="F5096">
            <v>0</v>
          </cell>
          <cell r="G5096">
            <v>0</v>
          </cell>
          <cell r="H5096">
            <v>0</v>
          </cell>
          <cell r="I5096" t="str">
            <v>Others</v>
          </cell>
          <cell r="J5096">
            <v>3</v>
          </cell>
          <cell r="K5096" t="str">
            <v>Others</v>
          </cell>
        </row>
        <row r="5097">
          <cell r="D5097">
            <v>860630</v>
          </cell>
          <cell r="E5097" t="str">
            <v>Railway or tramway goods vans and wagons; self-discharging, not self-propelled, excluding those of item no. 8606.10</v>
          </cell>
          <cell r="F5097">
            <v>0</v>
          </cell>
          <cell r="G5097">
            <v>0</v>
          </cell>
          <cell r="H5097">
            <v>0</v>
          </cell>
          <cell r="I5097" t="str">
            <v>Others</v>
          </cell>
          <cell r="J5097">
            <v>3</v>
          </cell>
          <cell r="K5097" t="str">
            <v>Others</v>
          </cell>
        </row>
        <row r="5098">
          <cell r="D5098">
            <v>860691</v>
          </cell>
          <cell r="E5098" t="str">
            <v>Railway or tramway goods vans and wagons; covered and closed, not self-propelled</v>
          </cell>
          <cell r="F5098">
            <v>0</v>
          </cell>
          <cell r="G5098">
            <v>0</v>
          </cell>
          <cell r="H5098">
            <v>0</v>
          </cell>
          <cell r="I5098" t="str">
            <v>Others</v>
          </cell>
          <cell r="J5098">
            <v>3</v>
          </cell>
          <cell r="K5098" t="str">
            <v>Others</v>
          </cell>
        </row>
        <row r="5099">
          <cell r="D5099">
            <v>860692</v>
          </cell>
          <cell r="E5099" t="str">
            <v>Railway or tramway goods vans and wagons; open, with non-removable sides of a height exceeding 60cm, not self-propelled</v>
          </cell>
          <cell r="F5099">
            <v>0</v>
          </cell>
          <cell r="G5099">
            <v>0</v>
          </cell>
          <cell r="H5099">
            <v>0</v>
          </cell>
          <cell r="I5099" t="str">
            <v>Others</v>
          </cell>
          <cell r="J5099">
            <v>3</v>
          </cell>
          <cell r="K5099" t="str">
            <v>Others</v>
          </cell>
        </row>
        <row r="5100">
          <cell r="D5100">
            <v>860699</v>
          </cell>
          <cell r="E5100" t="str">
            <v>Railway or tramway goods vans and wagons; n.e.c. in heading no. 8606, not self-propelled</v>
          </cell>
          <cell r="F5100">
            <v>0</v>
          </cell>
          <cell r="G5100">
            <v>0</v>
          </cell>
          <cell r="H5100">
            <v>0</v>
          </cell>
          <cell r="I5100" t="str">
            <v>Others</v>
          </cell>
          <cell r="J5100">
            <v>3</v>
          </cell>
          <cell r="K5100" t="str">
            <v>Others</v>
          </cell>
        </row>
        <row r="5101">
          <cell r="D5101">
            <v>860711</v>
          </cell>
          <cell r="E5101" t="str">
            <v>Railway or tramway locomotives or rolling stock; parts, driving bogies and bissel-bogies</v>
          </cell>
          <cell r="F5101">
            <v>0</v>
          </cell>
          <cell r="G5101">
            <v>0</v>
          </cell>
          <cell r="H5101">
            <v>0</v>
          </cell>
          <cell r="I5101" t="str">
            <v>Parts &amp; Accessories</v>
          </cell>
          <cell r="J5101">
            <v>3</v>
          </cell>
          <cell r="K5101" t="str">
            <v>Parts &amp; Accessories - rc</v>
          </cell>
        </row>
        <row r="5102">
          <cell r="D5102">
            <v>860712</v>
          </cell>
          <cell r="E5102" t="str">
            <v>Railway or tramway locomotives or rolling stock; parts, bogies and bissel-bogies (excluding driving bogies and bissel-bogies)</v>
          </cell>
          <cell r="F5102">
            <v>0</v>
          </cell>
          <cell r="G5102">
            <v>0</v>
          </cell>
          <cell r="H5102">
            <v>0</v>
          </cell>
          <cell r="I5102" t="str">
            <v>Parts &amp; Accessories</v>
          </cell>
          <cell r="J5102">
            <v>3</v>
          </cell>
          <cell r="K5102" t="str">
            <v>Parts &amp; Accessories - rc</v>
          </cell>
        </row>
        <row r="5103">
          <cell r="D5103">
            <v>860719</v>
          </cell>
          <cell r="E5103" t="str">
            <v>Railway or tramway locomotives or rolling stock; parts, axles and wheels, and parts thereof</v>
          </cell>
          <cell r="F5103">
            <v>0</v>
          </cell>
          <cell r="G5103">
            <v>0</v>
          </cell>
          <cell r="H5103">
            <v>0</v>
          </cell>
          <cell r="I5103" t="str">
            <v>Parts &amp; Accessories</v>
          </cell>
          <cell r="J5103">
            <v>3</v>
          </cell>
          <cell r="K5103" t="str">
            <v>Parts &amp; Accessories - rc</v>
          </cell>
        </row>
        <row r="5104">
          <cell r="D5104">
            <v>860721</v>
          </cell>
          <cell r="E5104" t="str">
            <v>Railway or tramway locomotives or rolling stock; parts, air brakes and parts thereof</v>
          </cell>
          <cell r="F5104">
            <v>0</v>
          </cell>
          <cell r="G5104">
            <v>0</v>
          </cell>
          <cell r="H5104">
            <v>0</v>
          </cell>
          <cell r="I5104" t="str">
            <v>Parts &amp; Accessories</v>
          </cell>
          <cell r="J5104">
            <v>3</v>
          </cell>
          <cell r="K5104" t="str">
            <v>Parts &amp; Accessories - rc</v>
          </cell>
        </row>
        <row r="5105">
          <cell r="D5105">
            <v>860729</v>
          </cell>
          <cell r="E5105" t="str">
            <v>Railway or tramway locomotives or rolling stock; parts, brakes (other than air brakes) and parts thereof</v>
          </cell>
          <cell r="F5105">
            <v>0</v>
          </cell>
          <cell r="G5105">
            <v>0</v>
          </cell>
          <cell r="H5105">
            <v>0</v>
          </cell>
          <cell r="I5105" t="str">
            <v>Parts &amp; Accessories</v>
          </cell>
          <cell r="J5105">
            <v>3</v>
          </cell>
          <cell r="K5105" t="str">
            <v>Parts &amp; Accessories - rc</v>
          </cell>
        </row>
        <row r="5106">
          <cell r="D5106">
            <v>860730</v>
          </cell>
          <cell r="E5106" t="str">
            <v>Railway or tramway locomotives or rolling stock; parts, hooks and other coupling devices, buffers and parts thereof</v>
          </cell>
          <cell r="F5106" t="str">
            <v>Parts &amp; Accessories</v>
          </cell>
          <cell r="G5106">
            <v>0</v>
          </cell>
          <cell r="H5106">
            <v>0</v>
          </cell>
          <cell r="I5106" t="str">
            <v>Parts &amp; Accessories</v>
          </cell>
          <cell r="J5106">
            <v>2</v>
          </cell>
          <cell r="K5106" t="str">
            <v>Parts &amp; Accessories - rc</v>
          </cell>
        </row>
        <row r="5107">
          <cell r="D5107">
            <v>860791</v>
          </cell>
          <cell r="E5107" t="str">
            <v>Railway or tramway locomotives; parts n.e.c. in heading no. 8607</v>
          </cell>
          <cell r="F5107">
            <v>0</v>
          </cell>
          <cell r="G5107">
            <v>0</v>
          </cell>
          <cell r="H5107">
            <v>0</v>
          </cell>
          <cell r="I5107" t="str">
            <v>Parts &amp; Accessories</v>
          </cell>
          <cell r="J5107">
            <v>3</v>
          </cell>
          <cell r="K5107" t="str">
            <v>Parts &amp; Accessories - rc</v>
          </cell>
        </row>
        <row r="5108">
          <cell r="D5108">
            <v>860799</v>
          </cell>
          <cell r="E5108" t="str">
            <v>Railway or tramway rolling stock; parts n.e.c. in heading no. 8607</v>
          </cell>
          <cell r="F5108">
            <v>0</v>
          </cell>
          <cell r="G5108">
            <v>0</v>
          </cell>
          <cell r="H5108">
            <v>0</v>
          </cell>
          <cell r="I5108" t="str">
            <v>Parts &amp; Accessories</v>
          </cell>
          <cell r="J5108">
            <v>3</v>
          </cell>
          <cell r="K5108" t="str">
            <v>Parts &amp; Accessories - rc</v>
          </cell>
        </row>
        <row r="5109">
          <cell r="D5109">
            <v>860800</v>
          </cell>
          <cell r="E5109" t="str">
            <v>Railway or tramway track fixtures and fittings; mechanical (including electro-mechanical) signalling, safety or traffic control equipment for railways, tramways, roads, inland waterways, parking facilities, port installations or airfields; parts thereof</v>
          </cell>
          <cell r="F5109">
            <v>0</v>
          </cell>
          <cell r="G5109">
            <v>0</v>
          </cell>
          <cell r="H5109">
            <v>0</v>
          </cell>
          <cell r="I5109" t="str">
            <v>Parts &amp; Accessories</v>
          </cell>
          <cell r="J5109">
            <v>3</v>
          </cell>
          <cell r="K5109" t="str">
            <v>Parts &amp; Accessories - rc</v>
          </cell>
        </row>
        <row r="5110">
          <cell r="D5110">
            <v>860900</v>
          </cell>
          <cell r="E5110" t="str">
            <v>Containers; (including containers for transport of fluids) specially designed and equipped for carriage by one or more modes of transport</v>
          </cell>
          <cell r="F5110">
            <v>0</v>
          </cell>
          <cell r="G5110">
            <v>0</v>
          </cell>
          <cell r="H5110">
            <v>0</v>
          </cell>
          <cell r="I5110" t="str">
            <v>Others</v>
          </cell>
          <cell r="J5110">
            <v>3</v>
          </cell>
          <cell r="K5110" t="str">
            <v>Others</v>
          </cell>
        </row>
        <row r="5111">
          <cell r="D5111">
            <v>870110</v>
          </cell>
          <cell r="E5111" t="str">
            <v>Tractors; single axle</v>
          </cell>
          <cell r="F5111">
            <v>0</v>
          </cell>
          <cell r="G5111">
            <v>0</v>
          </cell>
          <cell r="H5111" t="str">
            <v>Capital Goods</v>
          </cell>
          <cell r="I5111" t="str">
            <v>Capital Goods</v>
          </cell>
          <cell r="J5111">
            <v>2</v>
          </cell>
          <cell r="K5111" t="str">
            <v>Capital Goods</v>
          </cell>
        </row>
        <row r="5112">
          <cell r="D5112">
            <v>870120</v>
          </cell>
          <cell r="E5112" t="str">
            <v>Road tractors for semi-trailers</v>
          </cell>
          <cell r="F5112">
            <v>0</v>
          </cell>
          <cell r="G5112">
            <v>0</v>
          </cell>
          <cell r="H5112" t="str">
            <v>Capital Goods</v>
          </cell>
          <cell r="I5112">
            <v>0</v>
          </cell>
          <cell r="J5112">
            <v>3</v>
          </cell>
          <cell r="K5112" t="str">
            <v>Capital Goods</v>
          </cell>
        </row>
        <row r="5113">
          <cell r="D5113">
            <v>870121</v>
          </cell>
          <cell r="E5113" t="str">
            <v>Tractors; road tractors for semi-trailers, with only compression-ignition internal combustion piston engine (diesel or semi-diesel)</v>
          </cell>
          <cell r="F5113">
            <v>0</v>
          </cell>
          <cell r="G5113">
            <v>0</v>
          </cell>
          <cell r="H5113">
            <v>0</v>
          </cell>
          <cell r="I5113" t="str">
            <v>Others</v>
          </cell>
          <cell r="J5113">
            <v>3</v>
          </cell>
          <cell r="K5113" t="str">
            <v>Others</v>
          </cell>
        </row>
        <row r="5114">
          <cell r="D5114">
            <v>870122</v>
          </cell>
          <cell r="E5114" t="str">
            <v>Tractors; road tractors for semi-trailers, with both compression-ignition internal combustion piston engine (diesel or semi-diesel) and electric motors for propulsion</v>
          </cell>
          <cell r="F5114">
            <v>0</v>
          </cell>
          <cell r="G5114">
            <v>0</v>
          </cell>
          <cell r="H5114">
            <v>0</v>
          </cell>
          <cell r="I5114" t="str">
            <v>Others</v>
          </cell>
          <cell r="J5114">
            <v>3</v>
          </cell>
          <cell r="K5114" t="str">
            <v>Others</v>
          </cell>
        </row>
        <row r="5115">
          <cell r="D5115">
            <v>870123</v>
          </cell>
          <cell r="E5115" t="str">
            <v>Tractors; road tractors for semi-trailers, with both spark-ignition internal combustion piston engine and electric motors for propulsion</v>
          </cell>
          <cell r="F5115">
            <v>0</v>
          </cell>
          <cell r="G5115">
            <v>0</v>
          </cell>
          <cell r="H5115">
            <v>0</v>
          </cell>
          <cell r="I5115" t="str">
            <v>Others</v>
          </cell>
          <cell r="J5115">
            <v>3</v>
          </cell>
          <cell r="K5115" t="str">
            <v>Others</v>
          </cell>
        </row>
        <row r="5116">
          <cell r="D5116">
            <v>870124</v>
          </cell>
          <cell r="E5116" t="str">
            <v>Tractors; road tractors for semi-trailers, with only electric motors for propulsion</v>
          </cell>
          <cell r="F5116">
            <v>0</v>
          </cell>
          <cell r="G5116">
            <v>0</v>
          </cell>
          <cell r="H5116">
            <v>0</v>
          </cell>
          <cell r="I5116" t="str">
            <v>Others</v>
          </cell>
          <cell r="J5116">
            <v>3</v>
          </cell>
          <cell r="K5116" t="str">
            <v>Others</v>
          </cell>
        </row>
        <row r="5117">
          <cell r="D5117">
            <v>870129</v>
          </cell>
          <cell r="E5117" t="str">
            <v>Tractors; road tractors for semi-trailers, with other propulsion methods n.e.c. in item no 8701.2</v>
          </cell>
          <cell r="F5117">
            <v>0</v>
          </cell>
          <cell r="G5117">
            <v>0</v>
          </cell>
          <cell r="H5117">
            <v>0</v>
          </cell>
          <cell r="I5117" t="str">
            <v>Others</v>
          </cell>
          <cell r="J5117">
            <v>3</v>
          </cell>
          <cell r="K5117" t="str">
            <v>Others</v>
          </cell>
        </row>
        <row r="5118">
          <cell r="D5118">
            <v>870130</v>
          </cell>
          <cell r="E5118" t="str">
            <v>Tractors; track-laying</v>
          </cell>
          <cell r="F5118">
            <v>0</v>
          </cell>
          <cell r="G5118">
            <v>0</v>
          </cell>
          <cell r="H5118" t="str">
            <v>Capital Goods</v>
          </cell>
          <cell r="I5118" t="str">
            <v>Capital Goods</v>
          </cell>
          <cell r="J5118">
            <v>2</v>
          </cell>
          <cell r="K5118" t="str">
            <v>Capital Goods</v>
          </cell>
        </row>
        <row r="5119">
          <cell r="D5119">
            <v>870190</v>
          </cell>
          <cell r="E5119" t="str">
            <v>Others tractors</v>
          </cell>
          <cell r="F5119">
            <v>0</v>
          </cell>
          <cell r="G5119">
            <v>0</v>
          </cell>
          <cell r="H5119" t="str">
            <v>Capital Goods</v>
          </cell>
          <cell r="I5119">
            <v>0</v>
          </cell>
          <cell r="J5119">
            <v>3</v>
          </cell>
          <cell r="K5119" t="str">
            <v>Capital Goods</v>
          </cell>
        </row>
        <row r="5120">
          <cell r="D5120">
            <v>870191</v>
          </cell>
          <cell r="E5120" t="str">
            <v>Tractors; n.e.c. in heading no 8701 (other than tractors of heading no 8709); of an engine power not exceeding 18kW</v>
          </cell>
          <cell r="F5120">
            <v>0</v>
          </cell>
          <cell r="G5120">
            <v>0</v>
          </cell>
          <cell r="H5120">
            <v>0</v>
          </cell>
          <cell r="I5120" t="str">
            <v>Capital Goods</v>
          </cell>
          <cell r="J5120">
            <v>3</v>
          </cell>
          <cell r="K5120" t="str">
            <v>Capital Goods</v>
          </cell>
        </row>
        <row r="5121">
          <cell r="D5121">
            <v>870192</v>
          </cell>
          <cell r="E5121" t="str">
            <v>Tractors; n.e.c. in heading no 8701 (other than tractors of heading no 8709); of an engine power exceeding 18kW but not exceeding 37kW</v>
          </cell>
          <cell r="F5121">
            <v>0</v>
          </cell>
          <cell r="G5121">
            <v>0</v>
          </cell>
          <cell r="H5121">
            <v>0</v>
          </cell>
          <cell r="I5121" t="str">
            <v>Capital Goods</v>
          </cell>
          <cell r="J5121">
            <v>3</v>
          </cell>
          <cell r="K5121" t="str">
            <v>Capital Goods</v>
          </cell>
        </row>
        <row r="5122">
          <cell r="D5122">
            <v>870193</v>
          </cell>
          <cell r="E5122" t="str">
            <v>Tractors; n.e.c. in heading no 8701 (other than tractors of heading no 8709); of an engine power exceeding 37kW but not exceeding 75kW</v>
          </cell>
          <cell r="F5122">
            <v>0</v>
          </cell>
          <cell r="G5122">
            <v>0</v>
          </cell>
          <cell r="H5122">
            <v>0</v>
          </cell>
          <cell r="I5122" t="str">
            <v>Capital Goods</v>
          </cell>
          <cell r="J5122">
            <v>3</v>
          </cell>
          <cell r="K5122" t="str">
            <v>Capital Goods</v>
          </cell>
        </row>
        <row r="5123">
          <cell r="D5123">
            <v>870194</v>
          </cell>
          <cell r="E5123" t="str">
            <v>Tractors; n.e.c. in heading no 8701 (other than tractors of heading no 8709); of an engine power exceeding 75kW but not exceeding 130kW</v>
          </cell>
          <cell r="F5123">
            <v>0</v>
          </cell>
          <cell r="G5123">
            <v>0</v>
          </cell>
          <cell r="H5123">
            <v>0</v>
          </cell>
          <cell r="I5123" t="str">
            <v>Capital Goods</v>
          </cell>
          <cell r="J5123">
            <v>3</v>
          </cell>
          <cell r="K5123" t="str">
            <v>Capital Goods</v>
          </cell>
        </row>
        <row r="5124">
          <cell r="D5124">
            <v>870195</v>
          </cell>
          <cell r="E5124" t="str">
            <v>Tractors; n.e.c. in heading no 8701 (other than tractors of heading no 8709); of an engine power exceeding 130kW</v>
          </cell>
          <cell r="F5124">
            <v>0</v>
          </cell>
          <cell r="G5124">
            <v>0</v>
          </cell>
          <cell r="H5124">
            <v>0</v>
          </cell>
          <cell r="I5124" t="str">
            <v>Capital Goods</v>
          </cell>
          <cell r="J5124">
            <v>3</v>
          </cell>
          <cell r="K5124" t="str">
            <v>Capital Goods - rc</v>
          </cell>
        </row>
        <row r="5125">
          <cell r="D5125">
            <v>870210</v>
          </cell>
          <cell r="E5125" t="str">
            <v>Vehicles; public transport type (carries 10 or more persons, including driver), with only compression-ignition internal combustion piston engine (diesel or semi-diesel), new or used</v>
          </cell>
          <cell r="F5125">
            <v>0</v>
          </cell>
          <cell r="G5125">
            <v>0</v>
          </cell>
          <cell r="H5125">
            <v>0</v>
          </cell>
          <cell r="I5125" t="str">
            <v>Others</v>
          </cell>
          <cell r="J5125">
            <v>3</v>
          </cell>
          <cell r="K5125" t="str">
            <v>Others</v>
          </cell>
        </row>
        <row r="5126">
          <cell r="D5126">
            <v>870220</v>
          </cell>
          <cell r="E5126" t="str">
            <v>Vehicles; public transport type (carries 10 or more persons, including driver), with both compression-ignition internal combustion piston engine (diesel or semi-diesel) and electric motor for propulsion, new or used</v>
          </cell>
          <cell r="F5126">
            <v>0</v>
          </cell>
          <cell r="G5126">
            <v>0</v>
          </cell>
          <cell r="H5126">
            <v>0</v>
          </cell>
          <cell r="I5126" t="str">
            <v>Others</v>
          </cell>
          <cell r="J5126">
            <v>3</v>
          </cell>
          <cell r="K5126" t="str">
            <v>Others</v>
          </cell>
        </row>
        <row r="5127">
          <cell r="D5127">
            <v>870230</v>
          </cell>
          <cell r="E5127" t="str">
            <v>Vehicles; public transport type (carries 10 or more persons, including driver), with both compression-ignition internal combustion piston engine (diesel or semi-diesel) and electric motor for propulsion, new or used</v>
          </cell>
          <cell r="F5127">
            <v>0</v>
          </cell>
          <cell r="G5127">
            <v>0</v>
          </cell>
          <cell r="H5127">
            <v>0</v>
          </cell>
          <cell r="I5127" t="str">
            <v>Others</v>
          </cell>
          <cell r="J5127">
            <v>3</v>
          </cell>
          <cell r="K5127" t="str">
            <v>Others</v>
          </cell>
        </row>
        <row r="5128">
          <cell r="D5128">
            <v>870240</v>
          </cell>
          <cell r="E5128" t="str">
            <v>Vehicles; public transport type (carries 10 or more persons, including driver), with only electric motor for propulsion, new or used</v>
          </cell>
          <cell r="F5128">
            <v>0</v>
          </cell>
          <cell r="G5128">
            <v>0</v>
          </cell>
          <cell r="H5128">
            <v>0</v>
          </cell>
          <cell r="I5128" t="str">
            <v>Others</v>
          </cell>
          <cell r="J5128">
            <v>3</v>
          </cell>
          <cell r="K5128" t="str">
            <v>Others</v>
          </cell>
        </row>
        <row r="5129">
          <cell r="D5129">
            <v>870290</v>
          </cell>
          <cell r="E5129" t="str">
            <v>Vehicles; public transport type (carries 10 or more persons, including driver), n.e.c. in heading 8702, new or used</v>
          </cell>
          <cell r="F5129">
            <v>0</v>
          </cell>
          <cell r="G5129">
            <v>0</v>
          </cell>
          <cell r="H5129">
            <v>0</v>
          </cell>
          <cell r="I5129" t="str">
            <v>Others</v>
          </cell>
          <cell r="J5129">
            <v>3</v>
          </cell>
          <cell r="K5129" t="str">
            <v>Others</v>
          </cell>
        </row>
        <row r="5130">
          <cell r="D5130">
            <v>870310</v>
          </cell>
          <cell r="E5130" t="str">
            <v>Vehicles; specially designed for travelling on snow, golf cars and similar vehicles</v>
          </cell>
          <cell r="F5130">
            <v>0</v>
          </cell>
          <cell r="G5130">
            <v>0</v>
          </cell>
          <cell r="H5130">
            <v>0</v>
          </cell>
          <cell r="I5130" t="str">
            <v>Others</v>
          </cell>
          <cell r="J5130">
            <v>3</v>
          </cell>
          <cell r="K5130" t="str">
            <v>Others</v>
          </cell>
        </row>
        <row r="5131">
          <cell r="D5131">
            <v>870321</v>
          </cell>
          <cell r="E5131" t="str">
            <v>Vehicles; with only spark-ignition internal combustion piston engine, cylinder capacity not over 1000cc</v>
          </cell>
          <cell r="F5131">
            <v>0</v>
          </cell>
          <cell r="G5131">
            <v>0</v>
          </cell>
          <cell r="H5131">
            <v>0</v>
          </cell>
          <cell r="I5131" t="str">
            <v>Others</v>
          </cell>
          <cell r="J5131">
            <v>3</v>
          </cell>
          <cell r="K5131" t="str">
            <v>Others</v>
          </cell>
        </row>
        <row r="5132">
          <cell r="D5132">
            <v>870322</v>
          </cell>
          <cell r="E5132" t="str">
            <v>Vehicles; with only spark-ignition internal combustion piston engine, cylinder capacity over 1000 but not over 1500cc</v>
          </cell>
          <cell r="F5132">
            <v>0</v>
          </cell>
          <cell r="G5132">
            <v>0</v>
          </cell>
          <cell r="H5132">
            <v>0</v>
          </cell>
          <cell r="I5132" t="str">
            <v>Others</v>
          </cell>
          <cell r="J5132">
            <v>3</v>
          </cell>
          <cell r="K5132" t="str">
            <v>Others</v>
          </cell>
        </row>
        <row r="5133">
          <cell r="D5133">
            <v>870323</v>
          </cell>
          <cell r="E5133" t="str">
            <v>Vehicles; with only spark-ignition internal combustion reciprocating piston engine, cylinder capacity over 1500 but not over 3000cc</v>
          </cell>
          <cell r="F5133">
            <v>0</v>
          </cell>
          <cell r="G5133">
            <v>0</v>
          </cell>
          <cell r="H5133">
            <v>0</v>
          </cell>
          <cell r="I5133" t="str">
            <v>Others</v>
          </cell>
          <cell r="J5133">
            <v>3</v>
          </cell>
          <cell r="K5133" t="str">
            <v>Others</v>
          </cell>
        </row>
        <row r="5134">
          <cell r="D5134">
            <v>870324</v>
          </cell>
          <cell r="E5134" t="str">
            <v>Vehicles; with only spark-ignition internal combustion reciprocating piston engine, cylinder capacity over 3000cc</v>
          </cell>
          <cell r="F5134">
            <v>0</v>
          </cell>
          <cell r="G5134">
            <v>0</v>
          </cell>
          <cell r="H5134">
            <v>0</v>
          </cell>
          <cell r="I5134" t="str">
            <v>Others</v>
          </cell>
          <cell r="J5134">
            <v>3</v>
          </cell>
          <cell r="K5134" t="str">
            <v>Others</v>
          </cell>
        </row>
        <row r="5135">
          <cell r="D5135">
            <v>870331</v>
          </cell>
          <cell r="E5135" t="str">
            <v>Vehicles; with only compression-ignition internal combustion piston engine (diesel or semi-diesel), cylinder capacity not over 1500cc</v>
          </cell>
          <cell r="F5135">
            <v>0</v>
          </cell>
          <cell r="G5135">
            <v>0</v>
          </cell>
          <cell r="H5135">
            <v>0</v>
          </cell>
          <cell r="I5135" t="str">
            <v>Others</v>
          </cell>
          <cell r="J5135">
            <v>3</v>
          </cell>
          <cell r="K5135" t="str">
            <v>Others</v>
          </cell>
        </row>
        <row r="5136">
          <cell r="D5136">
            <v>870332</v>
          </cell>
          <cell r="E5136" t="str">
            <v>Vehicles; with only compression-ignition internal combustion piston engine (diesel or semi-diesel), cylinder capacity over 1500 but not over 2500cc</v>
          </cell>
          <cell r="F5136">
            <v>0</v>
          </cell>
          <cell r="G5136">
            <v>0</v>
          </cell>
          <cell r="H5136">
            <v>0</v>
          </cell>
          <cell r="I5136" t="str">
            <v>Others</v>
          </cell>
          <cell r="J5136">
            <v>3</v>
          </cell>
          <cell r="K5136" t="str">
            <v>Others</v>
          </cell>
        </row>
        <row r="5137">
          <cell r="D5137">
            <v>870333</v>
          </cell>
          <cell r="E5137" t="str">
            <v>Vehicles; with only compression-ignition internal combustion piston engine (diesel or semi-diesel), cylinder capacity over 2500cc</v>
          </cell>
          <cell r="F5137">
            <v>0</v>
          </cell>
          <cell r="G5137">
            <v>0</v>
          </cell>
          <cell r="H5137">
            <v>0</v>
          </cell>
          <cell r="I5137" t="str">
            <v>Others</v>
          </cell>
          <cell r="J5137">
            <v>3</v>
          </cell>
          <cell r="K5137" t="str">
            <v>Others</v>
          </cell>
        </row>
        <row r="5138">
          <cell r="D5138">
            <v>870340</v>
          </cell>
          <cell r="E5138" t="str">
            <v>Vehicles; with both spark-ignition internal combustion piston engine and electric motor for propulsion, incapable of being charged by plugging to external source of electric power</v>
          </cell>
          <cell r="F5138">
            <v>0</v>
          </cell>
          <cell r="G5138">
            <v>0</v>
          </cell>
          <cell r="H5138">
            <v>0</v>
          </cell>
          <cell r="I5138" t="str">
            <v>Others</v>
          </cell>
          <cell r="J5138">
            <v>3</v>
          </cell>
          <cell r="K5138" t="str">
            <v>Others</v>
          </cell>
        </row>
        <row r="5139">
          <cell r="D5139">
            <v>870350</v>
          </cell>
          <cell r="E5139" t="str">
            <v>Vehicles; with both compression-ignition internal combustion piston engine (diesel or semi-diesel) and electric motor for propulsion, incapable of being charged by plugging to external source of electric power</v>
          </cell>
          <cell r="F5139">
            <v>0</v>
          </cell>
          <cell r="G5139">
            <v>0</v>
          </cell>
          <cell r="H5139">
            <v>0</v>
          </cell>
          <cell r="I5139" t="str">
            <v>Others</v>
          </cell>
          <cell r="J5139">
            <v>3</v>
          </cell>
          <cell r="K5139" t="str">
            <v>Others</v>
          </cell>
        </row>
        <row r="5140">
          <cell r="D5140">
            <v>870360</v>
          </cell>
          <cell r="E5140" t="str">
            <v>Vehicles; with both spark-ignition internal combustion piston engine and electric motor for propulsion, capable of being charged by plugging to external source of electric power</v>
          </cell>
          <cell r="F5140">
            <v>0</v>
          </cell>
          <cell r="G5140">
            <v>0</v>
          </cell>
          <cell r="H5140">
            <v>0</v>
          </cell>
          <cell r="I5140" t="str">
            <v>Others</v>
          </cell>
          <cell r="J5140">
            <v>3</v>
          </cell>
          <cell r="K5140" t="str">
            <v>Others</v>
          </cell>
        </row>
        <row r="5141">
          <cell r="D5141">
            <v>870370</v>
          </cell>
          <cell r="E5141" t="str">
            <v>Vehicles; with both compression-ignition internal combustion piston engine (diesel or semi-diesel) and electric motor for propulsion, capable of being charged by plugging to external source of electric power</v>
          </cell>
          <cell r="F5141">
            <v>0</v>
          </cell>
          <cell r="G5141">
            <v>0</v>
          </cell>
          <cell r="H5141">
            <v>0</v>
          </cell>
          <cell r="I5141" t="str">
            <v>Others</v>
          </cell>
          <cell r="J5141">
            <v>3</v>
          </cell>
          <cell r="K5141" t="str">
            <v>Others</v>
          </cell>
        </row>
        <row r="5142">
          <cell r="D5142">
            <v>870380</v>
          </cell>
          <cell r="E5142" t="str">
            <v>Vehicles; with only electric motor for propulsion</v>
          </cell>
          <cell r="F5142">
            <v>0</v>
          </cell>
          <cell r="G5142">
            <v>0</v>
          </cell>
          <cell r="H5142">
            <v>0</v>
          </cell>
          <cell r="I5142" t="str">
            <v>Others</v>
          </cell>
          <cell r="J5142">
            <v>3</v>
          </cell>
          <cell r="K5142" t="str">
            <v>Others</v>
          </cell>
        </row>
        <row r="5143">
          <cell r="D5143">
            <v>870390</v>
          </cell>
          <cell r="E5143" t="str">
            <v>Vehicles; for transport of persons (other than those of heading no. 8702) n.e.c. in heading no. 8703</v>
          </cell>
          <cell r="F5143">
            <v>0</v>
          </cell>
          <cell r="G5143">
            <v>0</v>
          </cell>
          <cell r="H5143">
            <v>0</v>
          </cell>
          <cell r="I5143" t="str">
            <v>Others</v>
          </cell>
          <cell r="J5143">
            <v>3</v>
          </cell>
          <cell r="K5143" t="str">
            <v>Others</v>
          </cell>
        </row>
        <row r="5144">
          <cell r="D5144">
            <v>870410</v>
          </cell>
          <cell r="E5144" t="str">
            <v>Vehicles; dumpers, designed for off-highway use, for transport of goods</v>
          </cell>
          <cell r="F5144">
            <v>0</v>
          </cell>
          <cell r="G5144">
            <v>0</v>
          </cell>
          <cell r="H5144">
            <v>0</v>
          </cell>
          <cell r="I5144" t="str">
            <v>Others</v>
          </cell>
          <cell r="J5144">
            <v>3</v>
          </cell>
          <cell r="K5144" t="str">
            <v>Others</v>
          </cell>
        </row>
        <row r="5145">
          <cell r="D5145">
            <v>870421</v>
          </cell>
          <cell r="E5145" t="str">
            <v>Vehicles; with only compression-ignition internal combustion piston engine (diesel or semi-diesel), for transport of goods, (of a gvw not exceeding 5 tonnes), n.e.c. in item no 8704.1</v>
          </cell>
          <cell r="F5145">
            <v>0</v>
          </cell>
          <cell r="G5145">
            <v>0</v>
          </cell>
          <cell r="H5145">
            <v>0</v>
          </cell>
          <cell r="I5145" t="str">
            <v>Others</v>
          </cell>
          <cell r="J5145">
            <v>3</v>
          </cell>
          <cell r="K5145" t="str">
            <v>Others</v>
          </cell>
        </row>
        <row r="5146">
          <cell r="D5146">
            <v>870422</v>
          </cell>
          <cell r="E5146" t="str">
            <v>Vehicles; with only compression-ignition internal combustion piston engine (diesel or semi-diesel), for transport of goods, (of a g.v.w. exceeding 5 tonnes but not exceeding 20 tonnes), n.e.c. in item no 8704.1</v>
          </cell>
          <cell r="F5146">
            <v>0</v>
          </cell>
          <cell r="G5146">
            <v>0</v>
          </cell>
          <cell r="H5146">
            <v>0</v>
          </cell>
          <cell r="I5146" t="str">
            <v>Others</v>
          </cell>
          <cell r="J5146">
            <v>3</v>
          </cell>
          <cell r="K5146" t="str">
            <v>Others</v>
          </cell>
        </row>
        <row r="5147">
          <cell r="D5147">
            <v>870423</v>
          </cell>
          <cell r="E5147" t="str">
            <v>Vehicles; with only compression-ignition internal combustion piston engine (diesel or semi-diesel), for transport of goods, (of a g.v.w. exceeding 20 tonnes), n.e.c. in item no 8704.1</v>
          </cell>
          <cell r="F5147">
            <v>0</v>
          </cell>
          <cell r="G5147">
            <v>0</v>
          </cell>
          <cell r="H5147">
            <v>0</v>
          </cell>
          <cell r="I5147" t="str">
            <v>Others</v>
          </cell>
          <cell r="J5147">
            <v>3</v>
          </cell>
          <cell r="K5147" t="str">
            <v>Others</v>
          </cell>
        </row>
        <row r="5148">
          <cell r="D5148">
            <v>870431</v>
          </cell>
          <cell r="E5148" t="str">
            <v>Vehicles; with only spark-ignition internal combustion piston engine, for transport of goods, (of a g.v.w. not exceeding 5 tonnes), n.e.c. in item no 8704.1</v>
          </cell>
          <cell r="F5148">
            <v>0</v>
          </cell>
          <cell r="G5148">
            <v>0</v>
          </cell>
          <cell r="H5148">
            <v>0</v>
          </cell>
          <cell r="I5148" t="str">
            <v>Others</v>
          </cell>
          <cell r="J5148">
            <v>3</v>
          </cell>
          <cell r="K5148" t="str">
            <v>Others</v>
          </cell>
        </row>
        <row r="5149">
          <cell r="D5149">
            <v>870432</v>
          </cell>
          <cell r="E5149" t="str">
            <v>Vehicles; with only spark-ignition internal combustion piston engine, for transport of goods, (of a g.v.w. exceeding 5 tonnes), n.e.c. in item no 8704.1</v>
          </cell>
          <cell r="F5149">
            <v>0</v>
          </cell>
          <cell r="G5149">
            <v>0</v>
          </cell>
          <cell r="H5149">
            <v>0</v>
          </cell>
          <cell r="I5149" t="str">
            <v>Others</v>
          </cell>
          <cell r="J5149">
            <v>3</v>
          </cell>
          <cell r="K5149" t="str">
            <v>Others</v>
          </cell>
        </row>
        <row r="5150">
          <cell r="D5150">
            <v>870441</v>
          </cell>
          <cell r="E5150" t="str">
            <v>Vehicles; with both compression-ignition internal combustion piston engine (diesel/semi-diesel) and electric motor as motor for propulsion, unassembled as in section 14, (gvw not exceeding 5000kg), for the transport of goods, vans</v>
          </cell>
          <cell r="F5150">
            <v>0</v>
          </cell>
          <cell r="G5150">
            <v>0</v>
          </cell>
          <cell r="H5150">
            <v>0</v>
          </cell>
          <cell r="I5150" t="str">
            <v>Others</v>
          </cell>
          <cell r="J5150">
            <v>3</v>
          </cell>
          <cell r="K5150" t="str">
            <v>Others</v>
          </cell>
        </row>
        <row r="5151">
          <cell r="D5151">
            <v>870442</v>
          </cell>
          <cell r="E5151" t="str">
            <v>Vehicles; with both compression-ignition internal combustion piston engine (diesel/semi-diesel) and electric motors for propulsion, of a g.v.w. exceeding 5,000kg but not exceeding 20,000kg</v>
          </cell>
          <cell r="F5151">
            <v>0</v>
          </cell>
          <cell r="G5151">
            <v>0</v>
          </cell>
          <cell r="H5151">
            <v>0</v>
          </cell>
          <cell r="I5151" t="str">
            <v>Others</v>
          </cell>
          <cell r="J5151">
            <v>3</v>
          </cell>
          <cell r="K5151" t="str">
            <v>Others</v>
          </cell>
        </row>
        <row r="5152">
          <cell r="D5152">
            <v>870443</v>
          </cell>
          <cell r="E5152" t="str">
            <v>Vehicles; with both compression-ignition internal combustion piston engine (diesel/semi-diesel) and electric motors for propulsion, of a g.v.w. exceeding 20,000kg</v>
          </cell>
          <cell r="F5152">
            <v>0</v>
          </cell>
          <cell r="G5152">
            <v>0</v>
          </cell>
          <cell r="H5152">
            <v>0</v>
          </cell>
          <cell r="I5152" t="str">
            <v>Others</v>
          </cell>
          <cell r="J5152">
            <v>3</v>
          </cell>
          <cell r="K5152" t="str">
            <v>Others</v>
          </cell>
        </row>
        <row r="5153">
          <cell r="D5153">
            <v>870451</v>
          </cell>
          <cell r="E5153" t="str">
            <v>Vehicles; with both spark-ignition internal combustion piston engine and electric motors for propulsion, of a g.v.w. not exceeding 5,000kg</v>
          </cell>
          <cell r="F5153">
            <v>0</v>
          </cell>
          <cell r="G5153">
            <v>0</v>
          </cell>
          <cell r="H5153">
            <v>0</v>
          </cell>
          <cell r="I5153" t="str">
            <v>Others</v>
          </cell>
          <cell r="J5153">
            <v>3</v>
          </cell>
          <cell r="K5153" t="str">
            <v>Others</v>
          </cell>
        </row>
        <row r="5154">
          <cell r="D5154">
            <v>870452</v>
          </cell>
          <cell r="E5154" t="str">
            <v>Vehicles; with both spark-ignition internal combustion piston engine and electric motors for propulsion, of a g.v.w. exceeding 5,000kg</v>
          </cell>
          <cell r="F5154">
            <v>0</v>
          </cell>
          <cell r="G5154">
            <v>0</v>
          </cell>
          <cell r="H5154">
            <v>0</v>
          </cell>
          <cell r="I5154" t="str">
            <v>Others</v>
          </cell>
          <cell r="J5154">
            <v>3</v>
          </cell>
          <cell r="K5154" t="str">
            <v>Others</v>
          </cell>
        </row>
        <row r="5155">
          <cell r="D5155">
            <v>870460</v>
          </cell>
          <cell r="E5155" t="str">
            <v>Vehicles; with only electric motor for propulsion</v>
          </cell>
          <cell r="F5155">
            <v>0</v>
          </cell>
          <cell r="G5155">
            <v>0</v>
          </cell>
          <cell r="H5155">
            <v>0</v>
          </cell>
          <cell r="I5155" t="str">
            <v>Others</v>
          </cell>
          <cell r="J5155">
            <v>3</v>
          </cell>
          <cell r="K5155" t="str">
            <v>Others</v>
          </cell>
        </row>
        <row r="5156">
          <cell r="D5156">
            <v>870490</v>
          </cell>
          <cell r="E5156" t="str">
            <v>Vehicles; for transport of goods, n.e.c. in heading no. 8704</v>
          </cell>
          <cell r="F5156">
            <v>0</v>
          </cell>
          <cell r="G5156">
            <v>0</v>
          </cell>
          <cell r="H5156">
            <v>0</v>
          </cell>
          <cell r="I5156" t="str">
            <v>Others</v>
          </cell>
          <cell r="J5156">
            <v>3</v>
          </cell>
          <cell r="K5156" t="str">
            <v>Others</v>
          </cell>
        </row>
        <row r="5157">
          <cell r="D5157">
            <v>870510</v>
          </cell>
          <cell r="E5157" t="str">
            <v>Vehicles; crane lorries</v>
          </cell>
          <cell r="F5157">
            <v>0</v>
          </cell>
          <cell r="G5157">
            <v>0</v>
          </cell>
          <cell r="H5157">
            <v>0</v>
          </cell>
          <cell r="I5157" t="str">
            <v>Others</v>
          </cell>
          <cell r="J5157">
            <v>3</v>
          </cell>
          <cell r="K5157" t="str">
            <v>Others</v>
          </cell>
        </row>
        <row r="5158">
          <cell r="D5158">
            <v>870520</v>
          </cell>
          <cell r="E5158" t="str">
            <v>Vehicles; mobile drilling derricks</v>
          </cell>
          <cell r="F5158">
            <v>0</v>
          </cell>
          <cell r="G5158">
            <v>0</v>
          </cell>
          <cell r="H5158">
            <v>0</v>
          </cell>
          <cell r="I5158" t="str">
            <v>Others</v>
          </cell>
          <cell r="J5158">
            <v>3</v>
          </cell>
          <cell r="K5158" t="str">
            <v>Others</v>
          </cell>
        </row>
        <row r="5159">
          <cell r="D5159">
            <v>870530</v>
          </cell>
          <cell r="E5159" t="str">
            <v>Vehicles; fire fighting vehicles</v>
          </cell>
          <cell r="F5159">
            <v>0</v>
          </cell>
          <cell r="G5159">
            <v>0</v>
          </cell>
          <cell r="H5159">
            <v>0</v>
          </cell>
          <cell r="I5159" t="str">
            <v>Others</v>
          </cell>
          <cell r="J5159">
            <v>3</v>
          </cell>
          <cell r="K5159" t="str">
            <v>Others</v>
          </cell>
        </row>
        <row r="5160">
          <cell r="D5160">
            <v>870540</v>
          </cell>
          <cell r="E5160" t="str">
            <v>Vehicles; concrete-mixer lorries</v>
          </cell>
          <cell r="F5160">
            <v>0</v>
          </cell>
          <cell r="G5160">
            <v>0</v>
          </cell>
          <cell r="H5160">
            <v>0</v>
          </cell>
          <cell r="I5160" t="str">
            <v>Others</v>
          </cell>
          <cell r="J5160">
            <v>3</v>
          </cell>
          <cell r="K5160" t="str">
            <v>Others</v>
          </cell>
        </row>
        <row r="5161">
          <cell r="D5161">
            <v>870590</v>
          </cell>
          <cell r="E5161" t="str">
            <v>Vehicles; break-down lorries, road-sweepers, spraying lorries, mobile workshops, mobile radiological units, and other special purpose vehicles n.e.c. in heading no. 8705</v>
          </cell>
          <cell r="F5161">
            <v>0</v>
          </cell>
          <cell r="G5161">
            <v>0</v>
          </cell>
          <cell r="H5161">
            <v>0</v>
          </cell>
          <cell r="I5161" t="str">
            <v>Others</v>
          </cell>
          <cell r="J5161">
            <v>3</v>
          </cell>
          <cell r="K5161" t="str">
            <v>Others</v>
          </cell>
        </row>
        <row r="5162">
          <cell r="D5162">
            <v>870600</v>
          </cell>
          <cell r="E5162" t="str">
            <v>Chassis; fitted with engines, for the motor vehicles of heading no. 8701 to 8705</v>
          </cell>
          <cell r="F5162">
            <v>0</v>
          </cell>
          <cell r="G5162">
            <v>0</v>
          </cell>
          <cell r="H5162">
            <v>0</v>
          </cell>
          <cell r="I5162" t="str">
            <v>Parts &amp; Accessories</v>
          </cell>
          <cell r="J5162">
            <v>3</v>
          </cell>
          <cell r="K5162" t="str">
            <v>Parts &amp; Accessories - rc</v>
          </cell>
        </row>
        <row r="5163">
          <cell r="D5163">
            <v>870710</v>
          </cell>
          <cell r="E5163" t="str">
            <v>Vehicles; bodies (including cabs) for the motor vehicles of heading no. 8703</v>
          </cell>
          <cell r="F5163">
            <v>0</v>
          </cell>
          <cell r="G5163">
            <v>0</v>
          </cell>
          <cell r="H5163">
            <v>0</v>
          </cell>
          <cell r="I5163" t="str">
            <v>Parts &amp; Accessories</v>
          </cell>
          <cell r="J5163">
            <v>3</v>
          </cell>
          <cell r="K5163" t="str">
            <v>Parts &amp; Accessories - rc</v>
          </cell>
        </row>
        <row r="5164">
          <cell r="D5164">
            <v>870790</v>
          </cell>
          <cell r="E5164" t="str">
            <v>Vehicles; bodies (including cabs) for the motor vehicles of heading no. 8701, 8702, 8704 or 8705</v>
          </cell>
          <cell r="F5164">
            <v>0</v>
          </cell>
          <cell r="G5164">
            <v>0</v>
          </cell>
          <cell r="H5164">
            <v>0</v>
          </cell>
          <cell r="I5164" t="str">
            <v>Parts &amp; Accessories</v>
          </cell>
          <cell r="J5164">
            <v>3</v>
          </cell>
          <cell r="K5164" t="str">
            <v>Parts &amp; Accessories - rc</v>
          </cell>
        </row>
        <row r="5165">
          <cell r="D5165">
            <v>870810</v>
          </cell>
          <cell r="E5165" t="str">
            <v>Vehicles; bumpers and parts thereof, for the vehicles of heading no. 8701 to 8705</v>
          </cell>
          <cell r="F5165">
            <v>0</v>
          </cell>
          <cell r="G5165">
            <v>0</v>
          </cell>
          <cell r="H5165" t="str">
            <v>Parts &amp; Accessories</v>
          </cell>
          <cell r="I5165" t="str">
            <v>Parts &amp; Accessories</v>
          </cell>
          <cell r="J5165">
            <v>2</v>
          </cell>
          <cell r="K5165" t="str">
            <v>Parts &amp; Accessories - rc</v>
          </cell>
        </row>
        <row r="5166">
          <cell r="D5166">
            <v>870821</v>
          </cell>
          <cell r="E5166" t="str">
            <v>Vehicles; parts of bodies, safety seat belts</v>
          </cell>
          <cell r="F5166">
            <v>0</v>
          </cell>
          <cell r="G5166">
            <v>0</v>
          </cell>
          <cell r="H5166">
            <v>0</v>
          </cell>
          <cell r="I5166" t="str">
            <v>Parts &amp; Accessories</v>
          </cell>
          <cell r="J5166">
            <v>3</v>
          </cell>
          <cell r="K5166" t="str">
            <v>Parts &amp; Accessories - rc</v>
          </cell>
        </row>
        <row r="5167">
          <cell r="D5167">
            <v>870822</v>
          </cell>
          <cell r="E5167" t="str">
            <v>Vehicles; parts and accessories, front windscreens (windshields), rear windows and other windows specified in subheading note 1 to this chapter</v>
          </cell>
          <cell r="F5167">
            <v>0</v>
          </cell>
          <cell r="G5167">
            <v>0</v>
          </cell>
          <cell r="H5167">
            <v>0</v>
          </cell>
          <cell r="I5167" t="str">
            <v>Parts &amp; Accessories</v>
          </cell>
          <cell r="J5167">
            <v>3</v>
          </cell>
          <cell r="K5167" t="str">
            <v>Parts &amp; Accessories - rc</v>
          </cell>
        </row>
        <row r="5168">
          <cell r="D5168">
            <v>870829</v>
          </cell>
          <cell r="E5168" t="str">
            <v>Vehicles; parts and accessories, of bodies, other than safety seat belts</v>
          </cell>
          <cell r="F5168" t="str">
            <v>Parts &amp; Accessories</v>
          </cell>
          <cell r="G5168">
            <v>0</v>
          </cell>
          <cell r="H5168">
            <v>0</v>
          </cell>
          <cell r="I5168" t="str">
            <v>Parts &amp; Accessories</v>
          </cell>
          <cell r="J5168">
            <v>2</v>
          </cell>
          <cell r="K5168" t="str">
            <v>Parts &amp; Accessories - rc</v>
          </cell>
        </row>
        <row r="5169">
          <cell r="D5169">
            <v>870830</v>
          </cell>
          <cell r="E5169" t="str">
            <v>Vehicle parts; brakes, servo-brakes and parts thereof</v>
          </cell>
          <cell r="F5169">
            <v>0</v>
          </cell>
          <cell r="G5169">
            <v>0</v>
          </cell>
          <cell r="H5169">
            <v>0</v>
          </cell>
          <cell r="I5169" t="str">
            <v>Parts &amp; Accessories</v>
          </cell>
          <cell r="J5169">
            <v>3</v>
          </cell>
          <cell r="K5169" t="str">
            <v>Parts &amp; Accessories - rc</v>
          </cell>
        </row>
        <row r="5170">
          <cell r="D5170">
            <v>870840</v>
          </cell>
          <cell r="E5170" t="str">
            <v>Vehicle parts; gear boxes and parts thereof</v>
          </cell>
          <cell r="F5170" t="str">
            <v>Parts &amp; Accessories</v>
          </cell>
          <cell r="G5170">
            <v>0</v>
          </cell>
          <cell r="H5170">
            <v>0</v>
          </cell>
          <cell r="I5170" t="str">
            <v>Parts &amp; Accessories</v>
          </cell>
          <cell r="J5170">
            <v>2</v>
          </cell>
          <cell r="K5170" t="str">
            <v>Parts &amp; Accessories - rc</v>
          </cell>
        </row>
        <row r="5171">
          <cell r="D5171">
            <v>870850</v>
          </cell>
          <cell r="E5171" t="str">
            <v>Vehicle parts; drive-axles with differential, whether or not provided with other transmission components, and non-driving axles; parts thereof</v>
          </cell>
          <cell r="F5171">
            <v>0</v>
          </cell>
          <cell r="G5171">
            <v>0</v>
          </cell>
          <cell r="H5171">
            <v>0</v>
          </cell>
          <cell r="I5171" t="str">
            <v>Parts &amp; Accessories</v>
          </cell>
          <cell r="J5171">
            <v>3</v>
          </cell>
          <cell r="K5171" t="str">
            <v>Parts &amp; Accessories - rc</v>
          </cell>
        </row>
        <row r="5172">
          <cell r="D5172">
            <v>870870</v>
          </cell>
          <cell r="E5172" t="str">
            <v>Vehicle parts; road wheels and parts and accessories thereof</v>
          </cell>
          <cell r="F5172">
            <v>0</v>
          </cell>
          <cell r="G5172">
            <v>0</v>
          </cell>
          <cell r="H5172">
            <v>0</v>
          </cell>
          <cell r="I5172" t="str">
            <v>Parts &amp; Accessories</v>
          </cell>
          <cell r="J5172">
            <v>3</v>
          </cell>
          <cell r="K5172" t="str">
            <v>Parts &amp; Accessories - rc</v>
          </cell>
        </row>
        <row r="5173">
          <cell r="D5173">
            <v>870880</v>
          </cell>
          <cell r="E5173" t="str">
            <v>Vehicle parts; suspension systems and parts thereof (including shock-absorbers)</v>
          </cell>
          <cell r="F5173">
            <v>0</v>
          </cell>
          <cell r="G5173">
            <v>0</v>
          </cell>
          <cell r="H5173">
            <v>0</v>
          </cell>
          <cell r="I5173" t="str">
            <v>Parts &amp; Accessories</v>
          </cell>
          <cell r="J5173">
            <v>3</v>
          </cell>
          <cell r="K5173" t="str">
            <v>Parts &amp; Accessories - rc</v>
          </cell>
        </row>
        <row r="5174">
          <cell r="D5174">
            <v>870891</v>
          </cell>
          <cell r="E5174" t="str">
            <v>Vehicle parts; radiators and parts thereof</v>
          </cell>
          <cell r="F5174">
            <v>0</v>
          </cell>
          <cell r="G5174">
            <v>0</v>
          </cell>
          <cell r="H5174">
            <v>0</v>
          </cell>
          <cell r="I5174" t="str">
            <v>Parts &amp; Accessories</v>
          </cell>
          <cell r="J5174">
            <v>3</v>
          </cell>
          <cell r="K5174" t="str">
            <v>Parts &amp; Accessories - rc</v>
          </cell>
        </row>
        <row r="5175">
          <cell r="D5175">
            <v>870892</v>
          </cell>
          <cell r="E5175" t="str">
            <v>Vehicle parts; silencers (mufflers) and exhaust pipes; parts thereof</v>
          </cell>
          <cell r="F5175" t="str">
            <v>Parts &amp; Accessories</v>
          </cell>
          <cell r="G5175">
            <v>0</v>
          </cell>
          <cell r="H5175">
            <v>0</v>
          </cell>
          <cell r="I5175" t="str">
            <v>Parts &amp; Accessories</v>
          </cell>
          <cell r="J5175">
            <v>2</v>
          </cell>
          <cell r="K5175" t="str">
            <v>Parts &amp; Accessories - rc</v>
          </cell>
        </row>
        <row r="5176">
          <cell r="D5176">
            <v>870893</v>
          </cell>
          <cell r="E5176" t="str">
            <v>Vehicle parts; clutches and parts thereof</v>
          </cell>
          <cell r="F5176">
            <v>0</v>
          </cell>
          <cell r="G5176">
            <v>0</v>
          </cell>
          <cell r="H5176">
            <v>0</v>
          </cell>
          <cell r="I5176" t="str">
            <v>Parts &amp; Accessories</v>
          </cell>
          <cell r="J5176">
            <v>3</v>
          </cell>
          <cell r="K5176" t="str">
            <v>Parts &amp; Accessories - rc</v>
          </cell>
        </row>
        <row r="5177">
          <cell r="D5177">
            <v>870894</v>
          </cell>
          <cell r="E5177" t="str">
            <v>Vehicle parts; steering wheels, steering columns and steering boxes; parts thereof</v>
          </cell>
          <cell r="F5177">
            <v>0</v>
          </cell>
          <cell r="G5177">
            <v>0</v>
          </cell>
          <cell r="H5177">
            <v>0</v>
          </cell>
          <cell r="I5177" t="str">
            <v>Parts &amp; Accessories</v>
          </cell>
          <cell r="J5177">
            <v>3</v>
          </cell>
          <cell r="K5177" t="str">
            <v>Parts &amp; Accessories - rc</v>
          </cell>
        </row>
        <row r="5178">
          <cell r="D5178">
            <v>870895</v>
          </cell>
          <cell r="E5178" t="str">
            <v>Vehicle parts; safety airbags with inflater system; parts thereof</v>
          </cell>
          <cell r="F5178">
            <v>0</v>
          </cell>
          <cell r="G5178">
            <v>0</v>
          </cell>
          <cell r="H5178">
            <v>0</v>
          </cell>
          <cell r="I5178" t="str">
            <v>Parts &amp; Accessories</v>
          </cell>
          <cell r="J5178">
            <v>3</v>
          </cell>
          <cell r="K5178" t="str">
            <v>Parts &amp; Accessories - rc</v>
          </cell>
        </row>
        <row r="5179">
          <cell r="D5179">
            <v>870899</v>
          </cell>
          <cell r="E5179" t="str">
            <v>Vehicle parts and accessories; n.e.c. in heading no. 8708</v>
          </cell>
          <cell r="F5179" t="str">
            <v>Parts &amp; Accessories</v>
          </cell>
          <cell r="G5179">
            <v>0</v>
          </cell>
          <cell r="H5179">
            <v>0</v>
          </cell>
          <cell r="I5179" t="str">
            <v>Parts &amp; Accessories</v>
          </cell>
          <cell r="J5179">
            <v>2</v>
          </cell>
          <cell r="K5179" t="str">
            <v>Parts &amp; Accessories - rc</v>
          </cell>
        </row>
        <row r="5180">
          <cell r="D5180">
            <v>870911</v>
          </cell>
          <cell r="E5180" t="str">
            <v>Vehicles; electrical, self-propelled, (not fitted with lifting or handling equipment), of the type used for short distance transport of goods in factories, warehouses, dock areas or airports</v>
          </cell>
          <cell r="F5180">
            <v>0</v>
          </cell>
          <cell r="G5180">
            <v>0</v>
          </cell>
          <cell r="H5180">
            <v>0</v>
          </cell>
          <cell r="I5180" t="str">
            <v>Capital Goods</v>
          </cell>
          <cell r="J5180">
            <v>3</v>
          </cell>
          <cell r="K5180" t="str">
            <v>Capital Goods</v>
          </cell>
        </row>
        <row r="5181">
          <cell r="D5181">
            <v>870919</v>
          </cell>
          <cell r="E5181" t="str">
            <v>Vehicles; (not electrical), self-propelled, without handling equipment, used for short distance transport of goods in factories, airports and such, and tractors of the type used on railway station platforms</v>
          </cell>
          <cell r="F5181">
            <v>0</v>
          </cell>
          <cell r="G5181">
            <v>0</v>
          </cell>
          <cell r="H5181">
            <v>0</v>
          </cell>
          <cell r="I5181" t="str">
            <v>Capital Goods</v>
          </cell>
          <cell r="J5181">
            <v>3</v>
          </cell>
          <cell r="K5181" t="str">
            <v>Capital Goods</v>
          </cell>
        </row>
        <row r="5182">
          <cell r="D5182">
            <v>870990</v>
          </cell>
          <cell r="E5182" t="str">
            <v>Vehicles; parts of the vehicles of heading no. 8709</v>
          </cell>
          <cell r="F5182">
            <v>0</v>
          </cell>
          <cell r="G5182">
            <v>0</v>
          </cell>
          <cell r="H5182">
            <v>0</v>
          </cell>
          <cell r="I5182" t="str">
            <v>Parts &amp; Accessories</v>
          </cell>
          <cell r="J5182">
            <v>3</v>
          </cell>
          <cell r="K5182" t="str">
            <v>Parts &amp; Accessories - rc</v>
          </cell>
        </row>
        <row r="5183">
          <cell r="D5183">
            <v>871000</v>
          </cell>
          <cell r="E5183" t="str">
            <v>Tanks and other armoured fighting vehicles; motorised, whether or not fitted with weapons, and parts of such vehicles</v>
          </cell>
          <cell r="F5183">
            <v>0</v>
          </cell>
          <cell r="G5183">
            <v>0</v>
          </cell>
          <cell r="H5183" t="str">
            <v>Parts &amp; Accessories</v>
          </cell>
          <cell r="I5183" t="str">
            <v>Others</v>
          </cell>
          <cell r="J5183">
            <v>2</v>
          </cell>
          <cell r="K5183" t="str">
            <v>Others</v>
          </cell>
        </row>
        <row r="5184">
          <cell r="D5184">
            <v>871110</v>
          </cell>
          <cell r="E5184" t="str">
            <v>Motorcycles (including mopeds) and cycles; fitted with an auxiliary motor, with internal combustion piston engine of a cylinder capacity not exceeding 50cc, with or without side-cars; side-cars</v>
          </cell>
          <cell r="F5184">
            <v>0</v>
          </cell>
          <cell r="G5184">
            <v>0</v>
          </cell>
          <cell r="H5184">
            <v>0</v>
          </cell>
          <cell r="I5184" t="str">
            <v>Others</v>
          </cell>
          <cell r="J5184">
            <v>3</v>
          </cell>
          <cell r="K5184" t="str">
            <v>Others</v>
          </cell>
        </row>
        <row r="5185">
          <cell r="D5185">
            <v>871120</v>
          </cell>
          <cell r="E5185" t="str">
            <v>Motorcycles (including mopeds) and cycles; fitted with an auxiliary motor, internal combustion piston engine, of cylinder capacity exceeding 50cc but not exceeding 250cc, with or without side-cars; side-cars</v>
          </cell>
          <cell r="F5185">
            <v>0</v>
          </cell>
          <cell r="G5185">
            <v>0</v>
          </cell>
          <cell r="H5185">
            <v>0</v>
          </cell>
          <cell r="I5185" t="str">
            <v>Others</v>
          </cell>
          <cell r="J5185">
            <v>3</v>
          </cell>
          <cell r="K5185" t="str">
            <v>Others</v>
          </cell>
        </row>
        <row r="5186">
          <cell r="D5186">
            <v>871130</v>
          </cell>
          <cell r="E5186" t="str">
            <v>Motorcycles (including mopeds) and cycles; fitted with an auxiliary motor, internal combustion piston engine, of cylinder capacity exceeding 250cc but not exceeding 500cc, with or without side-cars; side-cars</v>
          </cell>
          <cell r="F5186">
            <v>0</v>
          </cell>
          <cell r="G5186">
            <v>0</v>
          </cell>
          <cell r="H5186">
            <v>0</v>
          </cell>
          <cell r="I5186" t="str">
            <v>Others</v>
          </cell>
          <cell r="J5186">
            <v>3</v>
          </cell>
          <cell r="K5186" t="str">
            <v>Others</v>
          </cell>
        </row>
        <row r="5187">
          <cell r="D5187">
            <v>871140</v>
          </cell>
          <cell r="E5187" t="str">
            <v>Motorcycles (including mopeds) and cycles; fitted with auxiliary motor, internal combustion piston engine of cylinder capacity exceeding 500cc but not exceeding 800cc, with or without sidecars; side-cars</v>
          </cell>
          <cell r="F5187">
            <v>0</v>
          </cell>
          <cell r="G5187">
            <v>0</v>
          </cell>
          <cell r="H5187">
            <v>0</v>
          </cell>
          <cell r="I5187" t="str">
            <v>Others</v>
          </cell>
          <cell r="J5187">
            <v>3</v>
          </cell>
          <cell r="K5187" t="str">
            <v>Others</v>
          </cell>
        </row>
        <row r="5188">
          <cell r="D5188">
            <v>871150</v>
          </cell>
          <cell r="E5188" t="str">
            <v>Motorcycles (including mopeds) and cycles; fitted with auxiliary motor, with internal combustion piston engine of a cylinder capacity exceeding 800cc, with or without side-cars; side-cars</v>
          </cell>
          <cell r="F5188">
            <v>0</v>
          </cell>
          <cell r="G5188">
            <v>0</v>
          </cell>
          <cell r="H5188">
            <v>0</v>
          </cell>
          <cell r="I5188" t="str">
            <v>Others</v>
          </cell>
          <cell r="J5188">
            <v>3</v>
          </cell>
          <cell r="K5188" t="str">
            <v>Others</v>
          </cell>
        </row>
        <row r="5189">
          <cell r="D5189">
            <v>871160</v>
          </cell>
          <cell r="E5189" t="str">
            <v>Motorcycles (including mopeds) and cycles; fitted with auxiliary motor, with electric motor for propulsion, with or without side-cars; side-cars</v>
          </cell>
          <cell r="F5189">
            <v>0</v>
          </cell>
          <cell r="G5189">
            <v>0</v>
          </cell>
          <cell r="H5189">
            <v>0</v>
          </cell>
          <cell r="I5189" t="str">
            <v>Others</v>
          </cell>
          <cell r="J5189">
            <v>3</v>
          </cell>
          <cell r="K5189" t="str">
            <v>Others</v>
          </cell>
        </row>
        <row r="5190">
          <cell r="D5190">
            <v>871190</v>
          </cell>
          <cell r="E5190" t="str">
            <v>Motorcycles (including mopeds) and cycles; n.e.c. in heading no. 8711, fitted with auxiliary motor, with or without side-cars; side-cars</v>
          </cell>
          <cell r="F5190">
            <v>0</v>
          </cell>
          <cell r="G5190">
            <v>0</v>
          </cell>
          <cell r="H5190">
            <v>0</v>
          </cell>
          <cell r="I5190" t="str">
            <v>Others</v>
          </cell>
          <cell r="J5190">
            <v>3</v>
          </cell>
          <cell r="K5190" t="str">
            <v>Others</v>
          </cell>
        </row>
        <row r="5191">
          <cell r="D5191">
            <v>871200</v>
          </cell>
          <cell r="E5191" t="str">
            <v>Bicycles and other cycles; including delivery tricycles, not motorised</v>
          </cell>
          <cell r="F5191">
            <v>0</v>
          </cell>
          <cell r="G5191">
            <v>0</v>
          </cell>
          <cell r="H5191">
            <v>0</v>
          </cell>
          <cell r="I5191" t="str">
            <v>Others</v>
          </cell>
          <cell r="J5191">
            <v>3</v>
          </cell>
          <cell r="K5191" t="str">
            <v>Others</v>
          </cell>
        </row>
        <row r="5192">
          <cell r="D5192">
            <v>871310</v>
          </cell>
          <cell r="E5192" t="str">
            <v>Carriages for disabled persons; not mechanically propelled</v>
          </cell>
          <cell r="F5192">
            <v>0</v>
          </cell>
          <cell r="G5192">
            <v>0</v>
          </cell>
          <cell r="H5192">
            <v>0</v>
          </cell>
          <cell r="I5192" t="str">
            <v>Others</v>
          </cell>
          <cell r="J5192">
            <v>3</v>
          </cell>
          <cell r="K5192" t="str">
            <v>Others</v>
          </cell>
        </row>
        <row r="5193">
          <cell r="D5193">
            <v>871390</v>
          </cell>
          <cell r="E5193" t="str">
            <v>Carriages for disabled persons; mechanically propelled</v>
          </cell>
          <cell r="F5193">
            <v>0</v>
          </cell>
          <cell r="G5193">
            <v>0</v>
          </cell>
          <cell r="H5193">
            <v>0</v>
          </cell>
          <cell r="I5193" t="str">
            <v>Others</v>
          </cell>
          <cell r="J5193">
            <v>3</v>
          </cell>
          <cell r="K5193" t="str">
            <v>Others</v>
          </cell>
        </row>
        <row r="5194">
          <cell r="D5194">
            <v>871410</v>
          </cell>
          <cell r="E5194" t="str">
            <v>Motorcycles (including mopeds); parts and accessories</v>
          </cell>
          <cell r="F5194">
            <v>0</v>
          </cell>
          <cell r="G5194">
            <v>0</v>
          </cell>
          <cell r="H5194">
            <v>0</v>
          </cell>
          <cell r="I5194" t="str">
            <v>Parts &amp; Accessories</v>
          </cell>
          <cell r="J5194">
            <v>3</v>
          </cell>
          <cell r="K5194" t="str">
            <v>Parts &amp; Accessories - rc</v>
          </cell>
        </row>
        <row r="5195">
          <cell r="D5195">
            <v>871420</v>
          </cell>
          <cell r="E5195" t="str">
            <v>Carriages for disabled persons; parts and accessories thereof</v>
          </cell>
          <cell r="F5195">
            <v>0</v>
          </cell>
          <cell r="G5195">
            <v>0</v>
          </cell>
          <cell r="H5195">
            <v>0</v>
          </cell>
          <cell r="I5195" t="str">
            <v>Parts &amp; Accessories</v>
          </cell>
          <cell r="J5195">
            <v>3</v>
          </cell>
          <cell r="K5195" t="str">
            <v>Parts &amp; Accessories - rc</v>
          </cell>
        </row>
        <row r="5196">
          <cell r="D5196">
            <v>871491</v>
          </cell>
          <cell r="E5196" t="str">
            <v>Cycles; frames and forks, and parts thereof</v>
          </cell>
          <cell r="F5196">
            <v>0</v>
          </cell>
          <cell r="G5196">
            <v>0</v>
          </cell>
          <cell r="H5196">
            <v>0</v>
          </cell>
          <cell r="I5196" t="str">
            <v>Parts &amp; Accessories</v>
          </cell>
          <cell r="J5196">
            <v>3</v>
          </cell>
          <cell r="K5196" t="str">
            <v>Parts &amp; Accessories - rc</v>
          </cell>
        </row>
        <row r="5197">
          <cell r="D5197">
            <v>871492</v>
          </cell>
          <cell r="E5197" t="str">
            <v>Cycles; parts thereof, wheel rims and spokes</v>
          </cell>
          <cell r="F5197">
            <v>0</v>
          </cell>
          <cell r="G5197">
            <v>0</v>
          </cell>
          <cell r="H5197">
            <v>0</v>
          </cell>
          <cell r="I5197" t="str">
            <v>Parts &amp; Accessories</v>
          </cell>
          <cell r="J5197">
            <v>3</v>
          </cell>
          <cell r="K5197" t="str">
            <v>Parts &amp; Accessories - rc</v>
          </cell>
        </row>
        <row r="5198">
          <cell r="D5198">
            <v>871493</v>
          </cell>
          <cell r="E5198" t="str">
            <v>Cycles; parts thereof, hubs (other than coaster braking hubs and hub brakes) and free-wheel sprocket-wheels</v>
          </cell>
          <cell r="F5198" t="str">
            <v>Parts &amp; Accessories</v>
          </cell>
          <cell r="G5198">
            <v>0</v>
          </cell>
          <cell r="H5198">
            <v>0</v>
          </cell>
          <cell r="I5198" t="str">
            <v>Parts &amp; Accessories</v>
          </cell>
          <cell r="J5198">
            <v>2</v>
          </cell>
          <cell r="K5198" t="str">
            <v>Parts &amp; Accessories - rc</v>
          </cell>
        </row>
        <row r="5199">
          <cell r="D5199">
            <v>871494</v>
          </cell>
          <cell r="E5199" t="str">
            <v>Cycles; parts thereof, brakes, including coaster braking hubs and hub-brakes, and parts thereof</v>
          </cell>
          <cell r="F5199">
            <v>0</v>
          </cell>
          <cell r="G5199">
            <v>0</v>
          </cell>
          <cell r="H5199">
            <v>0</v>
          </cell>
          <cell r="I5199" t="str">
            <v>Parts &amp; Accessories</v>
          </cell>
          <cell r="J5199">
            <v>3</v>
          </cell>
          <cell r="K5199" t="str">
            <v>Parts &amp; Accessories - rc</v>
          </cell>
        </row>
        <row r="5200">
          <cell r="D5200">
            <v>871495</v>
          </cell>
          <cell r="E5200" t="str">
            <v>Cycles; parts thereof, saddles</v>
          </cell>
          <cell r="F5200">
            <v>0</v>
          </cell>
          <cell r="G5200">
            <v>0</v>
          </cell>
          <cell r="H5200">
            <v>0</v>
          </cell>
          <cell r="I5200" t="str">
            <v>Parts &amp; Accessories</v>
          </cell>
          <cell r="J5200">
            <v>3</v>
          </cell>
          <cell r="K5200" t="str">
            <v>Parts &amp; Accessories - rc</v>
          </cell>
        </row>
        <row r="5201">
          <cell r="D5201">
            <v>871496</v>
          </cell>
          <cell r="E5201" t="str">
            <v>Cycles; parts, pedals and crank-gear, and parts thereof</v>
          </cell>
          <cell r="F5201">
            <v>0</v>
          </cell>
          <cell r="G5201">
            <v>0</v>
          </cell>
          <cell r="H5201">
            <v>0</v>
          </cell>
          <cell r="I5201" t="str">
            <v>Parts &amp; Accessories</v>
          </cell>
          <cell r="J5201">
            <v>3</v>
          </cell>
          <cell r="K5201" t="str">
            <v>Parts &amp; Accessories - rc</v>
          </cell>
        </row>
        <row r="5202">
          <cell r="D5202">
            <v>871499</v>
          </cell>
          <cell r="E5202" t="str">
            <v>Cycles; parts thereof, n.e.c. in item no. 8714.9</v>
          </cell>
          <cell r="F5202">
            <v>0</v>
          </cell>
          <cell r="G5202">
            <v>0</v>
          </cell>
          <cell r="H5202">
            <v>0</v>
          </cell>
          <cell r="I5202" t="str">
            <v>Parts &amp; Accessories</v>
          </cell>
          <cell r="J5202">
            <v>3</v>
          </cell>
          <cell r="K5202" t="str">
            <v>Parts &amp; Accessories - rc</v>
          </cell>
        </row>
        <row r="5203">
          <cell r="D5203">
            <v>871500</v>
          </cell>
          <cell r="E5203" t="str">
            <v>Baby carriages and parts thereof</v>
          </cell>
          <cell r="F5203">
            <v>0</v>
          </cell>
          <cell r="G5203">
            <v>0</v>
          </cell>
          <cell r="H5203">
            <v>0</v>
          </cell>
          <cell r="I5203" t="str">
            <v>Durable</v>
          </cell>
          <cell r="J5203">
            <v>3</v>
          </cell>
          <cell r="K5203" t="str">
            <v>Durable</v>
          </cell>
        </row>
        <row r="5204">
          <cell r="D5204">
            <v>871610</v>
          </cell>
          <cell r="E5204" t="str">
            <v>Trailers and semi-trailers; of the caravan type, for housing or camping</v>
          </cell>
          <cell r="F5204">
            <v>0</v>
          </cell>
          <cell r="G5204">
            <v>0</v>
          </cell>
          <cell r="H5204" t="str">
            <v>Parts &amp; Accessories</v>
          </cell>
          <cell r="I5204" t="str">
            <v>Others</v>
          </cell>
          <cell r="J5204">
            <v>2</v>
          </cell>
          <cell r="K5204" t="str">
            <v>Others</v>
          </cell>
        </row>
        <row r="5205">
          <cell r="D5205">
            <v>871620</v>
          </cell>
          <cell r="E5205" t="str">
            <v>Trailers and semi-trailers; self-loading or self-unloading, for agricultural purposes</v>
          </cell>
          <cell r="F5205">
            <v>0</v>
          </cell>
          <cell r="G5205" t="str">
            <v>Capital Goods</v>
          </cell>
          <cell r="H5205" t="str">
            <v>Capital Goods</v>
          </cell>
          <cell r="I5205" t="str">
            <v>Others</v>
          </cell>
          <cell r="J5205">
            <v>1</v>
          </cell>
          <cell r="K5205" t="str">
            <v>Others</v>
          </cell>
        </row>
        <row r="5206">
          <cell r="D5206">
            <v>871631</v>
          </cell>
          <cell r="E5206" t="str">
            <v>Tanker trailers and tanker semi-trailers</v>
          </cell>
          <cell r="F5206">
            <v>0</v>
          </cell>
          <cell r="G5206">
            <v>0</v>
          </cell>
          <cell r="H5206" t="str">
            <v>Capital Goods</v>
          </cell>
          <cell r="I5206" t="str">
            <v>Others</v>
          </cell>
          <cell r="J5206">
            <v>2</v>
          </cell>
          <cell r="K5206" t="str">
            <v>Others</v>
          </cell>
        </row>
        <row r="5207">
          <cell r="D5207">
            <v>871639</v>
          </cell>
          <cell r="E5207" t="str">
            <v>Trailers and semi-trailers; (other than tanker type)</v>
          </cell>
          <cell r="F5207">
            <v>0</v>
          </cell>
          <cell r="G5207">
            <v>0</v>
          </cell>
          <cell r="H5207" t="str">
            <v>Capital Goods</v>
          </cell>
          <cell r="I5207" t="str">
            <v>Others</v>
          </cell>
          <cell r="J5207">
            <v>2</v>
          </cell>
          <cell r="K5207" t="str">
            <v>Others</v>
          </cell>
        </row>
        <row r="5208">
          <cell r="D5208">
            <v>871640</v>
          </cell>
          <cell r="E5208" t="str">
            <v>Trailers and semi-trailers; n.e.c. in item no. 8716.3</v>
          </cell>
          <cell r="F5208">
            <v>0</v>
          </cell>
          <cell r="G5208">
            <v>0</v>
          </cell>
          <cell r="H5208" t="str">
            <v>Capital Goods</v>
          </cell>
          <cell r="I5208" t="str">
            <v>Others</v>
          </cell>
          <cell r="J5208">
            <v>2</v>
          </cell>
          <cell r="K5208" t="str">
            <v>Others</v>
          </cell>
        </row>
        <row r="5209">
          <cell r="D5209">
            <v>871680</v>
          </cell>
          <cell r="E5209" t="str">
            <v>Vehicles; n.e.c. in heading no. 8716</v>
          </cell>
          <cell r="F5209" t="str">
            <v>Capital Goods</v>
          </cell>
          <cell r="G5209">
            <v>0</v>
          </cell>
          <cell r="H5209">
            <v>0</v>
          </cell>
          <cell r="I5209" t="str">
            <v>Others</v>
          </cell>
          <cell r="J5209">
            <v>2</v>
          </cell>
          <cell r="K5209" t="str">
            <v>Capital Goods - rc</v>
          </cell>
        </row>
        <row r="5210">
          <cell r="D5210">
            <v>871690</v>
          </cell>
          <cell r="E5210" t="str">
            <v>Trailers, semi-trailers and other vehicles not mechanically propelled; parts thereof for heading no. 8716</v>
          </cell>
          <cell r="F5210">
            <v>0</v>
          </cell>
          <cell r="G5210">
            <v>0</v>
          </cell>
          <cell r="H5210" t="str">
            <v>Parts &amp; Accessories</v>
          </cell>
          <cell r="I5210" t="str">
            <v>Parts &amp; Accessories</v>
          </cell>
          <cell r="J5210">
            <v>2</v>
          </cell>
          <cell r="K5210" t="str">
            <v>Parts &amp; Accessories - rc</v>
          </cell>
        </row>
        <row r="5211">
          <cell r="D5211">
            <v>880100</v>
          </cell>
          <cell r="E5211" t="str">
            <v>Balloons and dirigibles; gliders, hang gliders and other non-powered aircraft.</v>
          </cell>
          <cell r="F5211">
            <v>0</v>
          </cell>
          <cell r="G5211">
            <v>0</v>
          </cell>
          <cell r="H5211" t="str">
            <v>Parts &amp; Accessories</v>
          </cell>
          <cell r="I5211" t="str">
            <v>Others</v>
          </cell>
          <cell r="J5211">
            <v>2</v>
          </cell>
          <cell r="K5211" t="str">
            <v>Others</v>
          </cell>
        </row>
        <row r="5212">
          <cell r="D5212">
            <v>880211</v>
          </cell>
          <cell r="E5212" t="str">
            <v>Helicopters, except unmanned; of an unladen weight not exceeding 2000kg</v>
          </cell>
          <cell r="F5212">
            <v>0</v>
          </cell>
          <cell r="G5212">
            <v>0</v>
          </cell>
          <cell r="H5212">
            <v>0</v>
          </cell>
          <cell r="I5212" t="str">
            <v>Others</v>
          </cell>
          <cell r="J5212">
            <v>3</v>
          </cell>
          <cell r="K5212" t="str">
            <v>Others</v>
          </cell>
        </row>
        <row r="5213">
          <cell r="D5213">
            <v>880212</v>
          </cell>
          <cell r="E5213" t="str">
            <v>Helicopters, except unmanned; of an unladen weight exceeding 2000kg</v>
          </cell>
          <cell r="F5213">
            <v>0</v>
          </cell>
          <cell r="G5213">
            <v>0</v>
          </cell>
          <cell r="H5213">
            <v>0</v>
          </cell>
          <cell r="I5213" t="str">
            <v>Others</v>
          </cell>
          <cell r="J5213">
            <v>3</v>
          </cell>
          <cell r="K5213" t="str">
            <v>Others</v>
          </cell>
        </row>
        <row r="5214">
          <cell r="D5214">
            <v>880220</v>
          </cell>
          <cell r="E5214" t="str">
            <v>Aeroplanes and other aircraft, except unmanned; of an unladen weight not exceeding 2000kg</v>
          </cell>
          <cell r="F5214">
            <v>0</v>
          </cell>
          <cell r="G5214">
            <v>0</v>
          </cell>
          <cell r="H5214">
            <v>0</v>
          </cell>
          <cell r="I5214" t="str">
            <v>Others</v>
          </cell>
          <cell r="J5214">
            <v>3</v>
          </cell>
          <cell r="K5214" t="str">
            <v>Others</v>
          </cell>
        </row>
        <row r="5215">
          <cell r="D5215">
            <v>880230</v>
          </cell>
          <cell r="E5215" t="str">
            <v>Aeroplanes and other aircraft, except unmanned; of an unladen weight exceeding 2000kg but not exceeding 15,000kg</v>
          </cell>
          <cell r="F5215">
            <v>0</v>
          </cell>
          <cell r="G5215">
            <v>0</v>
          </cell>
          <cell r="H5215">
            <v>0</v>
          </cell>
          <cell r="I5215" t="str">
            <v>Others</v>
          </cell>
          <cell r="J5215">
            <v>3</v>
          </cell>
          <cell r="K5215" t="str">
            <v>Others</v>
          </cell>
        </row>
        <row r="5216">
          <cell r="D5216">
            <v>880240</v>
          </cell>
          <cell r="E5216" t="str">
            <v>Aeroplanes and other aircraft, except unmanned; of an unladen weight exceeding 15,000kg</v>
          </cell>
          <cell r="F5216">
            <v>0</v>
          </cell>
          <cell r="G5216">
            <v>0</v>
          </cell>
          <cell r="H5216">
            <v>0</v>
          </cell>
          <cell r="I5216" t="str">
            <v>Others</v>
          </cell>
          <cell r="J5216">
            <v>3</v>
          </cell>
          <cell r="K5216" t="str">
            <v>Others</v>
          </cell>
        </row>
        <row r="5217">
          <cell r="D5217">
            <v>880260</v>
          </cell>
          <cell r="E5217" t="str">
            <v>Spacecraft; (including satellites) and suborbital and spacecraft launch vehicles</v>
          </cell>
          <cell r="F5217">
            <v>0</v>
          </cell>
          <cell r="G5217">
            <v>0</v>
          </cell>
          <cell r="H5217">
            <v>0</v>
          </cell>
          <cell r="I5217" t="str">
            <v>Others</v>
          </cell>
          <cell r="J5217">
            <v>3</v>
          </cell>
          <cell r="K5217" t="str">
            <v>Others</v>
          </cell>
        </row>
        <row r="5218">
          <cell r="D5218">
            <v>880400</v>
          </cell>
          <cell r="E5218" t="str">
            <v>Parachutes (including dirigible parachutes and paragliders) and rotochutes; parts thereof and accessories thereto</v>
          </cell>
          <cell r="F5218">
            <v>0</v>
          </cell>
          <cell r="G5218">
            <v>0</v>
          </cell>
          <cell r="H5218">
            <v>0</v>
          </cell>
          <cell r="I5218" t="str">
            <v>Others</v>
          </cell>
          <cell r="J5218">
            <v>3</v>
          </cell>
          <cell r="K5218" t="str">
            <v>Others</v>
          </cell>
        </row>
        <row r="5219">
          <cell r="D5219">
            <v>880510</v>
          </cell>
          <cell r="E5219" t="str">
            <v>Aircraft launching gear, deck-arrestor or similar gear and parts thereof</v>
          </cell>
          <cell r="F5219">
            <v>0</v>
          </cell>
          <cell r="G5219">
            <v>0</v>
          </cell>
          <cell r="H5219">
            <v>0</v>
          </cell>
          <cell r="I5219" t="str">
            <v>Others</v>
          </cell>
          <cell r="J5219">
            <v>3</v>
          </cell>
          <cell r="K5219" t="str">
            <v>Others</v>
          </cell>
        </row>
        <row r="5220">
          <cell r="D5220">
            <v>880521</v>
          </cell>
          <cell r="E5220" t="str">
            <v>Ground flying trainers and parts thereof; air combat simulators and parts thereof</v>
          </cell>
          <cell r="F5220">
            <v>0</v>
          </cell>
          <cell r="G5220">
            <v>0</v>
          </cell>
          <cell r="H5220">
            <v>0</v>
          </cell>
          <cell r="I5220" t="str">
            <v>Others</v>
          </cell>
          <cell r="J5220">
            <v>3</v>
          </cell>
          <cell r="K5220" t="str">
            <v>Others</v>
          </cell>
        </row>
        <row r="5221">
          <cell r="D5221">
            <v>880529</v>
          </cell>
          <cell r="E5221" t="str">
            <v>Ground flying trainers and parts thereof; other than air combat simulators and parts thereof</v>
          </cell>
          <cell r="F5221">
            <v>0</v>
          </cell>
          <cell r="G5221">
            <v>0</v>
          </cell>
          <cell r="H5221">
            <v>0</v>
          </cell>
          <cell r="I5221" t="str">
            <v>Others</v>
          </cell>
          <cell r="J5221">
            <v>3</v>
          </cell>
          <cell r="K5221" t="str">
            <v>Others</v>
          </cell>
        </row>
        <row r="5222">
          <cell r="D5222">
            <v>880610</v>
          </cell>
          <cell r="E5222" t="str">
            <v>Unmanned aircraft; for carriage of passengers</v>
          </cell>
          <cell r="F5222">
            <v>0</v>
          </cell>
          <cell r="G5222">
            <v>0</v>
          </cell>
          <cell r="H5222">
            <v>0</v>
          </cell>
          <cell r="I5222" t="str">
            <v>Others</v>
          </cell>
          <cell r="J5222">
            <v>3</v>
          </cell>
          <cell r="K5222" t="str">
            <v>Others</v>
          </cell>
        </row>
        <row r="5223">
          <cell r="D5223">
            <v>880621</v>
          </cell>
          <cell r="E5223" t="str">
            <v>Unmanned aircraft; for remote-controlled flight only, for other than for carriage of passengers, with the maximum take-off weight of not more than 250g</v>
          </cell>
          <cell r="F5223">
            <v>0</v>
          </cell>
          <cell r="G5223">
            <v>0</v>
          </cell>
          <cell r="H5223">
            <v>0</v>
          </cell>
          <cell r="I5223" t="str">
            <v>Capital Goods</v>
          </cell>
          <cell r="J5223">
            <v>3</v>
          </cell>
          <cell r="K5223" t="str">
            <v>Durable</v>
          </cell>
        </row>
        <row r="5224">
          <cell r="D5224">
            <v>880622</v>
          </cell>
          <cell r="E5224" t="str">
            <v>Unmanned aircraft; for remote-controlled flight only, for other than for carriage of passengers, with the maximum take-off weight of more than 250g but not more than 7kg</v>
          </cell>
          <cell r="F5224">
            <v>0</v>
          </cell>
          <cell r="G5224">
            <v>0</v>
          </cell>
          <cell r="H5224">
            <v>0</v>
          </cell>
          <cell r="I5224" t="str">
            <v>Capital Goods</v>
          </cell>
          <cell r="J5224">
            <v>3</v>
          </cell>
          <cell r="K5224" t="str">
            <v>Durable</v>
          </cell>
        </row>
        <row r="5225">
          <cell r="D5225">
            <v>880623</v>
          </cell>
          <cell r="E5225" t="str">
            <v>Unmanned aircraft; for remote-controlled flight only, for other than for carriage of passengers, with the maximum take-off weight of more than 7kg but not more than 25kg</v>
          </cell>
          <cell r="F5225">
            <v>0</v>
          </cell>
          <cell r="G5225">
            <v>0</v>
          </cell>
          <cell r="H5225">
            <v>0</v>
          </cell>
          <cell r="I5225" t="str">
            <v>Capital Goods</v>
          </cell>
          <cell r="J5225">
            <v>3</v>
          </cell>
          <cell r="K5225" t="str">
            <v>Durable</v>
          </cell>
        </row>
        <row r="5226">
          <cell r="D5226">
            <v>880624</v>
          </cell>
          <cell r="E5226" t="str">
            <v>Unmanned aircraft; for remote-controlled flight only, for other than for carriage of passengers, with the maximum take-off weight of more than 25kg but not more than 150kg</v>
          </cell>
          <cell r="F5226">
            <v>0</v>
          </cell>
          <cell r="G5226">
            <v>0</v>
          </cell>
          <cell r="H5226">
            <v>0</v>
          </cell>
          <cell r="I5226" t="str">
            <v>Capital Goods</v>
          </cell>
          <cell r="J5226">
            <v>3</v>
          </cell>
          <cell r="K5226" t="str">
            <v>Durable</v>
          </cell>
        </row>
        <row r="5227">
          <cell r="D5227">
            <v>880629</v>
          </cell>
          <cell r="E5227" t="str">
            <v>Unmanned aircraft; for remote-controlled flight only, for other than for carriage of passengers, with the maximum take-off weight of more than 150kg</v>
          </cell>
          <cell r="F5227">
            <v>0</v>
          </cell>
          <cell r="G5227">
            <v>0</v>
          </cell>
          <cell r="H5227">
            <v>0</v>
          </cell>
          <cell r="I5227" t="str">
            <v>Capital Goods</v>
          </cell>
          <cell r="J5227">
            <v>3</v>
          </cell>
          <cell r="K5227" t="str">
            <v>Durable</v>
          </cell>
        </row>
        <row r="5228">
          <cell r="D5228">
            <v>880691</v>
          </cell>
          <cell r="E5228" t="str">
            <v>Unmanned aircraft; for other than remote-controlled flight and other than for carriage of passengers with a maximum take-off weight not more than 250g</v>
          </cell>
          <cell r="F5228">
            <v>0</v>
          </cell>
          <cell r="G5228">
            <v>0</v>
          </cell>
          <cell r="H5228">
            <v>0</v>
          </cell>
          <cell r="I5228" t="str">
            <v>Capital Goods</v>
          </cell>
          <cell r="J5228">
            <v>3</v>
          </cell>
          <cell r="K5228" t="str">
            <v>Durable</v>
          </cell>
        </row>
        <row r="5229">
          <cell r="D5229">
            <v>880692</v>
          </cell>
          <cell r="E5229" t="str">
            <v>Unmanned aircraft; for other than remote-controlled flight and other than for carriage of passengers with a maximum take-off weight more than 250g but not more than 7kg</v>
          </cell>
          <cell r="F5229" t="str">
            <v>Capital Goods</v>
          </cell>
          <cell r="G5229">
            <v>0</v>
          </cell>
          <cell r="H5229">
            <v>0</v>
          </cell>
          <cell r="I5229" t="str">
            <v>Capital Goods</v>
          </cell>
          <cell r="J5229">
            <v>2</v>
          </cell>
          <cell r="K5229" t="str">
            <v>Durable</v>
          </cell>
        </row>
        <row r="5230">
          <cell r="D5230">
            <v>880693</v>
          </cell>
          <cell r="E5230" t="str">
            <v>Unmanned aircraft; for other than remote-controlled flight and other than for carriage of passengers with a maximum take-off weight more than 7kg but not more than 25kg</v>
          </cell>
          <cell r="F5230">
            <v>0</v>
          </cell>
          <cell r="G5230">
            <v>0</v>
          </cell>
          <cell r="H5230">
            <v>0</v>
          </cell>
          <cell r="I5230" t="str">
            <v>Capital Goods</v>
          </cell>
          <cell r="J5230">
            <v>3</v>
          </cell>
          <cell r="K5230" t="str">
            <v>Durable</v>
          </cell>
        </row>
        <row r="5231">
          <cell r="D5231">
            <v>880694</v>
          </cell>
          <cell r="E5231" t="str">
            <v>Unmanned aircraft; for other than remote-controlled flight and other than for carriage of passengers with a maximum take-off weight more than 25kg but not more than 150kg</v>
          </cell>
          <cell r="F5231">
            <v>0</v>
          </cell>
          <cell r="G5231">
            <v>0</v>
          </cell>
          <cell r="H5231">
            <v>0</v>
          </cell>
          <cell r="I5231" t="str">
            <v>Capital Goods</v>
          </cell>
          <cell r="J5231">
            <v>3</v>
          </cell>
          <cell r="K5231" t="str">
            <v>Durable</v>
          </cell>
        </row>
        <row r="5232">
          <cell r="D5232">
            <v>880699</v>
          </cell>
          <cell r="E5232" t="str">
            <v>Unmanned aircraft; for other than remote-controlled flight and other than for carriage of passengers with a maximum take-off weight more than 150kg</v>
          </cell>
          <cell r="F5232">
            <v>0</v>
          </cell>
          <cell r="G5232">
            <v>0</v>
          </cell>
          <cell r="H5232">
            <v>0</v>
          </cell>
          <cell r="I5232" t="str">
            <v>Capital Goods</v>
          </cell>
          <cell r="J5232">
            <v>3</v>
          </cell>
          <cell r="K5232" t="str">
            <v>Durable</v>
          </cell>
        </row>
        <row r="5233">
          <cell r="D5233">
            <v>880710</v>
          </cell>
          <cell r="E5233" t="str">
            <v>Aircraft and spacecraft; propellers and rotors and parts thereof</v>
          </cell>
          <cell r="F5233">
            <v>0</v>
          </cell>
          <cell r="G5233">
            <v>0</v>
          </cell>
          <cell r="H5233">
            <v>0</v>
          </cell>
          <cell r="I5233" t="str">
            <v>Parts &amp; Accessories</v>
          </cell>
          <cell r="J5233">
            <v>3</v>
          </cell>
          <cell r="K5233" t="str">
            <v>Durable</v>
          </cell>
        </row>
        <row r="5234">
          <cell r="D5234">
            <v>880720</v>
          </cell>
          <cell r="E5234" t="str">
            <v>Aircraft and spacecraft; under-carriages and parts thereof</v>
          </cell>
          <cell r="F5234">
            <v>0</v>
          </cell>
          <cell r="G5234">
            <v>0</v>
          </cell>
          <cell r="H5234">
            <v>0</v>
          </cell>
          <cell r="I5234" t="str">
            <v>Parts &amp; Accessories</v>
          </cell>
          <cell r="J5234">
            <v>3</v>
          </cell>
          <cell r="K5234" t="str">
            <v>Durable</v>
          </cell>
        </row>
        <row r="5235">
          <cell r="D5235">
            <v>880730</v>
          </cell>
          <cell r="E5235" t="str">
            <v>Aircraft and spacecraft; parts of aeroplanes, helicopters or unmanned aircraft n.e.c. in heading no. 8807</v>
          </cell>
          <cell r="F5235">
            <v>0</v>
          </cell>
          <cell r="G5235">
            <v>0</v>
          </cell>
          <cell r="H5235">
            <v>0</v>
          </cell>
          <cell r="I5235" t="str">
            <v>Parts &amp; Accessories</v>
          </cell>
          <cell r="J5235">
            <v>3</v>
          </cell>
          <cell r="K5235" t="str">
            <v>Durable</v>
          </cell>
        </row>
        <row r="5236">
          <cell r="D5236">
            <v>880790</v>
          </cell>
          <cell r="E5236" t="str">
            <v>Aircraft and spacecraft; parts thereof n.e.c. in chapter 88</v>
          </cell>
          <cell r="F5236">
            <v>0</v>
          </cell>
          <cell r="G5236">
            <v>0</v>
          </cell>
          <cell r="H5236">
            <v>0</v>
          </cell>
          <cell r="I5236" t="str">
            <v>Parts &amp; Accessories</v>
          </cell>
          <cell r="J5236">
            <v>3</v>
          </cell>
          <cell r="K5236" t="str">
            <v>Durable</v>
          </cell>
        </row>
        <row r="5237">
          <cell r="D5237">
            <v>890110</v>
          </cell>
          <cell r="E5237" t="str">
            <v>Cruise ships, excursion boats and similar vessels, principally designed for the transport of persons, ferry boats of all kinds</v>
          </cell>
          <cell r="F5237">
            <v>0</v>
          </cell>
          <cell r="G5237">
            <v>0</v>
          </cell>
          <cell r="H5237">
            <v>0</v>
          </cell>
          <cell r="I5237" t="str">
            <v>Others</v>
          </cell>
          <cell r="J5237">
            <v>3</v>
          </cell>
          <cell r="K5237" t="str">
            <v>Others</v>
          </cell>
        </row>
        <row r="5238">
          <cell r="D5238">
            <v>890120</v>
          </cell>
          <cell r="E5238" t="str">
            <v>Tankers</v>
          </cell>
          <cell r="F5238">
            <v>0</v>
          </cell>
          <cell r="G5238">
            <v>0</v>
          </cell>
          <cell r="H5238">
            <v>0</v>
          </cell>
          <cell r="I5238" t="str">
            <v>Others</v>
          </cell>
          <cell r="J5238">
            <v>3</v>
          </cell>
          <cell r="K5238" t="str">
            <v>Others</v>
          </cell>
        </row>
        <row r="5239">
          <cell r="D5239">
            <v>890130</v>
          </cell>
          <cell r="E5239" t="str">
            <v>Vessels, refrigerated; other than tankers</v>
          </cell>
          <cell r="F5239">
            <v>0</v>
          </cell>
          <cell r="G5239">
            <v>0</v>
          </cell>
          <cell r="H5239">
            <v>0</v>
          </cell>
          <cell r="I5239" t="str">
            <v>Others</v>
          </cell>
          <cell r="J5239">
            <v>3</v>
          </cell>
          <cell r="K5239" t="str">
            <v>Others</v>
          </cell>
        </row>
        <row r="5240">
          <cell r="D5240">
            <v>890190</v>
          </cell>
          <cell r="E5240" t="str">
            <v>Vessels; n.e.c. in heading no. 8901, for the transport of goods and other vessels for the transport of both persons and goods</v>
          </cell>
          <cell r="F5240">
            <v>0</v>
          </cell>
          <cell r="G5240">
            <v>0</v>
          </cell>
          <cell r="H5240">
            <v>0</v>
          </cell>
          <cell r="I5240" t="str">
            <v>Others</v>
          </cell>
          <cell r="J5240">
            <v>3</v>
          </cell>
          <cell r="K5240" t="str">
            <v>Others</v>
          </cell>
        </row>
        <row r="5241">
          <cell r="D5241">
            <v>890200</v>
          </cell>
          <cell r="E5241" t="str">
            <v>Fishing vessels, factory ships and other vessels; for processing or preserving fishery products</v>
          </cell>
          <cell r="F5241">
            <v>0</v>
          </cell>
          <cell r="G5241">
            <v>0</v>
          </cell>
          <cell r="H5241">
            <v>0</v>
          </cell>
          <cell r="I5241" t="str">
            <v>Others</v>
          </cell>
          <cell r="J5241">
            <v>3</v>
          </cell>
          <cell r="K5241" t="str">
            <v>Others</v>
          </cell>
        </row>
        <row r="5242">
          <cell r="D5242">
            <v>890311</v>
          </cell>
          <cell r="E5242" t="str">
            <v>Yachts and other vessels; for pleasure or sports, inflatable (including rigid hull inflatable), fitted or designed to be fitted with a motor, unladen (net) weight (excluding the motor) not exceeding 100kg</v>
          </cell>
          <cell r="F5242">
            <v>0</v>
          </cell>
          <cell r="G5242">
            <v>0</v>
          </cell>
          <cell r="H5242">
            <v>0</v>
          </cell>
          <cell r="I5242" t="str">
            <v>Others</v>
          </cell>
          <cell r="J5242">
            <v>3</v>
          </cell>
          <cell r="K5242" t="str">
            <v>Others</v>
          </cell>
        </row>
        <row r="5243">
          <cell r="D5243">
            <v>890312</v>
          </cell>
          <cell r="E5243" t="str">
            <v>Yachts and other vessels; for pleasure or sports, inflatable (including rigid hull inflatable), not designed to be used with a motor and unladen (net) weight not exceeding 100kg</v>
          </cell>
          <cell r="F5243">
            <v>0</v>
          </cell>
          <cell r="G5243">
            <v>0</v>
          </cell>
          <cell r="H5243">
            <v>0</v>
          </cell>
          <cell r="I5243" t="str">
            <v>Others</v>
          </cell>
          <cell r="J5243">
            <v>3</v>
          </cell>
          <cell r="K5243" t="str">
            <v>Others</v>
          </cell>
        </row>
        <row r="5244">
          <cell r="D5244">
            <v>890319</v>
          </cell>
          <cell r="E5244" t="str">
            <v>Yachts and other vessels; for pleasure or sports, inflatable (including rigid hull inflatable), unladen (net) weight exceeding 100kg</v>
          </cell>
          <cell r="F5244">
            <v>0</v>
          </cell>
          <cell r="G5244">
            <v>0</v>
          </cell>
          <cell r="H5244">
            <v>0</v>
          </cell>
          <cell r="I5244" t="str">
            <v>Others</v>
          </cell>
          <cell r="J5244">
            <v>3</v>
          </cell>
          <cell r="K5244" t="str">
            <v>Others</v>
          </cell>
        </row>
        <row r="5245">
          <cell r="D5245">
            <v>890321</v>
          </cell>
          <cell r="E5245" t="str">
            <v>Sailboats; (other than inflatable) with or without auxiliary motor, for pleasure or sports, of a length not exceeding 7.5m</v>
          </cell>
          <cell r="F5245">
            <v>0</v>
          </cell>
          <cell r="G5245">
            <v>0</v>
          </cell>
          <cell r="H5245">
            <v>0</v>
          </cell>
          <cell r="I5245" t="str">
            <v>Others</v>
          </cell>
          <cell r="J5245">
            <v>3</v>
          </cell>
          <cell r="K5245" t="str">
            <v>Others</v>
          </cell>
        </row>
        <row r="5246">
          <cell r="D5246">
            <v>890322</v>
          </cell>
          <cell r="E5246" t="str">
            <v>Sailboats; (other than inflatable) with or without auxiliary motor, for pleasure or sports, of a length exceeding 7.5m but not exceeding 24m</v>
          </cell>
          <cell r="F5246">
            <v>0</v>
          </cell>
          <cell r="G5246">
            <v>0</v>
          </cell>
          <cell r="H5246">
            <v>0</v>
          </cell>
          <cell r="I5246" t="str">
            <v>Others</v>
          </cell>
          <cell r="J5246">
            <v>3</v>
          </cell>
          <cell r="K5246" t="str">
            <v>Others</v>
          </cell>
        </row>
        <row r="5247">
          <cell r="D5247">
            <v>890323</v>
          </cell>
          <cell r="E5247" t="str">
            <v>Sailboats; (other than inflatable) with or without auxiliary motor, for pleasure or sports, of a length exceeding 24m</v>
          </cell>
          <cell r="F5247">
            <v>0</v>
          </cell>
          <cell r="G5247">
            <v>0</v>
          </cell>
          <cell r="H5247">
            <v>0</v>
          </cell>
          <cell r="I5247" t="str">
            <v>Others</v>
          </cell>
          <cell r="J5247">
            <v>3</v>
          </cell>
          <cell r="K5247" t="str">
            <v>Others</v>
          </cell>
        </row>
        <row r="5248">
          <cell r="D5248">
            <v>890331</v>
          </cell>
          <cell r="E5248" t="str">
            <v>Motorboats; (other than outboard motorboats), for pleasure or sports, other than inflatable, of a length not exceeding 7.5m</v>
          </cell>
          <cell r="F5248">
            <v>0</v>
          </cell>
          <cell r="G5248">
            <v>0</v>
          </cell>
          <cell r="H5248">
            <v>0</v>
          </cell>
          <cell r="I5248" t="str">
            <v>Others</v>
          </cell>
          <cell r="J5248">
            <v>3</v>
          </cell>
          <cell r="K5248" t="str">
            <v>Others</v>
          </cell>
        </row>
        <row r="5249">
          <cell r="D5249">
            <v>890332</v>
          </cell>
          <cell r="E5249" t="str">
            <v>Motorboats; (other than outboard motorboats), for pleasure or sports, other than inflatable, of a length exceeding 7.5m but not exceeding 24m</v>
          </cell>
          <cell r="F5249">
            <v>0</v>
          </cell>
          <cell r="G5249">
            <v>0</v>
          </cell>
          <cell r="H5249">
            <v>0</v>
          </cell>
          <cell r="I5249" t="str">
            <v>Others</v>
          </cell>
          <cell r="J5249">
            <v>3</v>
          </cell>
          <cell r="K5249" t="str">
            <v>Others</v>
          </cell>
        </row>
        <row r="5250">
          <cell r="D5250">
            <v>890333</v>
          </cell>
          <cell r="E5250" t="str">
            <v>Motorboats; (other than outboard motorboats), for pleasure or sports, other than inflatable, of a length exceeding 24m</v>
          </cell>
          <cell r="F5250">
            <v>0</v>
          </cell>
          <cell r="G5250">
            <v>0</v>
          </cell>
          <cell r="H5250">
            <v>0</v>
          </cell>
          <cell r="I5250" t="str">
            <v>Others</v>
          </cell>
          <cell r="J5250">
            <v>3</v>
          </cell>
          <cell r="K5250" t="str">
            <v>Others</v>
          </cell>
        </row>
        <row r="5251">
          <cell r="D5251">
            <v>890393</v>
          </cell>
          <cell r="E5251" t="str">
            <v>Vessels; (other than sailboats and motorboats), for pleasure or sports, other than inflatable, of a length not exceeding 7.5m</v>
          </cell>
          <cell r="F5251">
            <v>0</v>
          </cell>
          <cell r="G5251">
            <v>0</v>
          </cell>
          <cell r="H5251">
            <v>0</v>
          </cell>
          <cell r="I5251" t="str">
            <v>Others</v>
          </cell>
          <cell r="J5251">
            <v>3</v>
          </cell>
          <cell r="K5251" t="str">
            <v>Others</v>
          </cell>
        </row>
        <row r="5252">
          <cell r="D5252">
            <v>890399</v>
          </cell>
          <cell r="E5252" t="str">
            <v>Vessels; (other than sailboats and motorboats), for pleasure or sports, other than inflatable, of a length exceeding 7.5m</v>
          </cell>
          <cell r="F5252">
            <v>0</v>
          </cell>
          <cell r="G5252">
            <v>0</v>
          </cell>
          <cell r="H5252">
            <v>0</v>
          </cell>
          <cell r="I5252" t="str">
            <v>Others</v>
          </cell>
          <cell r="J5252">
            <v>3</v>
          </cell>
          <cell r="K5252" t="str">
            <v>Others</v>
          </cell>
        </row>
        <row r="5253">
          <cell r="D5253">
            <v>890400</v>
          </cell>
          <cell r="E5253" t="str">
            <v>Tugs and pusher craft</v>
          </cell>
          <cell r="F5253">
            <v>0</v>
          </cell>
          <cell r="G5253">
            <v>0</v>
          </cell>
          <cell r="H5253">
            <v>0</v>
          </cell>
          <cell r="I5253" t="str">
            <v>Others</v>
          </cell>
          <cell r="J5253">
            <v>3</v>
          </cell>
          <cell r="K5253" t="str">
            <v>Others</v>
          </cell>
        </row>
        <row r="5254">
          <cell r="D5254">
            <v>890510</v>
          </cell>
          <cell r="E5254" t="str">
            <v>Dredgers</v>
          </cell>
          <cell r="F5254">
            <v>0</v>
          </cell>
          <cell r="G5254">
            <v>0</v>
          </cell>
          <cell r="H5254">
            <v>0</v>
          </cell>
          <cell r="I5254" t="str">
            <v>Capital Goods</v>
          </cell>
          <cell r="J5254">
            <v>3</v>
          </cell>
          <cell r="K5254" t="str">
            <v>Capital Goods - rc</v>
          </cell>
        </row>
        <row r="5255">
          <cell r="D5255">
            <v>890520</v>
          </cell>
          <cell r="E5255" t="str">
            <v>Floating or submersible drilling or production platforms</v>
          </cell>
          <cell r="F5255">
            <v>0</v>
          </cell>
          <cell r="G5255">
            <v>0</v>
          </cell>
          <cell r="H5255">
            <v>0</v>
          </cell>
          <cell r="I5255" t="str">
            <v>Capital Goods</v>
          </cell>
          <cell r="J5255">
            <v>3</v>
          </cell>
          <cell r="K5255" t="str">
            <v>Capital Goods - rc</v>
          </cell>
        </row>
        <row r="5256">
          <cell r="D5256">
            <v>890590</v>
          </cell>
          <cell r="E5256" t="str">
            <v>Vessels; light, fire-floats, floating cranes and other vessels, the navigability of which is subsidiary to their main function, floating docks</v>
          </cell>
          <cell r="F5256">
            <v>0</v>
          </cell>
          <cell r="G5256">
            <v>0</v>
          </cell>
          <cell r="H5256">
            <v>0</v>
          </cell>
          <cell r="I5256" t="str">
            <v>Capital Goods</v>
          </cell>
          <cell r="J5256">
            <v>3</v>
          </cell>
          <cell r="K5256" t="str">
            <v>Capital Goods - rc</v>
          </cell>
        </row>
        <row r="5257">
          <cell r="D5257">
            <v>890610</v>
          </cell>
          <cell r="E5257" t="str">
            <v>Vessels; warships</v>
          </cell>
          <cell r="F5257">
            <v>0</v>
          </cell>
          <cell r="G5257">
            <v>0</v>
          </cell>
          <cell r="H5257" t="str">
            <v>Capital Goods</v>
          </cell>
          <cell r="I5257" t="str">
            <v>Others</v>
          </cell>
          <cell r="J5257">
            <v>2</v>
          </cell>
          <cell r="K5257" t="str">
            <v>Others</v>
          </cell>
        </row>
        <row r="5258">
          <cell r="D5258">
            <v>890690</v>
          </cell>
          <cell r="E5258" t="str">
            <v>Vessels; other, including lifeboats other than rowing boats, other than warships</v>
          </cell>
          <cell r="F5258">
            <v>0</v>
          </cell>
          <cell r="G5258">
            <v>0</v>
          </cell>
          <cell r="H5258">
            <v>0</v>
          </cell>
          <cell r="I5258" t="str">
            <v>Others</v>
          </cell>
          <cell r="J5258">
            <v>3</v>
          </cell>
          <cell r="K5258" t="str">
            <v>Others</v>
          </cell>
        </row>
        <row r="5259">
          <cell r="D5259">
            <v>890710</v>
          </cell>
          <cell r="E5259" t="str">
            <v>Rafts; inflatable</v>
          </cell>
          <cell r="F5259">
            <v>0</v>
          </cell>
          <cell r="G5259">
            <v>0</v>
          </cell>
          <cell r="H5259">
            <v>0</v>
          </cell>
          <cell r="I5259" t="str">
            <v>Others</v>
          </cell>
          <cell r="J5259">
            <v>3</v>
          </cell>
          <cell r="K5259" t="str">
            <v>Others</v>
          </cell>
        </row>
        <row r="5260">
          <cell r="D5260">
            <v>890790</v>
          </cell>
          <cell r="E5260" t="str">
            <v>Floating structures; tanks, coffer-dams, landing stages, buoys and beacons</v>
          </cell>
          <cell r="F5260">
            <v>0</v>
          </cell>
          <cell r="G5260">
            <v>0</v>
          </cell>
          <cell r="H5260">
            <v>0</v>
          </cell>
          <cell r="I5260" t="str">
            <v>Capital Goods</v>
          </cell>
          <cell r="J5260">
            <v>3</v>
          </cell>
          <cell r="K5260" t="str">
            <v>Capital Goods</v>
          </cell>
        </row>
        <row r="5261">
          <cell r="D5261">
            <v>890800</v>
          </cell>
          <cell r="E5261" t="str">
            <v>Vessels and other floating structures; for breaking up</v>
          </cell>
          <cell r="F5261">
            <v>0</v>
          </cell>
          <cell r="G5261">
            <v>0</v>
          </cell>
          <cell r="H5261">
            <v>0</v>
          </cell>
          <cell r="I5261" t="str">
            <v>Others</v>
          </cell>
          <cell r="J5261">
            <v>3</v>
          </cell>
          <cell r="K5261" t="str">
            <v>Others</v>
          </cell>
        </row>
        <row r="5262">
          <cell r="D5262">
            <v>900110</v>
          </cell>
          <cell r="E5262" t="str">
            <v>Optical fibres, optical fibre bundles and cables; excluding those of heading no. 8544</v>
          </cell>
          <cell r="F5262" t="str">
            <v>Capital Goods</v>
          </cell>
          <cell r="G5262">
            <v>0</v>
          </cell>
          <cell r="H5262">
            <v>0</v>
          </cell>
          <cell r="I5262" t="str">
            <v>Others</v>
          </cell>
          <cell r="J5262">
            <v>2</v>
          </cell>
          <cell r="K5262" t="str">
            <v>Consumables</v>
          </cell>
        </row>
        <row r="5263">
          <cell r="D5263">
            <v>900120</v>
          </cell>
          <cell r="E5263" t="str">
            <v>Optical elements; polarising material, sheets and plates thereof</v>
          </cell>
          <cell r="F5263">
            <v>0</v>
          </cell>
          <cell r="G5263">
            <v>0</v>
          </cell>
          <cell r="H5263">
            <v>0</v>
          </cell>
          <cell r="I5263" t="str">
            <v>Others</v>
          </cell>
          <cell r="J5263">
            <v>3</v>
          </cell>
          <cell r="K5263" t="str">
            <v>Others</v>
          </cell>
        </row>
        <row r="5264">
          <cell r="D5264">
            <v>900130</v>
          </cell>
          <cell r="E5264" t="str">
            <v>Lenses, contact; unmounted, of any material, excluding elements of glass not optically worked</v>
          </cell>
          <cell r="F5264">
            <v>0</v>
          </cell>
          <cell r="G5264">
            <v>0</v>
          </cell>
          <cell r="H5264">
            <v>0</v>
          </cell>
          <cell r="I5264" t="str">
            <v>Others</v>
          </cell>
          <cell r="J5264">
            <v>3</v>
          </cell>
          <cell r="K5264" t="str">
            <v>Others</v>
          </cell>
        </row>
        <row r="5265">
          <cell r="D5265">
            <v>854610</v>
          </cell>
          <cell r="E5265" t="str">
            <v>Electrical insulators; of glass</v>
          </cell>
          <cell r="F5265">
            <v>0</v>
          </cell>
          <cell r="G5265">
            <v>0</v>
          </cell>
          <cell r="H5265">
            <v>0</v>
          </cell>
          <cell r="I5265" t="str">
            <v>Parts &amp; Accessories</v>
          </cell>
          <cell r="J5265">
            <v>3</v>
          </cell>
          <cell r="K5265" t="str">
            <v>Parts &amp; Accessories</v>
          </cell>
        </row>
        <row r="5266">
          <cell r="D5266">
            <v>900150</v>
          </cell>
          <cell r="E5266" t="str">
            <v>Lenses, spectacle; unmounted, of materials other than glass</v>
          </cell>
          <cell r="F5266">
            <v>0</v>
          </cell>
          <cell r="G5266">
            <v>0</v>
          </cell>
          <cell r="H5266">
            <v>0</v>
          </cell>
          <cell r="I5266" t="str">
            <v>Others</v>
          </cell>
          <cell r="J5266">
            <v>3</v>
          </cell>
          <cell r="K5266" t="str">
            <v>Others</v>
          </cell>
        </row>
        <row r="5267">
          <cell r="D5267">
            <v>900190</v>
          </cell>
          <cell r="E5267" t="str">
            <v>Optical elements; lenses n.e.c. in heading no. 9001, prisms, mirrors and other optical elements, unmounted, of any material (excluding elements of glass not optically worked)</v>
          </cell>
          <cell r="F5267" t="str">
            <v>Consumables</v>
          </cell>
          <cell r="G5267">
            <v>0</v>
          </cell>
          <cell r="H5267">
            <v>0</v>
          </cell>
          <cell r="I5267" t="str">
            <v>Others</v>
          </cell>
          <cell r="J5267">
            <v>2</v>
          </cell>
          <cell r="K5267" t="str">
            <v>Consumables</v>
          </cell>
        </row>
        <row r="5268">
          <cell r="D5268">
            <v>900211</v>
          </cell>
          <cell r="E5268" t="str">
            <v>Lenses; objective, for cameras, projectors or photographic enlargers or reducers, mounted, being parts or fittings for instruments or apparatus, of any material (excluding glass not optically worked)</v>
          </cell>
          <cell r="F5268" t="str">
            <v>Consumables</v>
          </cell>
          <cell r="G5268">
            <v>0</v>
          </cell>
          <cell r="H5268">
            <v>0</v>
          </cell>
          <cell r="I5268" t="str">
            <v>Others</v>
          </cell>
          <cell r="J5268">
            <v>2</v>
          </cell>
          <cell r="K5268" t="str">
            <v>Consumables - rc</v>
          </cell>
        </row>
        <row r="5269">
          <cell r="D5269">
            <v>900219</v>
          </cell>
          <cell r="E5269" t="str">
            <v>Lenses; objective, (other than for cameras, projectors or photographic enlargers or reducers), mounted, of any material (excluding elements of glass not optically worked)</v>
          </cell>
          <cell r="F5269" t="str">
            <v>Consumables</v>
          </cell>
          <cell r="G5269">
            <v>0</v>
          </cell>
          <cell r="H5269">
            <v>0</v>
          </cell>
          <cell r="I5269" t="str">
            <v>Others</v>
          </cell>
          <cell r="J5269">
            <v>2</v>
          </cell>
          <cell r="K5269" t="str">
            <v>Consumables</v>
          </cell>
        </row>
        <row r="5270">
          <cell r="D5270">
            <v>900220</v>
          </cell>
          <cell r="E5270" t="str">
            <v>Filters; mounted as parts or fittings for instruments or apparatus, of any material (excluding elements of glass not optically worked)</v>
          </cell>
          <cell r="F5270" t="str">
            <v>Consumables</v>
          </cell>
          <cell r="G5270">
            <v>0</v>
          </cell>
          <cell r="H5270">
            <v>0</v>
          </cell>
          <cell r="I5270" t="str">
            <v>Others</v>
          </cell>
          <cell r="J5270">
            <v>2</v>
          </cell>
          <cell r="K5270" t="str">
            <v>Consumables</v>
          </cell>
        </row>
        <row r="5271">
          <cell r="D5271">
            <v>900290</v>
          </cell>
          <cell r="E5271" t="str">
            <v>Optical elements; n.e.c. in heading no. 9002 (e.g. prisms and mirrors), mounted, being parts or fittings for instruments or apparatus, of any material (excluding elements of glass not optically worked)</v>
          </cell>
          <cell r="F5271" t="str">
            <v>Consumables</v>
          </cell>
          <cell r="G5271">
            <v>0</v>
          </cell>
          <cell r="H5271">
            <v>0</v>
          </cell>
          <cell r="I5271" t="str">
            <v>Others</v>
          </cell>
          <cell r="J5271">
            <v>2</v>
          </cell>
          <cell r="K5271" t="str">
            <v>Consumables</v>
          </cell>
        </row>
        <row r="5272">
          <cell r="D5272">
            <v>900311</v>
          </cell>
          <cell r="E5272" t="str">
            <v>Frames and mountings; for spectacles, goggles or the like, of plastics</v>
          </cell>
          <cell r="F5272">
            <v>0</v>
          </cell>
          <cell r="G5272">
            <v>0</v>
          </cell>
          <cell r="H5272">
            <v>0</v>
          </cell>
          <cell r="I5272" t="str">
            <v>Others</v>
          </cell>
          <cell r="J5272">
            <v>3</v>
          </cell>
          <cell r="K5272" t="str">
            <v>Others</v>
          </cell>
        </row>
        <row r="5273">
          <cell r="D5273">
            <v>900319</v>
          </cell>
          <cell r="E5273" t="str">
            <v>Frames and mountings; for spectacles, goggles or the like, of materials other than plastics</v>
          </cell>
          <cell r="F5273">
            <v>0</v>
          </cell>
          <cell r="G5273">
            <v>0</v>
          </cell>
          <cell r="H5273">
            <v>0</v>
          </cell>
          <cell r="I5273" t="str">
            <v>Others</v>
          </cell>
          <cell r="J5273">
            <v>3</v>
          </cell>
          <cell r="K5273" t="str">
            <v>Others</v>
          </cell>
        </row>
        <row r="5274">
          <cell r="D5274">
            <v>900390</v>
          </cell>
          <cell r="E5274" t="str">
            <v>Frames and mountings; parts for spectacles, goggles or the like</v>
          </cell>
          <cell r="F5274" t="str">
            <v>Capital Goods</v>
          </cell>
          <cell r="G5274">
            <v>0</v>
          </cell>
          <cell r="H5274">
            <v>0</v>
          </cell>
          <cell r="I5274" t="str">
            <v>Others</v>
          </cell>
          <cell r="J5274">
            <v>2</v>
          </cell>
          <cell r="K5274" t="str">
            <v>Capital Goods - rc</v>
          </cell>
        </row>
        <row r="5275">
          <cell r="D5275">
            <v>900410</v>
          </cell>
          <cell r="E5275" t="str">
            <v>Sunglasses; corrective, protective or other</v>
          </cell>
          <cell r="F5275">
            <v>0</v>
          </cell>
          <cell r="G5275">
            <v>0</v>
          </cell>
          <cell r="H5275">
            <v>0</v>
          </cell>
          <cell r="I5275" t="str">
            <v>Others</v>
          </cell>
          <cell r="J5275">
            <v>3</v>
          </cell>
          <cell r="K5275" t="str">
            <v>Others</v>
          </cell>
        </row>
        <row r="5276">
          <cell r="D5276">
            <v>900490</v>
          </cell>
          <cell r="E5276" t="str">
            <v>Spectacles, goggles and the like; (other than sunglasses) corrective, protective or other</v>
          </cell>
          <cell r="F5276" t="str">
            <v>Capital Goods</v>
          </cell>
          <cell r="G5276">
            <v>0</v>
          </cell>
          <cell r="H5276">
            <v>0</v>
          </cell>
          <cell r="I5276" t="str">
            <v>Others</v>
          </cell>
          <cell r="J5276">
            <v>2</v>
          </cell>
          <cell r="K5276" t="str">
            <v>Others</v>
          </cell>
        </row>
        <row r="5277">
          <cell r="D5277">
            <v>900510</v>
          </cell>
          <cell r="E5277" t="str">
            <v>Binoculars</v>
          </cell>
          <cell r="F5277">
            <v>0</v>
          </cell>
          <cell r="G5277">
            <v>0</v>
          </cell>
          <cell r="H5277">
            <v>0</v>
          </cell>
          <cell r="I5277" t="str">
            <v>Durable</v>
          </cell>
          <cell r="J5277">
            <v>3</v>
          </cell>
          <cell r="K5277" t="str">
            <v>Durable</v>
          </cell>
        </row>
        <row r="5278">
          <cell r="D5278">
            <v>900580</v>
          </cell>
          <cell r="E5278" t="str">
            <v>Monoculars; other optical telescopes and astronomical instruments, excluding instruments for radio-astronomy</v>
          </cell>
          <cell r="F5278">
            <v>0</v>
          </cell>
          <cell r="G5278">
            <v>0</v>
          </cell>
          <cell r="H5278">
            <v>0</v>
          </cell>
          <cell r="I5278" t="str">
            <v>Capital Goods</v>
          </cell>
          <cell r="J5278">
            <v>3</v>
          </cell>
          <cell r="K5278" t="str">
            <v>Capital Goods</v>
          </cell>
        </row>
        <row r="5279">
          <cell r="D5279">
            <v>900590</v>
          </cell>
          <cell r="E5279" t="str">
            <v>Binoculars, monoculars, other optical telescopes, astronomical instruments (excluding those of radio-astronomy); parts and accessories (including mountings)</v>
          </cell>
          <cell r="F5279" t="str">
            <v>Parts &amp; Accessories</v>
          </cell>
          <cell r="G5279">
            <v>0</v>
          </cell>
          <cell r="H5279">
            <v>0</v>
          </cell>
          <cell r="I5279" t="str">
            <v>Parts &amp; Accessories</v>
          </cell>
          <cell r="J5279">
            <v>2</v>
          </cell>
          <cell r="K5279" t="str">
            <v>Parts &amp; Accessories - rc</v>
          </cell>
        </row>
        <row r="5280">
          <cell r="D5280">
            <v>900610</v>
          </cell>
          <cell r="E5280" t="str">
            <v>Photographic cameras, photographic flashlight apparatus and flashbulbs (excluding discharge lamps of heading 8539)</v>
          </cell>
          <cell r="F5280">
            <v>0</v>
          </cell>
          <cell r="G5280">
            <v>0</v>
          </cell>
          <cell r="H5280" t="str">
            <v>Others</v>
          </cell>
          <cell r="I5280">
            <v>0</v>
          </cell>
          <cell r="J5280">
            <v>3</v>
          </cell>
          <cell r="K5280" t="str">
            <v>Others</v>
          </cell>
        </row>
        <row r="5281">
          <cell r="D5281">
            <v>900630</v>
          </cell>
          <cell r="E5281" t="str">
            <v>Cameras, photographic (excluding cinematographic); specially designed for underwater use, aerial survey, medical or surgical examination of internal organs; comparison cameras for forensic or criminological use</v>
          </cell>
          <cell r="F5281">
            <v>0</v>
          </cell>
          <cell r="G5281">
            <v>0</v>
          </cell>
          <cell r="H5281">
            <v>0</v>
          </cell>
          <cell r="I5281" t="str">
            <v>Capital Goods</v>
          </cell>
          <cell r="J5281">
            <v>3</v>
          </cell>
          <cell r="K5281" t="str">
            <v>Capital Goods</v>
          </cell>
        </row>
        <row r="5282">
          <cell r="D5282">
            <v>900640</v>
          </cell>
          <cell r="E5282" t="str">
            <v>Cameras, photographic (excluding cinematographic); instant print cameras</v>
          </cell>
          <cell r="F5282">
            <v>0</v>
          </cell>
          <cell r="G5282">
            <v>0</v>
          </cell>
          <cell r="H5282">
            <v>0</v>
          </cell>
          <cell r="I5282" t="str">
            <v>Capital Goods</v>
          </cell>
          <cell r="J5282">
            <v>3</v>
          </cell>
          <cell r="K5282" t="str">
            <v>Capital Goods - rc</v>
          </cell>
        </row>
        <row r="5283">
          <cell r="D5283">
            <v>900653</v>
          </cell>
          <cell r="E5283" t="str">
            <v>Cameras, photographic (excluding cinematographic), for roll film of a width of 35mm</v>
          </cell>
          <cell r="F5283">
            <v>0</v>
          </cell>
          <cell r="G5283">
            <v>0</v>
          </cell>
          <cell r="H5283">
            <v>0</v>
          </cell>
          <cell r="I5283" t="str">
            <v>Capital Goods</v>
          </cell>
          <cell r="J5283">
            <v>3</v>
          </cell>
          <cell r="K5283" t="str">
            <v>Capital Goods</v>
          </cell>
        </row>
        <row r="5284">
          <cell r="D5284">
            <v>900659</v>
          </cell>
          <cell r="E5284" t="str">
            <v>Cameras, photographic (excluding cinematographic); n.e.c. in heading no 9006</v>
          </cell>
          <cell r="F5284" t="str">
            <v>Capital Goods</v>
          </cell>
          <cell r="G5284">
            <v>0</v>
          </cell>
          <cell r="H5284">
            <v>0</v>
          </cell>
          <cell r="I5284" t="str">
            <v>Capital Goods</v>
          </cell>
          <cell r="J5284">
            <v>2</v>
          </cell>
          <cell r="K5284" t="str">
            <v>Capital Goods</v>
          </cell>
        </row>
        <row r="5285">
          <cell r="D5285">
            <v>900661</v>
          </cell>
          <cell r="E5285" t="str">
            <v>Photographic flashlight apparatus; discharge lamp (electronic)</v>
          </cell>
          <cell r="F5285" t="str">
            <v>Capital Goods</v>
          </cell>
          <cell r="G5285">
            <v>0</v>
          </cell>
          <cell r="H5285">
            <v>0</v>
          </cell>
          <cell r="I5285" t="str">
            <v>Capital Goods</v>
          </cell>
          <cell r="J5285">
            <v>2</v>
          </cell>
          <cell r="K5285" t="str">
            <v>Capital Goods - rc</v>
          </cell>
        </row>
        <row r="5286">
          <cell r="D5286">
            <v>900669</v>
          </cell>
          <cell r="E5286" t="str">
            <v>Photographic flashlight apparatus; n.e.c. in heading no. 9006</v>
          </cell>
          <cell r="F5286">
            <v>0</v>
          </cell>
          <cell r="G5286">
            <v>0</v>
          </cell>
          <cell r="H5286">
            <v>0</v>
          </cell>
          <cell r="I5286" t="str">
            <v>Parts &amp; Accessories</v>
          </cell>
          <cell r="J5286">
            <v>3</v>
          </cell>
          <cell r="K5286" t="str">
            <v>Parts &amp; Accessories - rc</v>
          </cell>
        </row>
        <row r="5287">
          <cell r="D5287">
            <v>900691</v>
          </cell>
          <cell r="E5287" t="str">
            <v>Cameras, photographic (excluding cinematographic); parts and accessories</v>
          </cell>
          <cell r="F5287">
            <v>0</v>
          </cell>
          <cell r="G5287">
            <v>0</v>
          </cell>
          <cell r="H5287">
            <v>0</v>
          </cell>
          <cell r="I5287" t="str">
            <v>Others</v>
          </cell>
          <cell r="J5287">
            <v>3</v>
          </cell>
          <cell r="K5287" t="str">
            <v>Others</v>
          </cell>
        </row>
        <row r="5288">
          <cell r="D5288">
            <v>900699</v>
          </cell>
          <cell r="E5288" t="str">
            <v>Photographic flashlight apparatus; parts and accessories, for other than cameras</v>
          </cell>
          <cell r="F5288" t="str">
            <v>Others</v>
          </cell>
          <cell r="G5288">
            <v>0</v>
          </cell>
          <cell r="H5288">
            <v>0</v>
          </cell>
          <cell r="I5288" t="str">
            <v>Others</v>
          </cell>
          <cell r="J5288">
            <v>2</v>
          </cell>
          <cell r="K5288" t="str">
            <v>Others</v>
          </cell>
        </row>
        <row r="5289">
          <cell r="D5289">
            <v>900710</v>
          </cell>
          <cell r="E5289" t="str">
            <v>Cameras, cinematographic; whether or not incorporating sound recording apparatus</v>
          </cell>
          <cell r="F5289">
            <v>0</v>
          </cell>
          <cell r="G5289">
            <v>0</v>
          </cell>
          <cell r="H5289" t="str">
            <v>Capital Goods</v>
          </cell>
          <cell r="I5289" t="str">
            <v>Capital Goods</v>
          </cell>
          <cell r="J5289">
            <v>2</v>
          </cell>
          <cell r="K5289" t="str">
            <v>Capital Goods</v>
          </cell>
        </row>
        <row r="5290">
          <cell r="D5290">
            <v>900720</v>
          </cell>
          <cell r="E5290" t="str">
            <v>Projectors, cinematographic; whether or not incorporating sound recording or reproducing apparatus</v>
          </cell>
          <cell r="F5290">
            <v>0</v>
          </cell>
          <cell r="G5290">
            <v>0</v>
          </cell>
          <cell r="H5290">
            <v>0</v>
          </cell>
          <cell r="I5290" t="str">
            <v>Capital Goods</v>
          </cell>
          <cell r="J5290">
            <v>3</v>
          </cell>
          <cell r="K5290" t="str">
            <v>Capital Goods</v>
          </cell>
        </row>
        <row r="5291">
          <cell r="D5291">
            <v>900791</v>
          </cell>
          <cell r="E5291" t="str">
            <v>Cameras, cinematographic; parts and accessories, whether or not incorporating sound recording apparatus</v>
          </cell>
          <cell r="F5291">
            <v>0</v>
          </cell>
          <cell r="G5291">
            <v>0</v>
          </cell>
          <cell r="H5291">
            <v>0</v>
          </cell>
          <cell r="I5291" t="str">
            <v>Parts &amp; Accessories</v>
          </cell>
          <cell r="J5291">
            <v>3</v>
          </cell>
          <cell r="K5291" t="str">
            <v>Parts &amp; Accessories - rc</v>
          </cell>
        </row>
        <row r="5292">
          <cell r="D5292">
            <v>901090</v>
          </cell>
          <cell r="E5292" t="str">
            <v>Photographic laboratory apparatus and equipment (including cinematographic); parts and accessories</v>
          </cell>
          <cell r="F5292">
            <v>0</v>
          </cell>
          <cell r="G5292">
            <v>0</v>
          </cell>
          <cell r="H5292">
            <v>0</v>
          </cell>
          <cell r="I5292" t="str">
            <v>Parts &amp; Accessories</v>
          </cell>
          <cell r="J5292">
            <v>3</v>
          </cell>
          <cell r="K5292" t="str">
            <v>Parts &amp; Accessories</v>
          </cell>
        </row>
        <row r="5293">
          <cell r="D5293">
            <v>900850</v>
          </cell>
          <cell r="E5293" t="str">
            <v>Image projectors, photographic enlargers and reducers, excluding cinematographic</v>
          </cell>
          <cell r="F5293">
            <v>0</v>
          </cell>
          <cell r="G5293">
            <v>0</v>
          </cell>
          <cell r="H5293" t="str">
            <v>Capital Goods</v>
          </cell>
          <cell r="I5293" t="str">
            <v>Capital Goods</v>
          </cell>
          <cell r="J5293">
            <v>2</v>
          </cell>
          <cell r="K5293" t="str">
            <v>Capital Goods</v>
          </cell>
        </row>
        <row r="5294">
          <cell r="D5294">
            <v>854060</v>
          </cell>
          <cell r="E5294" t="str">
            <v>Tubes; cathode ray, n.e.c. in heading no. 8540</v>
          </cell>
          <cell r="F5294">
            <v>0</v>
          </cell>
          <cell r="G5294">
            <v>0</v>
          </cell>
          <cell r="H5294">
            <v>0</v>
          </cell>
          <cell r="I5294" t="str">
            <v>Parts &amp; Accessories</v>
          </cell>
          <cell r="J5294">
            <v>3</v>
          </cell>
          <cell r="K5294" t="str">
            <v>Parts &amp; Accessories</v>
          </cell>
        </row>
        <row r="5295">
          <cell r="D5295">
            <v>901010</v>
          </cell>
          <cell r="E5295" t="str">
            <v>Photographic laboratory apparatus and equipment; for automatically developing photographic (including cinematographic) film or paper in rolls or for automatically exposing developed film to rolls of paper</v>
          </cell>
          <cell r="F5295">
            <v>0</v>
          </cell>
          <cell r="G5295">
            <v>0</v>
          </cell>
          <cell r="H5295" t="str">
            <v>Capital Goods</v>
          </cell>
          <cell r="I5295" t="str">
            <v>Capital Goods</v>
          </cell>
          <cell r="J5295">
            <v>2</v>
          </cell>
          <cell r="K5295" t="str">
            <v>Capital Goods</v>
          </cell>
        </row>
        <row r="5296">
          <cell r="D5296">
            <v>901050</v>
          </cell>
          <cell r="E5296" t="str">
            <v>Photographic laboratory apparatus and equipment; n.e.c. in item no. 9010.10, for photographic (including cinematographic) laboratories; negatoscopes</v>
          </cell>
          <cell r="F5296">
            <v>0</v>
          </cell>
          <cell r="G5296">
            <v>0</v>
          </cell>
          <cell r="H5296">
            <v>0</v>
          </cell>
          <cell r="I5296" t="str">
            <v>Capital Goods</v>
          </cell>
          <cell r="J5296">
            <v>3</v>
          </cell>
          <cell r="K5296" t="str">
            <v>Capital Goods</v>
          </cell>
        </row>
        <row r="5297">
          <cell r="D5297">
            <v>901060</v>
          </cell>
          <cell r="E5297" t="str">
            <v>Photographic laboratory apparatus and equipment (including cinematographic); projection screens</v>
          </cell>
          <cell r="F5297">
            <v>0</v>
          </cell>
          <cell r="G5297">
            <v>0</v>
          </cell>
          <cell r="H5297">
            <v>0</v>
          </cell>
          <cell r="I5297" t="str">
            <v>Capital Goods</v>
          </cell>
          <cell r="J5297">
            <v>3</v>
          </cell>
          <cell r="K5297" t="str">
            <v>Capital Goods</v>
          </cell>
        </row>
        <row r="5298">
          <cell r="D5298">
            <v>854011</v>
          </cell>
          <cell r="E5298" t="str">
            <v>Tubes; cathode-ray television picture tubes, including video monitor cathode-ray tubes, colour</v>
          </cell>
          <cell r="F5298">
            <v>0</v>
          </cell>
          <cell r="G5298">
            <v>0</v>
          </cell>
          <cell r="H5298">
            <v>0</v>
          </cell>
          <cell r="I5298" t="str">
            <v>Parts &amp; Accessories</v>
          </cell>
          <cell r="J5298">
            <v>3</v>
          </cell>
          <cell r="K5298" t="str">
            <v>Parts &amp; Accessories</v>
          </cell>
        </row>
        <row r="5299">
          <cell r="D5299">
            <v>901110</v>
          </cell>
          <cell r="E5299" t="str">
            <v>Microscopes, compound optical; stereoscopic microscopes</v>
          </cell>
          <cell r="F5299" t="str">
            <v>Capital Goods</v>
          </cell>
          <cell r="G5299">
            <v>0</v>
          </cell>
          <cell r="H5299">
            <v>0</v>
          </cell>
          <cell r="I5299" t="str">
            <v>Capital Goods</v>
          </cell>
          <cell r="J5299">
            <v>2</v>
          </cell>
          <cell r="K5299" t="str">
            <v>Capital Goods</v>
          </cell>
        </row>
        <row r="5300">
          <cell r="D5300">
            <v>901120</v>
          </cell>
          <cell r="E5300" t="str">
            <v>Microscopes, compound optical; for photomicrography, cinephotomicrography or microprojection</v>
          </cell>
          <cell r="F5300" t="str">
            <v>Capital Goods</v>
          </cell>
          <cell r="G5300">
            <v>0</v>
          </cell>
          <cell r="H5300">
            <v>0</v>
          </cell>
          <cell r="I5300" t="str">
            <v>Capital Goods</v>
          </cell>
          <cell r="J5300">
            <v>2</v>
          </cell>
          <cell r="K5300" t="str">
            <v>Capital Goods</v>
          </cell>
        </row>
        <row r="5301">
          <cell r="D5301">
            <v>901180</v>
          </cell>
          <cell r="E5301" t="str">
            <v>Microscopes, compound optical; (other than stereoscopic and microscopes for photomicrography, cinephotomicrography or microprojection)</v>
          </cell>
          <cell r="F5301" t="str">
            <v>Capital Goods</v>
          </cell>
          <cell r="G5301">
            <v>0</v>
          </cell>
          <cell r="H5301">
            <v>0</v>
          </cell>
          <cell r="I5301" t="str">
            <v>Capital Goods</v>
          </cell>
          <cell r="J5301">
            <v>2</v>
          </cell>
          <cell r="K5301" t="str">
            <v>Capital Goods</v>
          </cell>
        </row>
        <row r="5302">
          <cell r="D5302">
            <v>840140</v>
          </cell>
          <cell r="E5302" t="str">
            <v>Nuclear reactors; parts thereof</v>
          </cell>
          <cell r="F5302">
            <v>0</v>
          </cell>
          <cell r="G5302">
            <v>0</v>
          </cell>
          <cell r="H5302" t="str">
            <v>Parts &amp; Accessories</v>
          </cell>
          <cell r="I5302" t="str">
            <v>Parts &amp; Accessories</v>
          </cell>
          <cell r="J5302">
            <v>2</v>
          </cell>
          <cell r="K5302" t="str">
            <v>Parts &amp; Accessories</v>
          </cell>
        </row>
        <row r="5303">
          <cell r="D5303">
            <v>901210</v>
          </cell>
          <cell r="E5303" t="str">
            <v>Microscopes (excluding optical microscopes); diffraction apparatus</v>
          </cell>
          <cell r="F5303" t="str">
            <v>Capital Goods</v>
          </cell>
          <cell r="G5303">
            <v>0</v>
          </cell>
          <cell r="H5303">
            <v>0</v>
          </cell>
          <cell r="I5303" t="str">
            <v>Capital Goods</v>
          </cell>
          <cell r="J5303">
            <v>2</v>
          </cell>
          <cell r="K5303" t="str">
            <v>Capital Goods</v>
          </cell>
        </row>
        <row r="5304">
          <cell r="D5304">
            <v>843142</v>
          </cell>
          <cell r="E5304" t="str">
            <v>Machinery parts; bulldozer or angledozer blades</v>
          </cell>
          <cell r="F5304">
            <v>0</v>
          </cell>
          <cell r="G5304">
            <v>0</v>
          </cell>
          <cell r="H5304" t="str">
            <v>Parts &amp; Accessories</v>
          </cell>
          <cell r="I5304" t="str">
            <v>Parts &amp; Accessories</v>
          </cell>
          <cell r="J5304">
            <v>2</v>
          </cell>
          <cell r="K5304" t="str">
            <v>Parts &amp; Accessories</v>
          </cell>
        </row>
        <row r="5305">
          <cell r="D5305">
            <v>843590</v>
          </cell>
          <cell r="E5305" t="str">
            <v>Presses, crushers and similar machinery; parts, used in the manufacture of wine, cider, fruit juices or similar beverages</v>
          </cell>
          <cell r="F5305" t="str">
            <v>Parts &amp; Accessories</v>
          </cell>
          <cell r="G5305">
            <v>0</v>
          </cell>
          <cell r="H5305" t="str">
            <v>Parts &amp; Accessories</v>
          </cell>
          <cell r="I5305" t="str">
            <v>Parts &amp; Accessories</v>
          </cell>
          <cell r="J5305">
            <v>1</v>
          </cell>
          <cell r="K5305" t="str">
            <v>Parts &amp; Accessories</v>
          </cell>
        </row>
        <row r="5306">
          <cell r="D5306">
            <v>841470</v>
          </cell>
          <cell r="E5306" t="str">
            <v>Gas-tight biological safety cabinets; whether or not fitted with filters, having a maximum horizontal side not exceeding 120cm</v>
          </cell>
          <cell r="F5306">
            <v>0</v>
          </cell>
          <cell r="G5306">
            <v>0</v>
          </cell>
          <cell r="H5306">
            <v>0</v>
          </cell>
          <cell r="I5306" t="str">
            <v>Capital Goods</v>
          </cell>
          <cell r="J5306">
            <v>3</v>
          </cell>
          <cell r="K5306" t="str">
            <v>Parts &amp; Accessories</v>
          </cell>
        </row>
        <row r="5307">
          <cell r="D5307">
            <v>901380</v>
          </cell>
          <cell r="E5307" t="str">
            <v>Optical devices, appliances and instruments; n.e.c. in heading no. 9013</v>
          </cell>
          <cell r="F5307" t="str">
            <v>Capital Goods</v>
          </cell>
          <cell r="G5307">
            <v>0</v>
          </cell>
          <cell r="H5307">
            <v>0</v>
          </cell>
          <cell r="I5307" t="str">
            <v>Capital Goods</v>
          </cell>
          <cell r="J5307">
            <v>2</v>
          </cell>
          <cell r="K5307" t="str">
            <v>Capital Goods</v>
          </cell>
        </row>
        <row r="5308">
          <cell r="D5308">
            <v>900890</v>
          </cell>
          <cell r="E5308" t="str">
            <v>Photographic (other than cinematographic) image projectors, enlargers, and reducers; parts and accessories</v>
          </cell>
          <cell r="F5308">
            <v>0</v>
          </cell>
          <cell r="G5308">
            <v>0</v>
          </cell>
          <cell r="H5308">
            <v>0</v>
          </cell>
          <cell r="I5308" t="str">
            <v>Parts &amp; Accessories</v>
          </cell>
          <cell r="J5308">
            <v>3</v>
          </cell>
          <cell r="K5308" t="str">
            <v>Parts &amp; Accessories</v>
          </cell>
        </row>
        <row r="5309">
          <cell r="D5309">
            <v>901410</v>
          </cell>
          <cell r="E5309" t="str">
            <v>Navigational instruments and appliances; direction finding compasses</v>
          </cell>
          <cell r="F5309">
            <v>0</v>
          </cell>
          <cell r="G5309">
            <v>0</v>
          </cell>
          <cell r="H5309">
            <v>0</v>
          </cell>
          <cell r="I5309" t="str">
            <v>Capital Goods</v>
          </cell>
          <cell r="J5309">
            <v>3</v>
          </cell>
          <cell r="K5309" t="str">
            <v>Capital Goods</v>
          </cell>
        </row>
        <row r="5310">
          <cell r="D5310">
            <v>901420</v>
          </cell>
          <cell r="E5310" t="str">
            <v>Navigational instruments and appliances; for aeronautical or space navigation (excluding compasses)</v>
          </cell>
          <cell r="F5310">
            <v>0</v>
          </cell>
          <cell r="G5310">
            <v>0</v>
          </cell>
          <cell r="H5310">
            <v>0</v>
          </cell>
          <cell r="I5310" t="str">
            <v>Capital Goods</v>
          </cell>
          <cell r="J5310">
            <v>3</v>
          </cell>
          <cell r="K5310" t="str">
            <v>Capital Goods - rc</v>
          </cell>
        </row>
        <row r="5311">
          <cell r="D5311">
            <v>901480</v>
          </cell>
          <cell r="E5311" t="str">
            <v>Navigational instruments and appliances; for navigation other than aeronautical or space navigation (excluding direction finding compasses)</v>
          </cell>
          <cell r="F5311" t="str">
            <v>Capital Goods</v>
          </cell>
          <cell r="G5311">
            <v>0</v>
          </cell>
          <cell r="H5311">
            <v>0</v>
          </cell>
          <cell r="I5311" t="str">
            <v>Capital Goods</v>
          </cell>
          <cell r="J5311">
            <v>2</v>
          </cell>
          <cell r="K5311" t="str">
            <v>Capital Goods</v>
          </cell>
        </row>
        <row r="5312">
          <cell r="D5312">
            <v>901490</v>
          </cell>
          <cell r="E5312" t="str">
            <v>Navigational instruments and appliances; parts and accessories</v>
          </cell>
          <cell r="F5312" t="str">
            <v>Parts &amp; Accessories</v>
          </cell>
          <cell r="G5312">
            <v>0</v>
          </cell>
          <cell r="H5312">
            <v>0</v>
          </cell>
          <cell r="I5312" t="str">
            <v>Parts &amp; Accessories</v>
          </cell>
          <cell r="J5312">
            <v>2</v>
          </cell>
          <cell r="K5312" t="str">
            <v>Parts &amp; Accessories - rc</v>
          </cell>
        </row>
        <row r="5313">
          <cell r="D5313">
            <v>901510</v>
          </cell>
          <cell r="E5313" t="str">
            <v>Rangefinders</v>
          </cell>
          <cell r="F5313">
            <v>0</v>
          </cell>
          <cell r="G5313">
            <v>0</v>
          </cell>
          <cell r="H5313">
            <v>0</v>
          </cell>
          <cell r="I5313" t="str">
            <v>Capital Goods</v>
          </cell>
          <cell r="J5313">
            <v>3</v>
          </cell>
          <cell r="K5313" t="str">
            <v>Capital Goods</v>
          </cell>
        </row>
        <row r="5314">
          <cell r="D5314">
            <v>901520</v>
          </cell>
          <cell r="E5314" t="str">
            <v>Surveying equipment; theodolites and tachymeters (tacheometers)</v>
          </cell>
          <cell r="F5314">
            <v>0</v>
          </cell>
          <cell r="G5314">
            <v>0</v>
          </cell>
          <cell r="H5314">
            <v>0</v>
          </cell>
          <cell r="I5314" t="str">
            <v>Capital Goods</v>
          </cell>
          <cell r="J5314">
            <v>3</v>
          </cell>
          <cell r="K5314" t="str">
            <v>Capital Goods</v>
          </cell>
        </row>
        <row r="5315">
          <cell r="D5315">
            <v>901530</v>
          </cell>
          <cell r="E5315" t="str">
            <v>Surveying equipment; levels</v>
          </cell>
          <cell r="F5315" t="str">
            <v>Capital Goods</v>
          </cell>
          <cell r="G5315">
            <v>0</v>
          </cell>
          <cell r="H5315">
            <v>0</v>
          </cell>
          <cell r="I5315" t="str">
            <v>Capital Goods</v>
          </cell>
          <cell r="J5315">
            <v>2</v>
          </cell>
          <cell r="K5315" t="str">
            <v>Capital Goods</v>
          </cell>
        </row>
        <row r="5316">
          <cell r="D5316">
            <v>901540</v>
          </cell>
          <cell r="E5316" t="str">
            <v>Surveying equipment; photogrammetrical surveying instruments and appliances</v>
          </cell>
          <cell r="F5316" t="str">
            <v>Capital Goods</v>
          </cell>
          <cell r="G5316">
            <v>0</v>
          </cell>
          <cell r="H5316">
            <v>0</v>
          </cell>
          <cell r="I5316" t="str">
            <v>Capital Goods</v>
          </cell>
          <cell r="J5316">
            <v>2</v>
          </cell>
          <cell r="K5316" t="str">
            <v>Capital Goods</v>
          </cell>
        </row>
        <row r="5317">
          <cell r="D5317">
            <v>901580</v>
          </cell>
          <cell r="E5317" t="str">
            <v>Surveying equipment; articles n.e.c. in heading no. 9015, including hydrographic, oceanographic, hydrological, meteorological or geophysical instruments and appliances (excluding compasses)</v>
          </cell>
          <cell r="F5317" t="str">
            <v>Capital Goods</v>
          </cell>
          <cell r="G5317">
            <v>0</v>
          </cell>
          <cell r="H5317">
            <v>0</v>
          </cell>
          <cell r="I5317" t="str">
            <v>Capital Goods</v>
          </cell>
          <cell r="J5317">
            <v>2</v>
          </cell>
          <cell r="K5317" t="str">
            <v>Capital Goods</v>
          </cell>
        </row>
        <row r="5318">
          <cell r="D5318">
            <v>901590</v>
          </cell>
          <cell r="E5318" t="str">
            <v>Surveying equipment; parts and accessories for articles of heading no. 9015</v>
          </cell>
          <cell r="F5318" t="str">
            <v>Parts &amp; Accessories</v>
          </cell>
          <cell r="G5318">
            <v>0</v>
          </cell>
          <cell r="H5318">
            <v>0</v>
          </cell>
          <cell r="I5318" t="str">
            <v>Parts &amp; Accessories</v>
          </cell>
          <cell r="J5318">
            <v>2</v>
          </cell>
          <cell r="K5318" t="str">
            <v>Parts &amp; Accessories - rc</v>
          </cell>
        </row>
        <row r="5319">
          <cell r="D5319">
            <v>901600</v>
          </cell>
          <cell r="E5319" t="str">
            <v>Balances; of a sensitivity of 5cg or better, with or without weights</v>
          </cell>
          <cell r="F5319" t="str">
            <v>Capital Goods</v>
          </cell>
          <cell r="G5319">
            <v>0</v>
          </cell>
          <cell r="H5319">
            <v>0</v>
          </cell>
          <cell r="I5319" t="str">
            <v>Capital Goods</v>
          </cell>
          <cell r="J5319">
            <v>2</v>
          </cell>
          <cell r="K5319" t="str">
            <v>Capital Goods</v>
          </cell>
        </row>
        <row r="5320">
          <cell r="D5320">
            <v>901710</v>
          </cell>
          <cell r="E5320" t="str">
            <v>Drafting tables and machines; whether or not automatic</v>
          </cell>
          <cell r="F5320">
            <v>0</v>
          </cell>
          <cell r="G5320">
            <v>0</v>
          </cell>
          <cell r="H5320">
            <v>0</v>
          </cell>
          <cell r="I5320" t="str">
            <v>Capital Goods</v>
          </cell>
          <cell r="J5320">
            <v>3</v>
          </cell>
          <cell r="K5320" t="str">
            <v>Capital Goods</v>
          </cell>
        </row>
        <row r="5321">
          <cell r="D5321">
            <v>901720</v>
          </cell>
          <cell r="E5321" t="str">
            <v>Drawing, marking-out or mathematical calculating instruments</v>
          </cell>
          <cell r="F5321" t="str">
            <v>Capital Goods</v>
          </cell>
          <cell r="G5321">
            <v>0</v>
          </cell>
          <cell r="H5321" t="str">
            <v>Capital Goods</v>
          </cell>
          <cell r="I5321" t="str">
            <v>Capital Goods</v>
          </cell>
          <cell r="J5321">
            <v>1</v>
          </cell>
          <cell r="K5321" t="str">
            <v>Capital Goods</v>
          </cell>
        </row>
        <row r="5322">
          <cell r="D5322">
            <v>901730</v>
          </cell>
          <cell r="E5322" t="str">
            <v>Mathematical equipment; micrometers, callipers and gauges</v>
          </cell>
          <cell r="F5322" t="str">
            <v>Capital Goods</v>
          </cell>
          <cell r="G5322">
            <v>0</v>
          </cell>
          <cell r="H5322">
            <v>0</v>
          </cell>
          <cell r="I5322" t="str">
            <v>Capital Goods</v>
          </cell>
          <cell r="J5322">
            <v>2</v>
          </cell>
          <cell r="K5322" t="str">
            <v>Capital Goods</v>
          </cell>
        </row>
        <row r="5323">
          <cell r="D5323">
            <v>901780</v>
          </cell>
          <cell r="E5323" t="str">
            <v>Mathematical instruments and equipment; n.e.c. in heading no. 9017</v>
          </cell>
          <cell r="F5323" t="str">
            <v>Capital Goods</v>
          </cell>
          <cell r="G5323">
            <v>0</v>
          </cell>
          <cell r="H5323">
            <v>0</v>
          </cell>
          <cell r="I5323" t="str">
            <v>Capital Goods</v>
          </cell>
          <cell r="J5323">
            <v>2</v>
          </cell>
          <cell r="K5323" t="str">
            <v>Capital Goods</v>
          </cell>
        </row>
        <row r="5324">
          <cell r="D5324">
            <v>854091</v>
          </cell>
          <cell r="E5324" t="str">
            <v>Tubes; parts of cathode-ray tubes</v>
          </cell>
          <cell r="F5324">
            <v>0</v>
          </cell>
          <cell r="G5324">
            <v>0</v>
          </cell>
          <cell r="H5324">
            <v>0</v>
          </cell>
          <cell r="I5324" t="str">
            <v>Parts &amp; Accessories</v>
          </cell>
          <cell r="J5324">
            <v>3</v>
          </cell>
          <cell r="K5324" t="str">
            <v>Parts &amp; Accessories</v>
          </cell>
        </row>
        <row r="5325">
          <cell r="D5325">
            <v>901811</v>
          </cell>
          <cell r="E5325" t="str">
            <v>Medical, surgical instruments and appliances; electro-cardiographs</v>
          </cell>
          <cell r="F5325">
            <v>0</v>
          </cell>
          <cell r="G5325">
            <v>0</v>
          </cell>
          <cell r="H5325">
            <v>0</v>
          </cell>
          <cell r="I5325" t="str">
            <v>Capital Goods</v>
          </cell>
          <cell r="J5325">
            <v>3</v>
          </cell>
          <cell r="K5325" t="str">
            <v>Capital Goods</v>
          </cell>
        </row>
        <row r="5326">
          <cell r="D5326">
            <v>901812</v>
          </cell>
          <cell r="E5326" t="str">
            <v>Medical, surgical instruments and appliances; ultrasonic scanning apparatus</v>
          </cell>
          <cell r="F5326" t="str">
            <v>Capital Goods</v>
          </cell>
          <cell r="G5326">
            <v>0</v>
          </cell>
          <cell r="H5326">
            <v>0</v>
          </cell>
          <cell r="I5326" t="str">
            <v>Capital Goods</v>
          </cell>
          <cell r="J5326">
            <v>2</v>
          </cell>
          <cell r="K5326" t="str">
            <v>Capital Goods - rc</v>
          </cell>
        </row>
        <row r="5327">
          <cell r="D5327">
            <v>901813</v>
          </cell>
          <cell r="E5327" t="str">
            <v>Medical, surgical instruments and appliances; magnetic resonance imaging apparatus</v>
          </cell>
          <cell r="F5327">
            <v>0</v>
          </cell>
          <cell r="G5327">
            <v>0</v>
          </cell>
          <cell r="H5327">
            <v>0</v>
          </cell>
          <cell r="I5327" t="str">
            <v>Capital Goods</v>
          </cell>
          <cell r="J5327">
            <v>3</v>
          </cell>
          <cell r="K5327" t="str">
            <v>Capital Goods - rc</v>
          </cell>
        </row>
        <row r="5328">
          <cell r="D5328">
            <v>901814</v>
          </cell>
          <cell r="E5328" t="str">
            <v>Medical, surgical instruments and appliances; scintigraphic apparatus</v>
          </cell>
          <cell r="F5328">
            <v>0</v>
          </cell>
          <cell r="G5328">
            <v>0</v>
          </cell>
          <cell r="H5328">
            <v>0</v>
          </cell>
          <cell r="I5328" t="str">
            <v>Capital Goods</v>
          </cell>
          <cell r="J5328">
            <v>3</v>
          </cell>
          <cell r="K5328" t="str">
            <v>Capital Goods</v>
          </cell>
        </row>
        <row r="5329">
          <cell r="D5329">
            <v>901819</v>
          </cell>
          <cell r="E5329" t="str">
            <v>Medical, surgical instruments and appliances; electro-diagnostic apparatus (including apparatus for functional exploratory examination or for checking physiological parameters), n.e.c. in item no. 9018.1</v>
          </cell>
          <cell r="F5329">
            <v>0</v>
          </cell>
          <cell r="G5329">
            <v>0</v>
          </cell>
          <cell r="H5329">
            <v>0</v>
          </cell>
          <cell r="I5329" t="str">
            <v>Capital Goods</v>
          </cell>
          <cell r="J5329">
            <v>3</v>
          </cell>
          <cell r="K5329" t="str">
            <v>Capital Goods - rc</v>
          </cell>
        </row>
        <row r="5330">
          <cell r="D5330">
            <v>901820</v>
          </cell>
          <cell r="E5330" t="str">
            <v>Medical, surgical instruments and appliances; ultra-violet or infra-red ray apparatus</v>
          </cell>
          <cell r="F5330" t="str">
            <v>Capital Goods</v>
          </cell>
          <cell r="G5330">
            <v>0</v>
          </cell>
          <cell r="H5330">
            <v>0</v>
          </cell>
          <cell r="I5330" t="str">
            <v>Capital Goods</v>
          </cell>
          <cell r="J5330">
            <v>2</v>
          </cell>
          <cell r="K5330" t="str">
            <v>Capital Goods</v>
          </cell>
        </row>
        <row r="5331">
          <cell r="D5331">
            <v>901831</v>
          </cell>
          <cell r="E5331" t="str">
            <v>Medical, surgical instruments and appliances; syringes, with or without needles</v>
          </cell>
          <cell r="F5331" t="str">
            <v>Consumables</v>
          </cell>
          <cell r="G5331">
            <v>0</v>
          </cell>
          <cell r="H5331">
            <v>0</v>
          </cell>
          <cell r="I5331" t="str">
            <v>Others</v>
          </cell>
          <cell r="J5331">
            <v>2</v>
          </cell>
          <cell r="K5331" t="str">
            <v>Consumables - rc</v>
          </cell>
        </row>
        <row r="5332">
          <cell r="D5332">
            <v>901832</v>
          </cell>
          <cell r="E5332" t="str">
            <v>Medical, surgical instruments and appliances; tubular metal needles and needles for sutures</v>
          </cell>
          <cell r="F5332">
            <v>0</v>
          </cell>
          <cell r="G5332">
            <v>0</v>
          </cell>
          <cell r="H5332">
            <v>0</v>
          </cell>
          <cell r="I5332" t="str">
            <v>Others</v>
          </cell>
          <cell r="J5332">
            <v>3</v>
          </cell>
          <cell r="K5332" t="str">
            <v>Others</v>
          </cell>
        </row>
        <row r="5333">
          <cell r="D5333">
            <v>901839</v>
          </cell>
          <cell r="E5333" t="str">
            <v>Medical, surgical instruments and appliances; catheters, cannulae and the like</v>
          </cell>
          <cell r="F5333">
            <v>0</v>
          </cell>
          <cell r="G5333">
            <v>0</v>
          </cell>
          <cell r="H5333">
            <v>0</v>
          </cell>
          <cell r="I5333" t="str">
            <v>Others</v>
          </cell>
          <cell r="J5333">
            <v>3</v>
          </cell>
          <cell r="K5333" t="str">
            <v>Others</v>
          </cell>
        </row>
        <row r="5334">
          <cell r="D5334">
            <v>901841</v>
          </cell>
          <cell r="E5334" t="str">
            <v>Dental instruments and appliances; dental drill engines, whether or not combined on a single base with other dental equipment</v>
          </cell>
          <cell r="F5334">
            <v>0</v>
          </cell>
          <cell r="G5334">
            <v>0</v>
          </cell>
          <cell r="H5334">
            <v>0</v>
          </cell>
          <cell r="I5334" t="str">
            <v>Capital Goods</v>
          </cell>
          <cell r="J5334">
            <v>3</v>
          </cell>
          <cell r="K5334" t="str">
            <v>Capital Goods</v>
          </cell>
        </row>
        <row r="5335">
          <cell r="D5335">
            <v>901849</v>
          </cell>
          <cell r="E5335" t="str">
            <v>Dental instruments and appliances; other than dental drill engines</v>
          </cell>
          <cell r="F5335">
            <v>0</v>
          </cell>
          <cell r="G5335">
            <v>0</v>
          </cell>
          <cell r="H5335">
            <v>0</v>
          </cell>
          <cell r="I5335" t="str">
            <v>Capital Goods</v>
          </cell>
          <cell r="J5335">
            <v>3</v>
          </cell>
          <cell r="K5335" t="str">
            <v>Capital Goods - rc</v>
          </cell>
        </row>
        <row r="5336">
          <cell r="D5336">
            <v>901850</v>
          </cell>
          <cell r="E5336" t="str">
            <v>Ophthalmic instruments and appliances</v>
          </cell>
          <cell r="F5336">
            <v>0</v>
          </cell>
          <cell r="G5336">
            <v>0</v>
          </cell>
          <cell r="H5336">
            <v>0</v>
          </cell>
          <cell r="I5336" t="str">
            <v>Capital Goods</v>
          </cell>
          <cell r="J5336">
            <v>3</v>
          </cell>
          <cell r="K5336" t="str">
            <v>Capital Goods - rc</v>
          </cell>
        </row>
        <row r="5337">
          <cell r="D5337">
            <v>901890</v>
          </cell>
          <cell r="E5337" t="str">
            <v>Medical, surgical or dental instruments and appliances; n.e.c. in heading no. 9018</v>
          </cell>
          <cell r="F5337" t="str">
            <v>Capital Goods</v>
          </cell>
          <cell r="G5337">
            <v>0</v>
          </cell>
          <cell r="H5337">
            <v>0</v>
          </cell>
          <cell r="I5337" t="str">
            <v>Capital Goods</v>
          </cell>
          <cell r="J5337">
            <v>2</v>
          </cell>
          <cell r="K5337" t="str">
            <v>Capital Goods - rc</v>
          </cell>
        </row>
        <row r="5338">
          <cell r="D5338">
            <v>901910</v>
          </cell>
          <cell r="E5338" t="str">
            <v>Mechano-therapy appliances; massage apparatus and psychological aptitude-testing apparatus</v>
          </cell>
          <cell r="F5338">
            <v>0</v>
          </cell>
          <cell r="G5338">
            <v>0</v>
          </cell>
          <cell r="H5338">
            <v>0</v>
          </cell>
          <cell r="I5338" t="str">
            <v>Capital Goods</v>
          </cell>
          <cell r="J5338">
            <v>3</v>
          </cell>
          <cell r="K5338" t="str">
            <v>Capital Goods - rc</v>
          </cell>
        </row>
        <row r="5339">
          <cell r="D5339">
            <v>901920</v>
          </cell>
          <cell r="E5339" t="str">
            <v>Therapeutic respiration apparatus; ozone, oxygen, aerosol therapy apparatus; artificial respiration or other therapeutic respiration apparatus</v>
          </cell>
          <cell r="F5339">
            <v>0</v>
          </cell>
          <cell r="G5339">
            <v>0</v>
          </cell>
          <cell r="H5339">
            <v>0</v>
          </cell>
          <cell r="I5339" t="str">
            <v>Capital Goods</v>
          </cell>
          <cell r="J5339">
            <v>3</v>
          </cell>
          <cell r="K5339" t="str">
            <v>Capital Goods - rc</v>
          </cell>
        </row>
        <row r="5340">
          <cell r="D5340">
            <v>902000</v>
          </cell>
          <cell r="E5340" t="str">
            <v>Breathing appliances and gas masks; excluding protective masks having neither mechanical parts nor replaceable filters and excluding apparatus of item no. 9019.20</v>
          </cell>
          <cell r="F5340" t="str">
            <v>Capital Goods</v>
          </cell>
          <cell r="G5340">
            <v>0</v>
          </cell>
          <cell r="H5340">
            <v>0</v>
          </cell>
          <cell r="I5340" t="str">
            <v>Capital Goods</v>
          </cell>
          <cell r="J5340">
            <v>2</v>
          </cell>
          <cell r="K5340" t="str">
            <v>Capital Goods</v>
          </cell>
        </row>
        <row r="5341">
          <cell r="D5341">
            <v>902110</v>
          </cell>
          <cell r="E5341" t="str">
            <v>Orthopaedic or fracture appliances</v>
          </cell>
          <cell r="F5341">
            <v>0</v>
          </cell>
          <cell r="G5341">
            <v>0</v>
          </cell>
          <cell r="H5341">
            <v>0</v>
          </cell>
          <cell r="I5341" t="str">
            <v>Others</v>
          </cell>
          <cell r="J5341">
            <v>3</v>
          </cell>
          <cell r="K5341" t="str">
            <v>Others</v>
          </cell>
        </row>
        <row r="5342">
          <cell r="D5342">
            <v>902121</v>
          </cell>
          <cell r="E5342" t="str">
            <v>Dental fittings; artificial teeth</v>
          </cell>
          <cell r="F5342">
            <v>0</v>
          </cell>
          <cell r="G5342">
            <v>0</v>
          </cell>
          <cell r="H5342">
            <v>0</v>
          </cell>
          <cell r="I5342" t="str">
            <v>Others</v>
          </cell>
          <cell r="J5342">
            <v>3</v>
          </cell>
          <cell r="K5342" t="str">
            <v>Others</v>
          </cell>
        </row>
        <row r="5343">
          <cell r="D5343">
            <v>902129</v>
          </cell>
          <cell r="E5343" t="str">
            <v>Dental fittings; other than artificial teeth</v>
          </cell>
          <cell r="F5343">
            <v>0</v>
          </cell>
          <cell r="G5343">
            <v>0</v>
          </cell>
          <cell r="H5343">
            <v>0</v>
          </cell>
          <cell r="I5343" t="str">
            <v>Others</v>
          </cell>
          <cell r="J5343">
            <v>3</v>
          </cell>
          <cell r="K5343" t="str">
            <v>Others</v>
          </cell>
        </row>
        <row r="5344">
          <cell r="D5344">
            <v>902131</v>
          </cell>
          <cell r="E5344" t="str">
            <v>Artificial parts of the body</v>
          </cell>
          <cell r="F5344">
            <v>0</v>
          </cell>
          <cell r="G5344">
            <v>0</v>
          </cell>
          <cell r="H5344">
            <v>0</v>
          </cell>
          <cell r="I5344" t="str">
            <v>Others</v>
          </cell>
          <cell r="J5344">
            <v>3</v>
          </cell>
          <cell r="K5344" t="str">
            <v>Others</v>
          </cell>
        </row>
        <row r="5345">
          <cell r="D5345">
            <v>902139</v>
          </cell>
          <cell r="E5345" t="str">
            <v>Artificial parts of the body; excluding artificial joints</v>
          </cell>
          <cell r="F5345">
            <v>0</v>
          </cell>
          <cell r="G5345">
            <v>0</v>
          </cell>
          <cell r="H5345">
            <v>0</v>
          </cell>
          <cell r="I5345" t="str">
            <v>Others</v>
          </cell>
          <cell r="J5345">
            <v>3</v>
          </cell>
          <cell r="K5345" t="str">
            <v>Others</v>
          </cell>
        </row>
        <row r="5346">
          <cell r="D5346">
            <v>902140</v>
          </cell>
          <cell r="E5346" t="str">
            <v>Hearing aids (excluding parts and accessories)</v>
          </cell>
          <cell r="F5346">
            <v>0</v>
          </cell>
          <cell r="G5346">
            <v>0</v>
          </cell>
          <cell r="H5346">
            <v>0</v>
          </cell>
          <cell r="I5346" t="str">
            <v>Others</v>
          </cell>
          <cell r="J5346">
            <v>3</v>
          </cell>
          <cell r="K5346" t="str">
            <v>Others</v>
          </cell>
        </row>
        <row r="5347">
          <cell r="D5347">
            <v>902150</v>
          </cell>
          <cell r="E5347" t="str">
            <v>Pacemakers; for stimulating heart muscles (excluding parts and accessories)</v>
          </cell>
          <cell r="F5347">
            <v>0</v>
          </cell>
          <cell r="G5347">
            <v>0</v>
          </cell>
          <cell r="H5347">
            <v>0</v>
          </cell>
          <cell r="I5347" t="str">
            <v>Others</v>
          </cell>
          <cell r="J5347">
            <v>3</v>
          </cell>
          <cell r="K5347" t="str">
            <v>Others</v>
          </cell>
        </row>
        <row r="5348">
          <cell r="D5348">
            <v>902190</v>
          </cell>
          <cell r="E5348" t="str">
            <v>Appliances; worn, carried or implanted in the body, to compensate for a defect or disability</v>
          </cell>
          <cell r="F5348">
            <v>0</v>
          </cell>
          <cell r="G5348">
            <v>0</v>
          </cell>
          <cell r="H5348">
            <v>0</v>
          </cell>
          <cell r="I5348" t="str">
            <v>Others</v>
          </cell>
          <cell r="J5348">
            <v>3</v>
          </cell>
          <cell r="K5348" t="str">
            <v>Others</v>
          </cell>
        </row>
        <row r="5349">
          <cell r="D5349">
            <v>902212</v>
          </cell>
          <cell r="E5349" t="str">
            <v>Apparatus based on the use of x-rays; including radiography or radiotherapy apparatus, whether or not for medical, surgical, dental or veterinary uses, computed tomography apparatus</v>
          </cell>
          <cell r="F5349" t="str">
            <v>Capital Goods</v>
          </cell>
          <cell r="G5349">
            <v>0</v>
          </cell>
          <cell r="H5349">
            <v>0</v>
          </cell>
          <cell r="I5349" t="str">
            <v>Capital Goods</v>
          </cell>
          <cell r="J5349">
            <v>2</v>
          </cell>
          <cell r="K5349" t="str">
            <v>Capital Goods - rc</v>
          </cell>
        </row>
        <row r="5350">
          <cell r="D5350">
            <v>902213</v>
          </cell>
          <cell r="E5350" t="str">
            <v>Apparatus based on the use of x-rays; including radiography or radiotherapy apparatus, for dental uses, excluding computed tomography apparatus</v>
          </cell>
          <cell r="F5350">
            <v>0</v>
          </cell>
          <cell r="G5350">
            <v>0</v>
          </cell>
          <cell r="H5350">
            <v>0</v>
          </cell>
          <cell r="I5350" t="str">
            <v>Capital Goods</v>
          </cell>
          <cell r="J5350">
            <v>3</v>
          </cell>
          <cell r="K5350" t="str">
            <v>Capital Goods</v>
          </cell>
        </row>
        <row r="5351">
          <cell r="D5351">
            <v>902214</v>
          </cell>
          <cell r="E5351" t="str">
            <v>Apparatus based on the use of x-rays; including radiography or radiotherapy apparatus, for medical, surgical or veterinary uses, not dental uses, excluding computed tomography apparatus</v>
          </cell>
          <cell r="F5351" t="str">
            <v>Capital Goods</v>
          </cell>
          <cell r="G5351">
            <v>0</v>
          </cell>
          <cell r="H5351">
            <v>0</v>
          </cell>
          <cell r="I5351" t="str">
            <v>Capital Goods</v>
          </cell>
          <cell r="J5351">
            <v>2</v>
          </cell>
          <cell r="K5351" t="str">
            <v>Capital Goods - rc</v>
          </cell>
        </row>
        <row r="5352">
          <cell r="D5352">
            <v>902219</v>
          </cell>
          <cell r="E5352" t="str">
            <v>Apparatus based on the use of x-rays, including radiography or radiotherapy apparatus; for other than medical, surgical, dental or veterinary uses</v>
          </cell>
          <cell r="F5352" t="str">
            <v>Capital Goods</v>
          </cell>
          <cell r="G5352">
            <v>0</v>
          </cell>
          <cell r="H5352">
            <v>0</v>
          </cell>
          <cell r="I5352" t="str">
            <v>Capital Goods</v>
          </cell>
          <cell r="J5352">
            <v>2</v>
          </cell>
          <cell r="K5352" t="str">
            <v>Capital Goods</v>
          </cell>
        </row>
        <row r="5353">
          <cell r="D5353">
            <v>902221</v>
          </cell>
          <cell r="E5353" t="str">
            <v>Apparatus based on the use of alpha, beta, gamma or other ionising radiations, including radiography or radiotherapy apparatus; for medical, surgical, dental or veterinary uses</v>
          </cell>
          <cell r="F5353">
            <v>0</v>
          </cell>
          <cell r="G5353">
            <v>0</v>
          </cell>
          <cell r="H5353">
            <v>0</v>
          </cell>
          <cell r="I5353" t="str">
            <v>Capital Goods</v>
          </cell>
          <cell r="J5353">
            <v>3</v>
          </cell>
          <cell r="K5353" t="str">
            <v>Capital Goods</v>
          </cell>
        </row>
        <row r="5354">
          <cell r="D5354">
            <v>902229</v>
          </cell>
          <cell r="E5354" t="str">
            <v>Apparatus based on the use of alpha, beta, gamma or other ionising radiations, including radiography or radiotherapy apparatus; (for other than medical, surgical, dental or veterinary uses)</v>
          </cell>
          <cell r="F5354">
            <v>0</v>
          </cell>
          <cell r="G5354">
            <v>0</v>
          </cell>
          <cell r="H5354">
            <v>0</v>
          </cell>
          <cell r="I5354" t="str">
            <v>Capital Goods</v>
          </cell>
          <cell r="J5354">
            <v>3</v>
          </cell>
          <cell r="K5354" t="str">
            <v>Capital Goods</v>
          </cell>
        </row>
        <row r="5355">
          <cell r="D5355">
            <v>902230</v>
          </cell>
          <cell r="E5355" t="str">
            <v>X-ray tubes</v>
          </cell>
          <cell r="F5355" t="str">
            <v>Parts &amp; Accessories</v>
          </cell>
          <cell r="G5355">
            <v>0</v>
          </cell>
          <cell r="H5355">
            <v>0</v>
          </cell>
          <cell r="I5355" t="str">
            <v>Parts &amp; Accessories</v>
          </cell>
          <cell r="J5355">
            <v>2</v>
          </cell>
          <cell r="K5355" t="str">
            <v>Parts &amp; Accessories - rc</v>
          </cell>
        </row>
        <row r="5356">
          <cell r="D5356">
            <v>902290</v>
          </cell>
          <cell r="E5356" t="str">
            <v>Apparatus based on use of x-rays and similar; parts and accessories (x-ray generators, tubes, high tension generators, control panels and desks, screens, examination or treatment tables, chairs and like</v>
          </cell>
          <cell r="F5356" t="str">
            <v>Parts &amp; Accessories</v>
          </cell>
          <cell r="G5356">
            <v>0</v>
          </cell>
          <cell r="H5356">
            <v>0</v>
          </cell>
          <cell r="I5356" t="str">
            <v>Parts &amp; Accessories</v>
          </cell>
          <cell r="J5356">
            <v>2</v>
          </cell>
          <cell r="K5356" t="str">
            <v>Parts &amp; Accessories - rc</v>
          </cell>
        </row>
        <row r="5357">
          <cell r="D5357">
            <v>902300</v>
          </cell>
          <cell r="E5357" t="str">
            <v>Instruments, apparatus and models; designed for demonstrational purposes (in education or exhibitions), unsuitable for other uses</v>
          </cell>
          <cell r="F5357" t="str">
            <v>Capital Goods</v>
          </cell>
          <cell r="G5357">
            <v>0</v>
          </cell>
          <cell r="H5357">
            <v>0</v>
          </cell>
          <cell r="I5357" t="str">
            <v>Capital Goods</v>
          </cell>
          <cell r="J5357">
            <v>2</v>
          </cell>
          <cell r="K5357" t="str">
            <v>Capital Goods</v>
          </cell>
        </row>
        <row r="5358">
          <cell r="D5358">
            <v>902410</v>
          </cell>
          <cell r="E5358" t="str">
            <v>Machines and appliances; for testing the hardness, strength, compressibility, elasticity or other mechanical properties of metals</v>
          </cell>
          <cell r="F5358" t="str">
            <v>Capital Goods</v>
          </cell>
          <cell r="G5358">
            <v>0</v>
          </cell>
          <cell r="H5358">
            <v>0</v>
          </cell>
          <cell r="I5358" t="str">
            <v>Capital Goods</v>
          </cell>
          <cell r="J5358">
            <v>2</v>
          </cell>
          <cell r="K5358" t="str">
            <v>Capital Goods</v>
          </cell>
        </row>
        <row r="5359">
          <cell r="D5359">
            <v>902480</v>
          </cell>
          <cell r="E5359" t="str">
            <v>Machines and appliances; for testing the hardness, strength, compressibility, elasticity or other mechanical properties of materials other than metals</v>
          </cell>
          <cell r="F5359" t="str">
            <v>Capital Goods</v>
          </cell>
          <cell r="G5359">
            <v>0</v>
          </cell>
          <cell r="H5359">
            <v>0</v>
          </cell>
          <cell r="I5359" t="str">
            <v>Capital Goods</v>
          </cell>
          <cell r="J5359">
            <v>2</v>
          </cell>
          <cell r="K5359" t="str">
            <v>Capital Goods</v>
          </cell>
        </row>
        <row r="5360">
          <cell r="D5360">
            <v>840390</v>
          </cell>
          <cell r="E5360" t="str">
            <v>Boilers; parts of central heating boilers (excluding those of heading no. 8402)</v>
          </cell>
          <cell r="F5360">
            <v>0</v>
          </cell>
          <cell r="G5360">
            <v>0</v>
          </cell>
          <cell r="H5360" t="str">
            <v>Parts &amp; Accessories</v>
          </cell>
          <cell r="I5360" t="str">
            <v>Parts &amp; Accessories</v>
          </cell>
          <cell r="J5360">
            <v>2</v>
          </cell>
          <cell r="K5360" t="str">
            <v>Parts &amp; Accessories</v>
          </cell>
        </row>
        <row r="5361">
          <cell r="D5361">
            <v>902511</v>
          </cell>
          <cell r="E5361" t="str">
            <v>Thermometers and pyrometers; liquid filled, for direct reading, not combined with other instruments</v>
          </cell>
          <cell r="F5361" t="str">
            <v>Consumables</v>
          </cell>
          <cell r="G5361">
            <v>0</v>
          </cell>
          <cell r="H5361">
            <v>0</v>
          </cell>
          <cell r="I5361" t="str">
            <v>Capital Goods</v>
          </cell>
          <cell r="J5361">
            <v>2</v>
          </cell>
          <cell r="K5361" t="str">
            <v>Capital Goods</v>
          </cell>
        </row>
        <row r="5362">
          <cell r="D5362">
            <v>902519</v>
          </cell>
          <cell r="E5362" t="str">
            <v>Thermometers and pyrometers; (other than liquid filled, for direct reading), not combined with other instruments</v>
          </cell>
          <cell r="F5362" t="str">
            <v>Capital Goods</v>
          </cell>
          <cell r="G5362">
            <v>0</v>
          </cell>
          <cell r="H5362">
            <v>0</v>
          </cell>
          <cell r="I5362" t="str">
            <v>Capital Goods</v>
          </cell>
          <cell r="J5362">
            <v>2</v>
          </cell>
          <cell r="K5362" t="str">
            <v>Capital Goods</v>
          </cell>
        </row>
        <row r="5363">
          <cell r="D5363">
            <v>902580</v>
          </cell>
          <cell r="E5363" t="str">
            <v>Hydrometers and similar floating instruments, barometers, hygrometers, psychrometers, thermometers, pyrometers; recording or not, any combination of these instruments (excluding thermometers and barometers not combined with other instruments)</v>
          </cell>
          <cell r="F5363" t="str">
            <v>Capital Goods</v>
          </cell>
          <cell r="G5363">
            <v>0</v>
          </cell>
          <cell r="H5363">
            <v>0</v>
          </cell>
          <cell r="I5363" t="str">
            <v>Capital Goods</v>
          </cell>
          <cell r="J5363">
            <v>2</v>
          </cell>
          <cell r="K5363" t="str">
            <v>Capital Goods</v>
          </cell>
        </row>
        <row r="5364">
          <cell r="D5364">
            <v>854040</v>
          </cell>
          <cell r="E5364" t="str">
            <v>Tubes; data/graphic display tubes, monochrome; data/graphic display tubes, colour, with a phosphor dot screen pitch smaller than 0.4mm</v>
          </cell>
          <cell r="F5364">
            <v>0</v>
          </cell>
          <cell r="G5364">
            <v>0</v>
          </cell>
          <cell r="H5364">
            <v>0</v>
          </cell>
          <cell r="I5364" t="str">
            <v>Parts &amp; Accessories</v>
          </cell>
          <cell r="J5364">
            <v>3</v>
          </cell>
          <cell r="K5364" t="str">
            <v>Parts &amp; Accessories</v>
          </cell>
        </row>
        <row r="5365">
          <cell r="D5365">
            <v>902610</v>
          </cell>
          <cell r="E5365" t="str">
            <v>Instruments and apparatus; for measuring or checking the flow or level of liquids</v>
          </cell>
          <cell r="F5365" t="str">
            <v>Capital Goods</v>
          </cell>
          <cell r="G5365">
            <v>0</v>
          </cell>
          <cell r="H5365">
            <v>0</v>
          </cell>
          <cell r="I5365" t="str">
            <v>Capital Goods</v>
          </cell>
          <cell r="J5365">
            <v>2</v>
          </cell>
          <cell r="K5365" t="str">
            <v>Capital Goods</v>
          </cell>
        </row>
        <row r="5366">
          <cell r="D5366">
            <v>902620</v>
          </cell>
          <cell r="E5366" t="str">
            <v>Instruments and apparatus; for measuring or checking pressure</v>
          </cell>
          <cell r="F5366" t="str">
            <v>Capital Goods</v>
          </cell>
          <cell r="G5366">
            <v>0</v>
          </cell>
          <cell r="H5366">
            <v>0</v>
          </cell>
          <cell r="I5366" t="str">
            <v>Capital Goods</v>
          </cell>
          <cell r="J5366">
            <v>2</v>
          </cell>
          <cell r="K5366" t="str">
            <v>Capital Goods</v>
          </cell>
        </row>
        <row r="5367">
          <cell r="D5367">
            <v>902680</v>
          </cell>
          <cell r="E5367" t="str">
            <v>Instruments and apparatus; for measuring or checking variables of liquids or gases (excluding pressure or the flow and level of liquids and those of heading no. 9014, 9015, 9028 and 9032)</v>
          </cell>
          <cell r="F5367" t="str">
            <v>Capital Goods</v>
          </cell>
          <cell r="G5367">
            <v>0</v>
          </cell>
          <cell r="H5367">
            <v>0</v>
          </cell>
          <cell r="I5367" t="str">
            <v>Capital Goods</v>
          </cell>
          <cell r="J5367">
            <v>2</v>
          </cell>
          <cell r="K5367" t="str">
            <v>Capital Goods</v>
          </cell>
        </row>
        <row r="5368">
          <cell r="D5368">
            <v>852210</v>
          </cell>
          <cell r="E5368" t="str">
            <v>Sound recording or reproducing apparatus; parts and accessories thereof, pick-up cartridges</v>
          </cell>
          <cell r="F5368">
            <v>0</v>
          </cell>
          <cell r="G5368">
            <v>0</v>
          </cell>
          <cell r="H5368">
            <v>0</v>
          </cell>
          <cell r="I5368" t="str">
            <v>Parts &amp; Accessories</v>
          </cell>
          <cell r="J5368">
            <v>3</v>
          </cell>
          <cell r="K5368" t="str">
            <v>Parts &amp; Accessories</v>
          </cell>
        </row>
        <row r="5369">
          <cell r="D5369">
            <v>902710</v>
          </cell>
          <cell r="E5369" t="str">
            <v>Instruments and apparatus; gas or smoke analysis apparatus, for physical or chemical analysis</v>
          </cell>
          <cell r="F5369" t="str">
            <v>Capital Goods</v>
          </cell>
          <cell r="G5369">
            <v>0</v>
          </cell>
          <cell r="H5369">
            <v>0</v>
          </cell>
          <cell r="I5369" t="str">
            <v>Capital Goods</v>
          </cell>
          <cell r="J5369">
            <v>2</v>
          </cell>
          <cell r="K5369" t="str">
            <v>Capital Goods</v>
          </cell>
        </row>
        <row r="5370">
          <cell r="D5370">
            <v>902720</v>
          </cell>
          <cell r="E5370" t="str">
            <v>Chromatographs and electrophoresis instruments</v>
          </cell>
          <cell r="F5370">
            <v>0</v>
          </cell>
          <cell r="G5370">
            <v>0</v>
          </cell>
          <cell r="H5370">
            <v>0</v>
          </cell>
          <cell r="I5370" t="str">
            <v>Capital Goods</v>
          </cell>
          <cell r="J5370">
            <v>3</v>
          </cell>
          <cell r="K5370" t="str">
            <v>Capital Goods</v>
          </cell>
        </row>
        <row r="5371">
          <cell r="D5371">
            <v>902730</v>
          </cell>
          <cell r="E5371" t="str">
            <v>Spectrometers, spectrophotometers and spectrographs; using optical radiations (UV, visible, IR)</v>
          </cell>
          <cell r="F5371" t="str">
            <v>Capital Goods</v>
          </cell>
          <cell r="G5371">
            <v>0</v>
          </cell>
          <cell r="H5371">
            <v>0</v>
          </cell>
          <cell r="I5371" t="str">
            <v>Capital Goods</v>
          </cell>
          <cell r="J5371">
            <v>2</v>
          </cell>
          <cell r="K5371" t="str">
            <v>Capital Goods</v>
          </cell>
        </row>
        <row r="5372">
          <cell r="D5372">
            <v>902750</v>
          </cell>
          <cell r="E5372" t="str">
            <v>Instruments and apparatus; using optical radiations (UV, visible, IR), (other than spectrometers, spectrophotometers and spectrographs)</v>
          </cell>
          <cell r="F5372" t="str">
            <v>Capital Goods</v>
          </cell>
          <cell r="G5372">
            <v>0</v>
          </cell>
          <cell r="H5372">
            <v>0</v>
          </cell>
          <cell r="I5372" t="str">
            <v>Capital Goods</v>
          </cell>
          <cell r="J5372">
            <v>2</v>
          </cell>
          <cell r="K5372" t="str">
            <v>Capital Goods</v>
          </cell>
        </row>
        <row r="5373">
          <cell r="D5373">
            <v>902780</v>
          </cell>
          <cell r="E5373" t="e">
            <v>#VALUE!</v>
          </cell>
          <cell r="F5373" t="str">
            <v>Capital Goods</v>
          </cell>
          <cell r="G5373">
            <v>0</v>
          </cell>
          <cell r="H5373">
            <v>0</v>
          </cell>
          <cell r="I5373">
            <v>0</v>
          </cell>
          <cell r="J5373">
            <v>3</v>
          </cell>
          <cell r="K5373" t="str">
            <v>Capital Goods</v>
          </cell>
        </row>
        <row r="5374">
          <cell r="D5374">
            <v>902781</v>
          </cell>
          <cell r="E5374" t="str">
            <v>Instruments and apparatus; for physical or chemical analysis, for measuring or checking viscosity, porosity, expansion, surface tension or quantities of heat, sound or light, mass spectrometers</v>
          </cell>
          <cell r="F5374">
            <v>0</v>
          </cell>
          <cell r="G5374">
            <v>0</v>
          </cell>
          <cell r="H5374">
            <v>0</v>
          </cell>
          <cell r="I5374" t="str">
            <v>Capital Goods</v>
          </cell>
          <cell r="J5374">
            <v>3</v>
          </cell>
          <cell r="K5374" t="str">
            <v>Capital Goods</v>
          </cell>
        </row>
        <row r="5375">
          <cell r="D5375">
            <v>902789</v>
          </cell>
          <cell r="E5375" t="str">
            <v>Instruments and apparatus; for physical or chemical analysis, for measuring or checking viscosity, porosity, expansion, surface tension or quantities of heat, sound or light, exposure meters</v>
          </cell>
          <cell r="F5375" t="str">
            <v>Capital Goods</v>
          </cell>
          <cell r="G5375">
            <v>0</v>
          </cell>
          <cell r="H5375">
            <v>0</v>
          </cell>
          <cell r="I5375" t="str">
            <v>Capital Goods</v>
          </cell>
          <cell r="J5375">
            <v>2</v>
          </cell>
          <cell r="K5375" t="str">
            <v>Capital Goods</v>
          </cell>
        </row>
        <row r="5376">
          <cell r="D5376">
            <v>401219</v>
          </cell>
          <cell r="E5376" t="str">
            <v>Retreaded tyres; other than of a kind used on motor cars (including station wagons and racing cars), buses and lorries and aircraft</v>
          </cell>
          <cell r="F5376">
            <v>0</v>
          </cell>
          <cell r="G5376">
            <v>0</v>
          </cell>
          <cell r="H5376">
            <v>0</v>
          </cell>
          <cell r="I5376" t="str">
            <v>Parts &amp; Accessories</v>
          </cell>
          <cell r="J5376">
            <v>3</v>
          </cell>
          <cell r="K5376" t="str">
            <v>Parts &amp; Accessories</v>
          </cell>
        </row>
        <row r="5377">
          <cell r="D5377">
            <v>902810</v>
          </cell>
          <cell r="E5377" t="str">
            <v>Meters; gas, supply or production meters, including calibrating meters thereof</v>
          </cell>
          <cell r="F5377">
            <v>0</v>
          </cell>
          <cell r="G5377">
            <v>0</v>
          </cell>
          <cell r="H5377">
            <v>0</v>
          </cell>
          <cell r="I5377" t="str">
            <v>Capital Goods</v>
          </cell>
          <cell r="J5377">
            <v>3</v>
          </cell>
          <cell r="K5377" t="str">
            <v>Capital Goods</v>
          </cell>
        </row>
        <row r="5378">
          <cell r="D5378">
            <v>902820</v>
          </cell>
          <cell r="E5378" t="str">
            <v>Meters; liquid supply or production meters, including calibrating meters thereof</v>
          </cell>
          <cell r="F5378" t="str">
            <v>Capital Goods</v>
          </cell>
          <cell r="G5378">
            <v>0</v>
          </cell>
          <cell r="H5378">
            <v>0</v>
          </cell>
          <cell r="I5378" t="str">
            <v>Capital Goods</v>
          </cell>
          <cell r="J5378">
            <v>2</v>
          </cell>
          <cell r="K5378" t="str">
            <v>Capital Goods</v>
          </cell>
        </row>
        <row r="5379">
          <cell r="D5379">
            <v>902830</v>
          </cell>
          <cell r="E5379" t="str">
            <v>Meters; electricity supply or production meters, including calibrating meters thereof</v>
          </cell>
          <cell r="F5379" t="str">
            <v>Capital Goods</v>
          </cell>
          <cell r="G5379">
            <v>0</v>
          </cell>
          <cell r="H5379">
            <v>0</v>
          </cell>
          <cell r="I5379" t="str">
            <v>Capital Goods</v>
          </cell>
          <cell r="J5379">
            <v>2</v>
          </cell>
          <cell r="K5379" t="str">
            <v>Capital Goods</v>
          </cell>
        </row>
        <row r="5380">
          <cell r="D5380">
            <v>732211</v>
          </cell>
          <cell r="E5380" t="str">
            <v>Radiators and parts thereof; for central heating, (not electrically heated), of cast iron</v>
          </cell>
          <cell r="F5380">
            <v>0</v>
          </cell>
          <cell r="G5380">
            <v>0</v>
          </cell>
          <cell r="H5380">
            <v>0</v>
          </cell>
          <cell r="I5380" t="str">
            <v>Parts &amp; Accessories</v>
          </cell>
          <cell r="J5380">
            <v>3</v>
          </cell>
          <cell r="K5380" t="str">
            <v>Parts &amp; Accessories</v>
          </cell>
        </row>
        <row r="5381">
          <cell r="D5381">
            <v>902910</v>
          </cell>
          <cell r="E5381" t="str">
            <v>Meters and counters; revolution counters, production counters, taximeters, mileometers, pedometers and the like</v>
          </cell>
          <cell r="F5381" t="str">
            <v>Parts &amp; Accessories</v>
          </cell>
          <cell r="G5381">
            <v>0</v>
          </cell>
          <cell r="H5381">
            <v>0</v>
          </cell>
          <cell r="I5381" t="str">
            <v>Capital Goods</v>
          </cell>
          <cell r="J5381">
            <v>2</v>
          </cell>
          <cell r="K5381" t="str">
            <v>Capital Goods</v>
          </cell>
        </row>
        <row r="5382">
          <cell r="D5382">
            <v>902920</v>
          </cell>
          <cell r="E5382" t="str">
            <v>Meters; speed indicators and tachometers; stroboscopes</v>
          </cell>
          <cell r="F5382" t="str">
            <v>Capital Goods</v>
          </cell>
          <cell r="G5382">
            <v>0</v>
          </cell>
          <cell r="H5382">
            <v>0</v>
          </cell>
          <cell r="I5382" t="str">
            <v>Capital Goods</v>
          </cell>
          <cell r="J5382">
            <v>2</v>
          </cell>
          <cell r="K5382" t="str">
            <v>Capital Goods</v>
          </cell>
        </row>
        <row r="5383">
          <cell r="D5383">
            <v>854012</v>
          </cell>
          <cell r="E5383" t="str">
            <v>Tubes; cathode-ray television picture tubes, including video monitor cathode-ray tubes, monochrome</v>
          </cell>
          <cell r="F5383">
            <v>0</v>
          </cell>
          <cell r="G5383">
            <v>0</v>
          </cell>
          <cell r="H5383">
            <v>0</v>
          </cell>
          <cell r="I5383" t="str">
            <v>Parts &amp; Accessories</v>
          </cell>
          <cell r="J5383">
            <v>3</v>
          </cell>
          <cell r="K5383" t="str">
            <v>Parts &amp; Accessories</v>
          </cell>
        </row>
        <row r="5384">
          <cell r="D5384">
            <v>903010</v>
          </cell>
          <cell r="E5384" t="str">
            <v>Instruments and apparatus; for measuring or detecting ionising radiations</v>
          </cell>
          <cell r="F5384" t="str">
            <v>Capital Goods</v>
          </cell>
          <cell r="G5384">
            <v>0</v>
          </cell>
          <cell r="H5384">
            <v>0</v>
          </cell>
          <cell r="I5384" t="str">
            <v>Capital Goods</v>
          </cell>
          <cell r="J5384">
            <v>2</v>
          </cell>
          <cell r="K5384" t="str">
            <v>Capital Goods</v>
          </cell>
        </row>
        <row r="5385">
          <cell r="D5385">
            <v>903020</v>
          </cell>
          <cell r="E5385" t="str">
            <v>Oscilloscopes and oscillographs</v>
          </cell>
          <cell r="F5385" t="str">
            <v>Capital Goods</v>
          </cell>
          <cell r="G5385">
            <v>0</v>
          </cell>
          <cell r="H5385">
            <v>0</v>
          </cell>
          <cell r="I5385" t="str">
            <v>Capital Goods</v>
          </cell>
          <cell r="J5385">
            <v>2</v>
          </cell>
          <cell r="K5385" t="str">
            <v>Capital Goods</v>
          </cell>
        </row>
        <row r="5386">
          <cell r="D5386">
            <v>903031</v>
          </cell>
          <cell r="E5386" t="str">
            <v>Multimeters; for measuring or checking voltage, current, resistance or power (other than those for measuring or checking semiconductor wafer or devices), without a recording device</v>
          </cell>
          <cell r="F5386" t="str">
            <v>Capital Goods</v>
          </cell>
          <cell r="G5386">
            <v>0</v>
          </cell>
          <cell r="H5386">
            <v>0</v>
          </cell>
          <cell r="I5386" t="str">
            <v>Capital Goods</v>
          </cell>
          <cell r="J5386">
            <v>2</v>
          </cell>
          <cell r="K5386" t="str">
            <v>Capital Goods</v>
          </cell>
        </row>
        <row r="5387">
          <cell r="D5387">
            <v>903032</v>
          </cell>
          <cell r="E5387" t="str">
            <v>Multimeters; for measuring or checking voltage, current, resistance or power, with a recording device</v>
          </cell>
          <cell r="F5387" t="str">
            <v>Capital Goods</v>
          </cell>
          <cell r="G5387">
            <v>0</v>
          </cell>
          <cell r="H5387">
            <v>0</v>
          </cell>
          <cell r="I5387" t="str">
            <v>Capital Goods</v>
          </cell>
          <cell r="J5387">
            <v>2</v>
          </cell>
          <cell r="K5387" t="str">
            <v>Capital Goods</v>
          </cell>
        </row>
        <row r="5388">
          <cell r="D5388">
            <v>903033</v>
          </cell>
          <cell r="E5388" t="str">
            <v>Instruments and apparatus; for measuring or checking voltage, current, resistance or power, without a recording device (excluding multimeters)</v>
          </cell>
          <cell r="F5388" t="str">
            <v>Capital Goods</v>
          </cell>
          <cell r="G5388">
            <v>0</v>
          </cell>
          <cell r="H5388">
            <v>0</v>
          </cell>
          <cell r="I5388" t="str">
            <v>Capital Goods</v>
          </cell>
          <cell r="J5388">
            <v>2</v>
          </cell>
          <cell r="K5388" t="str">
            <v>Capital Goods</v>
          </cell>
        </row>
        <row r="5389">
          <cell r="D5389">
            <v>903039</v>
          </cell>
          <cell r="E5389" t="str">
            <v>Instruments and apparatus; for measuring or checking voltage, current, resistance or power, with a recording device (excluding multimeters)</v>
          </cell>
          <cell r="F5389" t="str">
            <v>Capital Goods</v>
          </cell>
          <cell r="G5389">
            <v>0</v>
          </cell>
          <cell r="H5389">
            <v>0</v>
          </cell>
          <cell r="I5389" t="str">
            <v>Capital Goods</v>
          </cell>
          <cell r="J5389">
            <v>2</v>
          </cell>
          <cell r="K5389" t="str">
            <v>Capital Goods</v>
          </cell>
        </row>
        <row r="5390">
          <cell r="D5390">
            <v>903040</v>
          </cell>
          <cell r="E5390" t="str">
            <v>Instruments and apparatus; specially designed for telecommunications (e.g. cross-talk meters, gain measuring instruments, distortion factor meters, psophometers)</v>
          </cell>
          <cell r="F5390" t="str">
            <v>Capital Goods</v>
          </cell>
          <cell r="G5390">
            <v>0</v>
          </cell>
          <cell r="H5390">
            <v>0</v>
          </cell>
          <cell r="I5390" t="str">
            <v>Capital Goods</v>
          </cell>
          <cell r="J5390">
            <v>2</v>
          </cell>
          <cell r="K5390" t="str">
            <v>Capital Goods - rc</v>
          </cell>
        </row>
        <row r="5391">
          <cell r="D5391">
            <v>903082</v>
          </cell>
          <cell r="E5391" t="str">
            <v>Instruments and apparatus; for measuring or checking semiconductor wafers or devices (including integrated circuits)</v>
          </cell>
          <cell r="F5391" t="str">
            <v>Capital Goods</v>
          </cell>
          <cell r="G5391">
            <v>0</v>
          </cell>
          <cell r="H5391">
            <v>0</v>
          </cell>
          <cell r="I5391" t="str">
            <v>Capital Goods</v>
          </cell>
          <cell r="J5391">
            <v>2</v>
          </cell>
          <cell r="K5391" t="str">
            <v>Capital Goods</v>
          </cell>
        </row>
        <row r="5392">
          <cell r="D5392">
            <v>903084</v>
          </cell>
          <cell r="E5392" t="str">
            <v>Instruments and apparatus; n.e.c. in heading no. 9030, with a recording device</v>
          </cell>
          <cell r="F5392" t="str">
            <v>Capital Goods</v>
          </cell>
          <cell r="G5392">
            <v>0</v>
          </cell>
          <cell r="H5392">
            <v>0</v>
          </cell>
          <cell r="I5392" t="str">
            <v>Capital Goods</v>
          </cell>
          <cell r="J5392">
            <v>2</v>
          </cell>
          <cell r="K5392" t="str">
            <v>Capital Goods</v>
          </cell>
        </row>
        <row r="5393">
          <cell r="D5393">
            <v>903089</v>
          </cell>
          <cell r="E5393" t="str">
            <v>Instruments and apparatus; n.e.c. in heading no. 9030, without a recording device</v>
          </cell>
          <cell r="F5393" t="str">
            <v>Capital Goods</v>
          </cell>
          <cell r="G5393">
            <v>0</v>
          </cell>
          <cell r="H5393">
            <v>0</v>
          </cell>
          <cell r="I5393" t="str">
            <v>Capital Goods</v>
          </cell>
          <cell r="J5393">
            <v>2</v>
          </cell>
          <cell r="K5393" t="str">
            <v>Capital Goods</v>
          </cell>
        </row>
        <row r="5394">
          <cell r="D5394">
            <v>401211</v>
          </cell>
          <cell r="E5394" t="str">
            <v>Retreaded tyres; of a kind used on motor cars (including station wagons and racing cars)</v>
          </cell>
          <cell r="F5394">
            <v>0</v>
          </cell>
          <cell r="G5394">
            <v>0</v>
          </cell>
          <cell r="H5394">
            <v>0</v>
          </cell>
          <cell r="I5394" t="str">
            <v>Parts &amp; Accessories</v>
          </cell>
          <cell r="J5394">
            <v>3</v>
          </cell>
          <cell r="K5394" t="str">
            <v>Parts &amp; Accessories</v>
          </cell>
        </row>
        <row r="5395">
          <cell r="D5395">
            <v>903110</v>
          </cell>
          <cell r="E5395" t="str">
            <v>Machines; for balancing mechanical parts</v>
          </cell>
          <cell r="F5395">
            <v>0</v>
          </cell>
          <cell r="G5395">
            <v>0</v>
          </cell>
          <cell r="H5395">
            <v>0</v>
          </cell>
          <cell r="I5395" t="str">
            <v>Capital Goods</v>
          </cell>
          <cell r="J5395">
            <v>3</v>
          </cell>
          <cell r="K5395" t="str">
            <v>Capital Goods</v>
          </cell>
        </row>
        <row r="5396">
          <cell r="D5396">
            <v>903120</v>
          </cell>
          <cell r="E5396" t="str">
            <v>Test benches</v>
          </cell>
          <cell r="F5396" t="str">
            <v>Capital Goods</v>
          </cell>
          <cell r="G5396">
            <v>0</v>
          </cell>
          <cell r="H5396">
            <v>0</v>
          </cell>
          <cell r="I5396" t="str">
            <v>Capital Goods</v>
          </cell>
          <cell r="J5396">
            <v>2</v>
          </cell>
          <cell r="K5396" t="str">
            <v>Capital Goods</v>
          </cell>
        </row>
        <row r="5397">
          <cell r="D5397">
            <v>903141</v>
          </cell>
          <cell r="E5397" t="str">
            <v>Optical instruments and appliances; for inspecting semiconductor wafers or devices or for inspecting photomasks or reticles used in manufacturing semiconductor devices, n.e.c. in chapter 90</v>
          </cell>
          <cell r="F5397" t="str">
            <v>Capital Goods</v>
          </cell>
          <cell r="G5397">
            <v>0</v>
          </cell>
          <cell r="H5397">
            <v>0</v>
          </cell>
          <cell r="I5397" t="str">
            <v>Capital Goods</v>
          </cell>
          <cell r="J5397">
            <v>2</v>
          </cell>
          <cell r="K5397" t="str">
            <v>Capital Goods</v>
          </cell>
        </row>
        <row r="5398">
          <cell r="D5398">
            <v>903149</v>
          </cell>
          <cell r="E5398" t="str">
            <v>Optical instruments and appliances; for measuring or checking, n.e.c. in chapter 90</v>
          </cell>
          <cell r="F5398" t="str">
            <v>Capital Goods</v>
          </cell>
          <cell r="G5398">
            <v>0</v>
          </cell>
          <cell r="H5398">
            <v>0</v>
          </cell>
          <cell r="I5398" t="str">
            <v>Capital Goods</v>
          </cell>
          <cell r="J5398">
            <v>2</v>
          </cell>
          <cell r="K5398" t="str">
            <v>Capital Goods</v>
          </cell>
        </row>
        <row r="5399">
          <cell r="D5399">
            <v>903180</v>
          </cell>
          <cell r="E5399" t="str">
            <v>Instruments, appliances and machines; for measuring or checking n.e.c. in chapter 90</v>
          </cell>
          <cell r="F5399" t="str">
            <v>Capital Goods</v>
          </cell>
          <cell r="G5399">
            <v>0</v>
          </cell>
          <cell r="H5399">
            <v>0</v>
          </cell>
          <cell r="I5399" t="str">
            <v>Capital Goods</v>
          </cell>
          <cell r="J5399">
            <v>2</v>
          </cell>
          <cell r="K5399" t="str">
            <v>Capital Goods</v>
          </cell>
        </row>
        <row r="5400">
          <cell r="D5400">
            <v>731520</v>
          </cell>
          <cell r="E5400" t="str">
            <v>Chain; skid, articulated link chain and parts thereof, of iron or steel</v>
          </cell>
          <cell r="F5400">
            <v>0</v>
          </cell>
          <cell r="G5400">
            <v>0</v>
          </cell>
          <cell r="H5400">
            <v>0</v>
          </cell>
          <cell r="I5400" t="str">
            <v>Others</v>
          </cell>
          <cell r="J5400">
            <v>3</v>
          </cell>
          <cell r="K5400" t="str">
            <v>Parts &amp; Accessories</v>
          </cell>
        </row>
        <row r="5401">
          <cell r="D5401">
            <v>903210</v>
          </cell>
          <cell r="E5401" t="str">
            <v>Regulating or controlling instruments and apparatus; automatic type, thermostats</v>
          </cell>
          <cell r="F5401" t="str">
            <v>Capital Goods</v>
          </cell>
          <cell r="G5401">
            <v>0</v>
          </cell>
          <cell r="H5401">
            <v>0</v>
          </cell>
          <cell r="I5401" t="str">
            <v>Capital Goods</v>
          </cell>
          <cell r="J5401">
            <v>2</v>
          </cell>
          <cell r="K5401" t="str">
            <v>Capital Goods</v>
          </cell>
        </row>
        <row r="5402">
          <cell r="D5402">
            <v>903220</v>
          </cell>
          <cell r="E5402" t="str">
            <v>Regulating or controlling instruments and apparatus; automatic, manostats</v>
          </cell>
          <cell r="F5402" t="str">
            <v>Capital Goods</v>
          </cell>
          <cell r="G5402">
            <v>0</v>
          </cell>
          <cell r="H5402">
            <v>0</v>
          </cell>
          <cell r="I5402" t="str">
            <v>Capital Goods</v>
          </cell>
          <cell r="J5402">
            <v>2</v>
          </cell>
          <cell r="K5402" t="str">
            <v>Capital Goods</v>
          </cell>
        </row>
        <row r="5403">
          <cell r="D5403">
            <v>903281</v>
          </cell>
          <cell r="E5403" t="str">
            <v>Regulating or controlling instruments and apparatus; automatic, hydraulic or pneumatic</v>
          </cell>
          <cell r="F5403" t="str">
            <v>Capital Goods</v>
          </cell>
          <cell r="G5403">
            <v>0</v>
          </cell>
          <cell r="H5403">
            <v>0</v>
          </cell>
          <cell r="I5403" t="str">
            <v>Capital Goods</v>
          </cell>
          <cell r="J5403">
            <v>2</v>
          </cell>
          <cell r="K5403" t="str">
            <v>Capital Goods</v>
          </cell>
        </row>
        <row r="5404">
          <cell r="D5404">
            <v>903289</v>
          </cell>
          <cell r="E5404" t="str">
            <v>Regulating or controlling instruments and apparatus; automatic, other than hydraulic or pneumatic</v>
          </cell>
          <cell r="F5404" t="str">
            <v>Capital Goods</v>
          </cell>
          <cell r="G5404">
            <v>0</v>
          </cell>
          <cell r="H5404">
            <v>0</v>
          </cell>
          <cell r="I5404" t="str">
            <v>Capital Goods</v>
          </cell>
          <cell r="J5404">
            <v>2</v>
          </cell>
          <cell r="K5404" t="str">
            <v>Capital Goods</v>
          </cell>
        </row>
        <row r="5405">
          <cell r="D5405">
            <v>731581</v>
          </cell>
          <cell r="E5405" t="str">
            <v>Chain; stud-link chain, of iron or steel</v>
          </cell>
          <cell r="F5405">
            <v>0</v>
          </cell>
          <cell r="G5405">
            <v>0</v>
          </cell>
          <cell r="H5405">
            <v>0</v>
          </cell>
          <cell r="I5405" t="str">
            <v>Others</v>
          </cell>
          <cell r="J5405">
            <v>3</v>
          </cell>
          <cell r="K5405" t="str">
            <v>Parts &amp; Accessories</v>
          </cell>
        </row>
        <row r="5406">
          <cell r="D5406">
            <v>731582</v>
          </cell>
          <cell r="E5406" t="str">
            <v>Chain; welded link chain, of iron or steel</v>
          </cell>
          <cell r="F5406">
            <v>0</v>
          </cell>
          <cell r="G5406">
            <v>0</v>
          </cell>
          <cell r="H5406">
            <v>0</v>
          </cell>
          <cell r="I5406" t="str">
            <v>Others</v>
          </cell>
          <cell r="J5406">
            <v>3</v>
          </cell>
          <cell r="K5406" t="str">
            <v>Parts &amp; Accessories</v>
          </cell>
        </row>
        <row r="5407">
          <cell r="D5407">
            <v>910111</v>
          </cell>
          <cell r="E5407" t="str">
            <v>Wrist-watches; electrically operated, with or without a stop-watch, with case of precious metal or of metal clad with precious metal, with mechanical display only</v>
          </cell>
          <cell r="F5407">
            <v>0</v>
          </cell>
          <cell r="G5407">
            <v>0</v>
          </cell>
          <cell r="H5407" t="str">
            <v>Others</v>
          </cell>
          <cell r="I5407" t="str">
            <v>Others</v>
          </cell>
          <cell r="J5407">
            <v>2</v>
          </cell>
          <cell r="K5407" t="str">
            <v>Others</v>
          </cell>
        </row>
        <row r="5408">
          <cell r="D5408">
            <v>910119</v>
          </cell>
          <cell r="E5408" t="str">
            <v>Wrist-watches; electrically operated, with or without a stop-watch, with case of precious metal or metal clad with precious metal, without mechanical display</v>
          </cell>
          <cell r="F5408">
            <v>0</v>
          </cell>
          <cell r="G5408">
            <v>0</v>
          </cell>
          <cell r="H5408" t="str">
            <v>Others</v>
          </cell>
          <cell r="I5408" t="str">
            <v>Others</v>
          </cell>
          <cell r="J5408">
            <v>2</v>
          </cell>
          <cell r="K5408" t="str">
            <v>Others</v>
          </cell>
        </row>
        <row r="5409">
          <cell r="D5409">
            <v>910121</v>
          </cell>
          <cell r="E5409" t="str">
            <v>Wrist-watches; (not electrically operated), automatic winding, whether or not incorporating a stop-watch facility, case of precious metal or of metal clad with precious metal</v>
          </cell>
          <cell r="F5409">
            <v>0</v>
          </cell>
          <cell r="G5409">
            <v>0</v>
          </cell>
          <cell r="H5409" t="str">
            <v>Others</v>
          </cell>
          <cell r="I5409" t="str">
            <v>Others</v>
          </cell>
          <cell r="J5409">
            <v>2</v>
          </cell>
          <cell r="K5409" t="str">
            <v>Others</v>
          </cell>
        </row>
        <row r="5410">
          <cell r="D5410">
            <v>910129</v>
          </cell>
          <cell r="E5410" t="str">
            <v>Wrist-watches; (not electrically operated), (not automatic winding), whether or not incorporating a stop-watch facility, case of precious metal or of metal clad with precious metal</v>
          </cell>
          <cell r="F5410">
            <v>0</v>
          </cell>
          <cell r="G5410">
            <v>0</v>
          </cell>
          <cell r="H5410" t="str">
            <v>Others</v>
          </cell>
          <cell r="I5410" t="str">
            <v>Others</v>
          </cell>
          <cell r="J5410">
            <v>2</v>
          </cell>
          <cell r="K5410" t="str">
            <v>Others</v>
          </cell>
        </row>
        <row r="5411">
          <cell r="D5411">
            <v>910191</v>
          </cell>
          <cell r="E5411" t="str">
            <v>Pocket-watches and other watches, including stop-watches; (excluding wrist-watches), with case of precious metal or of metal clad with precious metal, electrically operated</v>
          </cell>
          <cell r="F5411">
            <v>0</v>
          </cell>
          <cell r="G5411">
            <v>0</v>
          </cell>
          <cell r="H5411">
            <v>0</v>
          </cell>
          <cell r="I5411" t="str">
            <v>Others</v>
          </cell>
          <cell r="J5411">
            <v>3</v>
          </cell>
          <cell r="K5411" t="str">
            <v>Others</v>
          </cell>
        </row>
        <row r="5412">
          <cell r="D5412">
            <v>910199</v>
          </cell>
          <cell r="E5412" t="str">
            <v>Pocket-watches and other watches, including stop-watches; (excluding wrist-watches), with case of precious metal or of metal clad with precious metal, not electrically operated</v>
          </cell>
          <cell r="F5412">
            <v>0</v>
          </cell>
          <cell r="G5412">
            <v>0</v>
          </cell>
          <cell r="H5412" t="str">
            <v>Others</v>
          </cell>
          <cell r="I5412" t="str">
            <v>Others</v>
          </cell>
          <cell r="J5412">
            <v>2</v>
          </cell>
          <cell r="K5412" t="str">
            <v>Others</v>
          </cell>
        </row>
        <row r="5413">
          <cell r="D5413">
            <v>910211</v>
          </cell>
          <cell r="E5413" t="str">
            <v>Wrist-watches; electrically operated, with or without a stop-watch, (other than those of heading no. 9101) with mechanical display only</v>
          </cell>
          <cell r="F5413">
            <v>0</v>
          </cell>
          <cell r="G5413">
            <v>0</v>
          </cell>
          <cell r="H5413" t="str">
            <v>Others</v>
          </cell>
          <cell r="I5413" t="str">
            <v>Others</v>
          </cell>
          <cell r="J5413">
            <v>2</v>
          </cell>
          <cell r="K5413" t="str">
            <v>Others</v>
          </cell>
        </row>
        <row r="5414">
          <cell r="D5414">
            <v>910212</v>
          </cell>
          <cell r="E5414" t="str">
            <v>Wrist-watches; electrically operated, with or without a stop-watch, (other than those of heading no. 9101) with opto-electronic display only</v>
          </cell>
          <cell r="F5414">
            <v>0</v>
          </cell>
          <cell r="G5414">
            <v>0</v>
          </cell>
          <cell r="H5414">
            <v>0</v>
          </cell>
          <cell r="I5414" t="str">
            <v>Others</v>
          </cell>
          <cell r="J5414">
            <v>3</v>
          </cell>
          <cell r="K5414" t="str">
            <v>Others</v>
          </cell>
        </row>
        <row r="5415">
          <cell r="D5415">
            <v>910219</v>
          </cell>
          <cell r="E5415" t="str">
            <v>Wrist-watches; electrically operated, with or without a stop-watch, (other than those of heading no. 9101) without mechanical or opto-electronic display</v>
          </cell>
          <cell r="F5415">
            <v>0</v>
          </cell>
          <cell r="G5415">
            <v>0</v>
          </cell>
          <cell r="H5415" t="str">
            <v>Others</v>
          </cell>
          <cell r="I5415" t="str">
            <v>Others</v>
          </cell>
          <cell r="J5415">
            <v>2</v>
          </cell>
          <cell r="K5415" t="str">
            <v>Others</v>
          </cell>
        </row>
        <row r="5416">
          <cell r="D5416">
            <v>910221</v>
          </cell>
          <cell r="E5416" t="str">
            <v>Wrist-watches; whether or not incorporating a stop-watch facility, with automatic winding</v>
          </cell>
          <cell r="F5416">
            <v>0</v>
          </cell>
          <cell r="G5416">
            <v>0</v>
          </cell>
          <cell r="H5416" t="str">
            <v>Others</v>
          </cell>
          <cell r="I5416" t="str">
            <v>Others</v>
          </cell>
          <cell r="J5416">
            <v>2</v>
          </cell>
          <cell r="K5416" t="str">
            <v>Others</v>
          </cell>
        </row>
        <row r="5417">
          <cell r="D5417">
            <v>910229</v>
          </cell>
          <cell r="E5417" t="str">
            <v>Wrist-watches; whether or not incorporating a stop-watch facility, with other than automatic winding</v>
          </cell>
          <cell r="F5417">
            <v>0</v>
          </cell>
          <cell r="G5417">
            <v>0</v>
          </cell>
          <cell r="H5417" t="str">
            <v>Others</v>
          </cell>
          <cell r="I5417" t="str">
            <v>Others</v>
          </cell>
          <cell r="J5417">
            <v>2</v>
          </cell>
          <cell r="K5417" t="str">
            <v>Others</v>
          </cell>
        </row>
        <row r="5418">
          <cell r="D5418">
            <v>910291</v>
          </cell>
          <cell r="E5418" t="str">
            <v>Pocket watches and other watches, including stop-watches; (excluding wrist-watches), other than those of heading no. 9101, electrically operated</v>
          </cell>
          <cell r="F5418" t="str">
            <v>Others</v>
          </cell>
          <cell r="G5418">
            <v>0</v>
          </cell>
          <cell r="H5418">
            <v>0</v>
          </cell>
          <cell r="I5418" t="str">
            <v>Others</v>
          </cell>
          <cell r="J5418">
            <v>2</v>
          </cell>
          <cell r="K5418" t="str">
            <v>Others</v>
          </cell>
        </row>
        <row r="5419">
          <cell r="D5419">
            <v>910299</v>
          </cell>
          <cell r="E5419" t="str">
            <v>Pocket watches and other watches, including stop-watches; (excluding wrist-watches), other than those of heading no. 9101, other than electrically operated</v>
          </cell>
          <cell r="F5419" t="str">
            <v>Others</v>
          </cell>
          <cell r="G5419">
            <v>0</v>
          </cell>
          <cell r="H5419" t="str">
            <v>Others</v>
          </cell>
          <cell r="I5419" t="str">
            <v>Others</v>
          </cell>
          <cell r="J5419">
            <v>1</v>
          </cell>
          <cell r="K5419" t="str">
            <v>Others</v>
          </cell>
        </row>
        <row r="5420">
          <cell r="D5420">
            <v>910310</v>
          </cell>
          <cell r="E5420" t="str">
            <v>Clocks; with watch movements, electrically operated, excluding clocks of heading no. 9104</v>
          </cell>
          <cell r="F5420">
            <v>0</v>
          </cell>
          <cell r="G5420">
            <v>0</v>
          </cell>
          <cell r="H5420">
            <v>0</v>
          </cell>
          <cell r="I5420" t="str">
            <v>Others</v>
          </cell>
          <cell r="J5420">
            <v>3</v>
          </cell>
          <cell r="K5420" t="str">
            <v>Others</v>
          </cell>
        </row>
        <row r="5421">
          <cell r="D5421">
            <v>910390</v>
          </cell>
          <cell r="E5421" t="str">
            <v>Clocks; with watch movements, other than electrically operated, excluding clocks of heading no. 9104</v>
          </cell>
          <cell r="F5421">
            <v>0</v>
          </cell>
          <cell r="G5421">
            <v>0</v>
          </cell>
          <cell r="H5421" t="str">
            <v>Others</v>
          </cell>
          <cell r="I5421" t="str">
            <v>Others</v>
          </cell>
          <cell r="J5421">
            <v>2</v>
          </cell>
          <cell r="K5421" t="str">
            <v>Others</v>
          </cell>
        </row>
        <row r="5422">
          <cell r="D5422">
            <v>910400</v>
          </cell>
          <cell r="E5422" t="str">
            <v>Clocks; instrument panel clocks and clocks of a similar type for vehicles, aircraft, spacecraft or vessels</v>
          </cell>
          <cell r="F5422">
            <v>0</v>
          </cell>
          <cell r="G5422">
            <v>0</v>
          </cell>
          <cell r="H5422" t="str">
            <v>Parts &amp; Accessories</v>
          </cell>
          <cell r="I5422" t="str">
            <v>Parts &amp; Accessories</v>
          </cell>
          <cell r="J5422">
            <v>2</v>
          </cell>
          <cell r="K5422" t="str">
            <v>Parts &amp; Accessories - rc</v>
          </cell>
        </row>
        <row r="5423">
          <cell r="D5423">
            <v>910511</v>
          </cell>
          <cell r="E5423" t="str">
            <v>Clocks; (excluding those with watch movements and instrument panel clocks), alarm clocks, electrically operated</v>
          </cell>
          <cell r="F5423">
            <v>0</v>
          </cell>
          <cell r="G5423">
            <v>0</v>
          </cell>
          <cell r="H5423">
            <v>0</v>
          </cell>
          <cell r="I5423" t="str">
            <v>Others</v>
          </cell>
          <cell r="J5423">
            <v>3</v>
          </cell>
          <cell r="K5423" t="str">
            <v>Others</v>
          </cell>
        </row>
        <row r="5424">
          <cell r="D5424">
            <v>910519</v>
          </cell>
          <cell r="E5424" t="str">
            <v>Clocks; (excluding those with watch movements and instrument panel clocks), alarm clocks, other than electrically operated</v>
          </cell>
          <cell r="F5424">
            <v>0</v>
          </cell>
          <cell r="G5424">
            <v>0</v>
          </cell>
          <cell r="H5424" t="str">
            <v>Others</v>
          </cell>
          <cell r="I5424" t="str">
            <v>Others</v>
          </cell>
          <cell r="J5424">
            <v>2</v>
          </cell>
          <cell r="K5424" t="str">
            <v>Others</v>
          </cell>
        </row>
        <row r="5425">
          <cell r="D5425">
            <v>910521</v>
          </cell>
          <cell r="E5425" t="str">
            <v>Clocks; (excluding those with watch movements and instrument panel clocks), wall clocks, electrically operated</v>
          </cell>
          <cell r="F5425">
            <v>0</v>
          </cell>
          <cell r="G5425">
            <v>0</v>
          </cell>
          <cell r="H5425">
            <v>0</v>
          </cell>
          <cell r="I5425" t="str">
            <v>Others</v>
          </cell>
          <cell r="J5425">
            <v>3</v>
          </cell>
          <cell r="K5425" t="str">
            <v>Others</v>
          </cell>
        </row>
        <row r="5426">
          <cell r="D5426">
            <v>910529</v>
          </cell>
          <cell r="E5426" t="str">
            <v>Clocks; (excluding those with watch movements and instrument panel clocks), wall clocks, other than electrically operated</v>
          </cell>
          <cell r="F5426">
            <v>0</v>
          </cell>
          <cell r="G5426">
            <v>0</v>
          </cell>
          <cell r="H5426" t="str">
            <v>Others</v>
          </cell>
          <cell r="I5426" t="str">
            <v>Others</v>
          </cell>
          <cell r="J5426">
            <v>2</v>
          </cell>
          <cell r="K5426" t="str">
            <v>Others</v>
          </cell>
        </row>
        <row r="5427">
          <cell r="D5427">
            <v>910591</v>
          </cell>
          <cell r="E5427" t="str">
            <v>Clocks; (excluding those with watch movements and instrument panel clocks), (other than alarm or wall clocks), electrically operated</v>
          </cell>
          <cell r="F5427">
            <v>0</v>
          </cell>
          <cell r="G5427">
            <v>0</v>
          </cell>
          <cell r="H5427">
            <v>0</v>
          </cell>
          <cell r="I5427" t="str">
            <v>Others</v>
          </cell>
          <cell r="J5427">
            <v>3</v>
          </cell>
          <cell r="K5427" t="str">
            <v>Others</v>
          </cell>
        </row>
        <row r="5428">
          <cell r="D5428">
            <v>910599</v>
          </cell>
          <cell r="E5428" t="str">
            <v>Clocks; (excluding those with watch movements and instrument panel clocks), other than alarm or wall clocks, other than electrically operated</v>
          </cell>
          <cell r="F5428">
            <v>0</v>
          </cell>
          <cell r="G5428">
            <v>0</v>
          </cell>
          <cell r="H5428" t="str">
            <v>Others</v>
          </cell>
          <cell r="I5428" t="str">
            <v>Others</v>
          </cell>
          <cell r="J5428">
            <v>2</v>
          </cell>
          <cell r="K5428" t="str">
            <v>Others</v>
          </cell>
        </row>
        <row r="5429">
          <cell r="D5429">
            <v>910610</v>
          </cell>
          <cell r="E5429" t="str">
            <v>Time recording apparatus; time-registers, time recorders, with clock, watch movement or synchronous motor</v>
          </cell>
          <cell r="F5429">
            <v>0</v>
          </cell>
          <cell r="G5429">
            <v>0</v>
          </cell>
          <cell r="H5429">
            <v>0</v>
          </cell>
          <cell r="I5429" t="str">
            <v>Capital Goods</v>
          </cell>
          <cell r="J5429">
            <v>3</v>
          </cell>
          <cell r="K5429" t="str">
            <v>Capital Goods</v>
          </cell>
        </row>
        <row r="5430">
          <cell r="D5430">
            <v>910690</v>
          </cell>
          <cell r="E5430" t="str">
            <v>Time recording apparatus; with clock or watch movement or with synchronous motor, n.e.c. in heading no. 9106</v>
          </cell>
          <cell r="F5430" t="str">
            <v>Capital Goods</v>
          </cell>
          <cell r="G5430">
            <v>0</v>
          </cell>
          <cell r="H5430">
            <v>0</v>
          </cell>
          <cell r="I5430" t="str">
            <v>Capital Goods</v>
          </cell>
          <cell r="J5430">
            <v>2</v>
          </cell>
          <cell r="K5430" t="str">
            <v>Capital Goods</v>
          </cell>
        </row>
        <row r="5431">
          <cell r="D5431">
            <v>910700</v>
          </cell>
          <cell r="E5431" t="str">
            <v>Time switches; with clock, watch movement or synchronous motor</v>
          </cell>
          <cell r="F5431" t="str">
            <v>Capital Goods</v>
          </cell>
          <cell r="G5431">
            <v>0</v>
          </cell>
          <cell r="H5431" t="str">
            <v>Capital Goods</v>
          </cell>
          <cell r="I5431" t="str">
            <v>Capital Goods</v>
          </cell>
          <cell r="J5431">
            <v>1</v>
          </cell>
          <cell r="K5431" t="str">
            <v>Capital Goods</v>
          </cell>
        </row>
        <row r="5432">
          <cell r="D5432">
            <v>910811</v>
          </cell>
          <cell r="E5432" t="str">
            <v>Watch movements; complete and assembled, electrically operated, with mechanical display only or with a device to which a mechanical display can be incorporated</v>
          </cell>
          <cell r="F5432">
            <v>0</v>
          </cell>
          <cell r="G5432">
            <v>0</v>
          </cell>
          <cell r="H5432">
            <v>0</v>
          </cell>
          <cell r="I5432" t="str">
            <v>Others</v>
          </cell>
          <cell r="J5432">
            <v>3</v>
          </cell>
          <cell r="K5432" t="str">
            <v>Others</v>
          </cell>
        </row>
        <row r="5433">
          <cell r="D5433">
            <v>910812</v>
          </cell>
          <cell r="E5433" t="str">
            <v>Watch movements; complete and assembled, electrically operated, by means of solar cells, with opto-electronic display</v>
          </cell>
          <cell r="F5433">
            <v>0</v>
          </cell>
          <cell r="G5433">
            <v>0</v>
          </cell>
          <cell r="H5433">
            <v>0</v>
          </cell>
          <cell r="I5433" t="str">
            <v>Others</v>
          </cell>
          <cell r="J5433">
            <v>3</v>
          </cell>
          <cell r="K5433" t="str">
            <v>Others</v>
          </cell>
        </row>
        <row r="5434">
          <cell r="D5434">
            <v>910819</v>
          </cell>
          <cell r="E5434" t="str">
            <v>Watch movements; complete and assembled, electrically operated, by means of solar cells, without mechanical display or device including such or opto-electronic display</v>
          </cell>
          <cell r="F5434">
            <v>0</v>
          </cell>
          <cell r="G5434">
            <v>0</v>
          </cell>
          <cell r="H5434">
            <v>0</v>
          </cell>
          <cell r="I5434" t="str">
            <v>Others</v>
          </cell>
          <cell r="J5434">
            <v>3</v>
          </cell>
          <cell r="K5434" t="str">
            <v>Others</v>
          </cell>
        </row>
        <row r="5435">
          <cell r="D5435">
            <v>910820</v>
          </cell>
          <cell r="E5435" t="str">
            <v>Watch movements; complete and assembled, with automatic winding</v>
          </cell>
          <cell r="F5435">
            <v>0</v>
          </cell>
          <cell r="G5435">
            <v>0</v>
          </cell>
          <cell r="H5435" t="str">
            <v>Others</v>
          </cell>
          <cell r="I5435" t="str">
            <v>Others</v>
          </cell>
          <cell r="J5435">
            <v>2</v>
          </cell>
          <cell r="K5435" t="str">
            <v>Others</v>
          </cell>
        </row>
        <row r="5436">
          <cell r="D5436">
            <v>910890</v>
          </cell>
          <cell r="E5436" t="str">
            <v>Watch movements; complete and assembled, not automatic winding or electrically operated</v>
          </cell>
          <cell r="F5436">
            <v>0</v>
          </cell>
          <cell r="G5436">
            <v>0</v>
          </cell>
          <cell r="H5436" t="str">
            <v>Others</v>
          </cell>
          <cell r="I5436" t="str">
            <v>Others</v>
          </cell>
          <cell r="J5436">
            <v>2</v>
          </cell>
          <cell r="K5436" t="str">
            <v>Others</v>
          </cell>
        </row>
        <row r="5437">
          <cell r="D5437">
            <v>910910</v>
          </cell>
          <cell r="E5437" t="str">
            <v>Clock movements; complete and assembled, electrically operated</v>
          </cell>
          <cell r="F5437">
            <v>0</v>
          </cell>
          <cell r="G5437">
            <v>0</v>
          </cell>
          <cell r="H5437">
            <v>0</v>
          </cell>
          <cell r="I5437" t="str">
            <v>Others</v>
          </cell>
          <cell r="J5437">
            <v>3</v>
          </cell>
          <cell r="K5437" t="str">
            <v>Others</v>
          </cell>
        </row>
        <row r="5438">
          <cell r="D5438">
            <v>910990</v>
          </cell>
          <cell r="E5438" t="str">
            <v>Clock movements; complete and assembled, other than electrically operated</v>
          </cell>
          <cell r="F5438">
            <v>0</v>
          </cell>
          <cell r="G5438">
            <v>0</v>
          </cell>
          <cell r="H5438" t="str">
            <v>Others</v>
          </cell>
          <cell r="I5438" t="str">
            <v>Others</v>
          </cell>
          <cell r="J5438">
            <v>2</v>
          </cell>
          <cell r="K5438" t="str">
            <v>Others</v>
          </cell>
        </row>
        <row r="5439">
          <cell r="D5439">
            <v>911011</v>
          </cell>
          <cell r="E5439" t="str">
            <v>Watches; complete movements, unassembled or partly assembled (movement sets)</v>
          </cell>
          <cell r="F5439">
            <v>0</v>
          </cell>
          <cell r="G5439">
            <v>0</v>
          </cell>
          <cell r="H5439">
            <v>0</v>
          </cell>
          <cell r="I5439" t="str">
            <v>Others</v>
          </cell>
          <cell r="J5439">
            <v>3</v>
          </cell>
          <cell r="K5439" t="str">
            <v>Others</v>
          </cell>
        </row>
        <row r="5440">
          <cell r="D5440">
            <v>911012</v>
          </cell>
          <cell r="E5440" t="str">
            <v>Watches; incomplete movements, assembled</v>
          </cell>
          <cell r="F5440">
            <v>0</v>
          </cell>
          <cell r="G5440">
            <v>0</v>
          </cell>
          <cell r="H5440">
            <v>0</v>
          </cell>
          <cell r="I5440" t="str">
            <v>Others</v>
          </cell>
          <cell r="J5440">
            <v>3</v>
          </cell>
          <cell r="K5440" t="str">
            <v>Others</v>
          </cell>
        </row>
        <row r="5441">
          <cell r="D5441">
            <v>911019</v>
          </cell>
          <cell r="E5441" t="str">
            <v>Watches; rough movements</v>
          </cell>
          <cell r="F5441">
            <v>0</v>
          </cell>
          <cell r="G5441">
            <v>0</v>
          </cell>
          <cell r="H5441">
            <v>0</v>
          </cell>
          <cell r="I5441" t="str">
            <v>Others</v>
          </cell>
          <cell r="J5441">
            <v>3</v>
          </cell>
          <cell r="K5441" t="str">
            <v>Others</v>
          </cell>
        </row>
        <row r="5442">
          <cell r="D5442">
            <v>911090</v>
          </cell>
          <cell r="E5442" t="str">
            <v>Clocks; movements, whether or not complete, incomplete, assembled or unassembled</v>
          </cell>
          <cell r="F5442">
            <v>0</v>
          </cell>
          <cell r="G5442">
            <v>0</v>
          </cell>
          <cell r="H5442" t="str">
            <v>Others</v>
          </cell>
          <cell r="I5442" t="str">
            <v>Others</v>
          </cell>
          <cell r="J5442">
            <v>2</v>
          </cell>
          <cell r="K5442" t="str">
            <v>Others</v>
          </cell>
        </row>
        <row r="5443">
          <cell r="D5443">
            <v>911110</v>
          </cell>
          <cell r="E5443" t="str">
            <v>Watch cases; of precious metal or of metal clad with precious metal</v>
          </cell>
          <cell r="F5443">
            <v>0</v>
          </cell>
          <cell r="G5443">
            <v>0</v>
          </cell>
          <cell r="H5443" t="str">
            <v>Others</v>
          </cell>
          <cell r="I5443" t="str">
            <v>Others</v>
          </cell>
          <cell r="J5443">
            <v>2</v>
          </cell>
          <cell r="K5443" t="str">
            <v>Others</v>
          </cell>
        </row>
        <row r="5444">
          <cell r="D5444">
            <v>911120</v>
          </cell>
          <cell r="E5444" t="str">
            <v>Watch cases; of base metal, whether or not gold-plated or silver-plated</v>
          </cell>
          <cell r="F5444">
            <v>0</v>
          </cell>
          <cell r="G5444">
            <v>0</v>
          </cell>
          <cell r="H5444" t="str">
            <v>Others</v>
          </cell>
          <cell r="I5444" t="str">
            <v>Others</v>
          </cell>
          <cell r="J5444">
            <v>2</v>
          </cell>
          <cell r="K5444" t="str">
            <v>Others</v>
          </cell>
        </row>
        <row r="5445">
          <cell r="D5445">
            <v>911180</v>
          </cell>
          <cell r="E5445" t="str">
            <v>Watch cases; n.e.c. in heading no. 9111</v>
          </cell>
          <cell r="F5445">
            <v>0</v>
          </cell>
          <cell r="G5445">
            <v>0</v>
          </cell>
          <cell r="H5445" t="str">
            <v>Others</v>
          </cell>
          <cell r="I5445" t="str">
            <v>Others</v>
          </cell>
          <cell r="J5445">
            <v>2</v>
          </cell>
          <cell r="K5445" t="str">
            <v>Others</v>
          </cell>
        </row>
        <row r="5446">
          <cell r="D5446">
            <v>911190</v>
          </cell>
          <cell r="E5446" t="str">
            <v>Watch cases and parts thereof</v>
          </cell>
          <cell r="F5446">
            <v>0</v>
          </cell>
          <cell r="G5446">
            <v>0</v>
          </cell>
          <cell r="H5446">
            <v>0</v>
          </cell>
          <cell r="I5446" t="str">
            <v>Others</v>
          </cell>
          <cell r="J5446">
            <v>3</v>
          </cell>
          <cell r="K5446" t="str">
            <v>Others</v>
          </cell>
        </row>
        <row r="5447">
          <cell r="D5447">
            <v>911220</v>
          </cell>
          <cell r="E5447" t="str">
            <v>Clock cases and similar cases for other goods of chapter 91; other than watch cases</v>
          </cell>
          <cell r="F5447">
            <v>0</v>
          </cell>
          <cell r="G5447">
            <v>0</v>
          </cell>
          <cell r="H5447" t="str">
            <v>Others</v>
          </cell>
          <cell r="I5447" t="str">
            <v>Others</v>
          </cell>
          <cell r="J5447">
            <v>2</v>
          </cell>
          <cell r="K5447" t="str">
            <v>Others</v>
          </cell>
        </row>
        <row r="5448">
          <cell r="D5448">
            <v>911290</v>
          </cell>
          <cell r="E5448" t="str">
            <v>Clock cases and similar cases for other goods of chapter 91; other than watch cases, parts thereof</v>
          </cell>
          <cell r="F5448">
            <v>0</v>
          </cell>
          <cell r="G5448">
            <v>0</v>
          </cell>
          <cell r="H5448" t="str">
            <v>Others</v>
          </cell>
          <cell r="I5448" t="str">
            <v>Others</v>
          </cell>
          <cell r="J5448">
            <v>2</v>
          </cell>
          <cell r="K5448" t="str">
            <v>Others</v>
          </cell>
        </row>
        <row r="5449">
          <cell r="D5449">
            <v>911310</v>
          </cell>
          <cell r="E5449" t="str">
            <v>Watch straps, watch bands, watch bracelets, and parts thereof; of precious metal or of metal clad with precious metal</v>
          </cell>
          <cell r="F5449">
            <v>0</v>
          </cell>
          <cell r="G5449">
            <v>0</v>
          </cell>
          <cell r="H5449" t="str">
            <v>Others</v>
          </cell>
          <cell r="I5449" t="str">
            <v>Others</v>
          </cell>
          <cell r="J5449">
            <v>2</v>
          </cell>
          <cell r="K5449" t="str">
            <v>Others</v>
          </cell>
        </row>
        <row r="5450">
          <cell r="D5450">
            <v>911320</v>
          </cell>
          <cell r="E5450" t="str">
            <v>Watch straps, watch bands, watch bracelets, and parts thereof; of base metal, whether or not gold- or silver-plated</v>
          </cell>
          <cell r="F5450" t="str">
            <v>Consumables</v>
          </cell>
          <cell r="G5450">
            <v>0</v>
          </cell>
          <cell r="H5450" t="str">
            <v>Others</v>
          </cell>
          <cell r="I5450" t="str">
            <v>Others</v>
          </cell>
          <cell r="J5450">
            <v>1</v>
          </cell>
          <cell r="K5450" t="str">
            <v>Consumables - rc</v>
          </cell>
        </row>
        <row r="5451">
          <cell r="D5451">
            <v>911390</v>
          </cell>
          <cell r="E5451" t="str">
            <v>Watch straps, watch bands, watch bracelets, and parts thereof; n.e.c. in heading no. 9113</v>
          </cell>
          <cell r="F5451" t="str">
            <v>Consumables</v>
          </cell>
          <cell r="G5451">
            <v>0</v>
          </cell>
          <cell r="H5451">
            <v>0</v>
          </cell>
          <cell r="I5451" t="str">
            <v>Others</v>
          </cell>
          <cell r="J5451">
            <v>2</v>
          </cell>
          <cell r="K5451" t="str">
            <v>Consumables - rc</v>
          </cell>
        </row>
        <row r="5452">
          <cell r="D5452">
            <v>911430</v>
          </cell>
          <cell r="E5452" t="str">
            <v>Clock or watch parts; dials</v>
          </cell>
          <cell r="F5452">
            <v>0</v>
          </cell>
          <cell r="G5452">
            <v>0</v>
          </cell>
          <cell r="H5452" t="str">
            <v>Others</v>
          </cell>
          <cell r="I5452" t="str">
            <v>Others</v>
          </cell>
          <cell r="J5452">
            <v>2</v>
          </cell>
          <cell r="K5452" t="str">
            <v>Others</v>
          </cell>
        </row>
        <row r="5453">
          <cell r="D5453">
            <v>911440</v>
          </cell>
          <cell r="E5453" t="str">
            <v>Clock or watch parts; plates and bridges</v>
          </cell>
          <cell r="F5453">
            <v>0</v>
          </cell>
          <cell r="G5453">
            <v>0</v>
          </cell>
          <cell r="H5453" t="str">
            <v>Others</v>
          </cell>
          <cell r="I5453" t="str">
            <v>Others</v>
          </cell>
          <cell r="J5453">
            <v>2</v>
          </cell>
          <cell r="K5453" t="str">
            <v>Others</v>
          </cell>
        </row>
        <row r="5454">
          <cell r="D5454">
            <v>911490</v>
          </cell>
          <cell r="E5454" t="str">
            <v>Clock or watch parts; other than springs (including hair-springs), dials, plates, and bridges</v>
          </cell>
          <cell r="F5454">
            <v>0</v>
          </cell>
          <cell r="G5454">
            <v>0</v>
          </cell>
          <cell r="H5454" t="str">
            <v>Others</v>
          </cell>
          <cell r="I5454" t="str">
            <v>Others</v>
          </cell>
          <cell r="J5454">
            <v>2</v>
          </cell>
          <cell r="K5454" t="str">
            <v>Others</v>
          </cell>
        </row>
        <row r="5455">
          <cell r="D5455">
            <v>920110</v>
          </cell>
          <cell r="E5455" t="str">
            <v>Musical instruments; pianos, upright, including automatic pianos</v>
          </cell>
          <cell r="F5455">
            <v>0</v>
          </cell>
          <cell r="G5455">
            <v>0</v>
          </cell>
          <cell r="H5455" t="str">
            <v>Others</v>
          </cell>
          <cell r="I5455" t="str">
            <v>Others</v>
          </cell>
          <cell r="J5455">
            <v>2</v>
          </cell>
          <cell r="K5455" t="str">
            <v>Others</v>
          </cell>
        </row>
        <row r="5456">
          <cell r="D5456">
            <v>920120</v>
          </cell>
          <cell r="E5456" t="str">
            <v>Musical instruments; pianos, grand</v>
          </cell>
          <cell r="F5456">
            <v>0</v>
          </cell>
          <cell r="G5456">
            <v>0</v>
          </cell>
          <cell r="H5456" t="str">
            <v>Others</v>
          </cell>
          <cell r="I5456" t="str">
            <v>Others</v>
          </cell>
          <cell r="J5456">
            <v>2</v>
          </cell>
          <cell r="K5456" t="str">
            <v>Others</v>
          </cell>
        </row>
        <row r="5457">
          <cell r="D5457">
            <v>920190</v>
          </cell>
          <cell r="E5457" t="str">
            <v>Musical instruments; harpsichords and other keyboard stringed instruments n.e.c. in heading no. 9201</v>
          </cell>
          <cell r="F5457">
            <v>0</v>
          </cell>
          <cell r="G5457">
            <v>0</v>
          </cell>
          <cell r="H5457">
            <v>0</v>
          </cell>
          <cell r="I5457" t="str">
            <v>Others</v>
          </cell>
          <cell r="J5457">
            <v>3</v>
          </cell>
          <cell r="K5457" t="str">
            <v>Others</v>
          </cell>
        </row>
        <row r="5458">
          <cell r="D5458">
            <v>920210</v>
          </cell>
          <cell r="E5458" t="str">
            <v>Musical instruments; string, played with a bow (e.g. violins)</v>
          </cell>
          <cell r="F5458">
            <v>0</v>
          </cell>
          <cell r="G5458">
            <v>0</v>
          </cell>
          <cell r="H5458" t="str">
            <v>Others</v>
          </cell>
          <cell r="I5458" t="str">
            <v>Others</v>
          </cell>
          <cell r="J5458">
            <v>2</v>
          </cell>
          <cell r="K5458" t="str">
            <v>Others</v>
          </cell>
        </row>
        <row r="5459">
          <cell r="D5459">
            <v>920290</v>
          </cell>
          <cell r="E5459" t="str">
            <v>Musical instruments; string, played other than with a bow (e.g. guitars and harps)</v>
          </cell>
          <cell r="F5459">
            <v>0</v>
          </cell>
          <cell r="G5459">
            <v>0</v>
          </cell>
          <cell r="H5459" t="str">
            <v>Others</v>
          </cell>
          <cell r="I5459" t="str">
            <v>Others</v>
          </cell>
          <cell r="J5459">
            <v>2</v>
          </cell>
          <cell r="K5459" t="str">
            <v>Others</v>
          </cell>
        </row>
        <row r="5460">
          <cell r="D5460">
            <v>920510</v>
          </cell>
          <cell r="E5460" t="str">
            <v>Musical instruments; brass-wind (e.g. trumpets), other than fairground organs and mechanical street organs</v>
          </cell>
          <cell r="F5460">
            <v>0</v>
          </cell>
          <cell r="G5460">
            <v>0</v>
          </cell>
          <cell r="H5460" t="str">
            <v>Others</v>
          </cell>
          <cell r="I5460" t="str">
            <v>Others</v>
          </cell>
          <cell r="J5460">
            <v>2</v>
          </cell>
          <cell r="K5460" t="str">
            <v>Others</v>
          </cell>
        </row>
        <row r="5461">
          <cell r="D5461">
            <v>920590</v>
          </cell>
          <cell r="E5461" t="str">
            <v>Musical instruments; wind, other than brass, (eg. clarinet, bagpipes, pipe organs), other than fairground organs and mechanical street organs</v>
          </cell>
          <cell r="F5461">
            <v>0</v>
          </cell>
          <cell r="G5461">
            <v>0</v>
          </cell>
          <cell r="H5461" t="str">
            <v>Others</v>
          </cell>
          <cell r="I5461" t="str">
            <v>Others</v>
          </cell>
          <cell r="J5461">
            <v>2</v>
          </cell>
          <cell r="K5461" t="str">
            <v>Others</v>
          </cell>
        </row>
        <row r="5462">
          <cell r="D5462">
            <v>920600</v>
          </cell>
          <cell r="E5462" t="str">
            <v>Musical instruments; percussion (e.g. drums, xylophones, cymbals, castanets, maracas)</v>
          </cell>
          <cell r="F5462">
            <v>0</v>
          </cell>
          <cell r="G5462">
            <v>0</v>
          </cell>
          <cell r="H5462" t="str">
            <v>Others</v>
          </cell>
          <cell r="I5462" t="str">
            <v>Others</v>
          </cell>
          <cell r="J5462">
            <v>2</v>
          </cell>
          <cell r="K5462" t="str">
            <v>Others</v>
          </cell>
        </row>
        <row r="5463">
          <cell r="D5463">
            <v>920710</v>
          </cell>
          <cell r="E5463" t="str">
            <v>Musical instruments; keyboard, (other than accordions), the sound of which is produced or must be amplified electrically</v>
          </cell>
          <cell r="F5463">
            <v>0</v>
          </cell>
          <cell r="G5463">
            <v>0</v>
          </cell>
          <cell r="H5463" t="str">
            <v>Others</v>
          </cell>
          <cell r="I5463" t="str">
            <v>Others</v>
          </cell>
          <cell r="J5463">
            <v>2</v>
          </cell>
          <cell r="K5463" t="str">
            <v>Others</v>
          </cell>
        </row>
        <row r="5464">
          <cell r="D5464">
            <v>920790</v>
          </cell>
          <cell r="E5464" t="str">
            <v>Musical instruments; (other than keyboard), the sound of which is produced or must be amplified electrically</v>
          </cell>
          <cell r="F5464">
            <v>0</v>
          </cell>
          <cell r="G5464">
            <v>0</v>
          </cell>
          <cell r="H5464" t="str">
            <v>Others</v>
          </cell>
          <cell r="I5464" t="str">
            <v>Others</v>
          </cell>
          <cell r="J5464">
            <v>2</v>
          </cell>
          <cell r="K5464" t="str">
            <v>Others</v>
          </cell>
        </row>
        <row r="5465">
          <cell r="D5465">
            <v>920810</v>
          </cell>
          <cell r="E5465" t="str">
            <v>Musical boxes</v>
          </cell>
          <cell r="F5465">
            <v>0</v>
          </cell>
          <cell r="G5465">
            <v>0</v>
          </cell>
          <cell r="H5465" t="str">
            <v>Others</v>
          </cell>
          <cell r="I5465" t="str">
            <v>Others</v>
          </cell>
          <cell r="J5465">
            <v>2</v>
          </cell>
          <cell r="K5465" t="str">
            <v>Others</v>
          </cell>
        </row>
        <row r="5466">
          <cell r="D5466">
            <v>920890</v>
          </cell>
          <cell r="E5466" t="str">
            <v>Fairground and mechanical street organs, mechanical singing birds, musical saws and musical instruments n.e.c. in chapter 92; decoy calls of all kinds; whistles; call horns and other mouth-blown sound signalling instruments</v>
          </cell>
          <cell r="F5466">
            <v>0</v>
          </cell>
          <cell r="G5466">
            <v>0</v>
          </cell>
          <cell r="H5466" t="str">
            <v>Others</v>
          </cell>
          <cell r="I5466" t="str">
            <v>Others</v>
          </cell>
          <cell r="J5466">
            <v>2</v>
          </cell>
          <cell r="K5466" t="str">
            <v>Others</v>
          </cell>
        </row>
        <row r="5467">
          <cell r="D5467">
            <v>920930</v>
          </cell>
          <cell r="E5467" t="str">
            <v>Musical instrument strings</v>
          </cell>
          <cell r="F5467">
            <v>0</v>
          </cell>
          <cell r="G5467">
            <v>0</v>
          </cell>
          <cell r="H5467" t="str">
            <v>Capital Goods</v>
          </cell>
          <cell r="I5467" t="str">
            <v>Others</v>
          </cell>
          <cell r="J5467">
            <v>2</v>
          </cell>
          <cell r="K5467" t="str">
            <v>Consumables - rc</v>
          </cell>
        </row>
        <row r="5468">
          <cell r="D5468">
            <v>920991</v>
          </cell>
          <cell r="E5468" t="str">
            <v>Musical instruments; parts and accessories for pianos</v>
          </cell>
          <cell r="F5468">
            <v>0</v>
          </cell>
          <cell r="G5468">
            <v>0</v>
          </cell>
          <cell r="H5468" t="str">
            <v>Others</v>
          </cell>
          <cell r="I5468" t="str">
            <v>Others</v>
          </cell>
          <cell r="J5468">
            <v>2</v>
          </cell>
          <cell r="K5468" t="str">
            <v>Others</v>
          </cell>
        </row>
        <row r="5469">
          <cell r="D5469">
            <v>920992</v>
          </cell>
          <cell r="E5469" t="str">
            <v>Musical instruments; parts and accessories for string musical instruments other than keyboard instruments</v>
          </cell>
          <cell r="F5469">
            <v>0</v>
          </cell>
          <cell r="G5469">
            <v>0</v>
          </cell>
          <cell r="H5469" t="str">
            <v>Others</v>
          </cell>
          <cell r="I5469" t="str">
            <v>Others</v>
          </cell>
          <cell r="J5469">
            <v>2</v>
          </cell>
          <cell r="K5469" t="str">
            <v>Others</v>
          </cell>
        </row>
        <row r="5470">
          <cell r="D5470">
            <v>920993</v>
          </cell>
          <cell r="E5470" t="str">
            <v>Parts and accessories for musical instruments of heading 9203</v>
          </cell>
          <cell r="F5470">
            <v>0</v>
          </cell>
          <cell r="G5470">
            <v>0</v>
          </cell>
          <cell r="H5470" t="str">
            <v>Others</v>
          </cell>
          <cell r="I5470">
            <v>0</v>
          </cell>
          <cell r="J5470">
            <v>3</v>
          </cell>
          <cell r="K5470" t="str">
            <v>Others</v>
          </cell>
        </row>
        <row r="5471">
          <cell r="D5471">
            <v>920994</v>
          </cell>
          <cell r="E5471" t="str">
            <v>Musical instruments; parts and accessories for the musical instruments the sound of which is produced or must be amplified electrically (e.g. organs, guitars and accordions)</v>
          </cell>
          <cell r="F5471">
            <v>0</v>
          </cell>
          <cell r="G5471">
            <v>0</v>
          </cell>
          <cell r="H5471" t="str">
            <v>Others</v>
          </cell>
          <cell r="I5471" t="str">
            <v>Others</v>
          </cell>
          <cell r="J5471">
            <v>2</v>
          </cell>
          <cell r="K5471" t="str">
            <v>Others</v>
          </cell>
        </row>
        <row r="5472">
          <cell r="D5472">
            <v>920999</v>
          </cell>
          <cell r="E5472" t="str">
            <v>Musical instruments; parts and accessories for musical instruments n.e.c. in heading no. 9209; metronomes, tuning forks and pitch pipes</v>
          </cell>
          <cell r="F5472">
            <v>0</v>
          </cell>
          <cell r="G5472">
            <v>0</v>
          </cell>
          <cell r="H5472" t="str">
            <v>Others</v>
          </cell>
          <cell r="I5472" t="str">
            <v>Others</v>
          </cell>
          <cell r="J5472">
            <v>2</v>
          </cell>
          <cell r="K5472" t="str">
            <v>Others</v>
          </cell>
        </row>
        <row r="5473">
          <cell r="D5473">
            <v>930110</v>
          </cell>
          <cell r="E5473" t="str">
            <v>Military weapons; artillery weapons (e.g. guns, howitzers, and mortars)</v>
          </cell>
          <cell r="F5473">
            <v>0</v>
          </cell>
          <cell r="G5473">
            <v>0</v>
          </cell>
          <cell r="H5473" t="str">
            <v>Others</v>
          </cell>
          <cell r="I5473" t="str">
            <v>Others</v>
          </cell>
          <cell r="J5473">
            <v>2</v>
          </cell>
          <cell r="K5473" t="str">
            <v>Others</v>
          </cell>
        </row>
        <row r="5474">
          <cell r="D5474">
            <v>930120</v>
          </cell>
          <cell r="E5474" t="str">
            <v>Military weapons; rocket launchers, flame-throwers, grenade launchers, torpedo tubes and similar projectors</v>
          </cell>
          <cell r="F5474">
            <v>0</v>
          </cell>
          <cell r="G5474">
            <v>0</v>
          </cell>
          <cell r="H5474" t="str">
            <v>Others</v>
          </cell>
          <cell r="I5474" t="str">
            <v>Others</v>
          </cell>
          <cell r="J5474">
            <v>2</v>
          </cell>
          <cell r="K5474" t="str">
            <v>Others</v>
          </cell>
        </row>
        <row r="5475">
          <cell r="D5475">
            <v>930190</v>
          </cell>
          <cell r="E5475" t="str">
            <v>Military weapons; other than revolvers, pistols, and arms of heading 9307, n.e.c. in heading 9301</v>
          </cell>
          <cell r="F5475">
            <v>0</v>
          </cell>
          <cell r="G5475">
            <v>0</v>
          </cell>
          <cell r="H5475" t="str">
            <v>Others</v>
          </cell>
          <cell r="I5475" t="str">
            <v>Others</v>
          </cell>
          <cell r="J5475">
            <v>2</v>
          </cell>
          <cell r="K5475" t="str">
            <v>Others</v>
          </cell>
        </row>
        <row r="5476">
          <cell r="D5476">
            <v>930200</v>
          </cell>
          <cell r="E5476" t="str">
            <v>Revolvers and pistols; other than those of heading no. 9303 or 9304</v>
          </cell>
          <cell r="F5476">
            <v>0</v>
          </cell>
          <cell r="G5476">
            <v>0</v>
          </cell>
          <cell r="H5476" t="str">
            <v>Others</v>
          </cell>
          <cell r="I5476" t="str">
            <v>Others</v>
          </cell>
          <cell r="J5476">
            <v>2</v>
          </cell>
          <cell r="K5476" t="str">
            <v>Others</v>
          </cell>
        </row>
        <row r="5477">
          <cell r="D5477">
            <v>930310</v>
          </cell>
          <cell r="E5477" t="str">
            <v>Firearms; muzzle-loading</v>
          </cell>
          <cell r="F5477">
            <v>0</v>
          </cell>
          <cell r="G5477">
            <v>0</v>
          </cell>
          <cell r="H5477" t="str">
            <v>Others</v>
          </cell>
          <cell r="I5477" t="str">
            <v>Others</v>
          </cell>
          <cell r="J5477">
            <v>2</v>
          </cell>
          <cell r="K5477" t="str">
            <v>Others</v>
          </cell>
        </row>
        <row r="5478">
          <cell r="D5478">
            <v>930320</v>
          </cell>
          <cell r="E5478" t="str">
            <v>Firearms; sporting, hunting or target-shooting shotguns, including combination shotgun-rifles</v>
          </cell>
          <cell r="F5478">
            <v>0</v>
          </cell>
          <cell r="G5478">
            <v>0</v>
          </cell>
          <cell r="H5478">
            <v>0</v>
          </cell>
          <cell r="I5478" t="str">
            <v>Others</v>
          </cell>
          <cell r="J5478">
            <v>3</v>
          </cell>
          <cell r="K5478" t="str">
            <v>Others</v>
          </cell>
        </row>
        <row r="5479">
          <cell r="D5479">
            <v>930330</v>
          </cell>
          <cell r="E5479" t="str">
            <v>Firearms; sporting, hunting or target-shooting rifles n.e.c. in heading no. 9303</v>
          </cell>
          <cell r="F5479">
            <v>0</v>
          </cell>
          <cell r="G5479">
            <v>0</v>
          </cell>
          <cell r="H5479">
            <v>0</v>
          </cell>
          <cell r="I5479" t="str">
            <v>Others</v>
          </cell>
          <cell r="J5479">
            <v>3</v>
          </cell>
          <cell r="K5479" t="str">
            <v>Others</v>
          </cell>
        </row>
        <row r="5480">
          <cell r="D5480">
            <v>930390</v>
          </cell>
          <cell r="E5480" t="str">
            <v>Firearms; n.e.c. in heading no. 9303</v>
          </cell>
          <cell r="F5480">
            <v>0</v>
          </cell>
          <cell r="G5480">
            <v>0</v>
          </cell>
          <cell r="H5480" t="str">
            <v>Others</v>
          </cell>
          <cell r="I5480" t="str">
            <v>Others</v>
          </cell>
          <cell r="J5480">
            <v>2</v>
          </cell>
          <cell r="K5480" t="str">
            <v>Others</v>
          </cell>
        </row>
        <row r="5481">
          <cell r="D5481">
            <v>930400</v>
          </cell>
          <cell r="E5481" t="str">
            <v>Firearms; (e.g. spring, air or gas guns and pistols, truncheons), excluding those of heading no. 9307</v>
          </cell>
          <cell r="F5481">
            <v>0</v>
          </cell>
          <cell r="G5481">
            <v>0</v>
          </cell>
          <cell r="H5481">
            <v>0</v>
          </cell>
          <cell r="I5481" t="str">
            <v>Others</v>
          </cell>
          <cell r="J5481">
            <v>3</v>
          </cell>
          <cell r="K5481" t="str">
            <v>Others</v>
          </cell>
        </row>
        <row r="5482">
          <cell r="D5482">
            <v>930510</v>
          </cell>
          <cell r="E5482" t="str">
            <v>Firearms; parts and accessories, of revolvers or pistols</v>
          </cell>
          <cell r="F5482">
            <v>0</v>
          </cell>
          <cell r="G5482">
            <v>0</v>
          </cell>
          <cell r="H5482" t="str">
            <v>Others</v>
          </cell>
          <cell r="I5482" t="str">
            <v>Others</v>
          </cell>
          <cell r="J5482">
            <v>2</v>
          </cell>
          <cell r="K5482" t="str">
            <v>Others</v>
          </cell>
        </row>
        <row r="5483">
          <cell r="D5483">
            <v>930520</v>
          </cell>
          <cell r="E5483" t="str">
            <v>Firearms; parts and accessories, of shotguns or rifles of heading 9303</v>
          </cell>
          <cell r="F5483">
            <v>0</v>
          </cell>
          <cell r="G5483">
            <v>0</v>
          </cell>
          <cell r="H5483">
            <v>0</v>
          </cell>
          <cell r="I5483" t="str">
            <v>Others</v>
          </cell>
          <cell r="J5483">
            <v>3</v>
          </cell>
          <cell r="K5483" t="str">
            <v>Others</v>
          </cell>
        </row>
        <row r="5484">
          <cell r="D5484">
            <v>930521</v>
          </cell>
          <cell r="E5484" t="str">
            <v>Shotgun barrels</v>
          </cell>
          <cell r="F5484">
            <v>0</v>
          </cell>
          <cell r="G5484">
            <v>0</v>
          </cell>
          <cell r="H5484" t="str">
            <v>Others</v>
          </cell>
          <cell r="I5484">
            <v>0</v>
          </cell>
          <cell r="J5484">
            <v>3</v>
          </cell>
          <cell r="K5484" t="str">
            <v>Others</v>
          </cell>
        </row>
        <row r="5485">
          <cell r="D5485">
            <v>930529</v>
          </cell>
          <cell r="E5485" t="str">
            <v>Others parts and accessories of shotguns or rifles</v>
          </cell>
          <cell r="F5485">
            <v>0</v>
          </cell>
          <cell r="G5485">
            <v>0</v>
          </cell>
          <cell r="H5485" t="str">
            <v>Others</v>
          </cell>
          <cell r="I5485">
            <v>0</v>
          </cell>
          <cell r="J5485">
            <v>3</v>
          </cell>
          <cell r="K5485" t="str">
            <v>Others</v>
          </cell>
        </row>
        <row r="5486">
          <cell r="D5486">
            <v>930591</v>
          </cell>
          <cell r="E5486" t="str">
            <v>Firearms; parts and accessories, of military weapons of heading 9301</v>
          </cell>
          <cell r="F5486">
            <v>0</v>
          </cell>
          <cell r="G5486">
            <v>0</v>
          </cell>
          <cell r="H5486" t="str">
            <v>Others</v>
          </cell>
          <cell r="I5486" t="str">
            <v>Others</v>
          </cell>
          <cell r="J5486">
            <v>2</v>
          </cell>
          <cell r="K5486" t="str">
            <v>Others</v>
          </cell>
        </row>
        <row r="5487">
          <cell r="D5487">
            <v>930599</v>
          </cell>
          <cell r="E5487" t="str">
            <v>Firearms; parts and accessories, of firearms other than the military weapons of heading 9301</v>
          </cell>
          <cell r="F5487">
            <v>0</v>
          </cell>
          <cell r="G5487">
            <v>0</v>
          </cell>
          <cell r="H5487" t="str">
            <v>Others</v>
          </cell>
          <cell r="I5487" t="str">
            <v>Others</v>
          </cell>
          <cell r="J5487">
            <v>2</v>
          </cell>
          <cell r="K5487" t="str">
            <v>Others</v>
          </cell>
        </row>
        <row r="5488">
          <cell r="D5488">
            <v>930610</v>
          </cell>
          <cell r="E5488" t="str">
            <v>Cartridges for riveting or similar tools</v>
          </cell>
          <cell r="F5488">
            <v>0</v>
          </cell>
          <cell r="G5488">
            <v>0</v>
          </cell>
          <cell r="H5488" t="str">
            <v>Others</v>
          </cell>
          <cell r="I5488">
            <v>0</v>
          </cell>
          <cell r="J5488">
            <v>3</v>
          </cell>
          <cell r="K5488" t="str">
            <v>Capital Goods - No data</v>
          </cell>
        </row>
        <row r="5489">
          <cell r="D5489">
            <v>930621</v>
          </cell>
          <cell r="E5489" t="str">
            <v>Ammunition; shotgun cartridges</v>
          </cell>
          <cell r="F5489">
            <v>0</v>
          </cell>
          <cell r="G5489">
            <v>0</v>
          </cell>
          <cell r="H5489" t="str">
            <v>Others</v>
          </cell>
          <cell r="I5489" t="str">
            <v>Others</v>
          </cell>
          <cell r="J5489">
            <v>2</v>
          </cell>
          <cell r="K5489" t="str">
            <v>Others</v>
          </cell>
        </row>
        <row r="5490">
          <cell r="D5490">
            <v>930629</v>
          </cell>
          <cell r="E5490" t="str">
            <v>Ammunition; parts of shotgun cartridges</v>
          </cell>
          <cell r="F5490">
            <v>0</v>
          </cell>
          <cell r="G5490">
            <v>0</v>
          </cell>
          <cell r="H5490" t="str">
            <v>Others</v>
          </cell>
          <cell r="I5490" t="str">
            <v>Others</v>
          </cell>
          <cell r="J5490">
            <v>2</v>
          </cell>
          <cell r="K5490" t="str">
            <v>Others</v>
          </cell>
        </row>
        <row r="5491">
          <cell r="D5491">
            <v>930630</v>
          </cell>
          <cell r="E5491" t="str">
            <v>Ammunition; cartridges and parts thereof n.e.c. in heading no. 9306</v>
          </cell>
          <cell r="F5491">
            <v>0</v>
          </cell>
          <cell r="G5491">
            <v>0</v>
          </cell>
          <cell r="H5491" t="str">
            <v>Others</v>
          </cell>
          <cell r="I5491" t="str">
            <v>Others</v>
          </cell>
          <cell r="J5491">
            <v>2</v>
          </cell>
          <cell r="K5491" t="str">
            <v>Others</v>
          </cell>
        </row>
        <row r="5492">
          <cell r="D5492">
            <v>930690</v>
          </cell>
          <cell r="E5492" t="str">
            <v>Ammunition; n.e.c. in chapter 93</v>
          </cell>
          <cell r="F5492">
            <v>0</v>
          </cell>
          <cell r="G5492">
            <v>0</v>
          </cell>
          <cell r="H5492" t="str">
            <v>Others</v>
          </cell>
          <cell r="I5492" t="str">
            <v>Others</v>
          </cell>
          <cell r="J5492">
            <v>2</v>
          </cell>
          <cell r="K5492" t="str">
            <v>Others</v>
          </cell>
        </row>
        <row r="5493">
          <cell r="D5493">
            <v>930700</v>
          </cell>
          <cell r="E5493" t="str">
            <v>Arms; swords, cutlasses, bayonets, lances and the like, parts thereof and scabbards and sheaths therefor</v>
          </cell>
          <cell r="F5493">
            <v>0</v>
          </cell>
          <cell r="G5493">
            <v>0</v>
          </cell>
          <cell r="H5493" t="str">
            <v>Others</v>
          </cell>
          <cell r="I5493" t="str">
            <v>Others</v>
          </cell>
          <cell r="J5493">
            <v>2</v>
          </cell>
          <cell r="K5493" t="str">
            <v>Others</v>
          </cell>
        </row>
        <row r="5494">
          <cell r="D5494">
            <v>940110</v>
          </cell>
          <cell r="E5494" t="str">
            <v>Seats; of a kind used for aircraft</v>
          </cell>
          <cell r="F5494">
            <v>0</v>
          </cell>
          <cell r="G5494">
            <v>0</v>
          </cell>
          <cell r="H5494" t="str">
            <v>Parts &amp; Accessories</v>
          </cell>
          <cell r="I5494" t="str">
            <v>Parts &amp; Accessories</v>
          </cell>
          <cell r="J5494">
            <v>2</v>
          </cell>
          <cell r="K5494" t="str">
            <v>Parts &amp; Accessories - rc</v>
          </cell>
        </row>
        <row r="5495">
          <cell r="D5495">
            <v>940120</v>
          </cell>
          <cell r="E5495" t="str">
            <v>Seats; of a kind used for motor vehicles</v>
          </cell>
          <cell r="F5495">
            <v>0</v>
          </cell>
          <cell r="G5495">
            <v>0</v>
          </cell>
          <cell r="H5495" t="str">
            <v>Parts &amp; Accessories</v>
          </cell>
          <cell r="I5495" t="str">
            <v>Parts &amp; Accessories</v>
          </cell>
          <cell r="J5495">
            <v>2</v>
          </cell>
          <cell r="K5495" t="str">
            <v>Parts &amp; Accessories - rc</v>
          </cell>
        </row>
        <row r="5496">
          <cell r="D5496">
            <v>940130</v>
          </cell>
          <cell r="E5496" t="str">
            <v>Swivel seats with variable height adjustment</v>
          </cell>
          <cell r="F5496">
            <v>0</v>
          </cell>
          <cell r="G5496">
            <v>0</v>
          </cell>
          <cell r="H5496" t="str">
            <v>Parts &amp; Accessories</v>
          </cell>
          <cell r="I5496">
            <v>0</v>
          </cell>
          <cell r="J5496">
            <v>3</v>
          </cell>
          <cell r="K5496" t="str">
            <v>Durable</v>
          </cell>
        </row>
        <row r="5497">
          <cell r="D5497">
            <v>940131</v>
          </cell>
          <cell r="E5497" t="str">
            <v>Seats; swivel with variable height adjustment of wood, excluding medical, surgical, dental, veterinary or barber furniture</v>
          </cell>
          <cell r="F5497">
            <v>0</v>
          </cell>
          <cell r="G5497">
            <v>0</v>
          </cell>
          <cell r="H5497">
            <v>0</v>
          </cell>
          <cell r="I5497" t="str">
            <v>Capital Goods</v>
          </cell>
          <cell r="J5497">
            <v>3</v>
          </cell>
          <cell r="K5497" t="str">
            <v>Capital Goods</v>
          </cell>
        </row>
        <row r="5498">
          <cell r="D5498">
            <v>940139</v>
          </cell>
          <cell r="E5498" t="str">
            <v>Seats; swivel with variable height adjustment of other than wood, excluding medical, surgical, dental, veterinary or barber furniture</v>
          </cell>
          <cell r="F5498" t="str">
            <v>Parts &amp; Accessories</v>
          </cell>
          <cell r="G5498">
            <v>0</v>
          </cell>
          <cell r="H5498">
            <v>0</v>
          </cell>
          <cell r="I5498" t="str">
            <v>Capital Goods</v>
          </cell>
          <cell r="J5498">
            <v>2</v>
          </cell>
          <cell r="K5498" t="str">
            <v>Durable</v>
          </cell>
        </row>
        <row r="5499">
          <cell r="D5499">
            <v>940140</v>
          </cell>
          <cell r="E5499" t="str">
            <v>Seats convertible into beds, Others than garden seats or camping equipment</v>
          </cell>
          <cell r="F5499">
            <v>0</v>
          </cell>
          <cell r="G5499">
            <v>0</v>
          </cell>
          <cell r="H5499" t="str">
            <v>Parts &amp; Accessories</v>
          </cell>
          <cell r="I5499">
            <v>0</v>
          </cell>
          <cell r="J5499">
            <v>3</v>
          </cell>
          <cell r="K5499" t="str">
            <v>Durable</v>
          </cell>
        </row>
        <row r="5500">
          <cell r="D5500">
            <v>940141</v>
          </cell>
          <cell r="E5500" t="str">
            <v>Seats; convertible into beds of wood, other than garden seats or camping equipment</v>
          </cell>
          <cell r="F5500">
            <v>0</v>
          </cell>
          <cell r="G5500">
            <v>0</v>
          </cell>
          <cell r="H5500">
            <v>0</v>
          </cell>
          <cell r="I5500" t="str">
            <v>Durable</v>
          </cell>
          <cell r="J5500">
            <v>3</v>
          </cell>
          <cell r="K5500" t="str">
            <v>Durable</v>
          </cell>
        </row>
        <row r="5501">
          <cell r="D5501">
            <v>940149</v>
          </cell>
          <cell r="E5501" t="str">
            <v>Seats; convertible into beds of other than wood, other than garden seats or camping equipment</v>
          </cell>
          <cell r="F5501">
            <v>0</v>
          </cell>
          <cell r="G5501">
            <v>0</v>
          </cell>
          <cell r="H5501">
            <v>0</v>
          </cell>
          <cell r="I5501" t="str">
            <v>Durable</v>
          </cell>
          <cell r="J5501">
            <v>3</v>
          </cell>
          <cell r="K5501" t="str">
            <v>Durable</v>
          </cell>
        </row>
        <row r="5502">
          <cell r="D5502">
            <v>940150</v>
          </cell>
          <cell r="E5502" t="str">
            <v>Seats of cane, osier, bamboo or similar materials</v>
          </cell>
          <cell r="F5502">
            <v>0</v>
          </cell>
          <cell r="G5502">
            <v>0</v>
          </cell>
          <cell r="H5502" t="str">
            <v>Parts &amp; Accessories</v>
          </cell>
          <cell r="I5502">
            <v>0</v>
          </cell>
          <cell r="J5502">
            <v>3</v>
          </cell>
          <cell r="K5502" t="str">
            <v>Durable</v>
          </cell>
        </row>
        <row r="5503">
          <cell r="D5503">
            <v>940152</v>
          </cell>
          <cell r="E5503" t="str">
            <v>Seats; of bamboo</v>
          </cell>
          <cell r="F5503">
            <v>0</v>
          </cell>
          <cell r="G5503">
            <v>0</v>
          </cell>
          <cell r="H5503">
            <v>0</v>
          </cell>
          <cell r="I5503" t="str">
            <v>Others</v>
          </cell>
          <cell r="J5503">
            <v>3</v>
          </cell>
          <cell r="K5503" t="str">
            <v>Others</v>
          </cell>
        </row>
        <row r="5504">
          <cell r="D5504">
            <v>940153</v>
          </cell>
          <cell r="E5504" t="str">
            <v>Seats; of rattan</v>
          </cell>
          <cell r="F5504">
            <v>0</v>
          </cell>
          <cell r="G5504">
            <v>0</v>
          </cell>
          <cell r="H5504">
            <v>0</v>
          </cell>
          <cell r="I5504" t="str">
            <v>Others</v>
          </cell>
          <cell r="J5504">
            <v>3</v>
          </cell>
          <cell r="K5504" t="str">
            <v>Others</v>
          </cell>
        </row>
        <row r="5505">
          <cell r="D5505">
            <v>940159</v>
          </cell>
          <cell r="E5505" t="str">
            <v>Seats; of cane, osier or similar materials, other than bamboo or rattan</v>
          </cell>
          <cell r="F5505">
            <v>0</v>
          </cell>
          <cell r="G5505">
            <v>0</v>
          </cell>
          <cell r="H5505">
            <v>0</v>
          </cell>
          <cell r="I5505" t="str">
            <v>Others</v>
          </cell>
          <cell r="J5505">
            <v>3</v>
          </cell>
          <cell r="K5505" t="str">
            <v>Others</v>
          </cell>
        </row>
        <row r="5506">
          <cell r="D5506">
            <v>940161</v>
          </cell>
          <cell r="E5506" t="str">
            <v>Seats; with wooden frames, upholstered, (excluding medical, surgical, dental, veterinary or barber furniture)</v>
          </cell>
          <cell r="F5506">
            <v>0</v>
          </cell>
          <cell r="G5506">
            <v>0</v>
          </cell>
          <cell r="H5506" t="str">
            <v>Others</v>
          </cell>
          <cell r="I5506" t="str">
            <v>Durable</v>
          </cell>
          <cell r="J5506">
            <v>2</v>
          </cell>
          <cell r="K5506" t="str">
            <v>Durable</v>
          </cell>
        </row>
        <row r="5507">
          <cell r="D5507">
            <v>940169</v>
          </cell>
          <cell r="E5507" t="str">
            <v>Seats; with wooden frames, not upholstered, (excluding medical, surgical, dental, veterinary or barber furniture)</v>
          </cell>
          <cell r="F5507">
            <v>0</v>
          </cell>
          <cell r="G5507">
            <v>0</v>
          </cell>
          <cell r="H5507" t="str">
            <v>Capital Goods</v>
          </cell>
          <cell r="I5507" t="str">
            <v>Durable</v>
          </cell>
          <cell r="J5507">
            <v>2</v>
          </cell>
          <cell r="K5507" t="str">
            <v>Durable</v>
          </cell>
        </row>
        <row r="5508">
          <cell r="D5508">
            <v>940171</v>
          </cell>
          <cell r="E5508" t="str">
            <v>Seats; with metal frames, upholstered, (excluding medical, surgical, dental, veterinary or barber furniture)</v>
          </cell>
          <cell r="F5508">
            <v>0</v>
          </cell>
          <cell r="G5508">
            <v>0</v>
          </cell>
          <cell r="H5508" t="str">
            <v>Others</v>
          </cell>
          <cell r="I5508" t="str">
            <v>Durable</v>
          </cell>
          <cell r="J5508">
            <v>2</v>
          </cell>
          <cell r="K5508" t="str">
            <v>Durable</v>
          </cell>
        </row>
        <row r="5509">
          <cell r="D5509">
            <v>940179</v>
          </cell>
          <cell r="E5509" t="str">
            <v>Seats; with metal frames, not upholstered, (excluding medical, surgical, dental, veterinary or barber furniture)</v>
          </cell>
          <cell r="F5509" t="str">
            <v>Capital Goods</v>
          </cell>
          <cell r="G5509">
            <v>0</v>
          </cell>
          <cell r="H5509" t="str">
            <v>Others</v>
          </cell>
          <cell r="I5509" t="str">
            <v>Durable</v>
          </cell>
          <cell r="J5509">
            <v>1</v>
          </cell>
          <cell r="K5509" t="str">
            <v>Durable</v>
          </cell>
        </row>
        <row r="5510">
          <cell r="D5510">
            <v>940180</v>
          </cell>
          <cell r="E5510" t="str">
            <v>Seats; n.e.c. in heading no. 9401, (excluding medical, surgical, dental, veterinary or barber furniture)</v>
          </cell>
          <cell r="F5510">
            <v>0</v>
          </cell>
          <cell r="G5510">
            <v>0</v>
          </cell>
          <cell r="H5510" t="str">
            <v>Parts &amp; Accessories</v>
          </cell>
          <cell r="I5510" t="str">
            <v>Capital Goods</v>
          </cell>
          <cell r="J5510">
            <v>2</v>
          </cell>
          <cell r="K5510" t="str">
            <v>Durable</v>
          </cell>
        </row>
        <row r="5511">
          <cell r="D5511">
            <v>840130</v>
          </cell>
          <cell r="E5511" t="str">
            <v>Fuel elements (cartridges); non-irradiated</v>
          </cell>
          <cell r="F5511">
            <v>0</v>
          </cell>
          <cell r="G5511">
            <v>0</v>
          </cell>
          <cell r="H5511" t="str">
            <v>Parts &amp; Accessories</v>
          </cell>
          <cell r="I5511" t="str">
            <v>Parts &amp; Accessories</v>
          </cell>
          <cell r="J5511">
            <v>2</v>
          </cell>
          <cell r="K5511" t="str">
            <v>Parts &amp; Accessories</v>
          </cell>
        </row>
        <row r="5512">
          <cell r="D5512">
            <v>940191</v>
          </cell>
          <cell r="E5512" t="str">
            <v>Seats; parts, of wood, (other than for use in the assembly of motor vehicles as determined by the minister, other than automotive)</v>
          </cell>
          <cell r="F5512">
            <v>0</v>
          </cell>
          <cell r="G5512">
            <v>0</v>
          </cell>
          <cell r="H5512">
            <v>0</v>
          </cell>
          <cell r="I5512" t="str">
            <v>Others</v>
          </cell>
          <cell r="J5512">
            <v>3</v>
          </cell>
          <cell r="K5512" t="str">
            <v>Others</v>
          </cell>
        </row>
        <row r="5513">
          <cell r="D5513">
            <v>940199</v>
          </cell>
          <cell r="E5513" t="str">
            <v>Seats; parts, (of other than wood) for use in the assembly of motor vehicles as determined by the minister</v>
          </cell>
          <cell r="F5513" t="str">
            <v>Capital Goods</v>
          </cell>
          <cell r="G5513">
            <v>0</v>
          </cell>
          <cell r="H5513">
            <v>0</v>
          </cell>
          <cell r="I5513" t="str">
            <v>Others</v>
          </cell>
          <cell r="J5513">
            <v>2</v>
          </cell>
          <cell r="K5513" t="str">
            <v>Parts &amp; Accessories - rc</v>
          </cell>
        </row>
        <row r="5514">
          <cell r="D5514">
            <v>940210</v>
          </cell>
          <cell r="E5514" t="str">
            <v>Chairs; dentists', barbers' or similar chairs having rotating as well as both reclining and elevating movements, and parts thereof</v>
          </cell>
          <cell r="F5514" t="str">
            <v>Capital Goods</v>
          </cell>
          <cell r="G5514">
            <v>0</v>
          </cell>
          <cell r="H5514" t="str">
            <v>Parts &amp; Accessories</v>
          </cell>
          <cell r="I5514" t="str">
            <v>Capital Goods</v>
          </cell>
          <cell r="J5514">
            <v>1</v>
          </cell>
          <cell r="K5514" t="str">
            <v>Capital Goods</v>
          </cell>
        </row>
        <row r="5515">
          <cell r="D5515">
            <v>940290</v>
          </cell>
          <cell r="E5515" t="str">
            <v>Furniture; for medical, surgical, veterinary use (e.g. operating tables, examination tables, hospital beds with mechanical fittings) and parts thereof</v>
          </cell>
          <cell r="F5515" t="str">
            <v>Parts &amp; Accessories</v>
          </cell>
          <cell r="G5515">
            <v>0</v>
          </cell>
          <cell r="H5515" t="str">
            <v>Parts &amp; Accessories</v>
          </cell>
          <cell r="I5515" t="str">
            <v>Capital Goods</v>
          </cell>
          <cell r="J5515">
            <v>1</v>
          </cell>
          <cell r="K5515" t="str">
            <v>Capital Goods - rc</v>
          </cell>
        </row>
        <row r="5516">
          <cell r="D5516">
            <v>940310</v>
          </cell>
          <cell r="E5516" t="str">
            <v>Furniture; metal, for office use</v>
          </cell>
          <cell r="F5516" t="str">
            <v>Capital Goods</v>
          </cell>
          <cell r="G5516">
            <v>0</v>
          </cell>
          <cell r="H5516" t="str">
            <v>Others</v>
          </cell>
          <cell r="I5516" t="str">
            <v>Others</v>
          </cell>
          <cell r="J5516">
            <v>1</v>
          </cell>
          <cell r="K5516" t="str">
            <v>Durable</v>
          </cell>
        </row>
        <row r="5517">
          <cell r="D5517">
            <v>940320</v>
          </cell>
          <cell r="E5517" t="str">
            <v>Furniture; metal, other than for office use</v>
          </cell>
          <cell r="F5517" t="str">
            <v>Capital Goods</v>
          </cell>
          <cell r="G5517">
            <v>0</v>
          </cell>
          <cell r="H5517" t="str">
            <v>Others</v>
          </cell>
          <cell r="I5517" t="str">
            <v>Others</v>
          </cell>
          <cell r="J5517">
            <v>1</v>
          </cell>
          <cell r="K5517" t="str">
            <v>Durable</v>
          </cell>
        </row>
        <row r="5518">
          <cell r="D5518">
            <v>940330</v>
          </cell>
          <cell r="E5518" t="str">
            <v>Furniture; wooden, for office use</v>
          </cell>
          <cell r="F5518" t="str">
            <v>Capital Goods</v>
          </cell>
          <cell r="G5518">
            <v>0</v>
          </cell>
          <cell r="H5518">
            <v>0</v>
          </cell>
          <cell r="I5518" t="str">
            <v>Others</v>
          </cell>
          <cell r="J5518">
            <v>2</v>
          </cell>
          <cell r="K5518" t="str">
            <v>Capital Goods - rc</v>
          </cell>
        </row>
        <row r="5519">
          <cell r="D5519">
            <v>940340</v>
          </cell>
          <cell r="E5519" t="str">
            <v>Furniture; wooden, for kitchen use</v>
          </cell>
          <cell r="F5519">
            <v>0</v>
          </cell>
          <cell r="G5519">
            <v>0</v>
          </cell>
          <cell r="H5519">
            <v>0</v>
          </cell>
          <cell r="I5519" t="str">
            <v>Durable</v>
          </cell>
          <cell r="J5519">
            <v>3</v>
          </cell>
          <cell r="K5519" t="str">
            <v>Durable</v>
          </cell>
        </row>
        <row r="5520">
          <cell r="D5520">
            <v>940350</v>
          </cell>
          <cell r="E5520" t="str">
            <v>Furniture; wooden, for bedroom use</v>
          </cell>
          <cell r="F5520" t="str">
            <v>Capital Goods</v>
          </cell>
          <cell r="G5520">
            <v>0</v>
          </cell>
          <cell r="H5520">
            <v>0</v>
          </cell>
          <cell r="I5520" t="str">
            <v>Durable</v>
          </cell>
          <cell r="J5520">
            <v>2</v>
          </cell>
          <cell r="K5520" t="str">
            <v>Durable</v>
          </cell>
        </row>
        <row r="5521">
          <cell r="D5521">
            <v>940360</v>
          </cell>
          <cell r="E5521" t="str">
            <v>Furniture; wooden, other than for office, kitchen or bedroom use</v>
          </cell>
          <cell r="F5521" t="str">
            <v>Capital Goods</v>
          </cell>
          <cell r="G5521">
            <v>0</v>
          </cell>
          <cell r="H5521">
            <v>0</v>
          </cell>
          <cell r="I5521" t="str">
            <v>Durable</v>
          </cell>
          <cell r="J5521">
            <v>2</v>
          </cell>
          <cell r="K5521" t="str">
            <v>Durable</v>
          </cell>
        </row>
        <row r="5522">
          <cell r="D5522">
            <v>940370</v>
          </cell>
          <cell r="E5522" t="str">
            <v>Furniture; plastic</v>
          </cell>
          <cell r="F5522" t="str">
            <v>Capital Goods</v>
          </cell>
          <cell r="G5522">
            <v>0</v>
          </cell>
          <cell r="H5522">
            <v>0</v>
          </cell>
          <cell r="I5522" t="str">
            <v>Durable</v>
          </cell>
          <cell r="J5522">
            <v>2</v>
          </cell>
          <cell r="K5522" t="str">
            <v>Durable</v>
          </cell>
        </row>
        <row r="5523">
          <cell r="D5523">
            <v>940382</v>
          </cell>
          <cell r="E5523" t="str">
            <v>Furniture; of bamboo</v>
          </cell>
          <cell r="F5523">
            <v>0</v>
          </cell>
          <cell r="G5523">
            <v>0</v>
          </cell>
          <cell r="H5523">
            <v>0</v>
          </cell>
          <cell r="I5523" t="str">
            <v>Others</v>
          </cell>
          <cell r="J5523">
            <v>3</v>
          </cell>
          <cell r="K5523" t="str">
            <v>Others</v>
          </cell>
        </row>
        <row r="5524">
          <cell r="D5524">
            <v>940383</v>
          </cell>
          <cell r="E5524" t="str">
            <v>Furniture; of rattan</v>
          </cell>
          <cell r="F5524">
            <v>0</v>
          </cell>
          <cell r="G5524">
            <v>0</v>
          </cell>
          <cell r="H5524">
            <v>0</v>
          </cell>
          <cell r="I5524" t="str">
            <v>Others</v>
          </cell>
          <cell r="J5524">
            <v>3</v>
          </cell>
          <cell r="K5524" t="str">
            <v>Others</v>
          </cell>
        </row>
        <row r="5525">
          <cell r="D5525">
            <v>940389</v>
          </cell>
          <cell r="E5525" t="str">
            <v>Furniture; of cane, osier, or similar materials (other than bamboo or rattan)</v>
          </cell>
          <cell r="F5525" t="str">
            <v>Capital Goods</v>
          </cell>
          <cell r="G5525">
            <v>0</v>
          </cell>
          <cell r="H5525">
            <v>0</v>
          </cell>
          <cell r="I5525" t="str">
            <v>Others</v>
          </cell>
          <cell r="J5525">
            <v>2</v>
          </cell>
          <cell r="K5525" t="str">
            <v>Capital Goods - rc</v>
          </cell>
        </row>
        <row r="5526">
          <cell r="D5526">
            <v>851430</v>
          </cell>
          <cell r="E5526" t="str">
            <v>Parts of electrical ignition or starting equipment, generators, etc. of heading 8511,
n.e.s.</v>
          </cell>
          <cell r="F5526">
            <v>0</v>
          </cell>
          <cell r="G5526">
            <v>0</v>
          </cell>
          <cell r="H5526" t="str">
            <v>Parts &amp; Accessories</v>
          </cell>
          <cell r="I5526">
            <v>0</v>
          </cell>
          <cell r="J5526">
            <v>3</v>
          </cell>
          <cell r="K5526" t="str">
            <v>Parts &amp; Accessories</v>
          </cell>
        </row>
        <row r="5527">
          <cell r="D5527">
            <v>940391</v>
          </cell>
          <cell r="E5527" t="str">
            <v>Furniture; parts, of wood</v>
          </cell>
          <cell r="F5527" t="str">
            <v>Capital Goods</v>
          </cell>
          <cell r="G5527">
            <v>0</v>
          </cell>
          <cell r="H5527">
            <v>0</v>
          </cell>
          <cell r="I5527" t="str">
            <v>Durable</v>
          </cell>
          <cell r="J5527">
            <v>2</v>
          </cell>
          <cell r="K5527" t="str">
            <v>Durable</v>
          </cell>
        </row>
        <row r="5528">
          <cell r="D5528">
            <v>940399</v>
          </cell>
          <cell r="E5528" t="str">
            <v>Furniture; parts, of other than wood</v>
          </cell>
          <cell r="F5528" t="str">
            <v>Capital Goods</v>
          </cell>
          <cell r="G5528">
            <v>0</v>
          </cell>
          <cell r="H5528">
            <v>0</v>
          </cell>
          <cell r="I5528" t="str">
            <v>Durable</v>
          </cell>
          <cell r="J5528">
            <v>2</v>
          </cell>
          <cell r="K5528" t="str">
            <v>Durable</v>
          </cell>
        </row>
        <row r="5529">
          <cell r="D5529">
            <v>940410</v>
          </cell>
          <cell r="E5529" t="str">
            <v>Mattress supports</v>
          </cell>
          <cell r="F5529">
            <v>0</v>
          </cell>
          <cell r="G5529">
            <v>0</v>
          </cell>
          <cell r="H5529">
            <v>0</v>
          </cell>
          <cell r="I5529" t="str">
            <v>Others</v>
          </cell>
          <cell r="J5529">
            <v>3</v>
          </cell>
          <cell r="K5529" t="str">
            <v>Others</v>
          </cell>
        </row>
        <row r="5530">
          <cell r="D5530">
            <v>940421</v>
          </cell>
          <cell r="E5530" t="str">
            <v>Mattresses; of cellular rubber or plastics, whether or not covered</v>
          </cell>
          <cell r="F5530">
            <v>0</v>
          </cell>
          <cell r="G5530">
            <v>0</v>
          </cell>
          <cell r="H5530">
            <v>0</v>
          </cell>
          <cell r="I5530" t="str">
            <v>Others</v>
          </cell>
          <cell r="J5530">
            <v>3</v>
          </cell>
          <cell r="K5530" t="str">
            <v>Others</v>
          </cell>
        </row>
        <row r="5531">
          <cell r="D5531">
            <v>940429</v>
          </cell>
          <cell r="E5531" t="str">
            <v>Mattresses; of other materials, not cellular rubber or plastics</v>
          </cell>
          <cell r="F5531">
            <v>0</v>
          </cell>
          <cell r="G5531">
            <v>0</v>
          </cell>
          <cell r="H5531" t="str">
            <v>Others</v>
          </cell>
          <cell r="I5531" t="str">
            <v>Others</v>
          </cell>
          <cell r="J5531">
            <v>2</v>
          </cell>
          <cell r="K5531" t="str">
            <v>Others</v>
          </cell>
        </row>
        <row r="5532">
          <cell r="D5532">
            <v>940430</v>
          </cell>
          <cell r="E5532" t="str">
            <v>Sleeping bags</v>
          </cell>
          <cell r="F5532">
            <v>0</v>
          </cell>
          <cell r="G5532">
            <v>0</v>
          </cell>
          <cell r="H5532">
            <v>0</v>
          </cell>
          <cell r="I5532" t="str">
            <v>Others</v>
          </cell>
          <cell r="J5532">
            <v>3</v>
          </cell>
          <cell r="K5532" t="str">
            <v>Others</v>
          </cell>
        </row>
        <row r="5533">
          <cell r="D5533">
            <v>940440</v>
          </cell>
          <cell r="E5533" t="str">
            <v>Quilts, bedspreads, eiderdowns and duvets (comforters)</v>
          </cell>
          <cell r="F5533">
            <v>0</v>
          </cell>
          <cell r="G5533">
            <v>0</v>
          </cell>
          <cell r="H5533">
            <v>0</v>
          </cell>
          <cell r="I5533" t="str">
            <v>Others</v>
          </cell>
          <cell r="J5533">
            <v>3</v>
          </cell>
          <cell r="K5533" t="str">
            <v>Others</v>
          </cell>
        </row>
        <row r="5534">
          <cell r="D5534">
            <v>940490</v>
          </cell>
          <cell r="E5534" t="str">
            <v>Bedding and similar furnishing articles; n.e.c. in heading no. 9404 (e.g. quilts, eiderdowns, cushions, pouffes and pillows)</v>
          </cell>
          <cell r="F5534">
            <v>0</v>
          </cell>
          <cell r="G5534">
            <v>0</v>
          </cell>
          <cell r="H5534">
            <v>0</v>
          </cell>
          <cell r="I5534" t="str">
            <v>Others</v>
          </cell>
          <cell r="J5534">
            <v>3</v>
          </cell>
          <cell r="K5534" t="str">
            <v>Others</v>
          </cell>
        </row>
        <row r="5535">
          <cell r="D5535">
            <v>940510</v>
          </cell>
          <cell r="E5535" t="e">
            <v>#VALUE!</v>
          </cell>
          <cell r="F5535" t="str">
            <v>Capital Goods</v>
          </cell>
          <cell r="G5535">
            <v>0</v>
          </cell>
          <cell r="H5535">
            <v>0</v>
          </cell>
          <cell r="I5535">
            <v>0</v>
          </cell>
          <cell r="J5535">
            <v>3</v>
          </cell>
          <cell r="K5535" t="str">
            <v>Capital Goods - rc</v>
          </cell>
        </row>
        <row r="5536">
          <cell r="D5536">
            <v>940511</v>
          </cell>
          <cell r="E5536" t="str">
            <v>Luminaires and light fittings; chandeliers and electric ceiling or wall light fittings; (excluding those used for lighting public open spaces or thoroughfares), for use solely with light-emitting diode (LED) light sources</v>
          </cell>
          <cell r="F5536">
            <v>0</v>
          </cell>
          <cell r="G5536">
            <v>0</v>
          </cell>
          <cell r="H5536">
            <v>0</v>
          </cell>
          <cell r="I5536" t="str">
            <v>Others</v>
          </cell>
          <cell r="J5536">
            <v>3</v>
          </cell>
          <cell r="K5536" t="str">
            <v>Others</v>
          </cell>
        </row>
        <row r="5537">
          <cell r="D5537">
            <v>940519</v>
          </cell>
          <cell r="E5537" t="str">
            <v>Chandeliers and electric ceiling or wall light fittings; (excluding those used for lighting public open spaces or thoroughfares), for use other than with light-emitting diode (LED) light sources</v>
          </cell>
          <cell r="F5537" t="str">
            <v>Capital Goods</v>
          </cell>
          <cell r="G5537">
            <v>0</v>
          </cell>
          <cell r="H5537">
            <v>0</v>
          </cell>
          <cell r="I5537" t="str">
            <v>Others</v>
          </cell>
          <cell r="J5537">
            <v>2</v>
          </cell>
          <cell r="K5537" t="str">
            <v>Others</v>
          </cell>
        </row>
        <row r="5538">
          <cell r="D5538">
            <v>940520</v>
          </cell>
          <cell r="E5538" t="str">
            <v>Mattresses, fitted with springs or stuffed or internally filled with any material (excluding cellular rubber or plastics, pneumatic or water mattresses and pillows)</v>
          </cell>
          <cell r="F5538" t="str">
            <v>Others</v>
          </cell>
          <cell r="G5538">
            <v>0</v>
          </cell>
          <cell r="H5538" t="str">
            <v>Others</v>
          </cell>
          <cell r="I5538">
            <v>0</v>
          </cell>
          <cell r="J5538">
            <v>2</v>
          </cell>
          <cell r="K5538" t="str">
            <v>Others</v>
          </cell>
        </row>
        <row r="5539">
          <cell r="D5539">
            <v>940521</v>
          </cell>
          <cell r="E5539" t="str">
            <v>Luminaires and light fittings; electric, table, desk, bedside or floor-standing, for use solely with light-emitting diode (LED) light sources</v>
          </cell>
          <cell r="F5539">
            <v>0</v>
          </cell>
          <cell r="G5539">
            <v>0</v>
          </cell>
          <cell r="H5539">
            <v>0</v>
          </cell>
          <cell r="I5539" t="str">
            <v>Others</v>
          </cell>
          <cell r="J5539">
            <v>3</v>
          </cell>
          <cell r="K5539" t="str">
            <v>Others</v>
          </cell>
        </row>
        <row r="5540">
          <cell r="D5540">
            <v>940529</v>
          </cell>
          <cell r="E5540" t="str">
            <v>Luminaires and light fittings; electric, table, desk, bedside or floor-standing, for other than use solely with light-emitting diode (LED) light sources</v>
          </cell>
          <cell r="F5540" t="str">
            <v>Capital Goods</v>
          </cell>
          <cell r="G5540">
            <v>0</v>
          </cell>
          <cell r="H5540">
            <v>0</v>
          </cell>
          <cell r="I5540" t="str">
            <v>Others</v>
          </cell>
          <cell r="J5540">
            <v>2</v>
          </cell>
          <cell r="K5540" t="str">
            <v>Capital Goods - rc</v>
          </cell>
        </row>
        <row r="5541">
          <cell r="D5541">
            <v>940530</v>
          </cell>
          <cell r="E5541" t="str">
            <v>Electric table, desk, bedside or floor-standing lamps</v>
          </cell>
          <cell r="F5541">
            <v>0</v>
          </cell>
          <cell r="G5541">
            <v>0</v>
          </cell>
          <cell r="H5541" t="str">
            <v>Others</v>
          </cell>
          <cell r="I5541">
            <v>0</v>
          </cell>
          <cell r="J5541">
            <v>3</v>
          </cell>
          <cell r="K5541" t="str">
            <v>Others</v>
          </cell>
        </row>
        <row r="5542">
          <cell r="D5542">
            <v>940531</v>
          </cell>
          <cell r="E5542" t="str">
            <v>Luminaires and light fittings; electric, lighting strings of a kind used for Christmas trees, for use solely with light-emitting diode (LED) light sources</v>
          </cell>
          <cell r="F5542">
            <v>0</v>
          </cell>
          <cell r="G5542">
            <v>0</v>
          </cell>
          <cell r="H5542">
            <v>0</v>
          </cell>
          <cell r="I5542" t="str">
            <v>Others</v>
          </cell>
          <cell r="J5542">
            <v>3</v>
          </cell>
          <cell r="K5542" t="str">
            <v>Others</v>
          </cell>
        </row>
        <row r="5543">
          <cell r="D5543">
            <v>940539</v>
          </cell>
          <cell r="E5543" t="str">
            <v>Luminaires and light fittings; electric, lighting strings of a kind used for Christmas trees, for other than use solely with light-emitting diode (LED) light sources</v>
          </cell>
          <cell r="F5543">
            <v>0</v>
          </cell>
          <cell r="G5543">
            <v>0</v>
          </cell>
          <cell r="H5543">
            <v>0</v>
          </cell>
          <cell r="I5543" t="str">
            <v>Others</v>
          </cell>
          <cell r="J5543">
            <v>3</v>
          </cell>
          <cell r="K5543" t="str">
            <v>Others</v>
          </cell>
        </row>
        <row r="5544">
          <cell r="D5544">
            <v>940540</v>
          </cell>
          <cell r="E5544" t="str">
            <v>Electric lighting sets of a kind used for Christmas trees</v>
          </cell>
          <cell r="F5544" t="str">
            <v>Others</v>
          </cell>
          <cell r="G5544">
            <v>0</v>
          </cell>
          <cell r="H5544" t="str">
            <v>Others</v>
          </cell>
          <cell r="I5544">
            <v>0</v>
          </cell>
          <cell r="J5544">
            <v>2</v>
          </cell>
          <cell r="K5544" t="str">
            <v>Others</v>
          </cell>
        </row>
        <row r="5545">
          <cell r="D5545">
            <v>940541</v>
          </cell>
          <cell r="E5545" t="str">
            <v>Luminaires and light fittings; electric, photovoltaic, designed for use solely with light-emitting diode (LED) light sources</v>
          </cell>
          <cell r="F5545" t="str">
            <v>Capital Goods</v>
          </cell>
          <cell r="G5545">
            <v>0</v>
          </cell>
          <cell r="H5545">
            <v>0</v>
          </cell>
          <cell r="I5545" t="str">
            <v>Others</v>
          </cell>
          <cell r="J5545">
            <v>2</v>
          </cell>
          <cell r="K5545" t="str">
            <v>Capital Goods - rc</v>
          </cell>
        </row>
        <row r="5546">
          <cell r="D5546">
            <v>940542</v>
          </cell>
          <cell r="E5546" t="str">
            <v>Luminaires and light fittings; electric, designed for use solely with light-emitting diode (LED) light sources</v>
          </cell>
          <cell r="F5546" t="str">
            <v>Capital Goods</v>
          </cell>
          <cell r="G5546">
            <v>0</v>
          </cell>
          <cell r="H5546">
            <v>0</v>
          </cell>
          <cell r="I5546" t="str">
            <v>Others</v>
          </cell>
          <cell r="J5546">
            <v>2</v>
          </cell>
          <cell r="K5546" t="str">
            <v>Parts &amp; Accessories - rc</v>
          </cell>
        </row>
        <row r="5547">
          <cell r="D5547">
            <v>940549</v>
          </cell>
          <cell r="E5547" t="str">
            <v>Luminaires and light fittings; electric, designed for other than use solely with light-emitting diode (LED) light sources</v>
          </cell>
          <cell r="F5547" t="str">
            <v>Capital Goods</v>
          </cell>
          <cell r="G5547">
            <v>0</v>
          </cell>
          <cell r="H5547">
            <v>0</v>
          </cell>
          <cell r="I5547" t="str">
            <v>Others</v>
          </cell>
          <cell r="J5547">
            <v>2</v>
          </cell>
          <cell r="K5547" t="str">
            <v>Parts &amp; Accessories - rc</v>
          </cell>
        </row>
        <row r="5548">
          <cell r="D5548">
            <v>940550</v>
          </cell>
          <cell r="E5548" t="str">
            <v>Luminaires and light fittings; non-electric</v>
          </cell>
          <cell r="F5548" t="str">
            <v>Capital Goods</v>
          </cell>
          <cell r="G5548">
            <v>0</v>
          </cell>
          <cell r="H5548" t="str">
            <v>Capital Goods</v>
          </cell>
          <cell r="I5548" t="str">
            <v>Others</v>
          </cell>
          <cell r="J5548">
            <v>1</v>
          </cell>
          <cell r="K5548" t="str">
            <v>Durable</v>
          </cell>
        </row>
        <row r="5549">
          <cell r="D5549">
            <v>940561</v>
          </cell>
          <cell r="E5549" t="str">
            <v>Luminaires; illuminated signs, illuminated name-plates and the like, designed for use solely with light-emitting diode (LED) light sources</v>
          </cell>
          <cell r="F5549" t="str">
            <v>Capital Goods</v>
          </cell>
          <cell r="G5549">
            <v>0</v>
          </cell>
          <cell r="H5549">
            <v>0</v>
          </cell>
          <cell r="I5549" t="str">
            <v>Others</v>
          </cell>
          <cell r="J5549">
            <v>2</v>
          </cell>
          <cell r="K5549" t="str">
            <v>Capital Goods - rc</v>
          </cell>
        </row>
        <row r="5550">
          <cell r="D5550">
            <v>940569</v>
          </cell>
          <cell r="E5550" t="str">
            <v>Luminaires; illuminated signs, illuminated name-plates and the like, designed for other than use solely with light-emitting diode (LED) light sources</v>
          </cell>
          <cell r="F5550" t="str">
            <v>Capital Goods</v>
          </cell>
          <cell r="G5550">
            <v>0</v>
          </cell>
          <cell r="H5550">
            <v>0</v>
          </cell>
          <cell r="I5550" t="str">
            <v>Others</v>
          </cell>
          <cell r="J5550">
            <v>2</v>
          </cell>
          <cell r="K5550" t="str">
            <v>Capital Goods - rc</v>
          </cell>
        </row>
        <row r="5551">
          <cell r="D5551">
            <v>940591</v>
          </cell>
          <cell r="E5551" t="str">
            <v>Lamps and light fittings; parts thereof, of glass</v>
          </cell>
          <cell r="F5551">
            <v>0</v>
          </cell>
          <cell r="G5551">
            <v>0</v>
          </cell>
          <cell r="H5551">
            <v>0</v>
          </cell>
          <cell r="I5551" t="str">
            <v>Parts &amp; Accessories</v>
          </cell>
          <cell r="J5551">
            <v>3</v>
          </cell>
          <cell r="K5551" t="str">
            <v>Parts &amp; Accessories - rc</v>
          </cell>
        </row>
        <row r="5552">
          <cell r="D5552">
            <v>940592</v>
          </cell>
          <cell r="E5552" t="str">
            <v>Lamps and light fittings; parts thereof, of plastics</v>
          </cell>
          <cell r="F5552" t="str">
            <v>Parts &amp; Accessories</v>
          </cell>
          <cell r="G5552">
            <v>0</v>
          </cell>
          <cell r="H5552">
            <v>0</v>
          </cell>
          <cell r="I5552" t="str">
            <v>Parts &amp; Accessories</v>
          </cell>
          <cell r="J5552">
            <v>2</v>
          </cell>
          <cell r="K5552" t="str">
            <v>Parts &amp; Accessories - rc</v>
          </cell>
        </row>
        <row r="5553">
          <cell r="D5553">
            <v>940599</v>
          </cell>
          <cell r="E5553" t="str">
            <v>Lamps and light fittings; parts thereof, of materials other than glass or plastics</v>
          </cell>
          <cell r="F5553" t="str">
            <v>Parts &amp; Accessories</v>
          </cell>
          <cell r="G5553">
            <v>0</v>
          </cell>
          <cell r="H5553">
            <v>0</v>
          </cell>
          <cell r="I5553" t="str">
            <v>Parts &amp; Accessories</v>
          </cell>
          <cell r="J5553">
            <v>2</v>
          </cell>
          <cell r="K5553" t="str">
            <v>Parts &amp; Accessories - rc</v>
          </cell>
        </row>
        <row r="5554">
          <cell r="D5554">
            <v>940610</v>
          </cell>
          <cell r="E5554" t="str">
            <v>Buildings; prefabricated, of wood</v>
          </cell>
          <cell r="F5554">
            <v>0</v>
          </cell>
          <cell r="G5554">
            <v>0</v>
          </cell>
          <cell r="H5554">
            <v>0</v>
          </cell>
          <cell r="I5554" t="str">
            <v>Others</v>
          </cell>
          <cell r="J5554">
            <v>3</v>
          </cell>
          <cell r="K5554" t="str">
            <v>Others</v>
          </cell>
        </row>
        <row r="5555">
          <cell r="D5555">
            <v>940620</v>
          </cell>
          <cell r="E5555" t="str">
            <v>Buildings; modular building units, of steel</v>
          </cell>
          <cell r="F5555">
            <v>0</v>
          </cell>
          <cell r="G5555">
            <v>0</v>
          </cell>
          <cell r="H5555">
            <v>0</v>
          </cell>
          <cell r="I5555" t="str">
            <v>Others</v>
          </cell>
          <cell r="J5555">
            <v>3</v>
          </cell>
          <cell r="K5555" t="str">
            <v>Others</v>
          </cell>
        </row>
        <row r="5556">
          <cell r="D5556">
            <v>940690</v>
          </cell>
          <cell r="E5556" t="str">
            <v>Buildings; prefabricated, not of wood</v>
          </cell>
          <cell r="F5556" t="str">
            <v>Capital Goods</v>
          </cell>
          <cell r="G5556">
            <v>0</v>
          </cell>
          <cell r="H5556">
            <v>0</v>
          </cell>
          <cell r="I5556" t="str">
            <v>Others</v>
          </cell>
          <cell r="J5556">
            <v>2</v>
          </cell>
          <cell r="K5556" t="str">
            <v>Capital Goods - rc</v>
          </cell>
        </row>
        <row r="5557">
          <cell r="D5557">
            <v>950300</v>
          </cell>
          <cell r="E5557" t="str">
            <v>Tricycles, scooters, pedal cars and similar wheeled toys; dolls' carriages; dolls; other toys; reduced-size (scale) models and similar recreational models, working or not; puzzles of all kinds</v>
          </cell>
          <cell r="F5557">
            <v>0</v>
          </cell>
          <cell r="G5557">
            <v>0</v>
          </cell>
          <cell r="H5557">
            <v>0</v>
          </cell>
          <cell r="I5557" t="str">
            <v>Others</v>
          </cell>
          <cell r="J5557">
            <v>3</v>
          </cell>
          <cell r="K5557" t="str">
            <v>Others</v>
          </cell>
        </row>
        <row r="5558">
          <cell r="D5558">
            <v>950420</v>
          </cell>
          <cell r="E5558" t="str">
            <v>Billiard articles and accessories of all kinds</v>
          </cell>
          <cell r="F5558">
            <v>0</v>
          </cell>
          <cell r="G5558">
            <v>0</v>
          </cell>
          <cell r="H5558">
            <v>0</v>
          </cell>
          <cell r="I5558" t="str">
            <v>Others</v>
          </cell>
          <cell r="J5558">
            <v>3</v>
          </cell>
          <cell r="K5558" t="str">
            <v>Others</v>
          </cell>
        </row>
        <row r="5559">
          <cell r="D5559">
            <v>950430</v>
          </cell>
          <cell r="E5559" t="str">
            <v>Games; operated by coins, banknotes, bank cards, tokens or by other means of payment, other than billiard articles and accesssories, and automatic bowling alley equipment</v>
          </cell>
          <cell r="F5559">
            <v>0</v>
          </cell>
          <cell r="G5559">
            <v>0</v>
          </cell>
          <cell r="H5559">
            <v>0</v>
          </cell>
          <cell r="I5559" t="str">
            <v>Capital Goods</v>
          </cell>
          <cell r="J5559">
            <v>3</v>
          </cell>
          <cell r="K5559" t="str">
            <v>Capital Goods - rc</v>
          </cell>
        </row>
        <row r="5560">
          <cell r="D5560">
            <v>950440</v>
          </cell>
          <cell r="E5560" t="str">
            <v>Games; playing cards</v>
          </cell>
          <cell r="F5560">
            <v>0</v>
          </cell>
          <cell r="G5560">
            <v>0</v>
          </cell>
          <cell r="H5560">
            <v>0</v>
          </cell>
          <cell r="I5560" t="str">
            <v>Others</v>
          </cell>
          <cell r="J5560">
            <v>3</v>
          </cell>
          <cell r="K5560" t="str">
            <v>Others</v>
          </cell>
        </row>
        <row r="5561">
          <cell r="D5561">
            <v>950450</v>
          </cell>
          <cell r="E5561" t="str">
            <v>Games; video game consoles and machines, other than those of subheading 9504.30</v>
          </cell>
          <cell r="F5561" t="str">
            <v>Capital Goods</v>
          </cell>
          <cell r="G5561">
            <v>0</v>
          </cell>
          <cell r="H5561">
            <v>0</v>
          </cell>
          <cell r="I5561" t="str">
            <v>Capital Goods</v>
          </cell>
          <cell r="J5561">
            <v>2</v>
          </cell>
          <cell r="K5561" t="str">
            <v>Durable</v>
          </cell>
        </row>
        <row r="5562">
          <cell r="D5562">
            <v>950490</v>
          </cell>
          <cell r="E5562" t="str">
            <v>Games; articles for funfair, table or parlour games, including pintables, special tables for casino games, automatic bowling alley equipment, n.e.c. in heading 9504</v>
          </cell>
          <cell r="F5562" t="str">
            <v>Capital Goods</v>
          </cell>
          <cell r="G5562">
            <v>0</v>
          </cell>
          <cell r="H5562">
            <v>0</v>
          </cell>
          <cell r="I5562" t="str">
            <v>Capital Goods</v>
          </cell>
          <cell r="J5562">
            <v>2</v>
          </cell>
          <cell r="K5562" t="str">
            <v>Capital Goods - rc</v>
          </cell>
        </row>
        <row r="5563">
          <cell r="D5563">
            <v>950510</v>
          </cell>
          <cell r="E5563" t="str">
            <v>Christmas festivity articles</v>
          </cell>
          <cell r="F5563">
            <v>0</v>
          </cell>
          <cell r="G5563">
            <v>0</v>
          </cell>
          <cell r="H5563">
            <v>0</v>
          </cell>
          <cell r="I5563" t="str">
            <v>Others</v>
          </cell>
          <cell r="J5563">
            <v>3</v>
          </cell>
          <cell r="K5563" t="str">
            <v>Others</v>
          </cell>
        </row>
        <row r="5564">
          <cell r="D5564">
            <v>950590</v>
          </cell>
          <cell r="E5564" t="str">
            <v>Festive, carnival or other entertainment articles including novelty jokes and conjuring tricks; other than Christmas festivity articles</v>
          </cell>
          <cell r="F5564">
            <v>0</v>
          </cell>
          <cell r="G5564">
            <v>0</v>
          </cell>
          <cell r="H5564">
            <v>0</v>
          </cell>
          <cell r="I5564" t="str">
            <v>Others</v>
          </cell>
          <cell r="J5564">
            <v>3</v>
          </cell>
          <cell r="K5564" t="str">
            <v>Others</v>
          </cell>
        </row>
        <row r="5565">
          <cell r="D5565">
            <v>950611</v>
          </cell>
          <cell r="E5565" t="str">
            <v>Skis; for snow</v>
          </cell>
          <cell r="F5565">
            <v>0</v>
          </cell>
          <cell r="G5565">
            <v>0</v>
          </cell>
          <cell r="H5565">
            <v>0</v>
          </cell>
          <cell r="I5565" t="str">
            <v>Others</v>
          </cell>
          <cell r="J5565">
            <v>3</v>
          </cell>
          <cell r="K5565" t="str">
            <v>Others</v>
          </cell>
        </row>
        <row r="5566">
          <cell r="D5566">
            <v>950612</v>
          </cell>
          <cell r="E5566" t="str">
            <v>Ski-fastenings (ski-bindings); for snow-skis</v>
          </cell>
          <cell r="F5566">
            <v>0</v>
          </cell>
          <cell r="G5566">
            <v>0</v>
          </cell>
          <cell r="H5566">
            <v>0</v>
          </cell>
          <cell r="I5566" t="str">
            <v>Others</v>
          </cell>
          <cell r="J5566">
            <v>3</v>
          </cell>
          <cell r="K5566" t="str">
            <v>Others</v>
          </cell>
        </row>
        <row r="5567">
          <cell r="D5567">
            <v>950619</v>
          </cell>
          <cell r="E5567" t="str">
            <v>Snow-ski equipment</v>
          </cell>
          <cell r="F5567">
            <v>0</v>
          </cell>
          <cell r="G5567">
            <v>0</v>
          </cell>
          <cell r="H5567">
            <v>0</v>
          </cell>
          <cell r="I5567" t="str">
            <v>Others</v>
          </cell>
          <cell r="J5567">
            <v>3</v>
          </cell>
          <cell r="K5567" t="str">
            <v>Others</v>
          </cell>
        </row>
        <row r="5568">
          <cell r="D5568">
            <v>950621</v>
          </cell>
          <cell r="E5568" t="str">
            <v>Sailboards; for water sport</v>
          </cell>
          <cell r="F5568">
            <v>0</v>
          </cell>
          <cell r="G5568">
            <v>0</v>
          </cell>
          <cell r="H5568">
            <v>0</v>
          </cell>
          <cell r="I5568" t="str">
            <v>Others</v>
          </cell>
          <cell r="J5568">
            <v>3</v>
          </cell>
          <cell r="K5568" t="str">
            <v>Others</v>
          </cell>
        </row>
        <row r="5569">
          <cell r="D5569">
            <v>950629</v>
          </cell>
          <cell r="E5569" t="str">
            <v>Water sport equipment; water-skis, surf-boards and other water-sport equipment, excluding sailboards</v>
          </cell>
          <cell r="F5569">
            <v>0</v>
          </cell>
          <cell r="G5569">
            <v>0</v>
          </cell>
          <cell r="H5569">
            <v>0</v>
          </cell>
          <cell r="I5569" t="str">
            <v>Others</v>
          </cell>
          <cell r="J5569">
            <v>3</v>
          </cell>
          <cell r="K5569" t="str">
            <v>Others</v>
          </cell>
        </row>
        <row r="5570">
          <cell r="D5570">
            <v>950631</v>
          </cell>
          <cell r="E5570" t="str">
            <v>Golf clubs; complete</v>
          </cell>
          <cell r="F5570">
            <v>0</v>
          </cell>
          <cell r="G5570">
            <v>0</v>
          </cell>
          <cell r="H5570">
            <v>0</v>
          </cell>
          <cell r="I5570" t="str">
            <v>Others</v>
          </cell>
          <cell r="J5570">
            <v>3</v>
          </cell>
          <cell r="K5570" t="str">
            <v>Others</v>
          </cell>
        </row>
        <row r="5571">
          <cell r="D5571">
            <v>950632</v>
          </cell>
          <cell r="E5571" t="str">
            <v>Golf balls</v>
          </cell>
          <cell r="F5571">
            <v>0</v>
          </cell>
          <cell r="G5571">
            <v>0</v>
          </cell>
          <cell r="H5571">
            <v>0</v>
          </cell>
          <cell r="I5571" t="str">
            <v>Others</v>
          </cell>
          <cell r="J5571">
            <v>3</v>
          </cell>
          <cell r="K5571" t="str">
            <v>Others</v>
          </cell>
        </row>
        <row r="5572">
          <cell r="D5572">
            <v>950639</v>
          </cell>
          <cell r="E5572" t="str">
            <v>Golf equipment; other than clubs and balls</v>
          </cell>
          <cell r="F5572">
            <v>0</v>
          </cell>
          <cell r="G5572">
            <v>0</v>
          </cell>
          <cell r="H5572">
            <v>0</v>
          </cell>
          <cell r="I5572" t="str">
            <v>Others</v>
          </cell>
          <cell r="J5572">
            <v>3</v>
          </cell>
          <cell r="K5572" t="str">
            <v>Others</v>
          </cell>
        </row>
        <row r="5573">
          <cell r="D5573">
            <v>950640</v>
          </cell>
          <cell r="E5573" t="str">
            <v>Table-tennis articles and equipment</v>
          </cell>
          <cell r="F5573">
            <v>0</v>
          </cell>
          <cell r="G5573">
            <v>0</v>
          </cell>
          <cell r="H5573">
            <v>0</v>
          </cell>
          <cell r="I5573" t="str">
            <v>Others</v>
          </cell>
          <cell r="J5573">
            <v>3</v>
          </cell>
          <cell r="K5573" t="str">
            <v>Others</v>
          </cell>
        </row>
        <row r="5574">
          <cell r="D5574">
            <v>950651</v>
          </cell>
          <cell r="E5574" t="str">
            <v>Lawn-tennis rackets; whether or not strung</v>
          </cell>
          <cell r="F5574">
            <v>0</v>
          </cell>
          <cell r="G5574">
            <v>0</v>
          </cell>
          <cell r="H5574">
            <v>0</v>
          </cell>
          <cell r="I5574" t="str">
            <v>Others</v>
          </cell>
          <cell r="J5574">
            <v>3</v>
          </cell>
          <cell r="K5574" t="str">
            <v>Others</v>
          </cell>
        </row>
        <row r="5575">
          <cell r="D5575">
            <v>950659</v>
          </cell>
          <cell r="E5575" t="str">
            <v>Tennis, badminton and similar rackets; whether or not strung</v>
          </cell>
          <cell r="F5575">
            <v>0</v>
          </cell>
          <cell r="G5575">
            <v>0</v>
          </cell>
          <cell r="H5575">
            <v>0</v>
          </cell>
          <cell r="I5575" t="str">
            <v>Others</v>
          </cell>
          <cell r="J5575">
            <v>3</v>
          </cell>
          <cell r="K5575" t="str">
            <v>Others</v>
          </cell>
        </row>
        <row r="5576">
          <cell r="D5576">
            <v>950661</v>
          </cell>
          <cell r="E5576" t="str">
            <v>Lawn-tennis balls</v>
          </cell>
          <cell r="F5576">
            <v>0</v>
          </cell>
          <cell r="G5576">
            <v>0</v>
          </cell>
          <cell r="H5576">
            <v>0</v>
          </cell>
          <cell r="I5576" t="str">
            <v>Others</v>
          </cell>
          <cell r="J5576">
            <v>3</v>
          </cell>
          <cell r="K5576" t="str">
            <v>Others</v>
          </cell>
        </row>
        <row r="5577">
          <cell r="D5577">
            <v>950662</v>
          </cell>
          <cell r="E5577" t="str">
            <v>Balls; inflatable</v>
          </cell>
          <cell r="F5577">
            <v>0</v>
          </cell>
          <cell r="G5577">
            <v>0</v>
          </cell>
          <cell r="H5577">
            <v>0</v>
          </cell>
          <cell r="I5577" t="str">
            <v>Others</v>
          </cell>
          <cell r="J5577">
            <v>3</v>
          </cell>
          <cell r="K5577" t="str">
            <v>Others</v>
          </cell>
        </row>
        <row r="5578">
          <cell r="D5578">
            <v>950669</v>
          </cell>
          <cell r="E5578" t="str">
            <v>Balls; (other than inflatable or for lawn-tennis, golf or table-tennis)</v>
          </cell>
          <cell r="F5578" t="str">
            <v>Consumables</v>
          </cell>
          <cell r="G5578">
            <v>0</v>
          </cell>
          <cell r="H5578">
            <v>0</v>
          </cell>
          <cell r="I5578" t="str">
            <v>Others</v>
          </cell>
          <cell r="J5578">
            <v>2</v>
          </cell>
          <cell r="K5578" t="str">
            <v>Consumables - rc</v>
          </cell>
        </row>
        <row r="5579">
          <cell r="D5579">
            <v>950670</v>
          </cell>
          <cell r="E5579" t="str">
            <v>Skates; ice and roller, including skating boots with skates attached</v>
          </cell>
          <cell r="F5579">
            <v>0</v>
          </cell>
          <cell r="G5579">
            <v>0</v>
          </cell>
          <cell r="H5579">
            <v>0</v>
          </cell>
          <cell r="I5579" t="str">
            <v>Others</v>
          </cell>
          <cell r="J5579">
            <v>3</v>
          </cell>
          <cell r="K5579" t="str">
            <v>Others</v>
          </cell>
        </row>
        <row r="5580">
          <cell r="D5580">
            <v>950691</v>
          </cell>
          <cell r="E5580" t="str">
            <v>Athletics and gymnastics equipment</v>
          </cell>
          <cell r="F5580">
            <v>0</v>
          </cell>
          <cell r="G5580">
            <v>0</v>
          </cell>
          <cell r="H5580">
            <v>0</v>
          </cell>
          <cell r="I5580" t="str">
            <v>Others</v>
          </cell>
          <cell r="J5580">
            <v>3</v>
          </cell>
          <cell r="K5580" t="str">
            <v>Others</v>
          </cell>
        </row>
        <row r="5581">
          <cell r="D5581">
            <v>950699</v>
          </cell>
          <cell r="E5581" t="str">
            <v>Equipment for outdoor games and recreation n.e.c. in heading no. 9506</v>
          </cell>
          <cell r="F5581">
            <v>0</v>
          </cell>
          <cell r="G5581">
            <v>0</v>
          </cell>
          <cell r="H5581">
            <v>0</v>
          </cell>
          <cell r="I5581" t="str">
            <v>Others</v>
          </cell>
          <cell r="J5581">
            <v>3</v>
          </cell>
          <cell r="K5581" t="str">
            <v>Others</v>
          </cell>
        </row>
        <row r="5582">
          <cell r="D5582">
            <v>950710</v>
          </cell>
          <cell r="E5582" t="str">
            <v>Fishing rods</v>
          </cell>
          <cell r="F5582">
            <v>0</v>
          </cell>
          <cell r="G5582">
            <v>0</v>
          </cell>
          <cell r="H5582">
            <v>0</v>
          </cell>
          <cell r="I5582" t="str">
            <v>Others</v>
          </cell>
          <cell r="J5582">
            <v>3</v>
          </cell>
          <cell r="K5582" t="str">
            <v>Others</v>
          </cell>
        </row>
        <row r="5583">
          <cell r="D5583">
            <v>950720</v>
          </cell>
          <cell r="E5583" t="str">
            <v>Fish-hooks; whether or not snelled</v>
          </cell>
          <cell r="F5583">
            <v>0</v>
          </cell>
          <cell r="G5583">
            <v>0</v>
          </cell>
          <cell r="H5583">
            <v>0</v>
          </cell>
          <cell r="I5583" t="str">
            <v>Others</v>
          </cell>
          <cell r="J5583">
            <v>3</v>
          </cell>
          <cell r="K5583" t="str">
            <v>Others</v>
          </cell>
        </row>
        <row r="5584">
          <cell r="D5584">
            <v>950730</v>
          </cell>
          <cell r="E5584" t="str">
            <v>Fishing reels</v>
          </cell>
          <cell r="F5584">
            <v>0</v>
          </cell>
          <cell r="G5584">
            <v>0</v>
          </cell>
          <cell r="H5584">
            <v>0</v>
          </cell>
          <cell r="I5584" t="str">
            <v>Others</v>
          </cell>
          <cell r="J5584">
            <v>3</v>
          </cell>
          <cell r="K5584" t="str">
            <v>Others</v>
          </cell>
        </row>
        <row r="5585">
          <cell r="D5585">
            <v>950790</v>
          </cell>
          <cell r="E5585" t="str">
            <v>Fishing tackle n.e.c., butterfly nets, decoy birds (other than those of heading no. 9208 or 9705) and similar hunting or shooting requisites</v>
          </cell>
          <cell r="F5585">
            <v>0</v>
          </cell>
          <cell r="G5585">
            <v>0</v>
          </cell>
          <cell r="H5585">
            <v>0</v>
          </cell>
          <cell r="I5585" t="str">
            <v>Others</v>
          </cell>
          <cell r="J5585">
            <v>3</v>
          </cell>
          <cell r="K5585" t="str">
            <v>Others</v>
          </cell>
        </row>
        <row r="5586">
          <cell r="D5586">
            <v>950810</v>
          </cell>
          <cell r="E5586" t="str">
            <v>Travelling circuses and travelling menageries</v>
          </cell>
          <cell r="F5586">
            <v>0</v>
          </cell>
          <cell r="G5586">
            <v>0</v>
          </cell>
          <cell r="H5586">
            <v>0</v>
          </cell>
          <cell r="I5586" t="str">
            <v>Others</v>
          </cell>
          <cell r="J5586">
            <v>3</v>
          </cell>
          <cell r="K5586" t="str">
            <v>Others</v>
          </cell>
        </row>
        <row r="5587">
          <cell r="D5587">
            <v>950821</v>
          </cell>
          <cell r="E5587" t="str">
            <v>Amusement park rides and water park amusements; Roller coasters</v>
          </cell>
          <cell r="F5587">
            <v>0</v>
          </cell>
          <cell r="G5587">
            <v>0</v>
          </cell>
          <cell r="H5587">
            <v>0</v>
          </cell>
          <cell r="I5587" t="str">
            <v>Capital Goods</v>
          </cell>
          <cell r="J5587">
            <v>3</v>
          </cell>
          <cell r="K5587" t="str">
            <v>Capital Goods</v>
          </cell>
        </row>
        <row r="5588">
          <cell r="D5588">
            <v>950822</v>
          </cell>
          <cell r="E5588" t="str">
            <v>Amusement park rides and water park amusements; carousels, swings and roundabouts</v>
          </cell>
          <cell r="F5588">
            <v>0</v>
          </cell>
          <cell r="G5588">
            <v>0</v>
          </cell>
          <cell r="H5588">
            <v>0</v>
          </cell>
          <cell r="I5588" t="str">
            <v>Capital Goods</v>
          </cell>
          <cell r="J5588">
            <v>3</v>
          </cell>
          <cell r="K5588" t="str">
            <v>Capital Goods</v>
          </cell>
        </row>
        <row r="5589">
          <cell r="D5589">
            <v>950823</v>
          </cell>
          <cell r="E5589" t="str">
            <v>Amusement park rides and water park amusements; dodge'em cars</v>
          </cell>
          <cell r="F5589">
            <v>0</v>
          </cell>
          <cell r="G5589">
            <v>0</v>
          </cell>
          <cell r="H5589">
            <v>0</v>
          </cell>
          <cell r="I5589" t="str">
            <v>Capital Goods</v>
          </cell>
          <cell r="J5589">
            <v>3</v>
          </cell>
          <cell r="K5589" t="str">
            <v>Capital Goods</v>
          </cell>
        </row>
        <row r="5590">
          <cell r="D5590">
            <v>950824</v>
          </cell>
          <cell r="E5590" t="str">
            <v>Amusement park rides and water park amusements; motion simulators and moving theatres</v>
          </cell>
          <cell r="F5590">
            <v>0</v>
          </cell>
          <cell r="G5590">
            <v>0</v>
          </cell>
          <cell r="H5590">
            <v>0</v>
          </cell>
          <cell r="I5590" t="str">
            <v>Capital Goods</v>
          </cell>
          <cell r="J5590">
            <v>3</v>
          </cell>
          <cell r="K5590" t="str">
            <v>Capital Goods</v>
          </cell>
        </row>
        <row r="5591">
          <cell r="D5591">
            <v>950825</v>
          </cell>
          <cell r="E5591" t="str">
            <v>Amusement park rides and water park amusements; water rides</v>
          </cell>
          <cell r="F5591">
            <v>0</v>
          </cell>
          <cell r="G5591">
            <v>0</v>
          </cell>
          <cell r="H5591">
            <v>0</v>
          </cell>
          <cell r="I5591" t="str">
            <v>Capital Goods</v>
          </cell>
          <cell r="J5591">
            <v>3</v>
          </cell>
          <cell r="K5591" t="str">
            <v>Capital Goods</v>
          </cell>
        </row>
        <row r="5592">
          <cell r="D5592">
            <v>950826</v>
          </cell>
          <cell r="E5592" t="str">
            <v>Amusement park rides and water park amusements; water park amusements</v>
          </cell>
          <cell r="F5592">
            <v>0</v>
          </cell>
          <cell r="G5592">
            <v>0</v>
          </cell>
          <cell r="H5592">
            <v>0</v>
          </cell>
          <cell r="I5592" t="str">
            <v>Capital Goods</v>
          </cell>
          <cell r="J5592">
            <v>3</v>
          </cell>
          <cell r="K5592" t="str">
            <v>Capital Goods</v>
          </cell>
        </row>
        <row r="5593">
          <cell r="D5593">
            <v>950829</v>
          </cell>
          <cell r="E5593" t="str">
            <v>Amusement park rides and water park amusements; other than roller coasters, carousels, swings, roundabouts, dodge'em cars, motion simulators and moving theatres, water rides and water park amusements</v>
          </cell>
          <cell r="F5593">
            <v>0</v>
          </cell>
          <cell r="G5593">
            <v>0</v>
          </cell>
          <cell r="H5593">
            <v>0</v>
          </cell>
          <cell r="I5593" t="str">
            <v>Capital Goods</v>
          </cell>
          <cell r="J5593">
            <v>3</v>
          </cell>
          <cell r="K5593" t="str">
            <v>Capital Goods</v>
          </cell>
        </row>
        <row r="5594">
          <cell r="D5594">
            <v>950830</v>
          </cell>
          <cell r="E5594" t="str">
            <v>Fairground amusements; including shooting galleries</v>
          </cell>
          <cell r="F5594">
            <v>0</v>
          </cell>
          <cell r="G5594">
            <v>0</v>
          </cell>
          <cell r="H5594">
            <v>0</v>
          </cell>
          <cell r="I5594" t="str">
            <v>Capital Goods</v>
          </cell>
          <cell r="J5594">
            <v>3</v>
          </cell>
          <cell r="K5594" t="str">
            <v>Capital Goods</v>
          </cell>
        </row>
        <row r="5595">
          <cell r="D5595">
            <v>950840</v>
          </cell>
          <cell r="E5595" t="str">
            <v>Travelling theatres</v>
          </cell>
          <cell r="F5595">
            <v>0</v>
          </cell>
          <cell r="G5595">
            <v>0</v>
          </cell>
          <cell r="H5595">
            <v>0</v>
          </cell>
          <cell r="I5595" t="str">
            <v>Capital Goods</v>
          </cell>
          <cell r="J5595">
            <v>3</v>
          </cell>
          <cell r="K5595" t="str">
            <v>Capital Goods</v>
          </cell>
        </row>
        <row r="5596">
          <cell r="D5596">
            <v>960110</v>
          </cell>
          <cell r="E5596" t="str">
            <v>Ivory and articles thereof; worked</v>
          </cell>
          <cell r="F5596">
            <v>0</v>
          </cell>
          <cell r="G5596">
            <v>0</v>
          </cell>
          <cell r="H5596">
            <v>0</v>
          </cell>
          <cell r="I5596" t="str">
            <v>Others</v>
          </cell>
          <cell r="J5596">
            <v>3</v>
          </cell>
          <cell r="K5596" t="str">
            <v>Others</v>
          </cell>
        </row>
        <row r="5597">
          <cell r="D5597">
            <v>960190</v>
          </cell>
          <cell r="E5597" t="str">
            <v>Bone, tortoise shell, horn, antlers, coral, mother-of-pearl and other animal carving material and articles thereof (including articles obtained by moulding)</v>
          </cell>
          <cell r="F5597">
            <v>0</v>
          </cell>
          <cell r="G5597">
            <v>0</v>
          </cell>
          <cell r="H5597">
            <v>0</v>
          </cell>
          <cell r="I5597" t="str">
            <v>Others</v>
          </cell>
          <cell r="J5597">
            <v>3</v>
          </cell>
          <cell r="K5597" t="str">
            <v>Others</v>
          </cell>
        </row>
        <row r="5598">
          <cell r="D5598">
            <v>960200</v>
          </cell>
          <cell r="E5598" t="str">
            <v>Vegetable, mineral carving material and articles of these materials, moulded or carved articles of wax, stearin, natural gums, resins or modelling pastes, worked unhardened gelatin (not heading no. 3503)</v>
          </cell>
          <cell r="F5598">
            <v>0</v>
          </cell>
          <cell r="G5598">
            <v>0</v>
          </cell>
          <cell r="H5598">
            <v>0</v>
          </cell>
          <cell r="I5598" t="str">
            <v>Others</v>
          </cell>
          <cell r="J5598">
            <v>3</v>
          </cell>
          <cell r="K5598" t="str">
            <v>Others</v>
          </cell>
        </row>
        <row r="5599">
          <cell r="D5599">
            <v>960310</v>
          </cell>
          <cell r="E5599" t="str">
            <v>Brooms and brushes; consisting of twigs or other vegetable materials bound together, with or without handles</v>
          </cell>
          <cell r="F5599">
            <v>0</v>
          </cell>
          <cell r="G5599">
            <v>0</v>
          </cell>
          <cell r="H5599">
            <v>0</v>
          </cell>
          <cell r="I5599" t="str">
            <v>Others</v>
          </cell>
          <cell r="J5599">
            <v>3</v>
          </cell>
          <cell r="K5599" t="str">
            <v>Others</v>
          </cell>
        </row>
        <row r="5600">
          <cell r="D5600">
            <v>960321</v>
          </cell>
          <cell r="E5600" t="str">
            <v>Brushes; toothbrushes</v>
          </cell>
          <cell r="F5600" t="str">
            <v>Consumables</v>
          </cell>
          <cell r="G5600">
            <v>0</v>
          </cell>
          <cell r="H5600">
            <v>0</v>
          </cell>
          <cell r="I5600" t="str">
            <v>Others</v>
          </cell>
          <cell r="J5600">
            <v>2</v>
          </cell>
          <cell r="K5600" t="str">
            <v>Consumables - rc</v>
          </cell>
        </row>
        <row r="5601">
          <cell r="D5601">
            <v>960329</v>
          </cell>
          <cell r="E5601" t="str">
            <v>Brushes; shaving, hair, nail, eyelash and other toilet brushes for use on the person, including brushes as parts of appliances</v>
          </cell>
          <cell r="F5601" t="str">
            <v>Consumables</v>
          </cell>
          <cell r="G5601">
            <v>0</v>
          </cell>
          <cell r="H5601">
            <v>0</v>
          </cell>
          <cell r="I5601" t="str">
            <v>Others</v>
          </cell>
          <cell r="J5601">
            <v>2</v>
          </cell>
          <cell r="K5601" t="str">
            <v>Consumables - rc</v>
          </cell>
        </row>
        <row r="5602">
          <cell r="D5602">
            <v>960330</v>
          </cell>
          <cell r="E5602" t="str">
            <v>Brushes; artists' brushes, writing brushes and similar brushes for the application of cosmetics</v>
          </cell>
          <cell r="F5602" t="str">
            <v>Consumables</v>
          </cell>
          <cell r="G5602">
            <v>0</v>
          </cell>
          <cell r="H5602">
            <v>0</v>
          </cell>
          <cell r="I5602" t="str">
            <v>Others</v>
          </cell>
          <cell r="J5602">
            <v>2</v>
          </cell>
          <cell r="K5602" t="str">
            <v>Consumables</v>
          </cell>
        </row>
        <row r="5603">
          <cell r="D5603">
            <v>960340</v>
          </cell>
          <cell r="E5603" t="str">
            <v>Brushes; paint, distemper, varnish or similar brushes (not those of item no. 9603.30), paint pads and rollers</v>
          </cell>
          <cell r="F5603" t="str">
            <v>Consumables</v>
          </cell>
          <cell r="G5603">
            <v>0</v>
          </cell>
          <cell r="H5603">
            <v>0</v>
          </cell>
          <cell r="I5603" t="str">
            <v>Others</v>
          </cell>
          <cell r="J5603">
            <v>2</v>
          </cell>
          <cell r="K5603" t="str">
            <v>Consumables</v>
          </cell>
        </row>
        <row r="5604">
          <cell r="D5604">
            <v>960350</v>
          </cell>
          <cell r="E5604" t="str">
            <v>Brushes; constituting parts of machines, appliances or vehicles</v>
          </cell>
          <cell r="F5604" t="str">
            <v>Parts &amp; Accessories</v>
          </cell>
          <cell r="G5604">
            <v>0</v>
          </cell>
          <cell r="H5604">
            <v>0</v>
          </cell>
          <cell r="I5604" t="str">
            <v>Parts &amp; Accessories</v>
          </cell>
          <cell r="J5604">
            <v>2</v>
          </cell>
          <cell r="K5604" t="str">
            <v>Parts &amp; Accessories - rc</v>
          </cell>
        </row>
        <row r="5605">
          <cell r="D5605">
            <v>960390</v>
          </cell>
          <cell r="E5605" t="str">
            <v>Brooms, brushes, mops, feather dusters, squeegees, hand operated mechanical floor sweepers; (not motorised), prepared knots and tufts for brooms or brush making n.e.c.</v>
          </cell>
          <cell r="F5605" t="str">
            <v>Consumables</v>
          </cell>
          <cell r="G5605">
            <v>0</v>
          </cell>
          <cell r="H5605">
            <v>0</v>
          </cell>
          <cell r="I5605" t="str">
            <v>Others</v>
          </cell>
          <cell r="J5605">
            <v>2</v>
          </cell>
          <cell r="K5605" t="str">
            <v>Consumables</v>
          </cell>
        </row>
        <row r="5606">
          <cell r="D5606">
            <v>960400</v>
          </cell>
          <cell r="E5606" t="str">
            <v>Hand sieves and hand riddles</v>
          </cell>
          <cell r="F5606">
            <v>0</v>
          </cell>
          <cell r="G5606">
            <v>0</v>
          </cell>
          <cell r="H5606">
            <v>0</v>
          </cell>
          <cell r="I5606" t="str">
            <v>Others</v>
          </cell>
          <cell r="J5606">
            <v>3</v>
          </cell>
          <cell r="K5606" t="str">
            <v>Others</v>
          </cell>
        </row>
        <row r="5607">
          <cell r="D5607">
            <v>960500</v>
          </cell>
          <cell r="E5607" t="str">
            <v>Travel sets; for personal toilet, sewing, shoe or clothes cleaning</v>
          </cell>
          <cell r="F5607">
            <v>0</v>
          </cell>
          <cell r="G5607">
            <v>0</v>
          </cell>
          <cell r="H5607">
            <v>0</v>
          </cell>
          <cell r="I5607" t="str">
            <v>Others</v>
          </cell>
          <cell r="J5607">
            <v>3</v>
          </cell>
          <cell r="K5607" t="str">
            <v>Others</v>
          </cell>
        </row>
        <row r="5608">
          <cell r="D5608">
            <v>960610</v>
          </cell>
          <cell r="E5608" t="str">
            <v>Press-fasteners, snap-fasteners, press-studs and parts therefor</v>
          </cell>
          <cell r="F5608" t="str">
            <v>Capital Goods</v>
          </cell>
          <cell r="G5608">
            <v>0</v>
          </cell>
          <cell r="H5608">
            <v>0</v>
          </cell>
          <cell r="I5608" t="str">
            <v>Others</v>
          </cell>
          <cell r="J5608">
            <v>2</v>
          </cell>
          <cell r="K5608" t="str">
            <v>Capital Goods</v>
          </cell>
        </row>
        <row r="5609">
          <cell r="D5609">
            <v>960621</v>
          </cell>
          <cell r="E5609" t="str">
            <v>Buttons; of plastics, not covered with textile material</v>
          </cell>
          <cell r="F5609">
            <v>0</v>
          </cell>
          <cell r="G5609">
            <v>0</v>
          </cell>
          <cell r="H5609">
            <v>0</v>
          </cell>
          <cell r="I5609" t="str">
            <v>Others</v>
          </cell>
          <cell r="J5609">
            <v>3</v>
          </cell>
          <cell r="K5609" t="str">
            <v>Others</v>
          </cell>
        </row>
        <row r="5610">
          <cell r="D5610">
            <v>960622</v>
          </cell>
          <cell r="E5610" t="str">
            <v>Buttons; of base metal, not covered with textile material</v>
          </cell>
          <cell r="F5610" t="str">
            <v>Consumables</v>
          </cell>
          <cell r="G5610">
            <v>0</v>
          </cell>
          <cell r="H5610">
            <v>0</v>
          </cell>
          <cell r="I5610" t="str">
            <v>Others</v>
          </cell>
          <cell r="J5610">
            <v>2</v>
          </cell>
          <cell r="K5610" t="str">
            <v>Consumables - rc</v>
          </cell>
        </row>
        <row r="5611">
          <cell r="D5611">
            <v>960629</v>
          </cell>
          <cell r="E5611" t="str">
            <v>Buttons; of other than base metal or plastics, not covered with textile material</v>
          </cell>
          <cell r="F5611">
            <v>0</v>
          </cell>
          <cell r="G5611">
            <v>0</v>
          </cell>
          <cell r="H5611">
            <v>0</v>
          </cell>
          <cell r="I5611" t="str">
            <v>Others</v>
          </cell>
          <cell r="J5611">
            <v>3</v>
          </cell>
          <cell r="K5611" t="str">
            <v>Others</v>
          </cell>
        </row>
        <row r="5612">
          <cell r="D5612">
            <v>940190</v>
          </cell>
          <cell r="E5612" t="str">
            <v>Parts of seats</v>
          </cell>
          <cell r="F5612" t="str">
            <v>Parts &amp; Accessories</v>
          </cell>
          <cell r="G5612">
            <v>0</v>
          </cell>
          <cell r="H5612" t="str">
            <v>Parts &amp; Accessories</v>
          </cell>
          <cell r="I5612">
            <v>0</v>
          </cell>
          <cell r="J5612">
            <v>2</v>
          </cell>
          <cell r="K5612" t="str">
            <v>Parts &amp; Accessories</v>
          </cell>
        </row>
        <row r="5613">
          <cell r="D5613">
            <v>960711</v>
          </cell>
          <cell r="E5613" t="str">
            <v>Slide fasteners; fitted with chain scoops of base metal</v>
          </cell>
          <cell r="F5613">
            <v>0</v>
          </cell>
          <cell r="G5613">
            <v>0</v>
          </cell>
          <cell r="H5613">
            <v>0</v>
          </cell>
          <cell r="I5613" t="str">
            <v>Others</v>
          </cell>
          <cell r="J5613">
            <v>3</v>
          </cell>
          <cell r="K5613" t="str">
            <v>Others</v>
          </cell>
        </row>
        <row r="5614">
          <cell r="D5614">
            <v>960719</v>
          </cell>
          <cell r="E5614" t="str">
            <v>Slide fasteners; other than those fitted with chain scoops of base metal</v>
          </cell>
          <cell r="F5614">
            <v>0</v>
          </cell>
          <cell r="G5614">
            <v>0</v>
          </cell>
          <cell r="H5614">
            <v>0</v>
          </cell>
          <cell r="I5614" t="str">
            <v>Others</v>
          </cell>
          <cell r="J5614">
            <v>3</v>
          </cell>
          <cell r="K5614" t="str">
            <v>Others</v>
          </cell>
        </row>
        <row r="5615">
          <cell r="D5615">
            <v>940390</v>
          </cell>
          <cell r="E5615" t="str">
            <v xml:space="preserve">OTHER FURNITURE AND PARTS THEREOF  OTHER FURNITURE AND PARTS THEREOF </v>
          </cell>
          <cell r="F5615" t="str">
            <v>Parts &amp; Accessories</v>
          </cell>
          <cell r="G5615">
            <v>0</v>
          </cell>
          <cell r="H5615">
            <v>0</v>
          </cell>
          <cell r="I5615">
            <v>0</v>
          </cell>
          <cell r="J5615">
            <v>3</v>
          </cell>
          <cell r="K5615" t="str">
            <v>Parts &amp; Accessories</v>
          </cell>
        </row>
        <row r="5616">
          <cell r="D5616">
            <v>960810</v>
          </cell>
          <cell r="E5616" t="str">
            <v>Pens; ball point</v>
          </cell>
          <cell r="F5616">
            <v>0</v>
          </cell>
          <cell r="G5616">
            <v>0</v>
          </cell>
          <cell r="H5616">
            <v>0</v>
          </cell>
          <cell r="I5616" t="str">
            <v>Others</v>
          </cell>
          <cell r="J5616">
            <v>3</v>
          </cell>
          <cell r="K5616" t="str">
            <v>Others</v>
          </cell>
        </row>
        <row r="5617">
          <cell r="D5617">
            <v>960820</v>
          </cell>
          <cell r="E5617" t="str">
            <v>Pens; felt tipped and other porous-tipped pens and markers</v>
          </cell>
          <cell r="F5617" t="str">
            <v>Consumables</v>
          </cell>
          <cell r="G5617">
            <v>0</v>
          </cell>
          <cell r="H5617">
            <v>0</v>
          </cell>
          <cell r="I5617" t="str">
            <v>Others</v>
          </cell>
          <cell r="J5617">
            <v>2</v>
          </cell>
          <cell r="K5617" t="str">
            <v>Consumables - rc</v>
          </cell>
        </row>
        <row r="5618">
          <cell r="D5618">
            <v>960830</v>
          </cell>
          <cell r="E5618" t="str">
            <v>Pens; fountain, stylograph and other pens</v>
          </cell>
          <cell r="F5618" t="str">
            <v>Consumables</v>
          </cell>
          <cell r="G5618">
            <v>0</v>
          </cell>
          <cell r="H5618">
            <v>0</v>
          </cell>
          <cell r="I5618" t="str">
            <v>Others</v>
          </cell>
          <cell r="J5618">
            <v>2</v>
          </cell>
          <cell r="K5618" t="str">
            <v>Consumables - rc</v>
          </cell>
        </row>
        <row r="5619">
          <cell r="D5619">
            <v>960840</v>
          </cell>
          <cell r="E5619" t="str">
            <v>Pencils; propelling or sliding</v>
          </cell>
          <cell r="F5619">
            <v>0</v>
          </cell>
          <cell r="G5619">
            <v>0</v>
          </cell>
          <cell r="H5619">
            <v>0</v>
          </cell>
          <cell r="I5619" t="str">
            <v>Others</v>
          </cell>
          <cell r="J5619">
            <v>3</v>
          </cell>
          <cell r="K5619" t="str">
            <v>Others</v>
          </cell>
        </row>
        <row r="5620">
          <cell r="D5620">
            <v>960850</v>
          </cell>
          <cell r="E5620" t="str">
            <v>Pen and pencil sets; of articles from two or more of the foregoing sub-headings</v>
          </cell>
          <cell r="F5620">
            <v>0</v>
          </cell>
          <cell r="G5620">
            <v>0</v>
          </cell>
          <cell r="H5620">
            <v>0</v>
          </cell>
          <cell r="I5620" t="str">
            <v>Others</v>
          </cell>
          <cell r="J5620">
            <v>3</v>
          </cell>
          <cell r="K5620" t="str">
            <v>Others</v>
          </cell>
        </row>
        <row r="5621">
          <cell r="D5621">
            <v>960860</v>
          </cell>
          <cell r="E5621" t="str">
            <v>Pens; ball-point, refills comprising the ball point and ink-reservoir</v>
          </cell>
          <cell r="F5621">
            <v>0</v>
          </cell>
          <cell r="G5621">
            <v>0</v>
          </cell>
          <cell r="H5621">
            <v>0</v>
          </cell>
          <cell r="I5621" t="str">
            <v>Others</v>
          </cell>
          <cell r="J5621">
            <v>3</v>
          </cell>
          <cell r="K5621" t="str">
            <v>Others</v>
          </cell>
        </row>
        <row r="5622">
          <cell r="D5622">
            <v>960891</v>
          </cell>
          <cell r="E5622" t="str">
            <v>Pens; nibs and nib points</v>
          </cell>
          <cell r="F5622" t="str">
            <v>Consumables</v>
          </cell>
          <cell r="G5622">
            <v>0</v>
          </cell>
          <cell r="H5622">
            <v>0</v>
          </cell>
          <cell r="I5622" t="str">
            <v>Others</v>
          </cell>
          <cell r="J5622">
            <v>2</v>
          </cell>
          <cell r="K5622" t="str">
            <v>Consumables - rc</v>
          </cell>
        </row>
        <row r="5623">
          <cell r="D5623">
            <v>960899</v>
          </cell>
          <cell r="E5623" t="str">
            <v>Pens and pencils; duplicating stylos, pen-holders, pencil-holders, and similar holders, parts of the articles of heading 9608, including caps and clips</v>
          </cell>
          <cell r="F5623" t="str">
            <v>Consumables</v>
          </cell>
          <cell r="G5623">
            <v>0</v>
          </cell>
          <cell r="H5623">
            <v>0</v>
          </cell>
          <cell r="I5623" t="str">
            <v>Others</v>
          </cell>
          <cell r="J5623">
            <v>2</v>
          </cell>
          <cell r="K5623" t="str">
            <v>Consumables - rc</v>
          </cell>
        </row>
        <row r="5624">
          <cell r="D5624">
            <v>960910</v>
          </cell>
          <cell r="E5624" t="str">
            <v>Pencils and crayons; with leads encased in sheath</v>
          </cell>
          <cell r="F5624">
            <v>0</v>
          </cell>
          <cell r="G5624">
            <v>0</v>
          </cell>
          <cell r="H5624">
            <v>0</v>
          </cell>
          <cell r="I5624" t="str">
            <v>Others</v>
          </cell>
          <cell r="J5624">
            <v>3</v>
          </cell>
          <cell r="K5624" t="str">
            <v>Others</v>
          </cell>
        </row>
        <row r="5625">
          <cell r="D5625">
            <v>960920</v>
          </cell>
          <cell r="E5625" t="str">
            <v>Pencil leads; black or coloured</v>
          </cell>
          <cell r="F5625">
            <v>0</v>
          </cell>
          <cell r="G5625">
            <v>0</v>
          </cell>
          <cell r="H5625">
            <v>0</v>
          </cell>
          <cell r="I5625" t="str">
            <v>Others</v>
          </cell>
          <cell r="J5625">
            <v>3</v>
          </cell>
          <cell r="K5625" t="str">
            <v>Others</v>
          </cell>
        </row>
        <row r="5626">
          <cell r="D5626">
            <v>960990</v>
          </cell>
          <cell r="E5626" t="str">
            <v>Pastels, drawing charcoals, writing or drawing chalks, tailors' chalk</v>
          </cell>
          <cell r="F5626">
            <v>0</v>
          </cell>
          <cell r="G5626">
            <v>0</v>
          </cell>
          <cell r="H5626">
            <v>0</v>
          </cell>
          <cell r="I5626" t="str">
            <v>Others</v>
          </cell>
          <cell r="J5626">
            <v>3</v>
          </cell>
          <cell r="K5626" t="str">
            <v>Others</v>
          </cell>
        </row>
        <row r="5627">
          <cell r="D5627">
            <v>961000</v>
          </cell>
          <cell r="E5627" t="str">
            <v>Slates and boards; with writing or drawing surfaces, whether or not framed</v>
          </cell>
          <cell r="F5627">
            <v>0</v>
          </cell>
          <cell r="G5627">
            <v>0</v>
          </cell>
          <cell r="H5627">
            <v>0</v>
          </cell>
          <cell r="I5627" t="str">
            <v>Others</v>
          </cell>
          <cell r="J5627">
            <v>3</v>
          </cell>
          <cell r="K5627" t="str">
            <v>Others</v>
          </cell>
        </row>
        <row r="5628">
          <cell r="D5628">
            <v>961100</v>
          </cell>
          <cell r="E5628" t="str">
            <v>Stamps; date, numbering, sealing stamps and the like (including devices for printing or embossing labels), designed for operating by hand; hand operated composing sticks and printing sets</v>
          </cell>
          <cell r="F5628" t="str">
            <v>Capital Goods</v>
          </cell>
          <cell r="G5628">
            <v>0</v>
          </cell>
          <cell r="H5628">
            <v>0</v>
          </cell>
          <cell r="I5628" t="str">
            <v>Others</v>
          </cell>
          <cell r="J5628">
            <v>2</v>
          </cell>
          <cell r="K5628" t="str">
            <v>Capital Goods</v>
          </cell>
        </row>
        <row r="5629">
          <cell r="D5629">
            <v>961210</v>
          </cell>
          <cell r="E5629" t="str">
            <v>Ribbons; for typewriters and the like, inked or otherwise prepared, for giving impressions, whether or not on spools or in cartridges</v>
          </cell>
          <cell r="F5629" t="str">
            <v>Consumables</v>
          </cell>
          <cell r="G5629">
            <v>0</v>
          </cell>
          <cell r="H5629">
            <v>0</v>
          </cell>
          <cell r="I5629" t="str">
            <v>Others</v>
          </cell>
          <cell r="J5629">
            <v>2</v>
          </cell>
          <cell r="K5629" t="str">
            <v>Consumables - rc</v>
          </cell>
        </row>
        <row r="5630">
          <cell r="D5630">
            <v>961220</v>
          </cell>
          <cell r="E5630" t="str">
            <v>Ink pads; whether or not inked, with or without boxes</v>
          </cell>
          <cell r="F5630" t="str">
            <v>Consumables</v>
          </cell>
          <cell r="G5630">
            <v>0</v>
          </cell>
          <cell r="H5630">
            <v>0</v>
          </cell>
          <cell r="I5630" t="str">
            <v>Others</v>
          </cell>
          <cell r="J5630">
            <v>2</v>
          </cell>
          <cell r="K5630" t="str">
            <v>Consumables - rc</v>
          </cell>
        </row>
        <row r="5631">
          <cell r="D5631">
            <v>961310</v>
          </cell>
          <cell r="E5631" t="str">
            <v>Lighters; pocket, cigarette, gas fuelled, non-refillable</v>
          </cell>
          <cell r="F5631">
            <v>0</v>
          </cell>
          <cell r="G5631">
            <v>0</v>
          </cell>
          <cell r="H5631">
            <v>0</v>
          </cell>
          <cell r="I5631" t="str">
            <v>Others</v>
          </cell>
          <cell r="J5631">
            <v>3</v>
          </cell>
          <cell r="K5631" t="str">
            <v>Others</v>
          </cell>
        </row>
        <row r="5632">
          <cell r="D5632">
            <v>961320</v>
          </cell>
          <cell r="E5632" t="str">
            <v>Lighters; pocket, cigarette, gas fuelled, refillable</v>
          </cell>
          <cell r="F5632">
            <v>0</v>
          </cell>
          <cell r="G5632">
            <v>0</v>
          </cell>
          <cell r="H5632">
            <v>0</v>
          </cell>
          <cell r="I5632" t="str">
            <v>Others</v>
          </cell>
          <cell r="J5632">
            <v>3</v>
          </cell>
          <cell r="K5632" t="str">
            <v>Others</v>
          </cell>
        </row>
        <row r="5633">
          <cell r="D5633">
            <v>961380</v>
          </cell>
          <cell r="E5633" t="str">
            <v>Lighters; whether or not mechanical or electrical, n.e.c. in heading no. 9613</v>
          </cell>
          <cell r="F5633">
            <v>0</v>
          </cell>
          <cell r="G5633">
            <v>0</v>
          </cell>
          <cell r="H5633">
            <v>0</v>
          </cell>
          <cell r="I5633" t="str">
            <v>Others</v>
          </cell>
          <cell r="J5633">
            <v>3</v>
          </cell>
          <cell r="K5633" t="str">
            <v>Others</v>
          </cell>
        </row>
        <row r="5634">
          <cell r="D5634">
            <v>961390</v>
          </cell>
          <cell r="E5634" t="str">
            <v>Lighters; parts for cigarette lighters and other lighters, whether or not mechanical or electrical, other than flints and wicks</v>
          </cell>
          <cell r="F5634">
            <v>0</v>
          </cell>
          <cell r="G5634">
            <v>0</v>
          </cell>
          <cell r="H5634">
            <v>0</v>
          </cell>
          <cell r="I5634" t="str">
            <v>Others</v>
          </cell>
          <cell r="J5634">
            <v>3</v>
          </cell>
          <cell r="K5634" t="str">
            <v>Others</v>
          </cell>
        </row>
        <row r="5635">
          <cell r="D5635">
            <v>961400</v>
          </cell>
          <cell r="E5635" t="str">
            <v>Smoking pipes (including pipe bowls) and cigar or cigarette holders, and parts thereof</v>
          </cell>
          <cell r="F5635">
            <v>0</v>
          </cell>
          <cell r="G5635">
            <v>0</v>
          </cell>
          <cell r="H5635">
            <v>0</v>
          </cell>
          <cell r="I5635" t="str">
            <v>Others</v>
          </cell>
          <cell r="J5635">
            <v>3</v>
          </cell>
          <cell r="K5635" t="str">
            <v>Others</v>
          </cell>
        </row>
        <row r="5636">
          <cell r="D5636">
            <v>961511</v>
          </cell>
          <cell r="E5636" t="str">
            <v>Combs, hair slides and the like; of hard rubber or plastics</v>
          </cell>
          <cell r="F5636" t="str">
            <v>Consumables</v>
          </cell>
          <cell r="G5636">
            <v>0</v>
          </cell>
          <cell r="H5636">
            <v>0</v>
          </cell>
          <cell r="I5636" t="str">
            <v>Others</v>
          </cell>
          <cell r="J5636">
            <v>2</v>
          </cell>
          <cell r="K5636" t="str">
            <v>Consumables - rc</v>
          </cell>
        </row>
        <row r="5637">
          <cell r="D5637">
            <v>961519</v>
          </cell>
          <cell r="E5637" t="str">
            <v>Combs, hair slides and the like; of other than hard rubber or plastics</v>
          </cell>
          <cell r="F5637">
            <v>0</v>
          </cell>
          <cell r="G5637">
            <v>0</v>
          </cell>
          <cell r="H5637">
            <v>0</v>
          </cell>
          <cell r="I5637" t="str">
            <v>Others</v>
          </cell>
          <cell r="J5637">
            <v>3</v>
          </cell>
          <cell r="K5637" t="str">
            <v>Others</v>
          </cell>
        </row>
        <row r="5638">
          <cell r="D5638">
            <v>961590</v>
          </cell>
          <cell r="E5638" t="str">
            <v>Hairpins, curling pins, curling grips, hair curlers and the like (not those of heading no. 8516) and parts thereof</v>
          </cell>
          <cell r="F5638">
            <v>0</v>
          </cell>
          <cell r="G5638">
            <v>0</v>
          </cell>
          <cell r="H5638">
            <v>0</v>
          </cell>
          <cell r="I5638" t="str">
            <v>Others</v>
          </cell>
          <cell r="J5638">
            <v>3</v>
          </cell>
          <cell r="K5638" t="str">
            <v>Others</v>
          </cell>
        </row>
        <row r="5639">
          <cell r="D5639">
            <v>961610</v>
          </cell>
          <cell r="E5639" t="str">
            <v>Scent sprays and similar toilet sprays, and mounts and heads therefor</v>
          </cell>
          <cell r="F5639">
            <v>0</v>
          </cell>
          <cell r="G5639">
            <v>0</v>
          </cell>
          <cell r="H5639">
            <v>0</v>
          </cell>
          <cell r="I5639" t="str">
            <v>Others</v>
          </cell>
          <cell r="J5639">
            <v>3</v>
          </cell>
          <cell r="K5639" t="str">
            <v>Others</v>
          </cell>
        </row>
        <row r="5640">
          <cell r="D5640">
            <v>961620</v>
          </cell>
          <cell r="E5640" t="str">
            <v>Powder puffs and pads; for the application of cosmetics or toilet preparations</v>
          </cell>
          <cell r="F5640">
            <v>0</v>
          </cell>
          <cell r="G5640">
            <v>0</v>
          </cell>
          <cell r="H5640">
            <v>0</v>
          </cell>
          <cell r="I5640" t="str">
            <v>Others</v>
          </cell>
          <cell r="J5640">
            <v>3</v>
          </cell>
          <cell r="K5640" t="str">
            <v>Others</v>
          </cell>
        </row>
        <row r="5641">
          <cell r="D5641">
            <v>961700</v>
          </cell>
          <cell r="E5641" t="str">
            <v>Vacuum flasks and other vacuum vessels, complete with cases; parts thereof other than glass inners</v>
          </cell>
          <cell r="F5641">
            <v>0</v>
          </cell>
          <cell r="G5641">
            <v>0</v>
          </cell>
          <cell r="H5641">
            <v>0</v>
          </cell>
          <cell r="I5641" t="str">
            <v>Others</v>
          </cell>
          <cell r="J5641">
            <v>3</v>
          </cell>
          <cell r="K5641" t="str">
            <v>Others</v>
          </cell>
        </row>
        <row r="5642">
          <cell r="D5642">
            <v>961800</v>
          </cell>
          <cell r="E5642" t="str">
            <v>Tailors' dummies and other lay figures; automata and other animated displays used for shop window dressing</v>
          </cell>
          <cell r="F5642">
            <v>0</v>
          </cell>
          <cell r="G5642">
            <v>0</v>
          </cell>
          <cell r="H5642">
            <v>0</v>
          </cell>
          <cell r="I5642" t="str">
            <v>Capital Goods</v>
          </cell>
          <cell r="J5642">
            <v>3</v>
          </cell>
          <cell r="K5642" t="str">
            <v>Capital Goods</v>
          </cell>
        </row>
        <row r="5643">
          <cell r="D5643">
            <v>961900</v>
          </cell>
          <cell r="E5643" t="str">
            <v>Sanitary towels (pads) and tampons, napkins (diapers), napkin liners and similar articles, of any material</v>
          </cell>
          <cell r="F5643">
            <v>0</v>
          </cell>
          <cell r="G5643">
            <v>0</v>
          </cell>
          <cell r="H5643">
            <v>0</v>
          </cell>
          <cell r="I5643" t="str">
            <v>Others</v>
          </cell>
          <cell r="J5643">
            <v>3</v>
          </cell>
          <cell r="K5643" t="str">
            <v>Others</v>
          </cell>
        </row>
        <row r="5644">
          <cell r="D5644">
            <v>962000</v>
          </cell>
          <cell r="E5644" t="str">
            <v>Monopods, bipods, tripods and similar articles</v>
          </cell>
          <cell r="F5644" t="str">
            <v>Capital Goods</v>
          </cell>
          <cell r="G5644">
            <v>0</v>
          </cell>
          <cell r="H5644">
            <v>0</v>
          </cell>
          <cell r="I5644" t="str">
            <v>Others</v>
          </cell>
          <cell r="J5644">
            <v>2</v>
          </cell>
          <cell r="K5644" t="str">
            <v>Capital Goods</v>
          </cell>
        </row>
        <row r="5645">
          <cell r="D5645">
            <v>970121</v>
          </cell>
          <cell r="E5645" t="str">
            <v>Paintings, drawings and pastels; executed entirely by hand, other than drawings of heading no. 4906, of an age exceeding 100 years</v>
          </cell>
          <cell r="F5645">
            <v>0</v>
          </cell>
          <cell r="G5645">
            <v>0</v>
          </cell>
          <cell r="H5645">
            <v>0</v>
          </cell>
          <cell r="I5645" t="str">
            <v>Others</v>
          </cell>
          <cell r="J5645">
            <v>3</v>
          </cell>
          <cell r="K5645" t="str">
            <v>Others</v>
          </cell>
        </row>
        <row r="5646">
          <cell r="D5646">
            <v>970122</v>
          </cell>
          <cell r="E5646" t="str">
            <v>Mosaics; executed entirely by hand, other than drawings of heading no. 4906, of an age exceeding 100 years</v>
          </cell>
          <cell r="F5646">
            <v>0</v>
          </cell>
          <cell r="G5646">
            <v>0</v>
          </cell>
          <cell r="H5646">
            <v>0</v>
          </cell>
          <cell r="I5646" t="str">
            <v>Others</v>
          </cell>
          <cell r="J5646">
            <v>3</v>
          </cell>
          <cell r="K5646" t="str">
            <v>Others</v>
          </cell>
        </row>
        <row r="5647">
          <cell r="D5647">
            <v>970129</v>
          </cell>
          <cell r="E5647" t="str">
            <v>Artwork; other than paintings, drawings, pastels mosaics, executed entirely by hand, other than drawings of heading no. 4906, of an age exceeding 100 years</v>
          </cell>
          <cell r="F5647">
            <v>0</v>
          </cell>
          <cell r="G5647">
            <v>0</v>
          </cell>
          <cell r="H5647">
            <v>0</v>
          </cell>
          <cell r="I5647" t="str">
            <v>Others</v>
          </cell>
          <cell r="J5647">
            <v>3</v>
          </cell>
          <cell r="K5647" t="str">
            <v>Others</v>
          </cell>
        </row>
        <row r="5648">
          <cell r="D5648">
            <v>970191</v>
          </cell>
          <cell r="E5648" t="str">
            <v>Paintings, drawings and pastels; executed entirely by hand, other than drawings of heading no. 4906, of an age not exceeding 100 years</v>
          </cell>
          <cell r="F5648">
            <v>0</v>
          </cell>
          <cell r="G5648">
            <v>0</v>
          </cell>
          <cell r="H5648">
            <v>0</v>
          </cell>
          <cell r="I5648" t="str">
            <v>Others</v>
          </cell>
          <cell r="J5648">
            <v>3</v>
          </cell>
          <cell r="K5648" t="str">
            <v>Others</v>
          </cell>
        </row>
        <row r="5649">
          <cell r="D5649">
            <v>970192</v>
          </cell>
          <cell r="E5649" t="str">
            <v>Mosaics; executed entirely by hand, other than drawings of heading no. 4906, of an age not exceeding 100 years</v>
          </cell>
          <cell r="F5649">
            <v>0</v>
          </cell>
          <cell r="G5649">
            <v>0</v>
          </cell>
          <cell r="H5649">
            <v>0</v>
          </cell>
          <cell r="I5649" t="str">
            <v>Others</v>
          </cell>
          <cell r="J5649">
            <v>3</v>
          </cell>
          <cell r="K5649" t="str">
            <v>Others</v>
          </cell>
        </row>
        <row r="5650">
          <cell r="D5650">
            <v>970199</v>
          </cell>
          <cell r="E5650" t="str">
            <v>Artwork; other than paintings, drawings, pastels mosaics, executed entirely by hand, other than drawings of heading no. 4906, of an age not exceeding 100 years</v>
          </cell>
          <cell r="F5650">
            <v>0</v>
          </cell>
          <cell r="G5650">
            <v>0</v>
          </cell>
          <cell r="H5650">
            <v>0</v>
          </cell>
          <cell r="I5650" t="str">
            <v>Others</v>
          </cell>
          <cell r="J5650">
            <v>3</v>
          </cell>
          <cell r="K5650" t="str">
            <v>Others</v>
          </cell>
        </row>
        <row r="5651">
          <cell r="D5651">
            <v>970210</v>
          </cell>
          <cell r="E5651" t="str">
            <v>Engravings, prints and lithographs; original of an age exceeding 100 years</v>
          </cell>
          <cell r="F5651">
            <v>0</v>
          </cell>
          <cell r="G5651">
            <v>0</v>
          </cell>
          <cell r="H5651">
            <v>0</v>
          </cell>
          <cell r="I5651" t="str">
            <v>Others</v>
          </cell>
          <cell r="J5651">
            <v>3</v>
          </cell>
          <cell r="K5651" t="str">
            <v>Others</v>
          </cell>
        </row>
        <row r="5652">
          <cell r="D5652">
            <v>970290</v>
          </cell>
          <cell r="E5652" t="str">
            <v>Engravings, prints and lithographs; original of an age not exceeding 100 years</v>
          </cell>
          <cell r="F5652">
            <v>0</v>
          </cell>
          <cell r="G5652">
            <v>0</v>
          </cell>
          <cell r="H5652">
            <v>0</v>
          </cell>
          <cell r="I5652" t="str">
            <v>Others</v>
          </cell>
          <cell r="J5652">
            <v>3</v>
          </cell>
          <cell r="K5652" t="str">
            <v>Others</v>
          </cell>
        </row>
        <row r="5653">
          <cell r="D5653">
            <v>970310</v>
          </cell>
          <cell r="E5653" t="str">
            <v>Sculptures and statuary; original, in any material, of an age exceeding 100 years</v>
          </cell>
          <cell r="F5653">
            <v>0</v>
          </cell>
          <cell r="G5653">
            <v>0</v>
          </cell>
          <cell r="H5653">
            <v>0</v>
          </cell>
          <cell r="I5653" t="str">
            <v>Others</v>
          </cell>
          <cell r="J5653">
            <v>3</v>
          </cell>
          <cell r="K5653" t="str">
            <v>Others</v>
          </cell>
        </row>
        <row r="5654">
          <cell r="D5654">
            <v>970390</v>
          </cell>
          <cell r="E5654" t="str">
            <v>Sculptures and statuary; original, in any material, of an age not exceeding 100 years</v>
          </cell>
          <cell r="F5654" t="str">
            <v>Others</v>
          </cell>
          <cell r="G5654">
            <v>0</v>
          </cell>
          <cell r="H5654">
            <v>0</v>
          </cell>
          <cell r="I5654" t="str">
            <v>Others</v>
          </cell>
          <cell r="J5654">
            <v>2</v>
          </cell>
          <cell r="K5654" t="str">
            <v>Others</v>
          </cell>
        </row>
        <row r="5655">
          <cell r="D5655">
            <v>970400</v>
          </cell>
          <cell r="E5655" t="str">
            <v>Stamps, postage or revenue; stamp-postmarks, first-day covers, postal stationery (stamped paper) and like, used or unused, other than those of heading 4907</v>
          </cell>
          <cell r="F5655">
            <v>0</v>
          </cell>
          <cell r="G5655">
            <v>0</v>
          </cell>
          <cell r="H5655">
            <v>0</v>
          </cell>
          <cell r="I5655" t="str">
            <v>Others</v>
          </cell>
          <cell r="J5655">
            <v>3</v>
          </cell>
          <cell r="K5655" t="str">
            <v>Others</v>
          </cell>
        </row>
        <row r="5656">
          <cell r="D5656">
            <v>970510</v>
          </cell>
          <cell r="E5656" t="str">
            <v>Collections and collectors' pieces; of archaeological, ethnographic or historical interest</v>
          </cell>
          <cell r="F5656">
            <v>0</v>
          </cell>
          <cell r="G5656">
            <v>0</v>
          </cell>
          <cell r="H5656">
            <v>0</v>
          </cell>
          <cell r="I5656" t="str">
            <v>Others</v>
          </cell>
          <cell r="J5656">
            <v>3</v>
          </cell>
          <cell r="K5656" t="str">
            <v>Others</v>
          </cell>
        </row>
        <row r="5657">
          <cell r="D5657">
            <v>970521</v>
          </cell>
          <cell r="E5657" t="str">
            <v>Collections and collectors' pieces; of zoological, botanical, mineralogical, anatomical or palaeontological interest, human specimens and parts thereof</v>
          </cell>
          <cell r="F5657">
            <v>0</v>
          </cell>
          <cell r="G5657">
            <v>0</v>
          </cell>
          <cell r="H5657">
            <v>0</v>
          </cell>
          <cell r="I5657" t="str">
            <v>Others</v>
          </cell>
          <cell r="J5657">
            <v>3</v>
          </cell>
          <cell r="K5657" t="str">
            <v>Others</v>
          </cell>
        </row>
        <row r="5658">
          <cell r="D5658">
            <v>970522</v>
          </cell>
          <cell r="E5658" t="str">
            <v>Collections and collectors' pieces; of zoological, botanical, mineralogical, anatomical or palaeontological interest, extinct or endangered species and parts thereof</v>
          </cell>
          <cell r="F5658">
            <v>0</v>
          </cell>
          <cell r="G5658">
            <v>0</v>
          </cell>
          <cell r="H5658">
            <v>0</v>
          </cell>
          <cell r="I5658" t="str">
            <v>Others</v>
          </cell>
          <cell r="J5658">
            <v>3</v>
          </cell>
          <cell r="K5658" t="str">
            <v>Others</v>
          </cell>
        </row>
        <row r="5659">
          <cell r="D5659">
            <v>970529</v>
          </cell>
          <cell r="E5659" t="str">
            <v>Collections and collectors' pieces; of zoological, botanical, mineralogical, anatomical or palaeontological interest, other than human species, extinct or endangered species and parts thereof</v>
          </cell>
          <cell r="F5659">
            <v>0</v>
          </cell>
          <cell r="G5659">
            <v>0</v>
          </cell>
          <cell r="H5659">
            <v>0</v>
          </cell>
          <cell r="I5659" t="str">
            <v>Others</v>
          </cell>
          <cell r="J5659">
            <v>3</v>
          </cell>
          <cell r="K5659" t="str">
            <v>Others</v>
          </cell>
        </row>
        <row r="5660">
          <cell r="D5660">
            <v>970531</v>
          </cell>
          <cell r="E5660" t="str">
            <v>Collections and collectors' pieces; of numismatic interest, of an age exceeding 100 years</v>
          </cell>
          <cell r="F5660">
            <v>0</v>
          </cell>
          <cell r="G5660">
            <v>0</v>
          </cell>
          <cell r="H5660">
            <v>0</v>
          </cell>
          <cell r="I5660" t="str">
            <v>Others</v>
          </cell>
          <cell r="J5660">
            <v>3</v>
          </cell>
          <cell r="K5660" t="str">
            <v>Others</v>
          </cell>
        </row>
        <row r="5661">
          <cell r="D5661">
            <v>970539</v>
          </cell>
          <cell r="E5661" t="str">
            <v>Collections and collectors' pieces; of numismatic interest, of an age not exceeding 100 years</v>
          </cell>
          <cell r="F5661">
            <v>0</v>
          </cell>
          <cell r="G5661">
            <v>0</v>
          </cell>
          <cell r="H5661">
            <v>0</v>
          </cell>
          <cell r="I5661" t="str">
            <v>Others</v>
          </cell>
          <cell r="J5661">
            <v>3</v>
          </cell>
          <cell r="K5661" t="str">
            <v>Others</v>
          </cell>
        </row>
        <row r="5662">
          <cell r="D5662">
            <v>970610</v>
          </cell>
          <cell r="E5662" t="str">
            <v>Antiques; of an age exceeding 250 years</v>
          </cell>
          <cell r="F5662">
            <v>0</v>
          </cell>
          <cell r="G5662">
            <v>0</v>
          </cell>
          <cell r="H5662">
            <v>0</v>
          </cell>
          <cell r="I5662" t="str">
            <v>Others</v>
          </cell>
          <cell r="J5662">
            <v>3</v>
          </cell>
          <cell r="K5662" t="str">
            <v>Others</v>
          </cell>
        </row>
        <row r="5663">
          <cell r="D5663">
            <v>970690</v>
          </cell>
          <cell r="E5663" t="str">
            <v>Antiques; of an age exceeding 100 years but not exceeding 250 years</v>
          </cell>
          <cell r="F5663">
            <v>0</v>
          </cell>
          <cell r="G5663">
            <v>0</v>
          </cell>
          <cell r="H5663">
            <v>0</v>
          </cell>
          <cell r="I5663" t="str">
            <v>Others</v>
          </cell>
          <cell r="J5663">
            <v>3</v>
          </cell>
          <cell r="K5663" t="str">
            <v>Others</v>
          </cell>
        </row>
        <row r="5664">
          <cell r="D5664">
            <v>980200</v>
          </cell>
          <cell r="E5664" t="e">
            <v>#VALUE!</v>
          </cell>
          <cell r="F5664" t="str">
            <v>Consumables</v>
          </cell>
          <cell r="G5664">
            <v>0</v>
          </cell>
          <cell r="H5664">
            <v>0</v>
          </cell>
          <cell r="I5664">
            <v>0</v>
          </cell>
          <cell r="J5664">
            <v>3</v>
          </cell>
          <cell r="K5664" t="str">
            <v>Consumables</v>
          </cell>
        </row>
        <row r="5665">
          <cell r="D5665">
            <v>999999</v>
          </cell>
          <cell r="E5665" t="str">
            <v>Commodities not specified according to kind</v>
          </cell>
          <cell r="F5665">
            <v>0</v>
          </cell>
          <cell r="G5665">
            <v>0</v>
          </cell>
          <cell r="H5665">
            <v>0</v>
          </cell>
          <cell r="I5665" t="str">
            <v>Others</v>
          </cell>
          <cell r="J5665">
            <v>3</v>
          </cell>
          <cell r="K5665" t="str">
            <v>Others</v>
          </cell>
        </row>
      </sheetData>
      <sheetData sheetId="1"/>
      <sheetData sheetId="2"/>
      <sheetData sheetId="3"/>
      <sheetData sheetId="4"/>
      <sheetData sheetId="5"/>
      <sheetData sheetId="6"/>
      <sheetData sheetId="7"/>
      <sheetData sheetId="8"/>
      <sheetData sheetId="9"/>
      <sheetData sheetId="10"/>
      <sheetData sheetId="11"/>
      <sheetData sheetId="12">
        <row r="6">
          <cell r="B6">
            <v>847989</v>
          </cell>
          <cell r="C6">
            <v>1.9808730359019999</v>
          </cell>
        </row>
        <row r="7">
          <cell r="B7">
            <v>850440</v>
          </cell>
          <cell r="C7">
            <v>1.8930651773940002</v>
          </cell>
        </row>
        <row r="8">
          <cell r="B8">
            <v>903180</v>
          </cell>
          <cell r="C8">
            <v>1.146300878221</v>
          </cell>
        </row>
        <row r="9">
          <cell r="B9">
            <v>903289</v>
          </cell>
          <cell r="C9">
            <v>0.74567344929400003</v>
          </cell>
        </row>
        <row r="10">
          <cell r="B10">
            <v>848620</v>
          </cell>
          <cell r="C10">
            <v>0.68006153052400009</v>
          </cell>
        </row>
        <row r="11">
          <cell r="B11">
            <v>854370</v>
          </cell>
          <cell r="C11">
            <v>0.65699839974800001</v>
          </cell>
        </row>
        <row r="12">
          <cell r="B12">
            <v>847780</v>
          </cell>
          <cell r="C12">
            <v>0.61494400498099999</v>
          </cell>
        </row>
        <row r="13">
          <cell r="B13">
            <v>844630</v>
          </cell>
          <cell r="C13">
            <v>0.54152698235899999</v>
          </cell>
        </row>
        <row r="14">
          <cell r="B14">
            <v>842890</v>
          </cell>
          <cell r="C14">
            <v>0.42001375728500001</v>
          </cell>
        </row>
        <row r="15">
          <cell r="B15">
            <v>842230</v>
          </cell>
          <cell r="C15">
            <v>0.409757480728</v>
          </cell>
        </row>
        <row r="16">
          <cell r="B16">
            <v>845710</v>
          </cell>
          <cell r="C16">
            <v>0.38486758777399999</v>
          </cell>
        </row>
        <row r="17">
          <cell r="B17">
            <v>844790</v>
          </cell>
          <cell r="C17">
            <v>0.37993592745499999</v>
          </cell>
        </row>
        <row r="18">
          <cell r="B18">
            <v>902789</v>
          </cell>
          <cell r="C18">
            <v>0.35582384637000003</v>
          </cell>
        </row>
        <row r="19">
          <cell r="B19">
            <v>842139</v>
          </cell>
          <cell r="C19">
            <v>0.33800917302600003</v>
          </cell>
        </row>
        <row r="20">
          <cell r="B20">
            <v>902720</v>
          </cell>
          <cell r="C20">
            <v>0.32550927922200001</v>
          </cell>
        </row>
        <row r="21">
          <cell r="B21">
            <v>842649</v>
          </cell>
          <cell r="C21">
            <v>0.320777655991</v>
          </cell>
        </row>
        <row r="22">
          <cell r="B22">
            <v>845430</v>
          </cell>
          <cell r="C22">
            <v>0.31250048724299995</v>
          </cell>
        </row>
        <row r="23">
          <cell r="B23">
            <v>902750</v>
          </cell>
          <cell r="C23">
            <v>0.30759251272100002</v>
          </cell>
        </row>
        <row r="24">
          <cell r="B24">
            <v>847710</v>
          </cell>
          <cell r="C24">
            <v>0.30611818428100002</v>
          </cell>
        </row>
        <row r="25">
          <cell r="B25">
            <v>842641</v>
          </cell>
          <cell r="C25">
            <v>0.30236254867099999</v>
          </cell>
        </row>
        <row r="26">
          <cell r="B26">
            <v>848640</v>
          </cell>
          <cell r="C26">
            <v>0.297898358659</v>
          </cell>
        </row>
        <row r="27">
          <cell r="B27">
            <v>841989</v>
          </cell>
          <cell r="C27">
            <v>0.29726136943800002</v>
          </cell>
        </row>
        <row r="28">
          <cell r="B28">
            <v>842489</v>
          </cell>
          <cell r="C28">
            <v>0.293195032184</v>
          </cell>
        </row>
        <row r="29">
          <cell r="B29">
            <v>902710</v>
          </cell>
          <cell r="C29">
            <v>0.26460314215899999</v>
          </cell>
        </row>
        <row r="30">
          <cell r="B30">
            <v>841350</v>
          </cell>
          <cell r="C30">
            <v>0.257421521672</v>
          </cell>
        </row>
        <row r="31">
          <cell r="B31">
            <v>842240</v>
          </cell>
          <cell r="C31">
            <v>0.25673197567599998</v>
          </cell>
        </row>
        <row r="32">
          <cell r="B32">
            <v>845521</v>
          </cell>
          <cell r="C32">
            <v>0.255416278035</v>
          </cell>
        </row>
        <row r="33">
          <cell r="B33">
            <v>841229</v>
          </cell>
          <cell r="C33">
            <v>0.24957013580199999</v>
          </cell>
        </row>
        <row r="34">
          <cell r="B34">
            <v>820730</v>
          </cell>
          <cell r="C34">
            <v>0.241639356483</v>
          </cell>
        </row>
        <row r="35">
          <cell r="B35">
            <v>842129</v>
          </cell>
          <cell r="C35">
            <v>0.23592089345300002</v>
          </cell>
        </row>
        <row r="36">
          <cell r="B36">
            <v>841370</v>
          </cell>
          <cell r="C36">
            <v>0.211937213417</v>
          </cell>
        </row>
        <row r="37">
          <cell r="B37">
            <v>845229</v>
          </cell>
          <cell r="C37">
            <v>0.211593125947</v>
          </cell>
        </row>
        <row r="38">
          <cell r="B38">
            <v>842952</v>
          </cell>
          <cell r="C38">
            <v>0.21018742387099998</v>
          </cell>
        </row>
        <row r="39">
          <cell r="B39">
            <v>902620</v>
          </cell>
          <cell r="C39">
            <v>0.20677264469000001</v>
          </cell>
        </row>
        <row r="40">
          <cell r="B40">
            <v>845522</v>
          </cell>
          <cell r="C40">
            <v>0.19598846997700001</v>
          </cell>
        </row>
        <row r="41">
          <cell r="B41">
            <v>902730</v>
          </cell>
          <cell r="C41">
            <v>0.19570309435</v>
          </cell>
        </row>
        <row r="42">
          <cell r="B42">
            <v>850152</v>
          </cell>
          <cell r="C42">
            <v>0.19026122149000002</v>
          </cell>
        </row>
        <row r="43">
          <cell r="B43">
            <v>847720</v>
          </cell>
          <cell r="C43">
            <v>0.18431179586000002</v>
          </cell>
        </row>
        <row r="44">
          <cell r="B44">
            <v>841710</v>
          </cell>
          <cell r="C44">
            <v>0.18278632127300001</v>
          </cell>
        </row>
        <row r="45">
          <cell r="B45">
            <v>847982</v>
          </cell>
          <cell r="C45">
            <v>0.182427998029</v>
          </cell>
        </row>
        <row r="46">
          <cell r="B46">
            <v>842839</v>
          </cell>
          <cell r="C46">
            <v>0.17471126033599998</v>
          </cell>
        </row>
        <row r="47">
          <cell r="B47">
            <v>902610</v>
          </cell>
          <cell r="C47">
            <v>0.17422142677499999</v>
          </cell>
        </row>
        <row r="48">
          <cell r="B48">
            <v>847950</v>
          </cell>
          <cell r="C48">
            <v>0.17205991772099999</v>
          </cell>
        </row>
        <row r="49">
          <cell r="B49">
            <v>903149</v>
          </cell>
          <cell r="C49">
            <v>0.16966305386300001</v>
          </cell>
        </row>
        <row r="50">
          <cell r="B50">
            <v>843351</v>
          </cell>
          <cell r="C50">
            <v>0.168698886967</v>
          </cell>
        </row>
        <row r="51">
          <cell r="B51">
            <v>842619</v>
          </cell>
          <cell r="C51">
            <v>0.16603474897500001</v>
          </cell>
        </row>
        <row r="52">
          <cell r="B52">
            <v>842810</v>
          </cell>
          <cell r="C52">
            <v>0.163041949963</v>
          </cell>
        </row>
        <row r="53">
          <cell r="B53">
            <v>901580</v>
          </cell>
          <cell r="C53">
            <v>0.16244375152500001</v>
          </cell>
        </row>
        <row r="54">
          <cell r="B54">
            <v>853590</v>
          </cell>
          <cell r="C54">
            <v>0.15855141411099999</v>
          </cell>
        </row>
        <row r="55">
          <cell r="B55">
            <v>845811</v>
          </cell>
          <cell r="C55">
            <v>0.15788851972199999</v>
          </cell>
        </row>
        <row r="56">
          <cell r="B56">
            <v>844540</v>
          </cell>
          <cell r="C56">
            <v>0.15382336005799999</v>
          </cell>
        </row>
        <row r="57">
          <cell r="B57">
            <v>850140</v>
          </cell>
          <cell r="C57">
            <v>0.14845630527100001</v>
          </cell>
        </row>
        <row r="58">
          <cell r="B58">
            <v>844313</v>
          </cell>
          <cell r="C58">
            <v>0.14607191913800002</v>
          </cell>
        </row>
        <row r="59">
          <cell r="B59">
            <v>843041</v>
          </cell>
          <cell r="C59">
            <v>0.14569704918099999</v>
          </cell>
        </row>
        <row r="60">
          <cell r="B60">
            <v>846729</v>
          </cell>
          <cell r="C60">
            <v>0.13760451898100001</v>
          </cell>
        </row>
        <row r="61">
          <cell r="B61">
            <v>850153</v>
          </cell>
          <cell r="C61">
            <v>0.13687962864199998</v>
          </cell>
        </row>
        <row r="62">
          <cell r="B62">
            <v>847981</v>
          </cell>
          <cell r="C62">
            <v>0.13382264638400002</v>
          </cell>
        </row>
        <row r="63">
          <cell r="B63">
            <v>845611</v>
          </cell>
          <cell r="C63">
            <v>0.132902966052</v>
          </cell>
        </row>
        <row r="64">
          <cell r="B64">
            <v>842833</v>
          </cell>
          <cell r="C64">
            <v>0.13278724772600001</v>
          </cell>
        </row>
        <row r="65">
          <cell r="B65">
            <v>846290</v>
          </cell>
          <cell r="C65">
            <v>0.12845723941599999</v>
          </cell>
        </row>
        <row r="66">
          <cell r="B66">
            <v>841360</v>
          </cell>
          <cell r="C66">
            <v>0.125676213239</v>
          </cell>
        </row>
        <row r="67">
          <cell r="B67">
            <v>820790</v>
          </cell>
          <cell r="C67">
            <v>0.12431529801000001</v>
          </cell>
        </row>
        <row r="68">
          <cell r="B68">
            <v>844520</v>
          </cell>
          <cell r="C68">
            <v>0.12359979195399999</v>
          </cell>
        </row>
        <row r="69">
          <cell r="B69">
            <v>842123</v>
          </cell>
          <cell r="C69">
            <v>0.123083453116</v>
          </cell>
        </row>
        <row r="70">
          <cell r="B70">
            <v>902219</v>
          </cell>
          <cell r="C70">
            <v>0.12290770932300001</v>
          </cell>
        </row>
        <row r="71">
          <cell r="B71">
            <v>847759</v>
          </cell>
          <cell r="C71">
            <v>0.11997662432099999</v>
          </cell>
        </row>
        <row r="72">
          <cell r="B72">
            <v>841780</v>
          </cell>
          <cell r="C72">
            <v>0.115086068431</v>
          </cell>
        </row>
        <row r="73">
          <cell r="B73">
            <v>846140</v>
          </cell>
          <cell r="C73">
            <v>0.11502345288600001</v>
          </cell>
        </row>
        <row r="74">
          <cell r="B74">
            <v>842920</v>
          </cell>
          <cell r="C74">
            <v>0.11500093911399999</v>
          </cell>
        </row>
        <row r="75">
          <cell r="B75">
            <v>903033</v>
          </cell>
          <cell r="C75">
            <v>0.114872960274</v>
          </cell>
        </row>
        <row r="76">
          <cell r="B76">
            <v>842710</v>
          </cell>
          <cell r="C76">
            <v>0.11186569542700001</v>
          </cell>
        </row>
        <row r="77">
          <cell r="B77">
            <v>902680</v>
          </cell>
          <cell r="C77">
            <v>0.110904594133</v>
          </cell>
        </row>
        <row r="78">
          <cell r="B78">
            <v>820239</v>
          </cell>
          <cell r="C78">
            <v>0.11016713011200001</v>
          </cell>
        </row>
        <row r="79">
          <cell r="B79">
            <v>844339</v>
          </cell>
          <cell r="C79">
            <v>0.109496026229</v>
          </cell>
        </row>
        <row r="80">
          <cell r="B80">
            <v>851580</v>
          </cell>
          <cell r="C80">
            <v>0.107735731842</v>
          </cell>
        </row>
        <row r="81">
          <cell r="B81">
            <v>841221</v>
          </cell>
          <cell r="C81">
            <v>0.105051476595</v>
          </cell>
        </row>
        <row r="82">
          <cell r="B82">
            <v>845180</v>
          </cell>
          <cell r="C82">
            <v>0.103249811937</v>
          </cell>
        </row>
        <row r="83">
          <cell r="B83">
            <v>903089</v>
          </cell>
          <cell r="C83">
            <v>0.10065618447300001</v>
          </cell>
        </row>
        <row r="84">
          <cell r="B84">
            <v>844319</v>
          </cell>
          <cell r="C84">
            <v>0.10055074059800001</v>
          </cell>
        </row>
        <row r="85">
          <cell r="B85">
            <v>847730</v>
          </cell>
          <cell r="C85">
            <v>9.9844386928000003E-2</v>
          </cell>
        </row>
        <row r="86">
          <cell r="B86">
            <v>843880</v>
          </cell>
          <cell r="C86">
            <v>9.9464897047000012E-2</v>
          </cell>
        </row>
        <row r="87">
          <cell r="B87">
            <v>845510</v>
          </cell>
          <cell r="C87">
            <v>9.7560921055999991E-2</v>
          </cell>
        </row>
        <row r="88">
          <cell r="B88">
            <v>843920</v>
          </cell>
          <cell r="C88">
            <v>9.7049355672999993E-2</v>
          </cell>
        </row>
        <row r="89">
          <cell r="B89">
            <v>843710</v>
          </cell>
          <cell r="C89">
            <v>9.0459096823999996E-2</v>
          </cell>
        </row>
        <row r="90">
          <cell r="B90">
            <v>841960</v>
          </cell>
          <cell r="C90">
            <v>9.0236484717999998E-2</v>
          </cell>
        </row>
        <row r="91">
          <cell r="B91">
            <v>844180</v>
          </cell>
          <cell r="C91">
            <v>8.9524779523000003E-2</v>
          </cell>
        </row>
        <row r="92">
          <cell r="B92">
            <v>850590</v>
          </cell>
          <cell r="C92">
            <v>8.8738987140000003E-2</v>
          </cell>
        </row>
        <row r="93">
          <cell r="B93">
            <v>851521</v>
          </cell>
          <cell r="C93">
            <v>8.6530223039000001E-2</v>
          </cell>
        </row>
        <row r="94">
          <cell r="B94">
            <v>841939</v>
          </cell>
          <cell r="C94">
            <v>8.4980092319999992E-2</v>
          </cell>
        </row>
        <row r="95">
          <cell r="B95">
            <v>846229</v>
          </cell>
          <cell r="C95">
            <v>8.4202312761999992E-2</v>
          </cell>
        </row>
        <row r="96">
          <cell r="B96">
            <v>903082</v>
          </cell>
          <cell r="C96">
            <v>8.4079959151E-2</v>
          </cell>
        </row>
        <row r="97">
          <cell r="B97">
            <v>902781</v>
          </cell>
          <cell r="C97">
            <v>8.3719723691999995E-2</v>
          </cell>
        </row>
        <row r="98">
          <cell r="B98">
            <v>843050</v>
          </cell>
          <cell r="C98">
            <v>8.3197856853000005E-2</v>
          </cell>
        </row>
        <row r="99">
          <cell r="B99">
            <v>847420</v>
          </cell>
          <cell r="C99">
            <v>8.2679176611999999E-2</v>
          </cell>
        </row>
        <row r="100">
          <cell r="B100">
            <v>844110</v>
          </cell>
          <cell r="C100">
            <v>8.2488691057999997E-2</v>
          </cell>
        </row>
        <row r="101">
          <cell r="B101">
            <v>843780</v>
          </cell>
          <cell r="C101">
            <v>8.2388254710999989E-2</v>
          </cell>
        </row>
        <row r="102">
          <cell r="B102">
            <v>842790</v>
          </cell>
          <cell r="C102">
            <v>8.2130282612000005E-2</v>
          </cell>
        </row>
        <row r="103">
          <cell r="B103">
            <v>841381</v>
          </cell>
          <cell r="C103">
            <v>8.1051349496999991E-2</v>
          </cell>
        </row>
        <row r="104">
          <cell r="B104">
            <v>846219</v>
          </cell>
          <cell r="C104">
            <v>8.0662668174999994E-2</v>
          </cell>
        </row>
        <row r="105">
          <cell r="B105">
            <v>846599</v>
          </cell>
          <cell r="C105">
            <v>7.7177286863999994E-2</v>
          </cell>
        </row>
        <row r="106">
          <cell r="B106">
            <v>842119</v>
          </cell>
          <cell r="C106">
            <v>7.5957884993999997E-2</v>
          </cell>
        </row>
        <row r="107">
          <cell r="B107">
            <v>846789</v>
          </cell>
          <cell r="C107">
            <v>7.4448057173999993E-2</v>
          </cell>
        </row>
        <row r="108">
          <cell r="B108">
            <v>847940</v>
          </cell>
          <cell r="C108">
            <v>7.4375279808999994E-2</v>
          </cell>
        </row>
        <row r="109">
          <cell r="B109">
            <v>847529</v>
          </cell>
          <cell r="C109">
            <v>7.4120186952000011E-2</v>
          </cell>
        </row>
        <row r="110">
          <cell r="B110">
            <v>853630</v>
          </cell>
          <cell r="C110">
            <v>7.3251585745E-2</v>
          </cell>
        </row>
        <row r="111">
          <cell r="B111">
            <v>844130</v>
          </cell>
          <cell r="C111">
            <v>7.287105101199999E-2</v>
          </cell>
        </row>
        <row r="112">
          <cell r="B112">
            <v>843810</v>
          </cell>
          <cell r="C112">
            <v>7.2754809202000004E-2</v>
          </cell>
        </row>
        <row r="113">
          <cell r="B113">
            <v>902480</v>
          </cell>
          <cell r="C113">
            <v>7.2285559994999998E-2</v>
          </cell>
        </row>
        <row r="114">
          <cell r="B114">
            <v>842951</v>
          </cell>
          <cell r="C114">
            <v>7.1309501798999989E-2</v>
          </cell>
        </row>
        <row r="115">
          <cell r="B115">
            <v>846390</v>
          </cell>
          <cell r="C115">
            <v>7.1299757163000008E-2</v>
          </cell>
        </row>
        <row r="116">
          <cell r="B116">
            <v>901180</v>
          </cell>
          <cell r="C116">
            <v>7.1228741424E-2</v>
          </cell>
        </row>
        <row r="117">
          <cell r="B117">
            <v>903120</v>
          </cell>
          <cell r="C117">
            <v>7.1139032106999997E-2</v>
          </cell>
        </row>
        <row r="118">
          <cell r="B118">
            <v>846262</v>
          </cell>
          <cell r="C118">
            <v>7.0584520856000005E-2</v>
          </cell>
        </row>
        <row r="119">
          <cell r="B119">
            <v>851539</v>
          </cell>
          <cell r="C119">
            <v>7.0511858226999999E-2</v>
          </cell>
        </row>
        <row r="120">
          <cell r="B120">
            <v>846490</v>
          </cell>
          <cell r="C120">
            <v>7.0428782289E-2</v>
          </cell>
        </row>
        <row r="121">
          <cell r="B121">
            <v>843820</v>
          </cell>
          <cell r="C121">
            <v>6.9915952182999994E-2</v>
          </cell>
        </row>
        <row r="122">
          <cell r="B122">
            <v>850151</v>
          </cell>
          <cell r="C122">
            <v>6.8903465726999999E-2</v>
          </cell>
        </row>
        <row r="123">
          <cell r="B123">
            <v>844400</v>
          </cell>
          <cell r="C123">
            <v>6.7399447471000004E-2</v>
          </cell>
        </row>
        <row r="124">
          <cell r="B124">
            <v>902300</v>
          </cell>
          <cell r="C124">
            <v>6.698105930699999E-2</v>
          </cell>
        </row>
        <row r="125">
          <cell r="B125">
            <v>842482</v>
          </cell>
          <cell r="C125">
            <v>6.6500519990999998E-2</v>
          </cell>
        </row>
        <row r="126">
          <cell r="B126">
            <v>851419</v>
          </cell>
          <cell r="C126">
            <v>6.5749910935999994E-2</v>
          </cell>
        </row>
        <row r="127">
          <cell r="B127">
            <v>846029</v>
          </cell>
          <cell r="C127">
            <v>6.4426513156000009E-2</v>
          </cell>
        </row>
        <row r="128">
          <cell r="B128">
            <v>820750</v>
          </cell>
          <cell r="C128">
            <v>6.3612462987999996E-2</v>
          </cell>
        </row>
        <row r="129">
          <cell r="B129">
            <v>844712</v>
          </cell>
          <cell r="C129">
            <v>6.2082175198000002E-2</v>
          </cell>
        </row>
        <row r="130">
          <cell r="B130">
            <v>846023</v>
          </cell>
          <cell r="C130">
            <v>6.1141555665E-2</v>
          </cell>
        </row>
        <row r="131">
          <cell r="B131">
            <v>847410</v>
          </cell>
          <cell r="C131">
            <v>6.0248197957999995E-2</v>
          </cell>
        </row>
        <row r="132">
          <cell r="B132">
            <v>846232</v>
          </cell>
          <cell r="C132">
            <v>5.9477119214E-2</v>
          </cell>
        </row>
        <row r="133">
          <cell r="B133">
            <v>842820</v>
          </cell>
          <cell r="C133">
            <v>5.9022702196000004E-2</v>
          </cell>
        </row>
        <row r="134">
          <cell r="B134">
            <v>843860</v>
          </cell>
          <cell r="C134">
            <v>5.8244575617999998E-2</v>
          </cell>
        </row>
        <row r="135">
          <cell r="B135">
            <v>847930</v>
          </cell>
          <cell r="C135">
            <v>5.8048496534999994E-2</v>
          </cell>
        </row>
        <row r="136">
          <cell r="B136">
            <v>903039</v>
          </cell>
          <cell r="C136">
            <v>5.7736262207999996E-2</v>
          </cell>
        </row>
        <row r="137">
          <cell r="B137">
            <v>846261</v>
          </cell>
          <cell r="C137">
            <v>5.7158041978999999E-2</v>
          </cell>
        </row>
        <row r="138">
          <cell r="B138">
            <v>845221</v>
          </cell>
          <cell r="C138">
            <v>5.6406885624000001E-2</v>
          </cell>
        </row>
        <row r="139">
          <cell r="B139">
            <v>851680</v>
          </cell>
          <cell r="C139">
            <v>5.6017180902000002E-2</v>
          </cell>
        </row>
        <row r="140">
          <cell r="B140">
            <v>843031</v>
          </cell>
          <cell r="C140">
            <v>5.4367920917999996E-2</v>
          </cell>
        </row>
        <row r="141">
          <cell r="B141">
            <v>843229</v>
          </cell>
          <cell r="C141">
            <v>5.4329471673E-2</v>
          </cell>
        </row>
        <row r="142">
          <cell r="B142">
            <v>901210</v>
          </cell>
          <cell r="C142">
            <v>5.3982747435000006E-2</v>
          </cell>
        </row>
        <row r="143">
          <cell r="B143">
            <v>850423</v>
          </cell>
          <cell r="C143">
            <v>5.3564331560999996E-2</v>
          </cell>
        </row>
        <row r="144">
          <cell r="B144">
            <v>844720</v>
          </cell>
          <cell r="C144">
            <v>5.3188586038000002E-2</v>
          </cell>
        </row>
        <row r="145">
          <cell r="B145">
            <v>846211</v>
          </cell>
          <cell r="C145">
            <v>5.2360012625999999E-2</v>
          </cell>
        </row>
        <row r="146">
          <cell r="B146">
            <v>820719</v>
          </cell>
          <cell r="C146">
            <v>5.2342381148999993E-2</v>
          </cell>
        </row>
        <row r="147">
          <cell r="B147">
            <v>846721</v>
          </cell>
          <cell r="C147">
            <v>5.1904876715000006E-2</v>
          </cell>
        </row>
        <row r="148">
          <cell r="B148">
            <v>902519</v>
          </cell>
          <cell r="C148">
            <v>5.1629673769000003E-2</v>
          </cell>
        </row>
        <row r="149">
          <cell r="B149">
            <v>820770</v>
          </cell>
          <cell r="C149">
            <v>5.1586156726999996E-2</v>
          </cell>
        </row>
        <row r="150">
          <cell r="B150">
            <v>903210</v>
          </cell>
          <cell r="C150">
            <v>5.0876872901E-2</v>
          </cell>
        </row>
        <row r="151">
          <cell r="B151">
            <v>845140</v>
          </cell>
          <cell r="C151">
            <v>5.0547174006999998E-2</v>
          </cell>
        </row>
        <row r="152">
          <cell r="B152">
            <v>854330</v>
          </cell>
          <cell r="C152">
            <v>4.8769632310999997E-2</v>
          </cell>
        </row>
        <row r="153">
          <cell r="B153">
            <v>853080</v>
          </cell>
          <cell r="C153">
            <v>4.7108055052000004E-2</v>
          </cell>
        </row>
        <row r="154">
          <cell r="B154">
            <v>844900</v>
          </cell>
          <cell r="C154">
            <v>4.6792241805000002E-2</v>
          </cell>
        </row>
        <row r="155">
          <cell r="B155">
            <v>903020</v>
          </cell>
          <cell r="C155">
            <v>4.6768788597999995E-2</v>
          </cell>
        </row>
        <row r="156">
          <cell r="B156">
            <v>851850</v>
          </cell>
          <cell r="C156">
            <v>4.6720521869000005E-2</v>
          </cell>
        </row>
        <row r="157">
          <cell r="B157">
            <v>845891</v>
          </cell>
          <cell r="C157">
            <v>4.6412194479999995E-2</v>
          </cell>
        </row>
        <row r="158">
          <cell r="B158">
            <v>844316</v>
          </cell>
          <cell r="C158">
            <v>4.6407118471E-2</v>
          </cell>
        </row>
        <row r="159">
          <cell r="B159">
            <v>850120</v>
          </cell>
          <cell r="C159">
            <v>4.5927919101000005E-2</v>
          </cell>
        </row>
        <row r="160">
          <cell r="B160">
            <v>851440</v>
          </cell>
          <cell r="C160">
            <v>4.5779563894000001E-2</v>
          </cell>
        </row>
        <row r="161">
          <cell r="B161">
            <v>853670</v>
          </cell>
          <cell r="C161">
            <v>4.5656064144000003E-2</v>
          </cell>
        </row>
        <row r="162">
          <cell r="B162">
            <v>842620</v>
          </cell>
          <cell r="C162">
            <v>4.5616390159E-2</v>
          </cell>
        </row>
        <row r="163">
          <cell r="B163">
            <v>851531</v>
          </cell>
          <cell r="C163">
            <v>4.5591867567000004E-2</v>
          </cell>
        </row>
        <row r="164">
          <cell r="B164">
            <v>845630</v>
          </cell>
          <cell r="C164">
            <v>4.5551206976000007E-2</v>
          </cell>
        </row>
        <row r="165">
          <cell r="B165">
            <v>854320</v>
          </cell>
          <cell r="C165">
            <v>4.4982441042000006E-2</v>
          </cell>
        </row>
        <row r="166">
          <cell r="B166">
            <v>846263</v>
          </cell>
          <cell r="C166">
            <v>4.494813609E-2</v>
          </cell>
        </row>
        <row r="167">
          <cell r="B167">
            <v>846090</v>
          </cell>
          <cell r="C167">
            <v>4.4646310424000003E-2</v>
          </cell>
        </row>
        <row r="168">
          <cell r="B168">
            <v>845150</v>
          </cell>
          <cell r="C168">
            <v>4.4358387925999998E-2</v>
          </cell>
        </row>
        <row r="169">
          <cell r="B169">
            <v>850132</v>
          </cell>
          <cell r="C169">
            <v>4.4283241871000002E-2</v>
          </cell>
        </row>
        <row r="170">
          <cell r="B170">
            <v>730900</v>
          </cell>
          <cell r="C170">
            <v>4.3596027805E-2</v>
          </cell>
        </row>
        <row r="171">
          <cell r="B171">
            <v>842720</v>
          </cell>
          <cell r="C171">
            <v>4.3534129082000002E-2</v>
          </cell>
        </row>
        <row r="172">
          <cell r="B172">
            <v>845320</v>
          </cell>
          <cell r="C172">
            <v>4.3395221333E-2</v>
          </cell>
        </row>
        <row r="173">
          <cell r="B173">
            <v>846711</v>
          </cell>
          <cell r="C173">
            <v>4.2655846966999998E-2</v>
          </cell>
        </row>
        <row r="174">
          <cell r="B174">
            <v>846310</v>
          </cell>
          <cell r="C174">
            <v>4.2290907039999999E-2</v>
          </cell>
        </row>
        <row r="175">
          <cell r="B175">
            <v>820890</v>
          </cell>
          <cell r="C175">
            <v>4.0364762497000002E-2</v>
          </cell>
        </row>
        <row r="176">
          <cell r="B176">
            <v>846024</v>
          </cell>
          <cell r="C176">
            <v>4.0285582554999998E-2</v>
          </cell>
        </row>
        <row r="177">
          <cell r="B177">
            <v>854159</v>
          </cell>
          <cell r="C177">
            <v>3.9928650770999996E-2</v>
          </cell>
        </row>
        <row r="178">
          <cell r="B178">
            <v>851439</v>
          </cell>
          <cell r="C178">
            <v>3.9662669281999997E-2</v>
          </cell>
        </row>
        <row r="179">
          <cell r="B179">
            <v>846150</v>
          </cell>
          <cell r="C179">
            <v>3.9557989483000003E-2</v>
          </cell>
        </row>
        <row r="180">
          <cell r="B180">
            <v>846249</v>
          </cell>
          <cell r="C180">
            <v>3.9130166815999998E-2</v>
          </cell>
        </row>
        <row r="181">
          <cell r="B181">
            <v>841239</v>
          </cell>
          <cell r="C181">
            <v>3.9114681451E-2</v>
          </cell>
        </row>
        <row r="182">
          <cell r="B182">
            <v>845899</v>
          </cell>
          <cell r="C182">
            <v>3.9027264292999998E-2</v>
          </cell>
        </row>
        <row r="183">
          <cell r="B183">
            <v>850422</v>
          </cell>
          <cell r="C183">
            <v>3.8926518601999999E-2</v>
          </cell>
        </row>
        <row r="184">
          <cell r="B184">
            <v>841231</v>
          </cell>
          <cell r="C184">
            <v>3.8379564751000003E-2</v>
          </cell>
        </row>
        <row r="185">
          <cell r="B185">
            <v>850164</v>
          </cell>
          <cell r="C185">
            <v>3.8078411358000004E-2</v>
          </cell>
        </row>
        <row r="186">
          <cell r="B186">
            <v>845961</v>
          </cell>
          <cell r="C186">
            <v>3.7855634436999998E-2</v>
          </cell>
        </row>
        <row r="187">
          <cell r="B187">
            <v>844590</v>
          </cell>
          <cell r="C187">
            <v>3.7215073660999999E-2</v>
          </cell>
        </row>
        <row r="188">
          <cell r="B188">
            <v>842010</v>
          </cell>
          <cell r="C188">
            <v>3.7157922295E-2</v>
          </cell>
        </row>
        <row r="189">
          <cell r="B189">
            <v>820559</v>
          </cell>
          <cell r="C189">
            <v>3.6883880537000001E-2</v>
          </cell>
        </row>
        <row r="190">
          <cell r="B190">
            <v>901380</v>
          </cell>
          <cell r="C190">
            <v>3.6882190498999996E-2</v>
          </cell>
        </row>
        <row r="191">
          <cell r="B191">
            <v>820720</v>
          </cell>
          <cell r="C191">
            <v>3.6606259057999996E-2</v>
          </cell>
        </row>
        <row r="192">
          <cell r="B192">
            <v>843049</v>
          </cell>
          <cell r="C192">
            <v>3.643883966E-2</v>
          </cell>
        </row>
        <row r="193">
          <cell r="B193">
            <v>840510</v>
          </cell>
          <cell r="C193">
            <v>3.5147464731999999E-2</v>
          </cell>
        </row>
        <row r="194">
          <cell r="B194">
            <v>901600</v>
          </cell>
          <cell r="C194">
            <v>3.4679655512000002E-2</v>
          </cell>
        </row>
        <row r="195">
          <cell r="B195">
            <v>903010</v>
          </cell>
          <cell r="C195">
            <v>3.4575023968000003E-2</v>
          </cell>
        </row>
        <row r="196">
          <cell r="B196">
            <v>841920</v>
          </cell>
          <cell r="C196">
            <v>3.4521047386000002E-2</v>
          </cell>
        </row>
        <row r="197">
          <cell r="B197">
            <v>845730</v>
          </cell>
          <cell r="C197">
            <v>3.4317356400999997E-2</v>
          </cell>
        </row>
        <row r="198">
          <cell r="B198">
            <v>846781</v>
          </cell>
          <cell r="C198">
            <v>3.4217680399999999E-2</v>
          </cell>
        </row>
        <row r="199">
          <cell r="B199">
            <v>842430</v>
          </cell>
          <cell r="C199">
            <v>3.3653960247E-2</v>
          </cell>
        </row>
        <row r="200">
          <cell r="B200">
            <v>846040</v>
          </cell>
          <cell r="C200">
            <v>3.3303474519000002E-2</v>
          </cell>
        </row>
        <row r="201">
          <cell r="B201">
            <v>846420</v>
          </cell>
          <cell r="C201">
            <v>3.3199120561000002E-2</v>
          </cell>
        </row>
        <row r="202">
          <cell r="B202">
            <v>820220</v>
          </cell>
          <cell r="C202">
            <v>3.2898870078999998E-2</v>
          </cell>
        </row>
        <row r="203">
          <cell r="B203">
            <v>842390</v>
          </cell>
          <cell r="C203">
            <v>3.2859428507999999E-2</v>
          </cell>
        </row>
        <row r="204">
          <cell r="B204">
            <v>846239</v>
          </cell>
          <cell r="C204">
            <v>3.2817932192999999E-2</v>
          </cell>
        </row>
        <row r="205">
          <cell r="B205">
            <v>844391</v>
          </cell>
          <cell r="C205">
            <v>3.2776755376999998E-2</v>
          </cell>
        </row>
        <row r="206">
          <cell r="B206">
            <v>847751</v>
          </cell>
          <cell r="C206">
            <v>3.2357283179000003E-2</v>
          </cell>
        </row>
        <row r="207">
          <cell r="B207">
            <v>847010</v>
          </cell>
          <cell r="C207">
            <v>3.2107419157000001E-2</v>
          </cell>
        </row>
        <row r="208">
          <cell r="B208">
            <v>960610</v>
          </cell>
          <cell r="C208">
            <v>3.2039943272999999E-2</v>
          </cell>
        </row>
        <row r="209">
          <cell r="B209">
            <v>901730</v>
          </cell>
          <cell r="C209">
            <v>3.1253139842999995E-2</v>
          </cell>
        </row>
        <row r="210">
          <cell r="B210">
            <v>847910</v>
          </cell>
          <cell r="C210">
            <v>3.0755147808999999E-2</v>
          </cell>
        </row>
        <row r="211">
          <cell r="B211">
            <v>843930</v>
          </cell>
          <cell r="C211">
            <v>3.0397731394E-2</v>
          </cell>
        </row>
        <row r="212">
          <cell r="B212">
            <v>850433</v>
          </cell>
          <cell r="C212">
            <v>3.0344638638E-2</v>
          </cell>
        </row>
        <row r="213">
          <cell r="B213">
            <v>842511</v>
          </cell>
          <cell r="C213">
            <v>3.0094886103999997E-2</v>
          </cell>
        </row>
        <row r="214">
          <cell r="B214">
            <v>844317</v>
          </cell>
          <cell r="C214">
            <v>2.9865455377E-2</v>
          </cell>
        </row>
        <row r="215">
          <cell r="B215">
            <v>850434</v>
          </cell>
          <cell r="C215">
            <v>2.9582884556000003E-2</v>
          </cell>
        </row>
        <row r="216">
          <cell r="B216">
            <v>841940</v>
          </cell>
          <cell r="C216">
            <v>2.9402068614E-2</v>
          </cell>
        </row>
        <row r="217">
          <cell r="B217">
            <v>902580</v>
          </cell>
          <cell r="C217">
            <v>2.9271225416E-2</v>
          </cell>
        </row>
        <row r="218">
          <cell r="B218">
            <v>901480</v>
          </cell>
          <cell r="C218">
            <v>2.9226501497000002E-2</v>
          </cell>
        </row>
        <row r="219">
          <cell r="B219">
            <v>842420</v>
          </cell>
          <cell r="C219">
            <v>2.9101289975999999E-2</v>
          </cell>
        </row>
        <row r="220">
          <cell r="B220">
            <v>843910</v>
          </cell>
          <cell r="C220">
            <v>2.8967591728000001E-2</v>
          </cell>
        </row>
        <row r="221">
          <cell r="B221">
            <v>761290</v>
          </cell>
          <cell r="C221">
            <v>2.8441047745E-2</v>
          </cell>
        </row>
        <row r="222">
          <cell r="B222">
            <v>842449</v>
          </cell>
          <cell r="C222">
            <v>2.8313323357999999E-2</v>
          </cell>
        </row>
        <row r="223">
          <cell r="B223">
            <v>820740</v>
          </cell>
          <cell r="C223">
            <v>2.8154091685E-2</v>
          </cell>
        </row>
        <row r="224">
          <cell r="B224">
            <v>846226</v>
          </cell>
          <cell r="C224">
            <v>2.7504413798000001E-2</v>
          </cell>
        </row>
        <row r="225">
          <cell r="B225">
            <v>845690</v>
          </cell>
          <cell r="C225">
            <v>2.7341981206999998E-2</v>
          </cell>
        </row>
        <row r="226">
          <cell r="B226">
            <v>853540</v>
          </cell>
          <cell r="C226">
            <v>2.7255916562E-2</v>
          </cell>
        </row>
        <row r="227">
          <cell r="B227">
            <v>962000</v>
          </cell>
          <cell r="C227">
            <v>2.7167896565000002E-2</v>
          </cell>
        </row>
        <row r="228">
          <cell r="B228">
            <v>820299</v>
          </cell>
          <cell r="C228">
            <v>2.6763827530000003E-2</v>
          </cell>
        </row>
        <row r="229">
          <cell r="B229">
            <v>846269</v>
          </cell>
          <cell r="C229">
            <v>2.6760975469000001E-2</v>
          </cell>
        </row>
        <row r="230">
          <cell r="B230">
            <v>842840</v>
          </cell>
          <cell r="C230">
            <v>2.6543323905999998E-2</v>
          </cell>
        </row>
        <row r="231">
          <cell r="B231">
            <v>845819</v>
          </cell>
          <cell r="C231">
            <v>2.6459069801999999E-2</v>
          </cell>
        </row>
        <row r="232">
          <cell r="B232">
            <v>844010</v>
          </cell>
          <cell r="C232">
            <v>2.6268873905999999E-2</v>
          </cell>
        </row>
        <row r="233">
          <cell r="B233">
            <v>903220</v>
          </cell>
          <cell r="C233">
            <v>2.6152454889999999E-2</v>
          </cell>
        </row>
        <row r="234">
          <cell r="B234">
            <v>847521</v>
          </cell>
          <cell r="C234">
            <v>2.6140251361999999E-2</v>
          </cell>
        </row>
        <row r="235">
          <cell r="B235">
            <v>820780</v>
          </cell>
          <cell r="C235">
            <v>2.6028204888999998E-2</v>
          </cell>
        </row>
        <row r="236">
          <cell r="B236">
            <v>903084</v>
          </cell>
          <cell r="C236">
            <v>2.5846311043000003E-2</v>
          </cell>
        </row>
        <row r="237">
          <cell r="B237">
            <v>841620</v>
          </cell>
          <cell r="C237">
            <v>2.5789905868E-2</v>
          </cell>
        </row>
        <row r="238">
          <cell r="B238">
            <v>842919</v>
          </cell>
          <cell r="C238">
            <v>2.562460473E-2</v>
          </cell>
        </row>
        <row r="239">
          <cell r="B239">
            <v>850239</v>
          </cell>
          <cell r="C239">
            <v>2.541252594E-2</v>
          </cell>
        </row>
        <row r="240">
          <cell r="B240">
            <v>846222</v>
          </cell>
          <cell r="C240">
            <v>2.5342439256999999E-2</v>
          </cell>
        </row>
        <row r="241">
          <cell r="B241">
            <v>844519</v>
          </cell>
          <cell r="C241">
            <v>2.4988518561000001E-2</v>
          </cell>
        </row>
        <row r="242">
          <cell r="B242">
            <v>842441</v>
          </cell>
          <cell r="C242">
            <v>2.4586809636999999E-2</v>
          </cell>
        </row>
        <row r="243">
          <cell r="B243">
            <v>843610</v>
          </cell>
          <cell r="C243">
            <v>2.4411253250999999E-2</v>
          </cell>
        </row>
        <row r="244">
          <cell r="B244">
            <v>901811</v>
          </cell>
          <cell r="C244">
            <v>2.4196861005E-2</v>
          </cell>
        </row>
        <row r="245">
          <cell r="B245">
            <v>847740</v>
          </cell>
          <cell r="C245">
            <v>2.3991636124000001E-2</v>
          </cell>
        </row>
        <row r="246">
          <cell r="B246">
            <v>903031</v>
          </cell>
          <cell r="C246">
            <v>2.3806969264E-2</v>
          </cell>
        </row>
        <row r="247">
          <cell r="B247">
            <v>844140</v>
          </cell>
          <cell r="C247">
            <v>2.3793220885999999E-2</v>
          </cell>
        </row>
        <row r="248">
          <cell r="B248">
            <v>842330</v>
          </cell>
          <cell r="C248">
            <v>2.3756191811999998E-2</v>
          </cell>
        </row>
        <row r="249">
          <cell r="B249">
            <v>902920</v>
          </cell>
          <cell r="C249">
            <v>2.3719099362E-2</v>
          </cell>
        </row>
        <row r="250">
          <cell r="B250">
            <v>841319</v>
          </cell>
          <cell r="C250">
            <v>2.3554523824000001E-2</v>
          </cell>
        </row>
        <row r="251">
          <cell r="B251">
            <v>851610</v>
          </cell>
          <cell r="C251">
            <v>2.3548812299999999E-2</v>
          </cell>
        </row>
        <row r="252">
          <cell r="B252">
            <v>846410</v>
          </cell>
          <cell r="C252">
            <v>2.3380765152999999E-2</v>
          </cell>
        </row>
        <row r="253">
          <cell r="B253">
            <v>851519</v>
          </cell>
          <cell r="C253">
            <v>2.3043982052999998E-2</v>
          </cell>
        </row>
        <row r="254">
          <cell r="B254">
            <v>902410</v>
          </cell>
          <cell r="C254">
            <v>2.2885620214999999E-2</v>
          </cell>
        </row>
        <row r="255">
          <cell r="B255">
            <v>853010</v>
          </cell>
          <cell r="C255">
            <v>2.2789096136000001E-2</v>
          </cell>
        </row>
        <row r="256">
          <cell r="B256">
            <v>846330</v>
          </cell>
          <cell r="C256">
            <v>2.2755831717999997E-2</v>
          </cell>
        </row>
        <row r="257">
          <cell r="B257">
            <v>902000</v>
          </cell>
          <cell r="C257">
            <v>2.2340444381E-2</v>
          </cell>
        </row>
        <row r="258">
          <cell r="B258">
            <v>903281</v>
          </cell>
          <cell r="C258">
            <v>2.1977981149E-2</v>
          </cell>
        </row>
        <row r="259">
          <cell r="B259">
            <v>901540</v>
          </cell>
          <cell r="C259">
            <v>2.1685819835000002E-2</v>
          </cell>
        </row>
        <row r="260">
          <cell r="B260">
            <v>850172</v>
          </cell>
          <cell r="C260">
            <v>2.1581466842000002E-2</v>
          </cell>
        </row>
        <row r="261">
          <cell r="B261">
            <v>850161</v>
          </cell>
          <cell r="C261">
            <v>2.1354297857E-2</v>
          </cell>
        </row>
        <row r="262">
          <cell r="B262">
            <v>841861</v>
          </cell>
          <cell r="C262">
            <v>2.1237211850999999E-2</v>
          </cell>
        </row>
        <row r="263">
          <cell r="B263">
            <v>901814</v>
          </cell>
          <cell r="C263">
            <v>2.1199022812E-2</v>
          </cell>
        </row>
        <row r="264">
          <cell r="B264">
            <v>847439</v>
          </cell>
          <cell r="C264">
            <v>2.1030613242E-2</v>
          </cell>
        </row>
        <row r="265">
          <cell r="B265">
            <v>846791</v>
          </cell>
          <cell r="C265">
            <v>2.0811422419000001E-2</v>
          </cell>
        </row>
        <row r="266">
          <cell r="B266">
            <v>847810</v>
          </cell>
          <cell r="C266">
            <v>2.0497804056000001E-2</v>
          </cell>
        </row>
        <row r="267">
          <cell r="B267">
            <v>844230</v>
          </cell>
          <cell r="C267">
            <v>2.0441231136999999E-2</v>
          </cell>
        </row>
        <row r="268">
          <cell r="B268">
            <v>843360</v>
          </cell>
          <cell r="C268">
            <v>2.0369429528999998E-2</v>
          </cell>
        </row>
        <row r="269">
          <cell r="B269">
            <v>853529</v>
          </cell>
          <cell r="C269">
            <v>2.0290498439E-2</v>
          </cell>
        </row>
        <row r="270">
          <cell r="B270">
            <v>844120</v>
          </cell>
          <cell r="C270">
            <v>2.0258815359000003E-2</v>
          </cell>
        </row>
        <row r="271">
          <cell r="B271">
            <v>842630</v>
          </cell>
          <cell r="C271">
            <v>2.0068890871E-2</v>
          </cell>
        </row>
        <row r="272">
          <cell r="B272">
            <v>846722</v>
          </cell>
          <cell r="C272">
            <v>1.9746395931000003E-2</v>
          </cell>
        </row>
        <row r="273">
          <cell r="B273">
            <v>846223</v>
          </cell>
          <cell r="C273">
            <v>1.9475821181000001E-2</v>
          </cell>
        </row>
        <row r="274">
          <cell r="B274">
            <v>853530</v>
          </cell>
          <cell r="C274">
            <v>1.8822590954999999E-2</v>
          </cell>
        </row>
        <row r="275">
          <cell r="B275">
            <v>845969</v>
          </cell>
          <cell r="C275">
            <v>1.8598575374999999E-2</v>
          </cell>
        </row>
        <row r="276">
          <cell r="B276">
            <v>846242</v>
          </cell>
          <cell r="C276">
            <v>1.855601497E-2</v>
          </cell>
        </row>
        <row r="277">
          <cell r="B277">
            <v>842612</v>
          </cell>
          <cell r="C277">
            <v>1.8546175695E-2</v>
          </cell>
        </row>
        <row r="278">
          <cell r="B278">
            <v>842959</v>
          </cell>
          <cell r="C278">
            <v>1.843313945E-2</v>
          </cell>
        </row>
        <row r="279">
          <cell r="B279">
            <v>845929</v>
          </cell>
          <cell r="C279">
            <v>1.8214169145E-2</v>
          </cell>
        </row>
        <row r="280">
          <cell r="B280">
            <v>846031</v>
          </cell>
          <cell r="C280">
            <v>1.8177315651999999E-2</v>
          </cell>
        </row>
        <row r="281">
          <cell r="B281">
            <v>843420</v>
          </cell>
          <cell r="C281">
            <v>1.812502719E-2</v>
          </cell>
        </row>
        <row r="282">
          <cell r="B282">
            <v>850520</v>
          </cell>
          <cell r="C282">
            <v>1.7929759885999999E-2</v>
          </cell>
        </row>
        <row r="283">
          <cell r="B283">
            <v>903141</v>
          </cell>
          <cell r="C283">
            <v>1.7660330815E-2</v>
          </cell>
        </row>
        <row r="284">
          <cell r="B284">
            <v>845720</v>
          </cell>
          <cell r="C284">
            <v>1.7629745007E-2</v>
          </cell>
        </row>
        <row r="285">
          <cell r="B285">
            <v>845130</v>
          </cell>
          <cell r="C285">
            <v>1.7510714486000001E-2</v>
          </cell>
        </row>
        <row r="286">
          <cell r="B286">
            <v>820231</v>
          </cell>
          <cell r="C286">
            <v>1.7495762100999998E-2</v>
          </cell>
        </row>
        <row r="287">
          <cell r="B287">
            <v>846012</v>
          </cell>
          <cell r="C287">
            <v>1.7226516718999999E-2</v>
          </cell>
        </row>
        <row r="288">
          <cell r="B288">
            <v>842539</v>
          </cell>
          <cell r="C288">
            <v>1.7221554305000001E-2</v>
          </cell>
        </row>
        <row r="289">
          <cell r="B289">
            <v>842930</v>
          </cell>
          <cell r="C289">
            <v>1.7137022530999999E-2</v>
          </cell>
        </row>
        <row r="290">
          <cell r="B290">
            <v>847920</v>
          </cell>
          <cell r="C290">
            <v>1.7111225274000001E-2</v>
          </cell>
        </row>
        <row r="291">
          <cell r="B291">
            <v>842611</v>
          </cell>
          <cell r="C291">
            <v>1.7102620940999999E-2</v>
          </cell>
        </row>
        <row r="292">
          <cell r="B292">
            <v>846022</v>
          </cell>
          <cell r="C292">
            <v>1.6848597728E-2</v>
          </cell>
        </row>
        <row r="293">
          <cell r="B293">
            <v>842911</v>
          </cell>
          <cell r="C293">
            <v>1.6836266425999998E-2</v>
          </cell>
        </row>
        <row r="294">
          <cell r="B294">
            <v>851420</v>
          </cell>
          <cell r="C294">
            <v>1.6811100624999999E-2</v>
          </cell>
        </row>
        <row r="295">
          <cell r="B295">
            <v>901520</v>
          </cell>
          <cell r="C295">
            <v>1.6802813107000002E-2</v>
          </cell>
        </row>
        <row r="296">
          <cell r="B296">
            <v>846591</v>
          </cell>
          <cell r="C296">
            <v>1.6697005773000002E-2</v>
          </cell>
        </row>
        <row r="297">
          <cell r="B297">
            <v>903110</v>
          </cell>
          <cell r="C297">
            <v>1.6636235433E-2</v>
          </cell>
        </row>
        <row r="298">
          <cell r="B298">
            <v>820411</v>
          </cell>
          <cell r="C298">
            <v>1.6606013154E-2</v>
          </cell>
        </row>
        <row r="299">
          <cell r="B299">
            <v>761100</v>
          </cell>
          <cell r="C299">
            <v>1.6419606212999999E-2</v>
          </cell>
        </row>
        <row r="300">
          <cell r="B300">
            <v>843850</v>
          </cell>
          <cell r="C300">
            <v>1.6277129615E-2</v>
          </cell>
        </row>
        <row r="301">
          <cell r="B301">
            <v>842870</v>
          </cell>
          <cell r="C301">
            <v>1.6246014533000001E-2</v>
          </cell>
        </row>
        <row r="302">
          <cell r="B302">
            <v>846593</v>
          </cell>
          <cell r="C302">
            <v>1.6090745842000001E-2</v>
          </cell>
        </row>
        <row r="303">
          <cell r="B303">
            <v>847090</v>
          </cell>
          <cell r="C303">
            <v>1.6000479211E-2</v>
          </cell>
        </row>
        <row r="304">
          <cell r="B304">
            <v>761210</v>
          </cell>
          <cell r="C304">
            <v>1.5895091016E-2</v>
          </cell>
        </row>
        <row r="305">
          <cell r="B305">
            <v>844711</v>
          </cell>
          <cell r="C305">
            <v>1.5885132451000001E-2</v>
          </cell>
        </row>
        <row r="306">
          <cell r="B306">
            <v>843340</v>
          </cell>
          <cell r="C306">
            <v>1.5564917857000002E-2</v>
          </cell>
        </row>
        <row r="307">
          <cell r="B307">
            <v>820420</v>
          </cell>
          <cell r="C307">
            <v>1.554721631E-2</v>
          </cell>
        </row>
        <row r="308">
          <cell r="B308">
            <v>902213</v>
          </cell>
          <cell r="C308">
            <v>1.5046939024E-2</v>
          </cell>
        </row>
        <row r="309">
          <cell r="B309">
            <v>902810</v>
          </cell>
          <cell r="C309">
            <v>1.5000717320000001E-2</v>
          </cell>
        </row>
        <row r="310">
          <cell r="B310">
            <v>850133</v>
          </cell>
          <cell r="C310">
            <v>1.4969715938999999E-2</v>
          </cell>
        </row>
        <row r="311">
          <cell r="B311">
            <v>843359</v>
          </cell>
          <cell r="C311">
            <v>1.4959245115E-2</v>
          </cell>
        </row>
        <row r="312">
          <cell r="B312">
            <v>845410</v>
          </cell>
          <cell r="C312">
            <v>1.4883507964999999E-2</v>
          </cell>
        </row>
        <row r="313">
          <cell r="B313">
            <v>851989</v>
          </cell>
          <cell r="C313">
            <v>1.4830510541E-2</v>
          </cell>
        </row>
        <row r="314">
          <cell r="B314">
            <v>846719</v>
          </cell>
          <cell r="C314">
            <v>1.4527597217000001E-2</v>
          </cell>
        </row>
        <row r="315">
          <cell r="B315">
            <v>842219</v>
          </cell>
          <cell r="C315">
            <v>1.447851518E-2</v>
          </cell>
        </row>
        <row r="316">
          <cell r="B316">
            <v>820320</v>
          </cell>
          <cell r="C316">
            <v>1.4470685642999999E-2</v>
          </cell>
        </row>
        <row r="317">
          <cell r="B317">
            <v>846820</v>
          </cell>
          <cell r="C317">
            <v>1.4462528816999999E-2</v>
          </cell>
        </row>
        <row r="318">
          <cell r="B318">
            <v>820590</v>
          </cell>
          <cell r="C318">
            <v>1.4341919346000001E-2</v>
          </cell>
        </row>
        <row r="319">
          <cell r="B319">
            <v>848010</v>
          </cell>
          <cell r="C319">
            <v>1.4120798823E-2</v>
          </cell>
        </row>
        <row r="320">
          <cell r="B320">
            <v>841720</v>
          </cell>
          <cell r="C320">
            <v>1.4036316646E-2</v>
          </cell>
        </row>
        <row r="321">
          <cell r="B321">
            <v>910700</v>
          </cell>
          <cell r="C321">
            <v>1.394198411E-2</v>
          </cell>
        </row>
        <row r="322">
          <cell r="B322">
            <v>840682</v>
          </cell>
          <cell r="C322">
            <v>1.3913999016000001E-2</v>
          </cell>
        </row>
        <row r="323">
          <cell r="B323">
            <v>902221</v>
          </cell>
          <cell r="C323">
            <v>1.3593771761E-2</v>
          </cell>
        </row>
        <row r="324">
          <cell r="B324">
            <v>830300</v>
          </cell>
          <cell r="C324">
            <v>1.3582398096999999E-2</v>
          </cell>
        </row>
        <row r="325">
          <cell r="B325">
            <v>845959</v>
          </cell>
          <cell r="C325">
            <v>1.3541398991E-2</v>
          </cell>
        </row>
        <row r="326">
          <cell r="B326">
            <v>850162</v>
          </cell>
          <cell r="C326">
            <v>1.3393040312999999E-2</v>
          </cell>
        </row>
        <row r="327">
          <cell r="B327">
            <v>846592</v>
          </cell>
          <cell r="C327">
            <v>1.3392149016000001E-2</v>
          </cell>
        </row>
        <row r="328">
          <cell r="B328">
            <v>846880</v>
          </cell>
          <cell r="C328">
            <v>1.3335155652E-2</v>
          </cell>
        </row>
        <row r="329">
          <cell r="B329">
            <v>842220</v>
          </cell>
          <cell r="C329">
            <v>1.3176121281E-2</v>
          </cell>
        </row>
        <row r="330">
          <cell r="B330">
            <v>846594</v>
          </cell>
          <cell r="C330">
            <v>1.3162167999E-2</v>
          </cell>
        </row>
        <row r="331">
          <cell r="B331">
            <v>902229</v>
          </cell>
          <cell r="C331">
            <v>1.3157796492000001E-2</v>
          </cell>
        </row>
        <row r="332">
          <cell r="B332">
            <v>850819</v>
          </cell>
          <cell r="C332">
            <v>1.3131796731000001E-2</v>
          </cell>
        </row>
        <row r="333">
          <cell r="B333">
            <v>846190</v>
          </cell>
          <cell r="C333">
            <v>1.2926780814E-2</v>
          </cell>
        </row>
        <row r="334">
          <cell r="B334">
            <v>843680</v>
          </cell>
          <cell r="C334">
            <v>1.2769335241000001E-2</v>
          </cell>
        </row>
        <row r="335">
          <cell r="B335">
            <v>843629</v>
          </cell>
          <cell r="C335">
            <v>1.2762712698999999E-2</v>
          </cell>
        </row>
        <row r="336">
          <cell r="B336">
            <v>845129</v>
          </cell>
          <cell r="C336">
            <v>1.2386961129E-2</v>
          </cell>
        </row>
        <row r="337">
          <cell r="B337">
            <v>761300</v>
          </cell>
          <cell r="C337">
            <v>1.2344889826999999E-2</v>
          </cell>
        </row>
        <row r="338">
          <cell r="B338">
            <v>821300</v>
          </cell>
          <cell r="C338">
            <v>1.2219486073999999E-2</v>
          </cell>
        </row>
        <row r="339">
          <cell r="B339">
            <v>846233</v>
          </cell>
          <cell r="C339">
            <v>1.1885505051999999E-2</v>
          </cell>
        </row>
        <row r="340">
          <cell r="B340">
            <v>845921</v>
          </cell>
          <cell r="C340">
            <v>1.1754759929E-2</v>
          </cell>
        </row>
        <row r="341">
          <cell r="B341">
            <v>843010</v>
          </cell>
          <cell r="C341">
            <v>1.1747595123E-2</v>
          </cell>
        </row>
        <row r="342">
          <cell r="B342">
            <v>842519</v>
          </cell>
          <cell r="C342">
            <v>1.1692425219E-2</v>
          </cell>
        </row>
        <row r="343">
          <cell r="B343">
            <v>841919</v>
          </cell>
          <cell r="C343">
            <v>1.1676974742000001E-2</v>
          </cell>
        </row>
        <row r="344">
          <cell r="B344">
            <v>844511</v>
          </cell>
          <cell r="C344">
            <v>1.1493970186000001E-2</v>
          </cell>
        </row>
        <row r="345">
          <cell r="B345">
            <v>850421</v>
          </cell>
          <cell r="C345">
            <v>1.1319657554999999E-2</v>
          </cell>
        </row>
        <row r="346">
          <cell r="B346">
            <v>848510</v>
          </cell>
          <cell r="C346">
            <v>1.1317817186000001E-2</v>
          </cell>
        </row>
        <row r="347">
          <cell r="B347">
            <v>901510</v>
          </cell>
          <cell r="C347">
            <v>1.1099123467E-2</v>
          </cell>
        </row>
        <row r="348">
          <cell r="B348">
            <v>940210</v>
          </cell>
          <cell r="C348">
            <v>1.1074181006999998E-2</v>
          </cell>
        </row>
        <row r="349">
          <cell r="B349">
            <v>902910</v>
          </cell>
          <cell r="C349">
            <v>1.1068616083000001E-2</v>
          </cell>
        </row>
        <row r="350">
          <cell r="B350">
            <v>842699</v>
          </cell>
          <cell r="C350">
            <v>1.1022219622E-2</v>
          </cell>
        </row>
        <row r="351">
          <cell r="B351">
            <v>840211</v>
          </cell>
          <cell r="C351">
            <v>1.0988167665E-2</v>
          </cell>
        </row>
        <row r="352">
          <cell r="B352">
            <v>850231</v>
          </cell>
          <cell r="C352">
            <v>1.0939294332000001E-2</v>
          </cell>
        </row>
        <row r="353">
          <cell r="B353">
            <v>845310</v>
          </cell>
          <cell r="C353">
            <v>1.0884678294E-2</v>
          </cell>
        </row>
        <row r="354">
          <cell r="B354">
            <v>846019</v>
          </cell>
          <cell r="C354">
            <v>1.0822878317E-2</v>
          </cell>
        </row>
        <row r="355">
          <cell r="B355">
            <v>846039</v>
          </cell>
          <cell r="C355">
            <v>1.0690990198000001E-2</v>
          </cell>
        </row>
        <row r="356">
          <cell r="B356">
            <v>846596</v>
          </cell>
          <cell r="C356">
            <v>1.0670088027000001E-2</v>
          </cell>
        </row>
        <row r="357">
          <cell r="B357">
            <v>845939</v>
          </cell>
          <cell r="C357">
            <v>1.06513435E-2</v>
          </cell>
        </row>
        <row r="358">
          <cell r="B358">
            <v>820570</v>
          </cell>
          <cell r="C358">
            <v>1.0614685003E-2</v>
          </cell>
        </row>
        <row r="359">
          <cell r="B359">
            <v>846224</v>
          </cell>
          <cell r="C359">
            <v>1.0568701468E-2</v>
          </cell>
        </row>
        <row r="360">
          <cell r="B360">
            <v>845970</v>
          </cell>
          <cell r="C360">
            <v>1.0429799848999999E-2</v>
          </cell>
        </row>
        <row r="361">
          <cell r="B361">
            <v>848520</v>
          </cell>
          <cell r="C361">
            <v>1.0299531886E-2</v>
          </cell>
        </row>
        <row r="362">
          <cell r="B362">
            <v>843231</v>
          </cell>
          <cell r="C362">
            <v>1.026334563E-2</v>
          </cell>
        </row>
        <row r="363">
          <cell r="B363">
            <v>844512</v>
          </cell>
          <cell r="C363">
            <v>1.0156202186000001E-2</v>
          </cell>
        </row>
        <row r="364">
          <cell r="B364">
            <v>820240</v>
          </cell>
          <cell r="C364">
            <v>1.0103856092000001E-2</v>
          </cell>
        </row>
        <row r="365">
          <cell r="B365">
            <v>820760</v>
          </cell>
          <cell r="C365">
            <v>1.0096554509999999E-2</v>
          </cell>
        </row>
        <row r="366">
          <cell r="B366">
            <v>840420</v>
          </cell>
          <cell r="C366">
            <v>1.0091391779999999E-2</v>
          </cell>
        </row>
        <row r="367">
          <cell r="B367">
            <v>842531</v>
          </cell>
          <cell r="C367">
            <v>9.8695740139999998E-3</v>
          </cell>
        </row>
        <row r="368">
          <cell r="B368">
            <v>845931</v>
          </cell>
          <cell r="C368">
            <v>9.8121450859999983E-3</v>
          </cell>
        </row>
        <row r="369">
          <cell r="B369">
            <v>845951</v>
          </cell>
          <cell r="C369">
            <v>9.7398915349999997E-3</v>
          </cell>
        </row>
        <row r="370">
          <cell r="B370">
            <v>902830</v>
          </cell>
          <cell r="C370">
            <v>9.6717872309999998E-3</v>
          </cell>
        </row>
        <row r="371">
          <cell r="B371">
            <v>843069</v>
          </cell>
          <cell r="C371">
            <v>9.615186789999999E-3</v>
          </cell>
        </row>
        <row r="372">
          <cell r="B372">
            <v>841340</v>
          </cell>
          <cell r="C372">
            <v>9.5851393980000005E-3</v>
          </cell>
        </row>
        <row r="373">
          <cell r="B373">
            <v>854310</v>
          </cell>
          <cell r="C373">
            <v>9.4955832819999999E-3</v>
          </cell>
        </row>
        <row r="374">
          <cell r="B374">
            <v>840219</v>
          </cell>
          <cell r="C374">
            <v>9.4500841539999995E-3</v>
          </cell>
        </row>
        <row r="375">
          <cell r="B375">
            <v>845949</v>
          </cell>
          <cell r="C375">
            <v>9.4043554600000013E-3</v>
          </cell>
        </row>
        <row r="376">
          <cell r="B376">
            <v>846320</v>
          </cell>
          <cell r="C376">
            <v>9.3504416889999987E-3</v>
          </cell>
        </row>
        <row r="377">
          <cell r="B377">
            <v>846792</v>
          </cell>
          <cell r="C377">
            <v>9.33247517E-3</v>
          </cell>
        </row>
        <row r="378">
          <cell r="B378">
            <v>820713</v>
          </cell>
          <cell r="C378">
            <v>9.2165323129999987E-3</v>
          </cell>
        </row>
        <row r="379">
          <cell r="B379">
            <v>845941</v>
          </cell>
          <cell r="C379">
            <v>9.1793842660000003E-3</v>
          </cell>
        </row>
        <row r="380">
          <cell r="B380">
            <v>851529</v>
          </cell>
          <cell r="C380">
            <v>9.1409723680000009E-3</v>
          </cell>
        </row>
        <row r="381">
          <cell r="B381">
            <v>847979</v>
          </cell>
          <cell r="C381">
            <v>8.9969498149999987E-3</v>
          </cell>
        </row>
        <row r="382">
          <cell r="B382">
            <v>841280</v>
          </cell>
          <cell r="C382">
            <v>8.9221272129999998E-3</v>
          </cell>
        </row>
        <row r="383">
          <cell r="B383">
            <v>843210</v>
          </cell>
          <cell r="C383">
            <v>8.8997210220000001E-3</v>
          </cell>
        </row>
        <row r="384">
          <cell r="B384">
            <v>820412</v>
          </cell>
          <cell r="C384">
            <v>8.8509458469999986E-3</v>
          </cell>
        </row>
        <row r="385">
          <cell r="B385">
            <v>845640</v>
          </cell>
          <cell r="C385">
            <v>8.5975756339999997E-3</v>
          </cell>
        </row>
        <row r="386">
          <cell r="B386">
            <v>846595</v>
          </cell>
          <cell r="C386">
            <v>8.5850920129999994E-3</v>
          </cell>
        </row>
        <row r="387">
          <cell r="B387">
            <v>830790</v>
          </cell>
          <cell r="C387">
            <v>8.4821992919999999E-3</v>
          </cell>
        </row>
        <row r="388">
          <cell r="B388">
            <v>841934</v>
          </cell>
          <cell r="C388">
            <v>8.3558803799999998E-3</v>
          </cell>
        </row>
        <row r="389">
          <cell r="B389">
            <v>845380</v>
          </cell>
          <cell r="C389">
            <v>8.2228574660000008E-3</v>
          </cell>
        </row>
        <row r="390">
          <cell r="B390">
            <v>846251</v>
          </cell>
          <cell r="C390">
            <v>8.0838840119999995E-3</v>
          </cell>
        </row>
        <row r="391">
          <cell r="B391">
            <v>901530</v>
          </cell>
          <cell r="C391">
            <v>7.9850400869999998E-3</v>
          </cell>
        </row>
        <row r="392">
          <cell r="B392">
            <v>900630</v>
          </cell>
          <cell r="C392">
            <v>7.966317669E-3</v>
          </cell>
        </row>
        <row r="393">
          <cell r="B393">
            <v>841933</v>
          </cell>
          <cell r="C393">
            <v>7.9487122560000009E-3</v>
          </cell>
        </row>
        <row r="394">
          <cell r="B394">
            <v>950829</v>
          </cell>
          <cell r="C394">
            <v>7.9431392830000003E-3</v>
          </cell>
        </row>
        <row r="395">
          <cell r="B395">
            <v>842832</v>
          </cell>
          <cell r="C395">
            <v>7.9054458070000003E-3</v>
          </cell>
        </row>
        <row r="396">
          <cell r="B396">
            <v>848020</v>
          </cell>
          <cell r="C396">
            <v>7.7974139249999998E-3</v>
          </cell>
        </row>
        <row r="397">
          <cell r="B397">
            <v>844610</v>
          </cell>
          <cell r="C397">
            <v>7.6721218969999999E-3</v>
          </cell>
        </row>
        <row r="398">
          <cell r="B398">
            <v>842389</v>
          </cell>
          <cell r="C398">
            <v>7.6521632790000002E-3</v>
          </cell>
        </row>
        <row r="399">
          <cell r="B399">
            <v>842111</v>
          </cell>
          <cell r="C399">
            <v>7.5978792000000002E-3</v>
          </cell>
        </row>
        <row r="400">
          <cell r="B400">
            <v>841320</v>
          </cell>
          <cell r="C400">
            <v>7.5312262609999996E-3</v>
          </cell>
        </row>
        <row r="401">
          <cell r="B401">
            <v>903032</v>
          </cell>
          <cell r="C401">
            <v>7.5312118709999999E-3</v>
          </cell>
        </row>
        <row r="402">
          <cell r="B402">
            <v>840410</v>
          </cell>
          <cell r="C402">
            <v>7.523214294E-3</v>
          </cell>
        </row>
        <row r="403">
          <cell r="B403">
            <v>731010</v>
          </cell>
          <cell r="C403">
            <v>7.4184006500000003E-3</v>
          </cell>
        </row>
        <row r="404">
          <cell r="B404">
            <v>820600</v>
          </cell>
          <cell r="C404">
            <v>7.2351876019999999E-3</v>
          </cell>
        </row>
        <row r="405">
          <cell r="B405">
            <v>843039</v>
          </cell>
          <cell r="C405">
            <v>7.1597729280000006E-3</v>
          </cell>
        </row>
        <row r="406">
          <cell r="B406">
            <v>846510</v>
          </cell>
          <cell r="C406">
            <v>7.0830125650000004E-3</v>
          </cell>
        </row>
        <row r="407">
          <cell r="B407">
            <v>847971</v>
          </cell>
          <cell r="C407">
            <v>7.0562575060000004E-3</v>
          </cell>
        </row>
        <row r="408">
          <cell r="B408">
            <v>848630</v>
          </cell>
          <cell r="C408">
            <v>6.9807884809999993E-3</v>
          </cell>
        </row>
        <row r="409">
          <cell r="B409">
            <v>848580</v>
          </cell>
          <cell r="C409">
            <v>6.8783455270000002E-3</v>
          </cell>
        </row>
        <row r="410">
          <cell r="B410">
            <v>843621</v>
          </cell>
          <cell r="C410">
            <v>6.839239964E-3</v>
          </cell>
        </row>
        <row r="411">
          <cell r="B411">
            <v>910690</v>
          </cell>
          <cell r="C411">
            <v>6.804530229E-3</v>
          </cell>
        </row>
        <row r="412">
          <cell r="B412">
            <v>844530</v>
          </cell>
          <cell r="C412">
            <v>6.6320594960000007E-3</v>
          </cell>
        </row>
        <row r="413">
          <cell r="B413">
            <v>820540</v>
          </cell>
          <cell r="C413">
            <v>6.3898275439999994E-3</v>
          </cell>
        </row>
        <row r="414">
          <cell r="B414">
            <v>843280</v>
          </cell>
          <cell r="C414">
            <v>6.3556009110000006E-3</v>
          </cell>
        </row>
        <row r="415">
          <cell r="B415">
            <v>843330</v>
          </cell>
          <cell r="C415">
            <v>6.3183544129999996E-3</v>
          </cell>
        </row>
        <row r="416">
          <cell r="B416">
            <v>843239</v>
          </cell>
          <cell r="C416">
            <v>6.2746932889999997E-3</v>
          </cell>
        </row>
        <row r="417">
          <cell r="B417">
            <v>848610</v>
          </cell>
          <cell r="C417">
            <v>6.2009344710000002E-3</v>
          </cell>
        </row>
        <row r="418">
          <cell r="B418">
            <v>902820</v>
          </cell>
          <cell r="C418">
            <v>6.0392247369999994E-3</v>
          </cell>
        </row>
        <row r="419">
          <cell r="B419">
            <v>848030</v>
          </cell>
          <cell r="C419">
            <v>5.9782654610000003E-3</v>
          </cell>
        </row>
        <row r="420">
          <cell r="B420">
            <v>820810</v>
          </cell>
          <cell r="C420">
            <v>5.9598144050000005E-3</v>
          </cell>
        </row>
        <row r="421">
          <cell r="B421">
            <v>901060</v>
          </cell>
          <cell r="C421">
            <v>5.8483057359999995E-3</v>
          </cell>
        </row>
        <row r="422">
          <cell r="B422">
            <v>820110</v>
          </cell>
          <cell r="C422">
            <v>5.6399013640000004E-3</v>
          </cell>
        </row>
        <row r="423">
          <cell r="B423">
            <v>842940</v>
          </cell>
          <cell r="C423">
            <v>5.6295851299999998E-3</v>
          </cell>
        </row>
        <row r="424">
          <cell r="B424">
            <v>847960</v>
          </cell>
          <cell r="C424">
            <v>5.5642388499999992E-3</v>
          </cell>
        </row>
        <row r="425">
          <cell r="B425">
            <v>842691</v>
          </cell>
          <cell r="C425">
            <v>5.5424588309999998E-3</v>
          </cell>
        </row>
        <row r="426">
          <cell r="B426">
            <v>846259</v>
          </cell>
          <cell r="C426">
            <v>5.3935788679999996E-3</v>
          </cell>
        </row>
        <row r="427">
          <cell r="B427">
            <v>841311</v>
          </cell>
          <cell r="C427">
            <v>5.3934718390000001E-3</v>
          </cell>
        </row>
        <row r="428">
          <cell r="B428">
            <v>842831</v>
          </cell>
          <cell r="C428">
            <v>5.3905385760000006E-3</v>
          </cell>
        </row>
        <row r="429">
          <cell r="B429">
            <v>847431</v>
          </cell>
          <cell r="C429">
            <v>5.2779969879999996E-3</v>
          </cell>
        </row>
        <row r="430">
          <cell r="B430">
            <v>820820</v>
          </cell>
          <cell r="C430">
            <v>5.2303163430000004E-3</v>
          </cell>
        </row>
        <row r="431">
          <cell r="B431">
            <v>841610</v>
          </cell>
          <cell r="C431">
            <v>5.1920741189999996E-3</v>
          </cell>
        </row>
        <row r="432">
          <cell r="B432">
            <v>821193</v>
          </cell>
          <cell r="C432">
            <v>5.1773559139999996E-3</v>
          </cell>
        </row>
        <row r="433">
          <cell r="B433">
            <v>870192</v>
          </cell>
          <cell r="C433">
            <v>5.0138354989999996E-3</v>
          </cell>
        </row>
        <row r="434">
          <cell r="B434">
            <v>842381</v>
          </cell>
          <cell r="C434">
            <v>5.0134382229999998E-3</v>
          </cell>
        </row>
        <row r="435">
          <cell r="B435">
            <v>842122</v>
          </cell>
          <cell r="C435">
            <v>4.9387774819999999E-3</v>
          </cell>
        </row>
        <row r="436">
          <cell r="B436">
            <v>890790</v>
          </cell>
          <cell r="C436">
            <v>4.928604671E-3</v>
          </cell>
        </row>
        <row r="437">
          <cell r="B437">
            <v>900580</v>
          </cell>
          <cell r="C437">
            <v>4.8468406870000001E-3</v>
          </cell>
        </row>
        <row r="438">
          <cell r="B438">
            <v>846130</v>
          </cell>
          <cell r="C438">
            <v>4.8071338970000002E-3</v>
          </cell>
        </row>
        <row r="439">
          <cell r="B439">
            <v>901780</v>
          </cell>
          <cell r="C439">
            <v>4.7484671210000001E-3</v>
          </cell>
        </row>
        <row r="440">
          <cell r="B440">
            <v>846120</v>
          </cell>
          <cell r="C440">
            <v>4.7003518880000001E-3</v>
          </cell>
        </row>
        <row r="441">
          <cell r="B441">
            <v>820551</v>
          </cell>
          <cell r="C441">
            <v>4.672591278E-3</v>
          </cell>
        </row>
        <row r="442">
          <cell r="B442">
            <v>845650</v>
          </cell>
          <cell r="C442">
            <v>4.5695161619999994E-3</v>
          </cell>
        </row>
        <row r="443">
          <cell r="B443">
            <v>854151</v>
          </cell>
          <cell r="C443">
            <v>4.5499528200000005E-3</v>
          </cell>
        </row>
        <row r="444">
          <cell r="B444">
            <v>850134</v>
          </cell>
          <cell r="C444">
            <v>4.5201696950000004E-3</v>
          </cell>
        </row>
        <row r="445">
          <cell r="B445">
            <v>870919</v>
          </cell>
          <cell r="C445">
            <v>4.511251204E-3</v>
          </cell>
        </row>
        <row r="446">
          <cell r="B446">
            <v>842320</v>
          </cell>
          <cell r="C446">
            <v>4.4414912569999999E-3</v>
          </cell>
        </row>
        <row r="447">
          <cell r="B447">
            <v>821194</v>
          </cell>
          <cell r="C447">
            <v>4.1866588420000003E-3</v>
          </cell>
        </row>
        <row r="448">
          <cell r="B448">
            <v>843510</v>
          </cell>
          <cell r="C448">
            <v>4.1452551189999996E-3</v>
          </cell>
        </row>
        <row r="449">
          <cell r="B449">
            <v>961800</v>
          </cell>
          <cell r="C449">
            <v>3.8578365839999997E-3</v>
          </cell>
        </row>
        <row r="450">
          <cell r="B450">
            <v>901110</v>
          </cell>
          <cell r="C450">
            <v>3.8434990170000002E-3</v>
          </cell>
        </row>
        <row r="451">
          <cell r="B451">
            <v>851633</v>
          </cell>
          <cell r="C451">
            <v>3.7529523519999998E-3</v>
          </cell>
        </row>
        <row r="452">
          <cell r="B452">
            <v>820190</v>
          </cell>
          <cell r="C452">
            <v>3.7236850399999999E-3</v>
          </cell>
        </row>
        <row r="453">
          <cell r="B453">
            <v>844312</v>
          </cell>
          <cell r="C453">
            <v>3.6054036400000001E-3</v>
          </cell>
        </row>
        <row r="454">
          <cell r="B454">
            <v>902511</v>
          </cell>
          <cell r="C454">
            <v>3.5479142190000001E-3</v>
          </cell>
        </row>
        <row r="455">
          <cell r="B455">
            <v>820340</v>
          </cell>
          <cell r="C455">
            <v>3.4194521129999999E-3</v>
          </cell>
        </row>
        <row r="456">
          <cell r="B456">
            <v>821192</v>
          </cell>
          <cell r="C456">
            <v>3.22617153E-3</v>
          </cell>
        </row>
        <row r="457">
          <cell r="B457">
            <v>851411</v>
          </cell>
          <cell r="C457">
            <v>3.1763435610000002E-3</v>
          </cell>
        </row>
        <row r="458">
          <cell r="B458">
            <v>870911</v>
          </cell>
          <cell r="C458">
            <v>3.1691896499999998E-3</v>
          </cell>
        </row>
        <row r="459">
          <cell r="B459">
            <v>840220</v>
          </cell>
          <cell r="C459">
            <v>3.1633205589999998E-3</v>
          </cell>
        </row>
        <row r="460">
          <cell r="B460">
            <v>846520</v>
          </cell>
          <cell r="C460">
            <v>3.1069388349999998E-3</v>
          </cell>
        </row>
        <row r="461">
          <cell r="B461">
            <v>844311</v>
          </cell>
          <cell r="C461">
            <v>3.047254895E-3</v>
          </cell>
        </row>
        <row r="462">
          <cell r="B462">
            <v>820840</v>
          </cell>
          <cell r="C462">
            <v>2.9674902930000003E-3</v>
          </cell>
        </row>
        <row r="463">
          <cell r="B463">
            <v>847689</v>
          </cell>
          <cell r="C463">
            <v>2.9574670240000004E-3</v>
          </cell>
        </row>
        <row r="464">
          <cell r="B464">
            <v>847029</v>
          </cell>
          <cell r="C464">
            <v>2.8314211090000002E-3</v>
          </cell>
        </row>
        <row r="465">
          <cell r="B465">
            <v>844314</v>
          </cell>
          <cell r="C465">
            <v>2.7522083489999998E-3</v>
          </cell>
        </row>
        <row r="466">
          <cell r="B466">
            <v>845620</v>
          </cell>
          <cell r="C466">
            <v>2.5361403369999996E-3</v>
          </cell>
        </row>
        <row r="467">
          <cell r="B467">
            <v>844513</v>
          </cell>
          <cell r="C467">
            <v>2.523491573E-3</v>
          </cell>
        </row>
        <row r="468">
          <cell r="B468">
            <v>851511</v>
          </cell>
          <cell r="C468">
            <v>2.5070605610000001E-3</v>
          </cell>
        </row>
        <row r="469">
          <cell r="B469">
            <v>843352</v>
          </cell>
          <cell r="C469">
            <v>2.50283743E-3</v>
          </cell>
        </row>
        <row r="470">
          <cell r="B470">
            <v>843830</v>
          </cell>
          <cell r="C470">
            <v>2.4267727209999999E-3</v>
          </cell>
        </row>
        <row r="471">
          <cell r="B471">
            <v>901841</v>
          </cell>
          <cell r="C471">
            <v>2.416273446E-3</v>
          </cell>
        </row>
        <row r="472">
          <cell r="B472">
            <v>844621</v>
          </cell>
          <cell r="C472">
            <v>2.3842027499999998E-3</v>
          </cell>
        </row>
        <row r="473">
          <cell r="B473">
            <v>845110</v>
          </cell>
          <cell r="C473">
            <v>2.3807487680000002E-3</v>
          </cell>
        </row>
        <row r="474">
          <cell r="B474">
            <v>850163</v>
          </cell>
          <cell r="C474">
            <v>2.372621017E-3</v>
          </cell>
        </row>
        <row r="475">
          <cell r="B475">
            <v>961100</v>
          </cell>
          <cell r="C475">
            <v>2.3619752119999997E-3</v>
          </cell>
        </row>
        <row r="476">
          <cell r="B476">
            <v>870130</v>
          </cell>
          <cell r="C476">
            <v>2.3485660420000001E-3</v>
          </cell>
        </row>
        <row r="477">
          <cell r="B477">
            <v>900850</v>
          </cell>
          <cell r="C477">
            <v>2.3111819219999996E-3</v>
          </cell>
        </row>
        <row r="478">
          <cell r="B478">
            <v>820310</v>
          </cell>
          <cell r="C478">
            <v>2.2157337110000003E-3</v>
          </cell>
        </row>
        <row r="479">
          <cell r="B479">
            <v>950822</v>
          </cell>
          <cell r="C479">
            <v>2.1255219249999998E-3</v>
          </cell>
        </row>
        <row r="480">
          <cell r="B480">
            <v>847510</v>
          </cell>
          <cell r="C480">
            <v>2.0772048240000002E-3</v>
          </cell>
        </row>
        <row r="481">
          <cell r="B481">
            <v>846225</v>
          </cell>
          <cell r="C481">
            <v>2.0115704139999999E-3</v>
          </cell>
        </row>
        <row r="482">
          <cell r="B482">
            <v>842382</v>
          </cell>
          <cell r="C482">
            <v>1.9837335560000001E-3</v>
          </cell>
        </row>
        <row r="483">
          <cell r="B483">
            <v>846810</v>
          </cell>
          <cell r="C483">
            <v>1.9794627009999998E-3</v>
          </cell>
        </row>
        <row r="484">
          <cell r="B484">
            <v>901120</v>
          </cell>
          <cell r="C484">
            <v>1.9596942779999999E-3</v>
          </cell>
        </row>
        <row r="485">
          <cell r="B485">
            <v>820510</v>
          </cell>
          <cell r="C485">
            <v>1.9382935209999999E-3</v>
          </cell>
        </row>
        <row r="486">
          <cell r="B486">
            <v>820210</v>
          </cell>
          <cell r="C486">
            <v>1.882845925E-3</v>
          </cell>
        </row>
        <row r="487">
          <cell r="B487">
            <v>820520</v>
          </cell>
          <cell r="C487">
            <v>1.862382566E-3</v>
          </cell>
        </row>
        <row r="488">
          <cell r="B488">
            <v>820830</v>
          </cell>
          <cell r="C488">
            <v>1.8283943950000001E-3</v>
          </cell>
        </row>
        <row r="489">
          <cell r="B489">
            <v>845910</v>
          </cell>
          <cell r="C489">
            <v>1.8202856950000001E-3</v>
          </cell>
        </row>
        <row r="490">
          <cell r="B490">
            <v>901720</v>
          </cell>
          <cell r="C490">
            <v>1.810888068E-3</v>
          </cell>
        </row>
        <row r="491">
          <cell r="B491">
            <v>901820</v>
          </cell>
          <cell r="C491">
            <v>1.7743136910000001E-3</v>
          </cell>
        </row>
        <row r="492">
          <cell r="B492">
            <v>847621</v>
          </cell>
          <cell r="C492">
            <v>1.7461058789999999E-3</v>
          </cell>
        </row>
        <row r="493">
          <cell r="B493">
            <v>820291</v>
          </cell>
          <cell r="C493">
            <v>1.7341076080000001E-3</v>
          </cell>
        </row>
        <row r="494">
          <cell r="B494">
            <v>820530</v>
          </cell>
          <cell r="C494">
            <v>1.733496039E-3</v>
          </cell>
        </row>
        <row r="495">
          <cell r="B495">
            <v>900710</v>
          </cell>
          <cell r="C495">
            <v>1.699321897E-3</v>
          </cell>
        </row>
        <row r="496">
          <cell r="B496">
            <v>901410</v>
          </cell>
          <cell r="C496">
            <v>1.6829289969999999E-3</v>
          </cell>
        </row>
        <row r="497">
          <cell r="B497">
            <v>820160</v>
          </cell>
          <cell r="C497">
            <v>1.653390934E-3</v>
          </cell>
        </row>
        <row r="498">
          <cell r="B498">
            <v>843840</v>
          </cell>
          <cell r="C498">
            <v>1.6458055539999999E-3</v>
          </cell>
        </row>
        <row r="499">
          <cell r="B499">
            <v>820150</v>
          </cell>
          <cell r="C499">
            <v>1.6390526610000002E-3</v>
          </cell>
        </row>
        <row r="500">
          <cell r="B500">
            <v>847030</v>
          </cell>
          <cell r="C500">
            <v>1.50649068E-3</v>
          </cell>
        </row>
        <row r="501">
          <cell r="B501">
            <v>840310</v>
          </cell>
          <cell r="C501">
            <v>1.4275195949999999E-3</v>
          </cell>
        </row>
        <row r="502">
          <cell r="B502">
            <v>844315</v>
          </cell>
          <cell r="C502">
            <v>1.399163465E-3</v>
          </cell>
        </row>
        <row r="503">
          <cell r="B503">
            <v>950821</v>
          </cell>
          <cell r="C503">
            <v>1.3379190130000001E-3</v>
          </cell>
        </row>
        <row r="504">
          <cell r="B504">
            <v>841935</v>
          </cell>
          <cell r="C504">
            <v>1.3313856259999999E-3</v>
          </cell>
        </row>
        <row r="505">
          <cell r="B505">
            <v>820330</v>
          </cell>
          <cell r="C505">
            <v>1.268057743E-3</v>
          </cell>
        </row>
        <row r="506">
          <cell r="B506">
            <v>841382</v>
          </cell>
          <cell r="C506">
            <v>1.232805015E-3</v>
          </cell>
        </row>
        <row r="507">
          <cell r="B507">
            <v>950830</v>
          </cell>
          <cell r="C507">
            <v>1.1622381250000001E-3</v>
          </cell>
        </row>
        <row r="508">
          <cell r="B508">
            <v>851981</v>
          </cell>
          <cell r="C508">
            <v>1.149817609E-3</v>
          </cell>
        </row>
        <row r="509">
          <cell r="B509">
            <v>847629</v>
          </cell>
          <cell r="C509">
            <v>1.0737469929999999E-3</v>
          </cell>
        </row>
        <row r="510">
          <cell r="B510">
            <v>840610</v>
          </cell>
          <cell r="C510">
            <v>1.030290349E-3</v>
          </cell>
        </row>
        <row r="511">
          <cell r="B511">
            <v>821110</v>
          </cell>
          <cell r="C511">
            <v>1.001217315E-3</v>
          </cell>
        </row>
        <row r="512">
          <cell r="B512">
            <v>821195</v>
          </cell>
          <cell r="C512">
            <v>9.8645208999999993E-4</v>
          </cell>
        </row>
        <row r="513">
          <cell r="B513">
            <v>840212</v>
          </cell>
          <cell r="C513">
            <v>9.4832389700000004E-4</v>
          </cell>
        </row>
        <row r="514">
          <cell r="B514">
            <v>830400</v>
          </cell>
          <cell r="C514">
            <v>8.7215386499999998E-4</v>
          </cell>
        </row>
        <row r="515">
          <cell r="B515">
            <v>843320</v>
          </cell>
          <cell r="C515">
            <v>8.6561132399999997E-4</v>
          </cell>
        </row>
        <row r="516">
          <cell r="B516">
            <v>950824</v>
          </cell>
          <cell r="C516">
            <v>8.6228190199999998E-4</v>
          </cell>
        </row>
        <row r="517">
          <cell r="B517">
            <v>900720</v>
          </cell>
          <cell r="C517">
            <v>8.5541350899999999E-4</v>
          </cell>
        </row>
        <row r="518">
          <cell r="B518">
            <v>843410</v>
          </cell>
          <cell r="C518">
            <v>7.9140757400000003E-4</v>
          </cell>
        </row>
        <row r="519">
          <cell r="B519">
            <v>847021</v>
          </cell>
          <cell r="C519">
            <v>7.5886874399999995E-4</v>
          </cell>
        </row>
        <row r="520">
          <cell r="B520">
            <v>820130</v>
          </cell>
          <cell r="C520">
            <v>7.3403838499999999E-4</v>
          </cell>
        </row>
        <row r="521">
          <cell r="B521">
            <v>847983</v>
          </cell>
          <cell r="C521">
            <v>7.1420767000000005E-4</v>
          </cell>
        </row>
        <row r="522">
          <cell r="B522">
            <v>843061</v>
          </cell>
          <cell r="C522">
            <v>6.8110672499999993E-4</v>
          </cell>
        </row>
        <row r="523">
          <cell r="B523">
            <v>900659</v>
          </cell>
          <cell r="C523">
            <v>6.5109362100000006E-4</v>
          </cell>
        </row>
        <row r="524">
          <cell r="B524">
            <v>843020</v>
          </cell>
          <cell r="C524">
            <v>6.1041649799999998E-4</v>
          </cell>
        </row>
        <row r="525">
          <cell r="B525">
            <v>870191</v>
          </cell>
          <cell r="C525">
            <v>5.9828328700000006E-4</v>
          </cell>
        </row>
        <row r="526">
          <cell r="B526">
            <v>950840</v>
          </cell>
          <cell r="C526">
            <v>5.5853476100000007E-4</v>
          </cell>
        </row>
        <row r="527">
          <cell r="B527">
            <v>901050</v>
          </cell>
          <cell r="C527">
            <v>5.5093314199999995E-4</v>
          </cell>
        </row>
        <row r="528">
          <cell r="B528">
            <v>841912</v>
          </cell>
          <cell r="C528">
            <v>4.7837040000000002E-4</v>
          </cell>
        </row>
        <row r="529">
          <cell r="B529">
            <v>845612</v>
          </cell>
          <cell r="C529">
            <v>4.4698665100000002E-4</v>
          </cell>
        </row>
        <row r="530">
          <cell r="B530">
            <v>844629</v>
          </cell>
          <cell r="C530">
            <v>4.3982872799999998E-4</v>
          </cell>
        </row>
        <row r="531">
          <cell r="B531">
            <v>901010</v>
          </cell>
          <cell r="C531">
            <v>4.3034546399999999E-4</v>
          </cell>
        </row>
        <row r="532">
          <cell r="B532">
            <v>870193</v>
          </cell>
          <cell r="C532">
            <v>4.2644772700000001E-4</v>
          </cell>
        </row>
        <row r="533">
          <cell r="B533">
            <v>950823</v>
          </cell>
          <cell r="C533">
            <v>4.0198882799999999E-4</v>
          </cell>
        </row>
        <row r="534">
          <cell r="B534">
            <v>940131</v>
          </cell>
          <cell r="C534">
            <v>3.8730263900000001E-4</v>
          </cell>
        </row>
        <row r="535">
          <cell r="B535">
            <v>843242</v>
          </cell>
          <cell r="C535">
            <v>3.6125402399999999E-4</v>
          </cell>
        </row>
        <row r="536">
          <cell r="B536">
            <v>841013</v>
          </cell>
          <cell r="C536">
            <v>3.3999064200000001E-4</v>
          </cell>
        </row>
        <row r="537">
          <cell r="B537">
            <v>850171</v>
          </cell>
          <cell r="C537">
            <v>3.2973400600000001E-4</v>
          </cell>
        </row>
        <row r="538">
          <cell r="B538">
            <v>850180</v>
          </cell>
          <cell r="C538">
            <v>3.1704173999999997E-4</v>
          </cell>
        </row>
        <row r="539">
          <cell r="B539">
            <v>851431</v>
          </cell>
          <cell r="C539">
            <v>3.08138288E-4</v>
          </cell>
        </row>
        <row r="540">
          <cell r="B540">
            <v>841012</v>
          </cell>
          <cell r="C540">
            <v>2.7986594799999997E-4</v>
          </cell>
        </row>
        <row r="541">
          <cell r="B541">
            <v>950826</v>
          </cell>
          <cell r="C541">
            <v>2.7123306800000001E-4</v>
          </cell>
        </row>
        <row r="542">
          <cell r="B542">
            <v>843353</v>
          </cell>
          <cell r="C542">
            <v>2.7115549099999996E-4</v>
          </cell>
        </row>
        <row r="543">
          <cell r="B543">
            <v>820140</v>
          </cell>
          <cell r="C543">
            <v>2.4727206200000001E-4</v>
          </cell>
        </row>
        <row r="544">
          <cell r="B544">
            <v>841630</v>
          </cell>
          <cell r="C544">
            <v>2.3559994899999999E-4</v>
          </cell>
        </row>
        <row r="545">
          <cell r="B545">
            <v>847210</v>
          </cell>
          <cell r="C545">
            <v>1.7414815799999999E-4</v>
          </cell>
        </row>
        <row r="546">
          <cell r="B546">
            <v>910610</v>
          </cell>
          <cell r="C546">
            <v>1.6944624400000002E-4</v>
          </cell>
        </row>
        <row r="547">
          <cell r="B547">
            <v>870194</v>
          </cell>
          <cell r="C547">
            <v>1.5953459299999998E-4</v>
          </cell>
        </row>
        <row r="548">
          <cell r="B548">
            <v>847230</v>
          </cell>
          <cell r="C548">
            <v>1.36286984E-4</v>
          </cell>
        </row>
        <row r="549">
          <cell r="B549">
            <v>842112</v>
          </cell>
          <cell r="C549">
            <v>1.35634878E-4</v>
          </cell>
        </row>
        <row r="550">
          <cell r="B550">
            <v>900653</v>
          </cell>
          <cell r="C550">
            <v>1.14837536E-4</v>
          </cell>
        </row>
        <row r="551">
          <cell r="B551">
            <v>847681</v>
          </cell>
          <cell r="C551">
            <v>1.13296169E-4</v>
          </cell>
        </row>
        <row r="552">
          <cell r="B552">
            <v>851920</v>
          </cell>
          <cell r="C552">
            <v>1.0459309E-4</v>
          </cell>
        </row>
        <row r="553">
          <cell r="B553">
            <v>901710</v>
          </cell>
          <cell r="C553">
            <v>1.01218944E-4</v>
          </cell>
        </row>
        <row r="554">
          <cell r="B554">
            <v>847432</v>
          </cell>
          <cell r="C554">
            <v>7.2724862999999998E-5</v>
          </cell>
        </row>
        <row r="555">
          <cell r="B555">
            <v>851432</v>
          </cell>
          <cell r="C555">
            <v>6.7075490000000011E-5</v>
          </cell>
        </row>
        <row r="556">
          <cell r="B556">
            <v>843241</v>
          </cell>
          <cell r="C556">
            <v>6.690839200000001E-5</v>
          </cell>
        </row>
        <row r="557">
          <cell r="B557">
            <v>848530</v>
          </cell>
          <cell r="C557">
            <v>4.2259061999999999E-5</v>
          </cell>
        </row>
        <row r="558">
          <cell r="B558">
            <v>843221</v>
          </cell>
          <cell r="C558">
            <v>3.2536782999999997E-5</v>
          </cell>
        </row>
        <row r="559">
          <cell r="B559">
            <v>820560</v>
          </cell>
          <cell r="C559">
            <v>2.9486206999999998E-5</v>
          </cell>
        </row>
        <row r="560">
          <cell r="B560">
            <v>870110</v>
          </cell>
          <cell r="C560">
            <v>2.5588682000000002E-5</v>
          </cell>
        </row>
        <row r="561">
          <cell r="B561">
            <v>841011</v>
          </cell>
          <cell r="C561">
            <v>8.5176139999999995E-6</v>
          </cell>
        </row>
        <row r="562">
          <cell r="B562">
            <v>840681</v>
          </cell>
          <cell r="C562">
            <v>5.8546769999999996E-6</v>
          </cell>
        </row>
        <row r="563">
          <cell r="B563">
            <v>840120</v>
          </cell>
          <cell r="C563">
            <v>2.9796600000000001E-7</v>
          </cell>
        </row>
        <row r="564">
          <cell r="B564">
            <v>840110</v>
          </cell>
          <cell r="C564">
            <v>0</v>
          </cell>
        </row>
        <row r="565">
          <cell r="B565">
            <v>950825</v>
          </cell>
          <cell r="C565">
            <v>0</v>
          </cell>
        </row>
        <row r="566">
          <cell r="B566">
            <v>820120</v>
          </cell>
          <cell r="C566">
            <v>0</v>
          </cell>
        </row>
        <row r="567">
          <cell r="B567">
            <v>820580</v>
          </cell>
          <cell r="C567">
            <v>0</v>
          </cell>
        </row>
        <row r="568">
          <cell r="B568">
            <v>841931</v>
          </cell>
          <cell r="C568">
            <v>0</v>
          </cell>
        </row>
        <row r="569">
          <cell r="B569">
            <v>841932</v>
          </cell>
          <cell r="C569">
            <v>0</v>
          </cell>
        </row>
        <row r="570">
          <cell r="B570">
            <v>842481</v>
          </cell>
          <cell r="C570">
            <v>0</v>
          </cell>
        </row>
        <row r="571">
          <cell r="B571">
            <v>843230</v>
          </cell>
          <cell r="C571">
            <v>0</v>
          </cell>
        </row>
        <row r="572">
          <cell r="B572">
            <v>843240</v>
          </cell>
          <cell r="C572">
            <v>0</v>
          </cell>
        </row>
        <row r="573">
          <cell r="B573">
            <v>846241</v>
          </cell>
          <cell r="C573">
            <v>0</v>
          </cell>
        </row>
        <row r="574">
          <cell r="B574">
            <v>846291</v>
          </cell>
          <cell r="C574">
            <v>0</v>
          </cell>
        </row>
        <row r="575">
          <cell r="B575">
            <v>846299</v>
          </cell>
          <cell r="C575">
            <v>0</v>
          </cell>
        </row>
        <row r="576">
          <cell r="B576">
            <v>850740</v>
          </cell>
          <cell r="C576">
            <v>0</v>
          </cell>
        </row>
        <row r="577">
          <cell r="B577">
            <v>851410</v>
          </cell>
          <cell r="C577">
            <v>0</v>
          </cell>
        </row>
        <row r="578">
          <cell r="B578">
            <v>870120</v>
          </cell>
          <cell r="C578">
            <v>0</v>
          </cell>
        </row>
        <row r="579">
          <cell r="B579">
            <v>870190</v>
          </cell>
          <cell r="C579">
            <v>0</v>
          </cell>
        </row>
        <row r="580">
          <cell r="B580">
            <v>902780</v>
          </cell>
          <cell r="C580">
            <v>0</v>
          </cell>
        </row>
      </sheetData>
      <sheetData sheetId="13"/>
      <sheetData sheetId="14"/>
      <sheetData sheetId="15"/>
      <sheetData sheetId="16">
        <row r="6">
          <cell r="B6">
            <v>850440</v>
          </cell>
          <cell r="C6" t="str">
            <v>Capital Goods</v>
          </cell>
          <cell r="D6">
            <v>103.79885451238499</v>
          </cell>
        </row>
        <row r="7">
          <cell r="B7">
            <v>842952</v>
          </cell>
          <cell r="C7" t="str">
            <v>Capital Goods</v>
          </cell>
          <cell r="D7">
            <v>35.755035280116999</v>
          </cell>
        </row>
        <row r="8">
          <cell r="B8">
            <v>847989</v>
          </cell>
          <cell r="C8" t="str">
            <v>Capital Goods</v>
          </cell>
          <cell r="D8">
            <v>51.47486507112</v>
          </cell>
        </row>
        <row r="9">
          <cell r="B9">
            <v>842710</v>
          </cell>
          <cell r="C9" t="str">
            <v>Capital Goods</v>
          </cell>
          <cell r="D9">
            <v>15.196996059570999</v>
          </cell>
        </row>
        <row r="10">
          <cell r="B10">
            <v>842720</v>
          </cell>
          <cell r="C10" t="str">
            <v>Capital Goods</v>
          </cell>
          <cell r="D10">
            <v>15.452098916952</v>
          </cell>
        </row>
        <row r="11">
          <cell r="B11">
            <v>842951</v>
          </cell>
          <cell r="C11" t="str">
            <v>Capital Goods</v>
          </cell>
          <cell r="D11">
            <v>16.191612771962998</v>
          </cell>
        </row>
        <row r="12">
          <cell r="B12">
            <v>841370</v>
          </cell>
          <cell r="C12" t="str">
            <v>Capital Goods</v>
          </cell>
          <cell r="D12">
            <v>17.952901636002</v>
          </cell>
        </row>
        <row r="13">
          <cell r="B13">
            <v>903149</v>
          </cell>
          <cell r="C13" t="str">
            <v>Capital Goods</v>
          </cell>
          <cell r="D13">
            <v>12.746913384819001</v>
          </cell>
        </row>
        <row r="14">
          <cell r="B14">
            <v>845611</v>
          </cell>
          <cell r="C14" t="str">
            <v>Capital Goods</v>
          </cell>
          <cell r="D14">
            <v>6.5221743335799998</v>
          </cell>
        </row>
        <row r="15">
          <cell r="B15">
            <v>902789</v>
          </cell>
          <cell r="C15" t="str">
            <v>Capital Goods</v>
          </cell>
          <cell r="D15">
            <v>10.668475218816001</v>
          </cell>
        </row>
        <row r="16">
          <cell r="B16">
            <v>903180</v>
          </cell>
          <cell r="C16" t="str">
            <v>Capital Goods</v>
          </cell>
          <cell r="D16">
            <v>25.85984848184</v>
          </cell>
        </row>
        <row r="17">
          <cell r="B17">
            <v>848640</v>
          </cell>
          <cell r="C17" t="str">
            <v>Capital Goods</v>
          </cell>
          <cell r="D17">
            <v>12.357574409787</v>
          </cell>
        </row>
        <row r="18">
          <cell r="B18">
            <v>848620</v>
          </cell>
          <cell r="C18" t="str">
            <v>Capital Goods</v>
          </cell>
          <cell r="D18">
            <v>74.076201135755994</v>
          </cell>
        </row>
        <row r="19">
          <cell r="B19">
            <v>848520</v>
          </cell>
          <cell r="C19" t="str">
            <v>Capital Goods</v>
          </cell>
          <cell r="D19">
            <v>1.3224036971240001</v>
          </cell>
        </row>
        <row r="20">
          <cell r="B20">
            <v>841861</v>
          </cell>
          <cell r="C20" t="str">
            <v>Capital Goods</v>
          </cell>
          <cell r="D20">
            <v>6.0951450327869994</v>
          </cell>
        </row>
        <row r="21">
          <cell r="B21">
            <v>903289</v>
          </cell>
          <cell r="C21" t="str">
            <v>Capital Goods</v>
          </cell>
          <cell r="D21">
            <v>22.277140284986</v>
          </cell>
        </row>
        <row r="22">
          <cell r="B22">
            <v>850153</v>
          </cell>
          <cell r="C22" t="str">
            <v>Capital Goods</v>
          </cell>
          <cell r="D22">
            <v>8.3363056472729991</v>
          </cell>
        </row>
        <row r="23">
          <cell r="B23">
            <v>850423</v>
          </cell>
          <cell r="C23" t="str">
            <v>Capital Goods</v>
          </cell>
          <cell r="D23">
            <v>6.9821049336210006</v>
          </cell>
        </row>
        <row r="24">
          <cell r="B24">
            <v>842641</v>
          </cell>
          <cell r="C24" t="str">
            <v>Capital Goods</v>
          </cell>
          <cell r="D24">
            <v>3.580500926514</v>
          </cell>
        </row>
        <row r="25">
          <cell r="B25">
            <v>842890</v>
          </cell>
          <cell r="C25" t="str">
            <v>Capital Goods</v>
          </cell>
          <cell r="D25">
            <v>14.754161157035</v>
          </cell>
        </row>
        <row r="26">
          <cell r="B26">
            <v>820559</v>
          </cell>
          <cell r="C26" t="str">
            <v>Capital Goods</v>
          </cell>
          <cell r="D26">
            <v>4.5257598742259999</v>
          </cell>
        </row>
        <row r="27">
          <cell r="B27">
            <v>845710</v>
          </cell>
          <cell r="C27" t="str">
            <v>Capital Goods</v>
          </cell>
          <cell r="D27">
            <v>9.2044345320240009</v>
          </cell>
        </row>
        <row r="28">
          <cell r="B28">
            <v>842230</v>
          </cell>
          <cell r="C28" t="str">
            <v>Capital Goods</v>
          </cell>
          <cell r="D28">
            <v>10.293694743608999</v>
          </cell>
        </row>
        <row r="29">
          <cell r="B29">
            <v>851981</v>
          </cell>
          <cell r="C29" t="str">
            <v>Capital Goods</v>
          </cell>
          <cell r="D29">
            <v>1.7990510376700002</v>
          </cell>
        </row>
        <row r="30">
          <cell r="B30">
            <v>820551</v>
          </cell>
          <cell r="C30" t="str">
            <v>Capital Goods</v>
          </cell>
          <cell r="D30">
            <v>2.0490730426370001</v>
          </cell>
        </row>
        <row r="31">
          <cell r="B31">
            <v>841989</v>
          </cell>
          <cell r="C31" t="str">
            <v>Capital Goods</v>
          </cell>
          <cell r="D31">
            <v>10.373114867551001</v>
          </cell>
        </row>
        <row r="32">
          <cell r="B32">
            <v>850152</v>
          </cell>
          <cell r="C32" t="str">
            <v>Capital Goods</v>
          </cell>
          <cell r="D32">
            <v>10.357186422568001</v>
          </cell>
        </row>
        <row r="33">
          <cell r="B33">
            <v>850422</v>
          </cell>
          <cell r="C33" t="str">
            <v>Capital Goods</v>
          </cell>
          <cell r="D33">
            <v>3.9319181300209998</v>
          </cell>
        </row>
        <row r="34">
          <cell r="B34">
            <v>847420</v>
          </cell>
          <cell r="C34" t="str">
            <v>Capital Goods</v>
          </cell>
          <cell r="D34">
            <v>4.0632473712529995</v>
          </cell>
        </row>
        <row r="35">
          <cell r="B35">
            <v>842649</v>
          </cell>
          <cell r="C35" t="str">
            <v>Capital Goods</v>
          </cell>
          <cell r="D35">
            <v>2.8970969851469999</v>
          </cell>
        </row>
        <row r="36">
          <cell r="B36">
            <v>842839</v>
          </cell>
          <cell r="C36" t="str">
            <v>Capital Goods</v>
          </cell>
          <cell r="D36">
            <v>7.7437510404380001</v>
          </cell>
        </row>
        <row r="37">
          <cell r="B37">
            <v>847710</v>
          </cell>
          <cell r="C37" t="str">
            <v>Capital Goods</v>
          </cell>
          <cell r="D37">
            <v>5.2145720568140002</v>
          </cell>
        </row>
        <row r="38">
          <cell r="B38">
            <v>842911</v>
          </cell>
          <cell r="C38" t="str">
            <v>Capital Goods</v>
          </cell>
          <cell r="D38">
            <v>5.2632638940979994</v>
          </cell>
        </row>
        <row r="39">
          <cell r="B39">
            <v>842123</v>
          </cell>
          <cell r="C39" t="str">
            <v>Capital Goods</v>
          </cell>
          <cell r="D39">
            <v>8.7109218797349985</v>
          </cell>
        </row>
        <row r="40">
          <cell r="B40">
            <v>847780</v>
          </cell>
          <cell r="C40" t="str">
            <v>Capital Goods</v>
          </cell>
          <cell r="D40">
            <v>8.2904160641849991</v>
          </cell>
        </row>
        <row r="41">
          <cell r="B41">
            <v>841360</v>
          </cell>
          <cell r="C41" t="str">
            <v>Capital Goods</v>
          </cell>
          <cell r="D41">
            <v>8.1080811482610002</v>
          </cell>
        </row>
        <row r="42">
          <cell r="B42">
            <v>902830</v>
          </cell>
          <cell r="C42" t="str">
            <v>Capital Goods</v>
          </cell>
          <cell r="D42">
            <v>4.5150932140920004</v>
          </cell>
        </row>
        <row r="43">
          <cell r="B43">
            <v>841960</v>
          </cell>
          <cell r="C43" t="str">
            <v>Capital Goods</v>
          </cell>
          <cell r="D43">
            <v>1.2844302528</v>
          </cell>
        </row>
        <row r="44">
          <cell r="B44">
            <v>851419</v>
          </cell>
          <cell r="C44" t="str">
            <v>Capital Goods</v>
          </cell>
          <cell r="D44">
            <v>2.3050331592350002</v>
          </cell>
        </row>
        <row r="45">
          <cell r="B45">
            <v>820730</v>
          </cell>
          <cell r="C45" t="str">
            <v>Capital Goods</v>
          </cell>
          <cell r="D45">
            <v>6.4433875873120003</v>
          </cell>
        </row>
        <row r="46">
          <cell r="B46">
            <v>902620</v>
          </cell>
          <cell r="C46" t="str">
            <v>Capital Goods</v>
          </cell>
          <cell r="D46">
            <v>11.170423560351001</v>
          </cell>
        </row>
        <row r="47">
          <cell r="B47">
            <v>841350</v>
          </cell>
          <cell r="C47" t="str">
            <v>Capital Goods</v>
          </cell>
          <cell r="D47">
            <v>9.9874781856089996</v>
          </cell>
        </row>
        <row r="48">
          <cell r="B48">
            <v>842139</v>
          </cell>
          <cell r="C48" t="str">
            <v>Capital Goods</v>
          </cell>
          <cell r="D48">
            <v>21.128265036485999</v>
          </cell>
        </row>
        <row r="49">
          <cell r="B49">
            <v>842940</v>
          </cell>
          <cell r="C49" t="str">
            <v>Capital Goods</v>
          </cell>
          <cell r="D49">
            <v>2.8680159760560002</v>
          </cell>
        </row>
        <row r="50">
          <cell r="B50">
            <v>841221</v>
          </cell>
          <cell r="C50" t="str">
            <v>Capital Goods</v>
          </cell>
          <cell r="D50">
            <v>8.116513637433</v>
          </cell>
        </row>
        <row r="51">
          <cell r="B51">
            <v>730900</v>
          </cell>
          <cell r="C51" t="str">
            <v>Capital Goods</v>
          </cell>
          <cell r="D51">
            <v>5.1836473841289994</v>
          </cell>
        </row>
        <row r="52">
          <cell r="B52">
            <v>842833</v>
          </cell>
          <cell r="C52" t="str">
            <v>Capital Goods</v>
          </cell>
          <cell r="D52">
            <v>4.5148205613150001</v>
          </cell>
        </row>
        <row r="53">
          <cell r="B53">
            <v>845811</v>
          </cell>
          <cell r="C53" t="str">
            <v>Capital Goods</v>
          </cell>
          <cell r="D53">
            <v>5.6931022893209997</v>
          </cell>
        </row>
        <row r="54">
          <cell r="B54">
            <v>851580</v>
          </cell>
          <cell r="C54" t="str">
            <v>Capital Goods</v>
          </cell>
          <cell r="D54">
            <v>3.3430135251750004</v>
          </cell>
        </row>
        <row r="55">
          <cell r="B55">
            <v>820600</v>
          </cell>
          <cell r="C55" t="str">
            <v>Capital Goods</v>
          </cell>
          <cell r="D55">
            <v>1.8768980583479999</v>
          </cell>
        </row>
        <row r="56">
          <cell r="B56">
            <v>847982</v>
          </cell>
          <cell r="C56" t="str">
            <v>Capital Goods</v>
          </cell>
          <cell r="D56">
            <v>6.6074554177830001</v>
          </cell>
        </row>
        <row r="57">
          <cell r="B57">
            <v>842810</v>
          </cell>
          <cell r="C57" t="str">
            <v>Capital Goods</v>
          </cell>
          <cell r="D57">
            <v>6.9881200974189994</v>
          </cell>
        </row>
        <row r="58">
          <cell r="B58">
            <v>842489</v>
          </cell>
          <cell r="C58" t="str">
            <v>Capital Goods</v>
          </cell>
          <cell r="D58">
            <v>6.42477387923</v>
          </cell>
        </row>
        <row r="59">
          <cell r="B59">
            <v>842920</v>
          </cell>
          <cell r="C59" t="str">
            <v>Capital Goods</v>
          </cell>
          <cell r="D59">
            <v>2.71051064672</v>
          </cell>
        </row>
        <row r="60">
          <cell r="B60">
            <v>842420</v>
          </cell>
          <cell r="C60" t="str">
            <v>Capital Goods</v>
          </cell>
          <cell r="D60">
            <v>2.229606272501</v>
          </cell>
        </row>
        <row r="61">
          <cell r="B61">
            <v>843041</v>
          </cell>
          <cell r="C61" t="str">
            <v>Capital Goods</v>
          </cell>
          <cell r="D61">
            <v>3.8201677053800003</v>
          </cell>
        </row>
        <row r="62">
          <cell r="B62">
            <v>820320</v>
          </cell>
          <cell r="C62" t="str">
            <v>Capital Goods</v>
          </cell>
          <cell r="D62">
            <v>2.1679671587750002</v>
          </cell>
        </row>
        <row r="63">
          <cell r="B63">
            <v>848610</v>
          </cell>
          <cell r="C63" t="str">
            <v>Capital Goods</v>
          </cell>
          <cell r="D63">
            <v>3.2774372175229995</v>
          </cell>
        </row>
        <row r="64">
          <cell r="B64">
            <v>851439</v>
          </cell>
          <cell r="C64" t="str">
            <v>Capital Goods</v>
          </cell>
          <cell r="D64">
            <v>0.69347657228900006</v>
          </cell>
        </row>
        <row r="65">
          <cell r="B65">
            <v>842959</v>
          </cell>
          <cell r="C65" t="str">
            <v>Capital Goods</v>
          </cell>
          <cell r="D65">
            <v>3.9751319922199997</v>
          </cell>
        </row>
        <row r="66">
          <cell r="B66">
            <v>846262</v>
          </cell>
          <cell r="C66" t="str">
            <v>Capital Goods</v>
          </cell>
          <cell r="D66">
            <v>1.2734923848549999</v>
          </cell>
        </row>
        <row r="67">
          <cell r="B67">
            <v>853670</v>
          </cell>
          <cell r="C67" t="str">
            <v>Capital Goods</v>
          </cell>
          <cell r="D67">
            <v>2.0770471989520001</v>
          </cell>
        </row>
        <row r="68">
          <cell r="B68">
            <v>853590</v>
          </cell>
          <cell r="C68" t="str">
            <v>Capital Goods</v>
          </cell>
          <cell r="D68">
            <v>4.7338345119880003</v>
          </cell>
        </row>
        <row r="69">
          <cell r="B69">
            <v>902710</v>
          </cell>
          <cell r="C69" t="str">
            <v>Capital Goods</v>
          </cell>
          <cell r="D69">
            <v>7.7531454783180003</v>
          </cell>
        </row>
        <row r="70">
          <cell r="B70">
            <v>842129</v>
          </cell>
          <cell r="C70" t="str">
            <v>Capital Goods</v>
          </cell>
          <cell r="D70">
            <v>12.532340795601</v>
          </cell>
        </row>
        <row r="71">
          <cell r="B71">
            <v>841940</v>
          </cell>
          <cell r="C71" t="str">
            <v>Capital Goods</v>
          </cell>
          <cell r="D71">
            <v>1.389044602747</v>
          </cell>
        </row>
        <row r="72">
          <cell r="B72">
            <v>850164</v>
          </cell>
          <cell r="C72" t="str">
            <v>Capital Goods</v>
          </cell>
          <cell r="D72">
            <v>3.5096623587020002</v>
          </cell>
        </row>
        <row r="73">
          <cell r="B73">
            <v>846722</v>
          </cell>
          <cell r="C73" t="str">
            <v>Capital Goods</v>
          </cell>
          <cell r="D73">
            <v>3.4022948934770003</v>
          </cell>
        </row>
        <row r="74">
          <cell r="B74">
            <v>820719</v>
          </cell>
          <cell r="C74" t="str">
            <v>Capital Goods</v>
          </cell>
          <cell r="D74">
            <v>2.5324541482080001</v>
          </cell>
        </row>
        <row r="75">
          <cell r="B75">
            <v>850421</v>
          </cell>
          <cell r="C75" t="str">
            <v>Capital Goods</v>
          </cell>
          <cell r="D75">
            <v>3.309885401296</v>
          </cell>
        </row>
        <row r="76">
          <cell r="B76">
            <v>850239</v>
          </cell>
          <cell r="C76" t="str">
            <v>Capital Goods</v>
          </cell>
          <cell r="D76">
            <v>2.2943463484810001</v>
          </cell>
        </row>
        <row r="77">
          <cell r="B77">
            <v>903039</v>
          </cell>
          <cell r="C77" t="str">
            <v>Capital Goods</v>
          </cell>
          <cell r="D77">
            <v>2.0689643973859999</v>
          </cell>
        </row>
        <row r="78">
          <cell r="B78">
            <v>901580</v>
          </cell>
          <cell r="C78" t="str">
            <v>Capital Goods</v>
          </cell>
          <cell r="D78">
            <v>5.4801325436440003</v>
          </cell>
        </row>
        <row r="79">
          <cell r="B79">
            <v>902920</v>
          </cell>
          <cell r="C79" t="str">
            <v>Capital Goods</v>
          </cell>
          <cell r="D79">
            <v>7.0633904884999996</v>
          </cell>
        </row>
        <row r="80">
          <cell r="B80">
            <v>902750</v>
          </cell>
          <cell r="C80" t="str">
            <v>Capital Goods</v>
          </cell>
          <cell r="D80">
            <v>11.475711325601999</v>
          </cell>
        </row>
        <row r="81">
          <cell r="B81">
            <v>851680</v>
          </cell>
          <cell r="C81" t="str">
            <v>Capital Goods</v>
          </cell>
          <cell r="D81">
            <v>5.7814885885749998</v>
          </cell>
        </row>
        <row r="82">
          <cell r="B82">
            <v>847981</v>
          </cell>
          <cell r="C82" t="str">
            <v>Capital Goods</v>
          </cell>
          <cell r="D82">
            <v>2.5462369550100004</v>
          </cell>
        </row>
        <row r="83">
          <cell r="B83">
            <v>903033</v>
          </cell>
          <cell r="C83" t="str">
            <v>Capital Goods</v>
          </cell>
          <cell r="D83">
            <v>2.8954207943829999</v>
          </cell>
        </row>
        <row r="84">
          <cell r="B84">
            <v>843049</v>
          </cell>
          <cell r="C84" t="str">
            <v>Capital Goods</v>
          </cell>
          <cell r="D84">
            <v>3.350621864641</v>
          </cell>
        </row>
        <row r="85">
          <cell r="B85">
            <v>847410</v>
          </cell>
          <cell r="C85" t="str">
            <v>Capital Goods</v>
          </cell>
          <cell r="D85">
            <v>3.0041832118249996</v>
          </cell>
        </row>
        <row r="86">
          <cell r="B86">
            <v>903210</v>
          </cell>
          <cell r="C86" t="str">
            <v>Capital Goods</v>
          </cell>
          <cell r="D86">
            <v>4.7264740327229999</v>
          </cell>
        </row>
        <row r="87">
          <cell r="B87">
            <v>850132</v>
          </cell>
          <cell r="C87" t="str">
            <v>Capital Goods</v>
          </cell>
          <cell r="D87">
            <v>3.0923400794410001</v>
          </cell>
        </row>
        <row r="88">
          <cell r="B88">
            <v>846223</v>
          </cell>
          <cell r="C88" t="str">
            <v>Capital Goods</v>
          </cell>
          <cell r="D88">
            <v>1.0837698496050001</v>
          </cell>
        </row>
        <row r="89">
          <cell r="B89">
            <v>830300</v>
          </cell>
          <cell r="C89" t="str">
            <v>Capital Goods</v>
          </cell>
          <cell r="D89">
            <v>1.4064380931760001</v>
          </cell>
        </row>
        <row r="90">
          <cell r="B90">
            <v>846599</v>
          </cell>
          <cell r="C90" t="str">
            <v>Capital Goods</v>
          </cell>
          <cell r="D90">
            <v>1.8869269921429999</v>
          </cell>
        </row>
        <row r="91">
          <cell r="B91">
            <v>841229</v>
          </cell>
          <cell r="C91" t="str">
            <v>Capital Goods</v>
          </cell>
          <cell r="D91">
            <v>5.142234933189</v>
          </cell>
        </row>
        <row r="92">
          <cell r="B92">
            <v>842619</v>
          </cell>
          <cell r="C92" t="str">
            <v>Capital Goods</v>
          </cell>
          <cell r="D92">
            <v>2.7843572676350004</v>
          </cell>
        </row>
        <row r="93">
          <cell r="B93">
            <v>847950</v>
          </cell>
          <cell r="C93" t="str">
            <v>Capital Goods</v>
          </cell>
          <cell r="D93">
            <v>7.2352870896079997</v>
          </cell>
        </row>
        <row r="94">
          <cell r="B94">
            <v>842870</v>
          </cell>
          <cell r="C94" t="str">
            <v>Capital Goods</v>
          </cell>
          <cell r="D94">
            <v>1.3345155115899998</v>
          </cell>
        </row>
        <row r="95">
          <cell r="B95">
            <v>870193</v>
          </cell>
          <cell r="C95" t="str">
            <v>Capital Goods</v>
          </cell>
          <cell r="D95">
            <v>5.1781184932799995</v>
          </cell>
        </row>
        <row r="96">
          <cell r="B96">
            <v>870194</v>
          </cell>
          <cell r="C96" t="str">
            <v>Capital Goods</v>
          </cell>
          <cell r="D96">
            <v>9.2972701429290012</v>
          </cell>
        </row>
        <row r="97">
          <cell r="B97">
            <v>902519</v>
          </cell>
          <cell r="C97" t="str">
            <v>Capital Goods</v>
          </cell>
          <cell r="D97">
            <v>4.5547169279809996</v>
          </cell>
        </row>
        <row r="98">
          <cell r="B98">
            <v>820420</v>
          </cell>
          <cell r="C98" t="str">
            <v>Capital Goods</v>
          </cell>
          <cell r="D98">
            <v>1.39476596898</v>
          </cell>
        </row>
        <row r="99">
          <cell r="B99">
            <v>821300</v>
          </cell>
          <cell r="C99" t="str">
            <v>Capital Goods</v>
          </cell>
          <cell r="D99">
            <v>1.0500670898539999</v>
          </cell>
        </row>
        <row r="100">
          <cell r="B100">
            <v>850590</v>
          </cell>
          <cell r="C100" t="str">
            <v>Capital Goods</v>
          </cell>
          <cell r="D100">
            <v>3.2888021665890004</v>
          </cell>
        </row>
        <row r="101">
          <cell r="B101">
            <v>844630</v>
          </cell>
          <cell r="C101" t="str">
            <v>Capital Goods</v>
          </cell>
          <cell r="D101">
            <v>1.7074984034949998</v>
          </cell>
        </row>
        <row r="102">
          <cell r="B102">
            <v>847910</v>
          </cell>
          <cell r="C102" t="str">
            <v>Capital Goods</v>
          </cell>
          <cell r="D102">
            <v>3.3600481110900002</v>
          </cell>
        </row>
        <row r="103">
          <cell r="B103">
            <v>820239</v>
          </cell>
          <cell r="C103" t="str">
            <v>Capital Goods</v>
          </cell>
          <cell r="D103">
            <v>1.374345268995</v>
          </cell>
        </row>
        <row r="104">
          <cell r="B104">
            <v>847720</v>
          </cell>
          <cell r="C104" t="str">
            <v>Capital Goods</v>
          </cell>
          <cell r="D104">
            <v>3.4291712914689998</v>
          </cell>
        </row>
        <row r="105">
          <cell r="B105">
            <v>843880</v>
          </cell>
          <cell r="C105" t="str">
            <v>Capital Goods</v>
          </cell>
          <cell r="D105">
            <v>3.2316885183850004</v>
          </cell>
        </row>
        <row r="106">
          <cell r="B106">
            <v>841710</v>
          </cell>
          <cell r="C106" t="str">
            <v>Capital Goods</v>
          </cell>
          <cell r="D106">
            <v>0.96328814488699999</v>
          </cell>
        </row>
        <row r="107">
          <cell r="B107">
            <v>846261</v>
          </cell>
          <cell r="C107" t="str">
            <v>Capital Goods</v>
          </cell>
          <cell r="D107">
            <v>0.90908541508299989</v>
          </cell>
        </row>
        <row r="108">
          <cell r="B108">
            <v>854330</v>
          </cell>
          <cell r="C108" t="str">
            <v>Capital Goods</v>
          </cell>
          <cell r="D108">
            <v>1.5600557511440001</v>
          </cell>
        </row>
        <row r="109">
          <cell r="B109">
            <v>843050</v>
          </cell>
          <cell r="C109" t="str">
            <v>Capital Goods</v>
          </cell>
          <cell r="D109">
            <v>1.116646821425</v>
          </cell>
        </row>
        <row r="110">
          <cell r="B110">
            <v>841939</v>
          </cell>
          <cell r="C110" t="str">
            <v>Capital Goods</v>
          </cell>
          <cell r="D110">
            <v>2.3617031232039998</v>
          </cell>
        </row>
        <row r="111">
          <cell r="B111">
            <v>820810</v>
          </cell>
          <cell r="C111" t="str">
            <v>Capital Goods</v>
          </cell>
          <cell r="D111">
            <v>0.75919324810900002</v>
          </cell>
        </row>
        <row r="112">
          <cell r="B112">
            <v>840211</v>
          </cell>
          <cell r="C112" t="str">
            <v>Capital Goods</v>
          </cell>
          <cell r="D112">
            <v>0.40087449295700001</v>
          </cell>
        </row>
        <row r="113">
          <cell r="B113">
            <v>851610</v>
          </cell>
          <cell r="C113" t="str">
            <v>Capital Goods</v>
          </cell>
          <cell r="D113">
            <v>3.6109116999590003</v>
          </cell>
        </row>
        <row r="114">
          <cell r="B114">
            <v>901510</v>
          </cell>
          <cell r="C114" t="str">
            <v>Capital Goods</v>
          </cell>
          <cell r="D114">
            <v>1.1931809578450001</v>
          </cell>
        </row>
        <row r="115">
          <cell r="B115">
            <v>902610</v>
          </cell>
          <cell r="C115" t="str">
            <v>Capital Goods</v>
          </cell>
          <cell r="D115">
            <v>6.7471047837609994</v>
          </cell>
        </row>
        <row r="116">
          <cell r="B116">
            <v>844790</v>
          </cell>
          <cell r="C116" t="str">
            <v>Capital Goods</v>
          </cell>
          <cell r="D116">
            <v>0.99697570118800005</v>
          </cell>
        </row>
        <row r="117">
          <cell r="B117">
            <v>962000</v>
          </cell>
          <cell r="C117" t="str">
            <v>Capital Goods</v>
          </cell>
          <cell r="D117">
            <v>0.94283574407699999</v>
          </cell>
        </row>
        <row r="118">
          <cell r="B118">
            <v>842620</v>
          </cell>
          <cell r="C118" t="str">
            <v>Capital Goods</v>
          </cell>
          <cell r="D118">
            <v>1.658015275011</v>
          </cell>
        </row>
        <row r="119">
          <cell r="B119">
            <v>842790</v>
          </cell>
          <cell r="C119" t="str">
            <v>Capital Goods</v>
          </cell>
          <cell r="D119">
            <v>1.5081465035750001</v>
          </cell>
        </row>
        <row r="120">
          <cell r="B120">
            <v>844130</v>
          </cell>
          <cell r="C120" t="str">
            <v>Capital Goods</v>
          </cell>
          <cell r="D120">
            <v>2.1718094316199998</v>
          </cell>
        </row>
        <row r="121">
          <cell r="B121">
            <v>842240</v>
          </cell>
          <cell r="C121" t="str">
            <v>Capital Goods</v>
          </cell>
          <cell r="D121">
            <v>10.276384546020001</v>
          </cell>
        </row>
        <row r="122">
          <cell r="B122">
            <v>846729</v>
          </cell>
          <cell r="C122" t="str">
            <v>Capital Goods</v>
          </cell>
          <cell r="D122">
            <v>13.092973100756</v>
          </cell>
        </row>
        <row r="123">
          <cell r="B123">
            <v>841912</v>
          </cell>
          <cell r="C123" t="str">
            <v>Capital Goods</v>
          </cell>
          <cell r="D123">
            <v>0.32870317426200002</v>
          </cell>
        </row>
        <row r="124">
          <cell r="B124">
            <v>854159</v>
          </cell>
          <cell r="C124" t="str">
            <v>Capital Goods</v>
          </cell>
          <cell r="D124">
            <v>2.780863121266</v>
          </cell>
        </row>
        <row r="125">
          <cell r="B125">
            <v>841320</v>
          </cell>
          <cell r="C125" t="str">
            <v>Capital Goods</v>
          </cell>
          <cell r="D125">
            <v>1.2280170536600001</v>
          </cell>
        </row>
        <row r="126">
          <cell r="B126">
            <v>901780</v>
          </cell>
          <cell r="C126" t="str">
            <v>Capital Goods</v>
          </cell>
          <cell r="D126">
            <v>1.265199224004</v>
          </cell>
        </row>
        <row r="127">
          <cell r="B127">
            <v>853630</v>
          </cell>
          <cell r="C127" t="str">
            <v>Capital Goods</v>
          </cell>
          <cell r="D127">
            <v>5.3823246756199996</v>
          </cell>
        </row>
        <row r="128">
          <cell r="B128">
            <v>850434</v>
          </cell>
          <cell r="C128" t="str">
            <v>Capital Goods</v>
          </cell>
          <cell r="D128">
            <v>1.8455879194930001</v>
          </cell>
        </row>
        <row r="129">
          <cell r="B129">
            <v>903084</v>
          </cell>
          <cell r="C129" t="str">
            <v>Capital Goods</v>
          </cell>
          <cell r="D129">
            <v>1.597133981352</v>
          </cell>
        </row>
        <row r="130">
          <cell r="B130">
            <v>820299</v>
          </cell>
          <cell r="C130" t="str">
            <v>Capital Goods</v>
          </cell>
          <cell r="D130">
            <v>1.006735677967</v>
          </cell>
        </row>
        <row r="131">
          <cell r="B131">
            <v>820110</v>
          </cell>
          <cell r="C131" t="str">
            <v>Capital Goods</v>
          </cell>
          <cell r="D131">
            <v>0.53924147599799999</v>
          </cell>
        </row>
        <row r="132">
          <cell r="B132">
            <v>851531</v>
          </cell>
          <cell r="C132" t="str">
            <v>Capital Goods</v>
          </cell>
          <cell r="D132">
            <v>1.8553353238099999</v>
          </cell>
        </row>
        <row r="133">
          <cell r="B133">
            <v>854320</v>
          </cell>
          <cell r="C133" t="str">
            <v>Capital Goods</v>
          </cell>
          <cell r="D133">
            <v>1.9374402628699998</v>
          </cell>
        </row>
        <row r="134">
          <cell r="B134">
            <v>842630</v>
          </cell>
          <cell r="C134" t="str">
            <v>Capital Goods</v>
          </cell>
          <cell r="D134">
            <v>0.66918608881899999</v>
          </cell>
        </row>
        <row r="135">
          <cell r="B135">
            <v>902680</v>
          </cell>
          <cell r="C135" t="str">
            <v>Capital Goods</v>
          </cell>
          <cell r="D135">
            <v>4.2020553393269999</v>
          </cell>
        </row>
        <row r="136">
          <cell r="B136">
            <v>900580</v>
          </cell>
          <cell r="C136" t="str">
            <v>Capital Goods</v>
          </cell>
          <cell r="D136">
            <v>0.72744580762</v>
          </cell>
        </row>
        <row r="137">
          <cell r="B137">
            <v>846242</v>
          </cell>
          <cell r="C137" t="str">
            <v>Capital Goods</v>
          </cell>
          <cell r="D137">
            <v>1.0136742219500001</v>
          </cell>
        </row>
        <row r="138">
          <cell r="B138">
            <v>840310</v>
          </cell>
          <cell r="C138" t="str">
            <v>Capital Goods</v>
          </cell>
          <cell r="D138">
            <v>5.190510343333</v>
          </cell>
        </row>
        <row r="139">
          <cell r="B139">
            <v>843810</v>
          </cell>
          <cell r="C139" t="str">
            <v>Capital Goods</v>
          </cell>
          <cell r="D139">
            <v>3.1320371144419998</v>
          </cell>
        </row>
        <row r="140">
          <cell r="B140">
            <v>844339</v>
          </cell>
          <cell r="C140" t="str">
            <v>Capital Goods</v>
          </cell>
          <cell r="D140">
            <v>1.5516297982230001</v>
          </cell>
        </row>
        <row r="141">
          <cell r="B141">
            <v>846290</v>
          </cell>
          <cell r="C141" t="str">
            <v>Capital Goods</v>
          </cell>
          <cell r="D141">
            <v>1.203793449602</v>
          </cell>
        </row>
        <row r="142">
          <cell r="B142">
            <v>940210</v>
          </cell>
          <cell r="C142" t="str">
            <v>Capital Goods</v>
          </cell>
          <cell r="D142">
            <v>0.65169036718100004</v>
          </cell>
        </row>
        <row r="143">
          <cell r="B143">
            <v>843850</v>
          </cell>
          <cell r="C143" t="str">
            <v>Capital Goods</v>
          </cell>
          <cell r="D143">
            <v>2.895021418901</v>
          </cell>
        </row>
        <row r="144">
          <cell r="B144">
            <v>845430</v>
          </cell>
          <cell r="C144" t="str">
            <v>Capital Goods</v>
          </cell>
          <cell r="D144">
            <v>0.98452318866999999</v>
          </cell>
        </row>
        <row r="145">
          <cell r="B145">
            <v>851539</v>
          </cell>
          <cell r="C145" t="str">
            <v>Capital Goods</v>
          </cell>
          <cell r="D145">
            <v>1.3523215266090001</v>
          </cell>
        </row>
        <row r="146">
          <cell r="B146">
            <v>901530</v>
          </cell>
          <cell r="C146" t="str">
            <v>Capital Goods</v>
          </cell>
          <cell r="D146">
            <v>0.68045336077699992</v>
          </cell>
        </row>
        <row r="147">
          <cell r="B147">
            <v>870911</v>
          </cell>
          <cell r="C147" t="str">
            <v>Capital Goods</v>
          </cell>
          <cell r="D147">
            <v>0.57699521704299994</v>
          </cell>
        </row>
        <row r="148">
          <cell r="B148">
            <v>820411</v>
          </cell>
          <cell r="C148" t="str">
            <v>Capital Goods</v>
          </cell>
          <cell r="D148">
            <v>1.788504010017</v>
          </cell>
        </row>
        <row r="149">
          <cell r="B149">
            <v>902580</v>
          </cell>
          <cell r="C149" t="str">
            <v>Capital Goods</v>
          </cell>
          <cell r="D149">
            <v>1.7324008354360001</v>
          </cell>
        </row>
        <row r="150">
          <cell r="B150">
            <v>850819</v>
          </cell>
          <cell r="C150" t="str">
            <v>Capital Goods</v>
          </cell>
          <cell r="D150">
            <v>1.565520479136</v>
          </cell>
        </row>
        <row r="151">
          <cell r="B151">
            <v>902781</v>
          </cell>
          <cell r="C151" t="str">
            <v>Capital Goods</v>
          </cell>
          <cell r="D151">
            <v>3.8602443253220002</v>
          </cell>
        </row>
        <row r="152">
          <cell r="B152">
            <v>820750</v>
          </cell>
          <cell r="C152" t="str">
            <v>Capital Goods</v>
          </cell>
          <cell r="D152">
            <v>4.5378767303799998</v>
          </cell>
        </row>
        <row r="153">
          <cell r="B153">
            <v>850140</v>
          </cell>
          <cell r="C153" t="str">
            <v>Capital Goods</v>
          </cell>
          <cell r="D153">
            <v>5.8058155855500004</v>
          </cell>
        </row>
        <row r="154">
          <cell r="B154">
            <v>842511</v>
          </cell>
          <cell r="C154" t="str">
            <v>Capital Goods</v>
          </cell>
          <cell r="D154">
            <v>1.3036309544619999</v>
          </cell>
        </row>
        <row r="155">
          <cell r="B155">
            <v>844313</v>
          </cell>
          <cell r="C155" t="str">
            <v>Capital Goods</v>
          </cell>
          <cell r="D155">
            <v>2.5568903880709999</v>
          </cell>
        </row>
        <row r="156">
          <cell r="B156">
            <v>845522</v>
          </cell>
          <cell r="C156" t="str">
            <v>Capital Goods</v>
          </cell>
          <cell r="D156">
            <v>0.64496026407200002</v>
          </cell>
        </row>
        <row r="157">
          <cell r="B157">
            <v>848630</v>
          </cell>
          <cell r="C157" t="str">
            <v>Capital Goods</v>
          </cell>
          <cell r="D157">
            <v>2.3410384889019999</v>
          </cell>
        </row>
        <row r="158">
          <cell r="B158">
            <v>842119</v>
          </cell>
          <cell r="C158" t="str">
            <v>Capital Goods</v>
          </cell>
          <cell r="D158">
            <v>2.3502383344770004</v>
          </cell>
        </row>
        <row r="159">
          <cell r="B159">
            <v>842531</v>
          </cell>
          <cell r="C159" t="str">
            <v>Capital Goods</v>
          </cell>
          <cell r="D159">
            <v>1.4555112935280001</v>
          </cell>
        </row>
        <row r="160">
          <cell r="B160">
            <v>841780</v>
          </cell>
          <cell r="C160" t="str">
            <v>Capital Goods</v>
          </cell>
          <cell r="D160">
            <v>1.3015325557170001</v>
          </cell>
        </row>
        <row r="161">
          <cell r="B161">
            <v>845521</v>
          </cell>
          <cell r="C161" t="str">
            <v>Capital Goods</v>
          </cell>
          <cell r="D161">
            <v>0.59172417046000003</v>
          </cell>
        </row>
        <row r="162">
          <cell r="B162">
            <v>820770</v>
          </cell>
          <cell r="C162" t="str">
            <v>Capital Goods</v>
          </cell>
          <cell r="D162">
            <v>2.8063868964530001</v>
          </cell>
        </row>
        <row r="163">
          <cell r="B163">
            <v>842441</v>
          </cell>
          <cell r="C163" t="str">
            <v>Capital Goods</v>
          </cell>
          <cell r="D163">
            <v>0.74577324205100004</v>
          </cell>
        </row>
        <row r="164">
          <cell r="B164">
            <v>820412</v>
          </cell>
          <cell r="C164" t="str">
            <v>Capital Goods</v>
          </cell>
          <cell r="D164">
            <v>0.74652295927300005</v>
          </cell>
        </row>
        <row r="165">
          <cell r="B165">
            <v>902910</v>
          </cell>
          <cell r="C165" t="str">
            <v>Capital Goods</v>
          </cell>
          <cell r="D165">
            <v>0.71351973504499999</v>
          </cell>
        </row>
        <row r="166">
          <cell r="B166">
            <v>900850</v>
          </cell>
          <cell r="C166" t="str">
            <v>Capital Goods</v>
          </cell>
          <cell r="D166">
            <v>0.24282323883500001</v>
          </cell>
        </row>
        <row r="167">
          <cell r="B167">
            <v>846420</v>
          </cell>
          <cell r="C167" t="str">
            <v>Capital Goods</v>
          </cell>
          <cell r="D167">
            <v>0.96563901758999993</v>
          </cell>
        </row>
        <row r="168">
          <cell r="B168">
            <v>820540</v>
          </cell>
          <cell r="C168" t="str">
            <v>Capital Goods</v>
          </cell>
          <cell r="D168">
            <v>0.98494840515299997</v>
          </cell>
        </row>
        <row r="169">
          <cell r="B169">
            <v>846880</v>
          </cell>
          <cell r="C169" t="str">
            <v>Capital Goods</v>
          </cell>
          <cell r="D169">
            <v>0.31306515985299999</v>
          </cell>
        </row>
        <row r="170">
          <cell r="B170">
            <v>961800</v>
          </cell>
          <cell r="C170" t="str">
            <v>Capital Goods</v>
          </cell>
          <cell r="D170">
            <v>0.61238112499699993</v>
          </cell>
        </row>
        <row r="171">
          <cell r="B171">
            <v>842930</v>
          </cell>
          <cell r="C171" t="str">
            <v>Capital Goods</v>
          </cell>
          <cell r="D171">
            <v>0.17903210250999999</v>
          </cell>
        </row>
        <row r="172">
          <cell r="B172">
            <v>841933</v>
          </cell>
          <cell r="C172" t="str">
            <v>Capital Goods</v>
          </cell>
          <cell r="D172">
            <v>0.27471570207999996</v>
          </cell>
        </row>
        <row r="173">
          <cell r="B173">
            <v>847529</v>
          </cell>
          <cell r="C173" t="str">
            <v>Capital Goods</v>
          </cell>
          <cell r="D173">
            <v>1.437932210034</v>
          </cell>
        </row>
        <row r="174">
          <cell r="B174">
            <v>847920</v>
          </cell>
          <cell r="C174" t="str">
            <v>Capital Goods</v>
          </cell>
          <cell r="D174">
            <v>1.0022013841749999</v>
          </cell>
        </row>
        <row r="175">
          <cell r="B175">
            <v>842611</v>
          </cell>
          <cell r="C175" t="str">
            <v>Capital Goods</v>
          </cell>
          <cell r="D175">
            <v>1.018463931266</v>
          </cell>
        </row>
        <row r="176">
          <cell r="B176">
            <v>820890</v>
          </cell>
          <cell r="C176" t="str">
            <v>Capital Goods</v>
          </cell>
          <cell r="D176">
            <v>1.4560796053010001</v>
          </cell>
        </row>
        <row r="177">
          <cell r="B177">
            <v>846229</v>
          </cell>
          <cell r="C177" t="str">
            <v>Capital Goods</v>
          </cell>
          <cell r="D177">
            <v>1.0721839773370001</v>
          </cell>
        </row>
        <row r="178">
          <cell r="B178">
            <v>821192</v>
          </cell>
          <cell r="C178" t="str">
            <v>Capital Goods</v>
          </cell>
          <cell r="D178">
            <v>1.246791502667</v>
          </cell>
        </row>
        <row r="179">
          <cell r="B179">
            <v>902219</v>
          </cell>
          <cell r="C179" t="str">
            <v>Capital Goods</v>
          </cell>
          <cell r="D179">
            <v>3.586330543266</v>
          </cell>
        </row>
        <row r="180">
          <cell r="B180">
            <v>846232</v>
          </cell>
          <cell r="C180" t="str">
            <v>Capital Goods</v>
          </cell>
          <cell r="D180">
            <v>0.30567196612899999</v>
          </cell>
        </row>
        <row r="181">
          <cell r="B181">
            <v>847730</v>
          </cell>
          <cell r="C181" t="str">
            <v>Capital Goods</v>
          </cell>
          <cell r="D181">
            <v>1.3901139551800001</v>
          </cell>
        </row>
        <row r="182">
          <cell r="B182">
            <v>841231</v>
          </cell>
          <cell r="C182" t="str">
            <v>Capital Goods</v>
          </cell>
          <cell r="D182">
            <v>2.1283018358740002</v>
          </cell>
        </row>
        <row r="183">
          <cell r="B183">
            <v>843229</v>
          </cell>
          <cell r="C183" t="str">
            <v>Capital Goods</v>
          </cell>
          <cell r="D183">
            <v>1.7663218081800001</v>
          </cell>
        </row>
        <row r="184">
          <cell r="B184">
            <v>902730</v>
          </cell>
          <cell r="C184" t="str">
            <v>Capital Goods</v>
          </cell>
          <cell r="D184">
            <v>4.9627220746200003</v>
          </cell>
        </row>
        <row r="185">
          <cell r="B185">
            <v>850151</v>
          </cell>
          <cell r="C185" t="str">
            <v>Capital Goods</v>
          </cell>
          <cell r="D185">
            <v>4.4159612465819995</v>
          </cell>
        </row>
        <row r="186">
          <cell r="B186">
            <v>843780</v>
          </cell>
          <cell r="C186" t="str">
            <v>Capital Goods</v>
          </cell>
          <cell r="D186">
            <v>0.78601445856399998</v>
          </cell>
        </row>
        <row r="187">
          <cell r="B187">
            <v>846226</v>
          </cell>
          <cell r="C187" t="str">
            <v>Capital Goods</v>
          </cell>
          <cell r="D187">
            <v>0.602499278699</v>
          </cell>
        </row>
        <row r="188">
          <cell r="B188">
            <v>845221</v>
          </cell>
          <cell r="C188" t="str">
            <v>Capital Goods</v>
          </cell>
          <cell r="D188">
            <v>1.2633477899349999</v>
          </cell>
        </row>
        <row r="189">
          <cell r="B189">
            <v>845819</v>
          </cell>
          <cell r="C189" t="str">
            <v>Capital Goods</v>
          </cell>
          <cell r="D189">
            <v>0.38012057104900004</v>
          </cell>
        </row>
        <row r="190">
          <cell r="B190">
            <v>843020</v>
          </cell>
          <cell r="C190" t="str">
            <v>Capital Goods</v>
          </cell>
          <cell r="D190">
            <v>0.86051019320299993</v>
          </cell>
        </row>
        <row r="191">
          <cell r="B191">
            <v>820130</v>
          </cell>
          <cell r="C191" t="str">
            <v>Capital Goods</v>
          </cell>
          <cell r="D191">
            <v>0.3917525013</v>
          </cell>
        </row>
        <row r="192">
          <cell r="B192">
            <v>761290</v>
          </cell>
          <cell r="C192" t="str">
            <v>Capital Goods</v>
          </cell>
          <cell r="D192">
            <v>6.3009560373470004</v>
          </cell>
        </row>
        <row r="193">
          <cell r="B193">
            <v>846791</v>
          </cell>
          <cell r="C193" t="str">
            <v>Capital Goods</v>
          </cell>
          <cell r="D193">
            <v>0.37471774780800005</v>
          </cell>
        </row>
        <row r="194">
          <cell r="B194">
            <v>853080</v>
          </cell>
          <cell r="C194" t="str">
            <v>Capital Goods</v>
          </cell>
          <cell r="D194">
            <v>1.1502503842409999</v>
          </cell>
        </row>
        <row r="195">
          <cell r="B195">
            <v>820240</v>
          </cell>
          <cell r="C195" t="str">
            <v>Capital Goods</v>
          </cell>
          <cell r="D195">
            <v>0.75877359668799993</v>
          </cell>
        </row>
        <row r="196">
          <cell r="B196">
            <v>850172</v>
          </cell>
          <cell r="C196" t="str">
            <v>Capital Goods</v>
          </cell>
          <cell r="D196">
            <v>0.32134535011400001</v>
          </cell>
        </row>
        <row r="197">
          <cell r="B197">
            <v>854151</v>
          </cell>
          <cell r="C197" t="str">
            <v>Capital Goods</v>
          </cell>
          <cell r="D197">
            <v>0.74864945711100006</v>
          </cell>
        </row>
        <row r="198">
          <cell r="B198">
            <v>851511</v>
          </cell>
          <cell r="C198" t="str">
            <v>Capital Goods</v>
          </cell>
          <cell r="D198">
            <v>0.29740653620499996</v>
          </cell>
        </row>
        <row r="199">
          <cell r="B199">
            <v>847740</v>
          </cell>
          <cell r="C199" t="str">
            <v>Capital Goods</v>
          </cell>
          <cell r="D199">
            <v>1.0125384192209999</v>
          </cell>
        </row>
        <row r="200">
          <cell r="B200">
            <v>841319</v>
          </cell>
          <cell r="C200" t="str">
            <v>Capital Goods</v>
          </cell>
          <cell r="D200">
            <v>1.5739793182569999</v>
          </cell>
        </row>
        <row r="201">
          <cell r="B201">
            <v>903082</v>
          </cell>
          <cell r="C201" t="str">
            <v>Capital Goods</v>
          </cell>
          <cell r="D201">
            <v>6.8489139731020003</v>
          </cell>
        </row>
        <row r="202">
          <cell r="B202">
            <v>841935</v>
          </cell>
          <cell r="C202" t="str">
            <v>Capital Goods</v>
          </cell>
          <cell r="D202">
            <v>0.37217928822899998</v>
          </cell>
        </row>
        <row r="203">
          <cell r="B203">
            <v>850180</v>
          </cell>
          <cell r="C203" t="str">
            <v>Capital Goods</v>
          </cell>
          <cell r="D203">
            <v>0.14538443700799999</v>
          </cell>
        </row>
        <row r="204">
          <cell r="B204">
            <v>844712</v>
          </cell>
          <cell r="C204" t="str">
            <v>Capital Goods</v>
          </cell>
          <cell r="D204">
            <v>0.54010465475800007</v>
          </cell>
        </row>
        <row r="205">
          <cell r="B205">
            <v>903089</v>
          </cell>
          <cell r="C205" t="str">
            <v>Capital Goods</v>
          </cell>
          <cell r="D205">
            <v>2.1763169064310004</v>
          </cell>
        </row>
        <row r="206">
          <cell r="B206">
            <v>846596</v>
          </cell>
          <cell r="C206" t="str">
            <v>Capital Goods</v>
          </cell>
          <cell r="D206">
            <v>0.69202842178400004</v>
          </cell>
        </row>
        <row r="207">
          <cell r="B207">
            <v>847940</v>
          </cell>
          <cell r="C207" t="str">
            <v>Capital Goods</v>
          </cell>
          <cell r="D207">
            <v>0.97746500599499997</v>
          </cell>
        </row>
        <row r="208">
          <cell r="B208">
            <v>853530</v>
          </cell>
          <cell r="C208" t="str">
            <v>Capital Goods</v>
          </cell>
          <cell r="D208">
            <v>2.5505714633839998</v>
          </cell>
        </row>
        <row r="209">
          <cell r="B209">
            <v>842519</v>
          </cell>
          <cell r="C209" t="str">
            <v>Capital Goods</v>
          </cell>
          <cell r="D209">
            <v>0.71327302342799992</v>
          </cell>
        </row>
        <row r="210">
          <cell r="B210">
            <v>851521</v>
          </cell>
          <cell r="C210" t="str">
            <v>Capital Goods</v>
          </cell>
          <cell r="D210">
            <v>1.4366408037449998</v>
          </cell>
        </row>
        <row r="211">
          <cell r="B211">
            <v>846222</v>
          </cell>
          <cell r="C211" t="str">
            <v>Capital Goods</v>
          </cell>
          <cell r="D211">
            <v>0.45144876837499998</v>
          </cell>
        </row>
        <row r="212">
          <cell r="B212">
            <v>901730</v>
          </cell>
          <cell r="C212" t="str">
            <v>Capital Goods</v>
          </cell>
          <cell r="D212">
            <v>0.78468209982899995</v>
          </cell>
        </row>
        <row r="213">
          <cell r="B213">
            <v>820790</v>
          </cell>
          <cell r="C213" t="str">
            <v>Capital Goods</v>
          </cell>
          <cell r="D213">
            <v>2.9215101246700002</v>
          </cell>
        </row>
        <row r="214">
          <cell r="B214">
            <v>820590</v>
          </cell>
          <cell r="C214" t="str">
            <v>Capital Goods</v>
          </cell>
          <cell r="D214">
            <v>0.48862769455900001</v>
          </cell>
        </row>
        <row r="215">
          <cell r="B215">
            <v>842691</v>
          </cell>
          <cell r="C215" t="str">
            <v>Capital Goods</v>
          </cell>
          <cell r="D215">
            <v>3.0113025509029998</v>
          </cell>
        </row>
        <row r="216">
          <cell r="B216">
            <v>820510</v>
          </cell>
          <cell r="C216" t="str">
            <v>Capital Goods</v>
          </cell>
          <cell r="D216">
            <v>0.208936921345</v>
          </cell>
        </row>
        <row r="217">
          <cell r="B217">
            <v>820150</v>
          </cell>
          <cell r="C217" t="str">
            <v>Capital Goods</v>
          </cell>
          <cell r="D217">
            <v>0.34182840103600004</v>
          </cell>
        </row>
        <row r="218">
          <cell r="B218">
            <v>842390</v>
          </cell>
          <cell r="C218" t="str">
            <v>Capital Goods</v>
          </cell>
          <cell r="D218">
            <v>0.96308819597299999</v>
          </cell>
        </row>
        <row r="219">
          <cell r="B219">
            <v>845630</v>
          </cell>
          <cell r="C219" t="str">
            <v>Capital Goods</v>
          </cell>
          <cell r="D219">
            <v>0.87904726366399999</v>
          </cell>
        </row>
        <row r="220">
          <cell r="B220">
            <v>901060</v>
          </cell>
          <cell r="C220" t="str">
            <v>Capital Goods</v>
          </cell>
          <cell r="D220">
            <v>0.27783130198799999</v>
          </cell>
        </row>
        <row r="221">
          <cell r="B221">
            <v>843710</v>
          </cell>
          <cell r="C221" t="str">
            <v>Capital Goods</v>
          </cell>
          <cell r="D221">
            <v>0.75999658664000003</v>
          </cell>
        </row>
        <row r="222">
          <cell r="B222">
            <v>902820</v>
          </cell>
          <cell r="C222" t="str">
            <v>Capital Goods</v>
          </cell>
          <cell r="D222">
            <v>1.6853011760850001</v>
          </cell>
        </row>
        <row r="223">
          <cell r="B223">
            <v>890790</v>
          </cell>
          <cell r="C223" t="str">
            <v>Capital Goods</v>
          </cell>
          <cell r="D223">
            <v>0.90012255913400008</v>
          </cell>
        </row>
        <row r="224">
          <cell r="B224">
            <v>848510</v>
          </cell>
          <cell r="C224" t="str">
            <v>Capital Goods</v>
          </cell>
          <cell r="D224">
            <v>0.39446926355099998</v>
          </cell>
        </row>
        <row r="225">
          <cell r="B225">
            <v>845891</v>
          </cell>
          <cell r="C225" t="str">
            <v>Capital Goods</v>
          </cell>
          <cell r="D225">
            <v>1.2016319750269999</v>
          </cell>
        </row>
        <row r="226">
          <cell r="B226">
            <v>820220</v>
          </cell>
          <cell r="C226" t="str">
            <v>Capital Goods</v>
          </cell>
          <cell r="D226">
            <v>0.73188064745699999</v>
          </cell>
        </row>
        <row r="227">
          <cell r="B227">
            <v>843351</v>
          </cell>
          <cell r="C227" t="str">
            <v>Capital Goods</v>
          </cell>
          <cell r="D227">
            <v>6.2708569852860006</v>
          </cell>
        </row>
        <row r="228">
          <cell r="B228">
            <v>842122</v>
          </cell>
          <cell r="C228" t="str">
            <v>Capital Goods</v>
          </cell>
          <cell r="D228">
            <v>0.376830092231</v>
          </cell>
        </row>
        <row r="229">
          <cell r="B229">
            <v>850161</v>
          </cell>
          <cell r="C229" t="str">
            <v>Capital Goods</v>
          </cell>
          <cell r="D229">
            <v>1.0933227636240002</v>
          </cell>
        </row>
        <row r="230">
          <cell r="B230">
            <v>841280</v>
          </cell>
          <cell r="C230" t="str">
            <v>Capital Goods</v>
          </cell>
          <cell r="D230">
            <v>1.064322781522</v>
          </cell>
        </row>
        <row r="231">
          <cell r="B231">
            <v>846233</v>
          </cell>
          <cell r="C231" t="str">
            <v>Capital Goods</v>
          </cell>
          <cell r="D231">
            <v>0.14139328349399999</v>
          </cell>
        </row>
        <row r="232">
          <cell r="B232">
            <v>846595</v>
          </cell>
          <cell r="C232" t="str">
            <v>Capital Goods</v>
          </cell>
          <cell r="D232">
            <v>0.52546282407400002</v>
          </cell>
        </row>
        <row r="233">
          <cell r="B233">
            <v>844519</v>
          </cell>
          <cell r="C233" t="str">
            <v>Capital Goods</v>
          </cell>
          <cell r="D233">
            <v>0.35633849525900002</v>
          </cell>
        </row>
        <row r="234">
          <cell r="B234">
            <v>847439</v>
          </cell>
          <cell r="C234" t="str">
            <v>Capital Goods</v>
          </cell>
          <cell r="D234">
            <v>0.57140625548899993</v>
          </cell>
        </row>
        <row r="235">
          <cell r="B235">
            <v>731010</v>
          </cell>
          <cell r="C235" t="str">
            <v>Capital Goods</v>
          </cell>
          <cell r="D235">
            <v>2.0570130888699998</v>
          </cell>
        </row>
        <row r="236">
          <cell r="B236">
            <v>842010</v>
          </cell>
          <cell r="C236" t="str">
            <v>Capital Goods</v>
          </cell>
          <cell r="D236">
            <v>1.050121812694</v>
          </cell>
        </row>
        <row r="237">
          <cell r="B237">
            <v>820740</v>
          </cell>
          <cell r="C237" t="str">
            <v>Capital Goods</v>
          </cell>
          <cell r="D237">
            <v>1.1744374112390001</v>
          </cell>
        </row>
        <row r="238">
          <cell r="B238">
            <v>830400</v>
          </cell>
          <cell r="C238" t="str">
            <v>Capital Goods</v>
          </cell>
          <cell r="D238">
            <v>0.32985261162400004</v>
          </cell>
        </row>
        <row r="239">
          <cell r="B239">
            <v>843860</v>
          </cell>
          <cell r="C239" t="str">
            <v>Capital Goods</v>
          </cell>
          <cell r="D239">
            <v>0.87266431336900008</v>
          </cell>
        </row>
        <row r="240">
          <cell r="B240">
            <v>845961</v>
          </cell>
          <cell r="C240" t="str">
            <v>Capital Goods</v>
          </cell>
          <cell r="D240">
            <v>0.89699737533400004</v>
          </cell>
        </row>
        <row r="241">
          <cell r="B241">
            <v>847432</v>
          </cell>
          <cell r="C241" t="str">
            <v>Capital Goods</v>
          </cell>
          <cell r="D241">
            <v>0.50045830492999999</v>
          </cell>
        </row>
        <row r="242">
          <cell r="B242">
            <v>850162</v>
          </cell>
          <cell r="C242" t="str">
            <v>Capital Goods</v>
          </cell>
          <cell r="D242">
            <v>1.3617081918210001</v>
          </cell>
        </row>
        <row r="243">
          <cell r="B243">
            <v>853529</v>
          </cell>
          <cell r="C243" t="str">
            <v>Capital Goods</v>
          </cell>
          <cell r="D243">
            <v>0.84946158776799996</v>
          </cell>
        </row>
        <row r="244">
          <cell r="B244">
            <v>910690</v>
          </cell>
          <cell r="C244" t="str">
            <v>Capital Goods</v>
          </cell>
          <cell r="D244">
            <v>0.23596275968700001</v>
          </cell>
        </row>
        <row r="245">
          <cell r="B245">
            <v>903141</v>
          </cell>
          <cell r="C245" t="str">
            <v>Capital Goods</v>
          </cell>
          <cell r="D245">
            <v>8.930551534419001</v>
          </cell>
        </row>
        <row r="246">
          <cell r="B246">
            <v>847681</v>
          </cell>
          <cell r="C246" t="str">
            <v>Capital Goods</v>
          </cell>
          <cell r="D246">
            <v>0.206310731627</v>
          </cell>
        </row>
        <row r="247">
          <cell r="B247">
            <v>901120</v>
          </cell>
          <cell r="C247" t="str">
            <v>Capital Goods</v>
          </cell>
          <cell r="D247">
            <v>0.18004843889399999</v>
          </cell>
        </row>
        <row r="248">
          <cell r="B248">
            <v>841934</v>
          </cell>
          <cell r="C248" t="str">
            <v>Capital Goods</v>
          </cell>
          <cell r="D248">
            <v>0.32773246788300003</v>
          </cell>
        </row>
        <row r="249">
          <cell r="B249">
            <v>842820</v>
          </cell>
          <cell r="C249" t="str">
            <v>Capital Goods</v>
          </cell>
          <cell r="D249">
            <v>1.1935064308480001</v>
          </cell>
        </row>
        <row r="250">
          <cell r="B250">
            <v>902720</v>
          </cell>
          <cell r="C250" t="str">
            <v>Capital Goods</v>
          </cell>
          <cell r="D250">
            <v>2.8013359051649998</v>
          </cell>
        </row>
        <row r="251">
          <cell r="B251">
            <v>842381</v>
          </cell>
          <cell r="C251" t="str">
            <v>Capital Goods</v>
          </cell>
          <cell r="D251">
            <v>0.74849261771599995</v>
          </cell>
        </row>
        <row r="252">
          <cell r="B252">
            <v>903031</v>
          </cell>
          <cell r="C252" t="str">
            <v>Capital Goods</v>
          </cell>
          <cell r="D252">
            <v>0.91721026553499996</v>
          </cell>
        </row>
        <row r="253">
          <cell r="B253">
            <v>843031</v>
          </cell>
          <cell r="C253" t="str">
            <v>Capital Goods</v>
          </cell>
          <cell r="D253">
            <v>1.446285292707</v>
          </cell>
        </row>
        <row r="254">
          <cell r="B254">
            <v>846251</v>
          </cell>
          <cell r="C254" t="str">
            <v>Capital Goods</v>
          </cell>
          <cell r="D254">
            <v>0.23315133930199999</v>
          </cell>
        </row>
        <row r="255">
          <cell r="B255">
            <v>844316</v>
          </cell>
          <cell r="C255" t="str">
            <v>Capital Goods</v>
          </cell>
          <cell r="D255">
            <v>1.3058100167160001</v>
          </cell>
        </row>
        <row r="256">
          <cell r="B256">
            <v>843930</v>
          </cell>
          <cell r="C256" t="str">
            <v>Capital Goods</v>
          </cell>
          <cell r="D256">
            <v>0.78826712964300005</v>
          </cell>
        </row>
        <row r="257">
          <cell r="B257">
            <v>903281</v>
          </cell>
          <cell r="C257" t="str">
            <v>Capital Goods</v>
          </cell>
          <cell r="D257">
            <v>2.8815482427569998</v>
          </cell>
        </row>
        <row r="258">
          <cell r="B258">
            <v>903020</v>
          </cell>
          <cell r="C258" t="str">
            <v>Capital Goods</v>
          </cell>
          <cell r="D258">
            <v>1.0498585999249999</v>
          </cell>
        </row>
        <row r="259">
          <cell r="B259">
            <v>846390</v>
          </cell>
          <cell r="C259" t="str">
            <v>Capital Goods</v>
          </cell>
          <cell r="D259">
            <v>0.80996079291799994</v>
          </cell>
        </row>
        <row r="260">
          <cell r="B260">
            <v>846269</v>
          </cell>
          <cell r="C260" t="str">
            <v>Capital Goods</v>
          </cell>
          <cell r="D260">
            <v>0.114848270037</v>
          </cell>
        </row>
        <row r="261">
          <cell r="B261">
            <v>848020</v>
          </cell>
          <cell r="C261" t="str">
            <v>Capital Goods</v>
          </cell>
          <cell r="D261">
            <v>0.23696839887099999</v>
          </cell>
        </row>
        <row r="262">
          <cell r="B262">
            <v>940131</v>
          </cell>
          <cell r="C262" t="str">
            <v>Capital Goods</v>
          </cell>
          <cell r="D262">
            <v>0.21753106409200001</v>
          </cell>
        </row>
        <row r="263">
          <cell r="B263">
            <v>846150</v>
          </cell>
          <cell r="C263" t="str">
            <v>Capital Goods</v>
          </cell>
          <cell r="D263">
            <v>1.2090452149440001</v>
          </cell>
        </row>
        <row r="264">
          <cell r="B264">
            <v>901110</v>
          </cell>
          <cell r="C264" t="str">
            <v>Capital Goods</v>
          </cell>
          <cell r="D264">
            <v>0.90967586394399991</v>
          </cell>
        </row>
        <row r="265">
          <cell r="B265">
            <v>847930</v>
          </cell>
          <cell r="C265" t="str">
            <v>Capital Goods</v>
          </cell>
          <cell r="D265">
            <v>1.1357126161089999</v>
          </cell>
        </row>
        <row r="266">
          <cell r="B266">
            <v>961100</v>
          </cell>
          <cell r="C266" t="str">
            <v>Capital Goods</v>
          </cell>
          <cell r="D266">
            <v>0.307475996315</v>
          </cell>
        </row>
        <row r="267">
          <cell r="B267">
            <v>846211</v>
          </cell>
          <cell r="C267" t="str">
            <v>Capital Goods</v>
          </cell>
          <cell r="D267">
            <v>0.49246440537399999</v>
          </cell>
        </row>
        <row r="268">
          <cell r="B268">
            <v>950830</v>
          </cell>
          <cell r="C268" t="str">
            <v>Capital Goods</v>
          </cell>
          <cell r="D268">
            <v>0.212319265506</v>
          </cell>
        </row>
        <row r="269">
          <cell r="B269">
            <v>900659</v>
          </cell>
          <cell r="C269" t="str">
            <v>Capital Goods</v>
          </cell>
          <cell r="D269">
            <v>0.273228796163</v>
          </cell>
        </row>
        <row r="270">
          <cell r="B270">
            <v>846781</v>
          </cell>
          <cell r="C270" t="str">
            <v>Capital Goods</v>
          </cell>
          <cell r="D270">
            <v>1.006053998779</v>
          </cell>
        </row>
        <row r="271">
          <cell r="B271">
            <v>903120</v>
          </cell>
          <cell r="C271" t="str">
            <v>Capital Goods</v>
          </cell>
          <cell r="D271">
            <v>1.734273707279</v>
          </cell>
        </row>
        <row r="272">
          <cell r="B272">
            <v>851989</v>
          </cell>
          <cell r="C272" t="str">
            <v>Capital Goods</v>
          </cell>
          <cell r="D272">
            <v>0.99957464538100005</v>
          </cell>
        </row>
        <row r="273">
          <cell r="B273">
            <v>846592</v>
          </cell>
          <cell r="C273" t="str">
            <v>Capital Goods</v>
          </cell>
          <cell r="D273">
            <v>0.830239783432</v>
          </cell>
        </row>
        <row r="274">
          <cell r="B274">
            <v>845640</v>
          </cell>
          <cell r="C274" t="str">
            <v>Capital Goods</v>
          </cell>
          <cell r="D274">
            <v>0.51588565378700002</v>
          </cell>
        </row>
        <row r="275">
          <cell r="B275">
            <v>846792</v>
          </cell>
          <cell r="C275" t="str">
            <v>Capital Goods</v>
          </cell>
          <cell r="D275">
            <v>0.57857817113999999</v>
          </cell>
        </row>
        <row r="276">
          <cell r="B276">
            <v>820210</v>
          </cell>
          <cell r="C276" t="str">
            <v>Capital Goods</v>
          </cell>
          <cell r="D276">
            <v>0.35258873735699997</v>
          </cell>
        </row>
        <row r="277">
          <cell r="B277">
            <v>846711</v>
          </cell>
          <cell r="C277" t="str">
            <v>Capital Goods</v>
          </cell>
          <cell r="D277">
            <v>0.89248308480400007</v>
          </cell>
        </row>
        <row r="278">
          <cell r="B278">
            <v>901180</v>
          </cell>
          <cell r="C278" t="str">
            <v>Capital Goods</v>
          </cell>
          <cell r="D278">
            <v>1.4780334768979999</v>
          </cell>
        </row>
        <row r="279">
          <cell r="B279">
            <v>844512</v>
          </cell>
          <cell r="C279" t="str">
            <v>Capital Goods</v>
          </cell>
          <cell r="D279">
            <v>8.4837781619000005E-2</v>
          </cell>
        </row>
        <row r="280">
          <cell r="B280">
            <v>847689</v>
          </cell>
          <cell r="C280" t="str">
            <v>Capital Goods</v>
          </cell>
          <cell r="D280">
            <v>0.43609217898400005</v>
          </cell>
        </row>
        <row r="281">
          <cell r="B281">
            <v>820140</v>
          </cell>
          <cell r="C281" t="str">
            <v>Capital Goods</v>
          </cell>
          <cell r="D281">
            <v>0.27707168058699999</v>
          </cell>
        </row>
        <row r="282">
          <cell r="B282">
            <v>901720</v>
          </cell>
          <cell r="C282" t="str">
            <v>Capital Goods</v>
          </cell>
          <cell r="D282">
            <v>0.45148516662900001</v>
          </cell>
        </row>
        <row r="283">
          <cell r="B283">
            <v>846249</v>
          </cell>
          <cell r="C283" t="str">
            <v>Capital Goods</v>
          </cell>
          <cell r="D283">
            <v>0.26135543557199997</v>
          </cell>
        </row>
        <row r="284">
          <cell r="B284">
            <v>820190</v>
          </cell>
          <cell r="C284" t="str">
            <v>Capital Goods</v>
          </cell>
          <cell r="D284">
            <v>0.42888158659500003</v>
          </cell>
        </row>
        <row r="285">
          <cell r="B285">
            <v>901811</v>
          </cell>
          <cell r="C285" t="str">
            <v>Capital Goods</v>
          </cell>
          <cell r="D285">
            <v>1.3136859153429998</v>
          </cell>
        </row>
        <row r="286">
          <cell r="B286">
            <v>846219</v>
          </cell>
          <cell r="C286" t="str">
            <v>Capital Goods</v>
          </cell>
          <cell r="D286">
            <v>0.39596200418499999</v>
          </cell>
        </row>
        <row r="287">
          <cell r="B287">
            <v>843621</v>
          </cell>
          <cell r="C287" t="str">
            <v>Capital Goods</v>
          </cell>
          <cell r="D287">
            <v>0.27866290154000001</v>
          </cell>
        </row>
        <row r="288">
          <cell r="B288">
            <v>902213</v>
          </cell>
          <cell r="C288" t="str">
            <v>Capital Goods</v>
          </cell>
          <cell r="D288">
            <v>0.78194236452699994</v>
          </cell>
        </row>
        <row r="289">
          <cell r="B289">
            <v>844391</v>
          </cell>
          <cell r="C289" t="str">
            <v>Capital Goods</v>
          </cell>
          <cell r="D289">
            <v>2.3987183655850002</v>
          </cell>
        </row>
        <row r="290">
          <cell r="B290">
            <v>820780</v>
          </cell>
          <cell r="C290" t="str">
            <v>Capital Goods</v>
          </cell>
          <cell r="D290">
            <v>0.78998360665400003</v>
          </cell>
        </row>
        <row r="291">
          <cell r="B291">
            <v>843820</v>
          </cell>
          <cell r="C291" t="str">
            <v>Capital Goods</v>
          </cell>
          <cell r="D291">
            <v>1.2997481195439999</v>
          </cell>
        </row>
        <row r="292">
          <cell r="B292">
            <v>842699</v>
          </cell>
          <cell r="C292" t="str">
            <v>Capital Goods</v>
          </cell>
          <cell r="D292">
            <v>0.71119894577800002</v>
          </cell>
        </row>
        <row r="293">
          <cell r="B293">
            <v>851519</v>
          </cell>
          <cell r="C293" t="str">
            <v>Capital Goods</v>
          </cell>
          <cell r="D293">
            <v>0.66475508838899999</v>
          </cell>
        </row>
        <row r="294">
          <cell r="B294">
            <v>842382</v>
          </cell>
          <cell r="C294" t="str">
            <v>Capital Goods</v>
          </cell>
          <cell r="D294">
            <v>0.74246686951199992</v>
          </cell>
        </row>
        <row r="295">
          <cell r="B295">
            <v>853540</v>
          </cell>
          <cell r="C295" t="str">
            <v>Capital Goods</v>
          </cell>
          <cell r="D295">
            <v>0.60129648877800002</v>
          </cell>
        </row>
        <row r="296">
          <cell r="B296">
            <v>842330</v>
          </cell>
          <cell r="C296" t="str">
            <v>Capital Goods</v>
          </cell>
          <cell r="D296">
            <v>0.68045448207799997</v>
          </cell>
        </row>
        <row r="297">
          <cell r="B297">
            <v>841340</v>
          </cell>
          <cell r="C297" t="str">
            <v>Capital Goods</v>
          </cell>
          <cell r="D297">
            <v>0.5957925747870001</v>
          </cell>
        </row>
        <row r="298">
          <cell r="B298">
            <v>820570</v>
          </cell>
          <cell r="C298" t="str">
            <v>Capital Goods</v>
          </cell>
          <cell r="D298">
            <v>0.71002200190499998</v>
          </cell>
        </row>
        <row r="299">
          <cell r="B299">
            <v>844511</v>
          </cell>
          <cell r="C299" t="str">
            <v>Capital Goods</v>
          </cell>
          <cell r="D299">
            <v>0.20230513088400001</v>
          </cell>
        </row>
        <row r="300">
          <cell r="B300">
            <v>821193</v>
          </cell>
          <cell r="C300" t="str">
            <v>Capital Goods</v>
          </cell>
          <cell r="D300">
            <v>0.72264639154099997</v>
          </cell>
        </row>
        <row r="301">
          <cell r="B301">
            <v>843510</v>
          </cell>
          <cell r="C301" t="str">
            <v>Capital Goods</v>
          </cell>
          <cell r="D301">
            <v>0.366117492682</v>
          </cell>
        </row>
        <row r="302">
          <cell r="B302">
            <v>843320</v>
          </cell>
          <cell r="C302" t="str">
            <v>Capital Goods</v>
          </cell>
          <cell r="D302">
            <v>1.5560013951909999</v>
          </cell>
        </row>
        <row r="303">
          <cell r="B303">
            <v>842220</v>
          </cell>
          <cell r="C303" t="str">
            <v>Capital Goods</v>
          </cell>
          <cell r="D303">
            <v>0.99618588906799999</v>
          </cell>
        </row>
        <row r="304">
          <cell r="B304">
            <v>846410</v>
          </cell>
          <cell r="C304" t="str">
            <v>Capital Goods</v>
          </cell>
          <cell r="D304">
            <v>0.62192466377199995</v>
          </cell>
        </row>
        <row r="305">
          <cell r="B305">
            <v>845130</v>
          </cell>
          <cell r="C305" t="str">
            <v>Capital Goods</v>
          </cell>
          <cell r="D305">
            <v>0.46330159517400005</v>
          </cell>
        </row>
        <row r="306">
          <cell r="B306">
            <v>902410</v>
          </cell>
          <cell r="C306" t="str">
            <v>Capital Goods</v>
          </cell>
          <cell r="D306">
            <v>0.67026651880700006</v>
          </cell>
        </row>
        <row r="307">
          <cell r="B307">
            <v>850163</v>
          </cell>
          <cell r="C307" t="str">
            <v>Capital Goods</v>
          </cell>
          <cell r="D307">
            <v>0.35491233213599999</v>
          </cell>
        </row>
        <row r="308">
          <cell r="B308">
            <v>853010</v>
          </cell>
          <cell r="C308" t="str">
            <v>Capital Goods</v>
          </cell>
          <cell r="D308">
            <v>0.67286980689199993</v>
          </cell>
        </row>
        <row r="309">
          <cell r="B309">
            <v>910700</v>
          </cell>
          <cell r="C309" t="str">
            <v>Capital Goods</v>
          </cell>
          <cell r="D309">
            <v>0.403731029874</v>
          </cell>
        </row>
        <row r="310">
          <cell r="B310">
            <v>870192</v>
          </cell>
          <cell r="C310" t="str">
            <v>Capital Goods</v>
          </cell>
          <cell r="D310">
            <v>2.0014702381639999</v>
          </cell>
        </row>
        <row r="311">
          <cell r="B311">
            <v>841920</v>
          </cell>
          <cell r="C311" t="str">
            <v>Capital Goods</v>
          </cell>
          <cell r="D311">
            <v>1.2508590092030001</v>
          </cell>
        </row>
        <row r="312">
          <cell r="B312">
            <v>846810</v>
          </cell>
          <cell r="C312" t="str">
            <v>Capital Goods</v>
          </cell>
          <cell r="D312">
            <v>0.19493323899000001</v>
          </cell>
        </row>
        <row r="313">
          <cell r="B313">
            <v>843061</v>
          </cell>
          <cell r="C313" t="str">
            <v>Capital Goods</v>
          </cell>
          <cell r="D313">
            <v>0.47769965841399997</v>
          </cell>
        </row>
        <row r="314">
          <cell r="B314">
            <v>902000</v>
          </cell>
          <cell r="C314" t="str">
            <v>Capital Goods</v>
          </cell>
          <cell r="D314">
            <v>2.1000296261389999</v>
          </cell>
        </row>
        <row r="315">
          <cell r="B315">
            <v>900720</v>
          </cell>
          <cell r="C315" t="str">
            <v>Capital Goods</v>
          </cell>
          <cell r="D315">
            <v>0.12419294055500001</v>
          </cell>
        </row>
        <row r="316">
          <cell r="B316">
            <v>820520</v>
          </cell>
          <cell r="C316" t="str">
            <v>Capital Goods</v>
          </cell>
          <cell r="D316">
            <v>0.51860673902100007</v>
          </cell>
        </row>
        <row r="317">
          <cell r="B317">
            <v>910610</v>
          </cell>
          <cell r="C317" t="str">
            <v>Capital Goods</v>
          </cell>
          <cell r="D317">
            <v>0.15907361693900002</v>
          </cell>
        </row>
        <row r="318">
          <cell r="B318">
            <v>842482</v>
          </cell>
          <cell r="C318" t="str">
            <v>Capital Goods</v>
          </cell>
          <cell r="D318">
            <v>2.3846100537670001</v>
          </cell>
        </row>
        <row r="319">
          <cell r="B319">
            <v>843629</v>
          </cell>
          <cell r="C319" t="str">
            <v>Capital Goods</v>
          </cell>
          <cell r="D319">
            <v>1.3829968884799999</v>
          </cell>
        </row>
        <row r="320">
          <cell r="B320">
            <v>847431</v>
          </cell>
          <cell r="C320" t="str">
            <v>Capital Goods</v>
          </cell>
          <cell r="D320">
            <v>1.1529879786549999</v>
          </cell>
        </row>
        <row r="321">
          <cell r="B321">
            <v>761300</v>
          </cell>
          <cell r="C321" t="str">
            <v>Capital Goods</v>
          </cell>
          <cell r="D321">
            <v>0.68340405238399993</v>
          </cell>
        </row>
        <row r="322">
          <cell r="B322">
            <v>846259</v>
          </cell>
          <cell r="C322" t="str">
            <v>Capital Goods</v>
          </cell>
          <cell r="D322">
            <v>9.8322923110000002E-2</v>
          </cell>
        </row>
        <row r="323">
          <cell r="B323">
            <v>842831</v>
          </cell>
          <cell r="C323" t="str">
            <v>Capital Goods</v>
          </cell>
          <cell r="D323">
            <v>8.6136436755999995E-2</v>
          </cell>
        </row>
        <row r="324">
          <cell r="B324">
            <v>870919</v>
          </cell>
          <cell r="C324" t="str">
            <v>Capital Goods</v>
          </cell>
          <cell r="D324">
            <v>0.80732309857700002</v>
          </cell>
        </row>
        <row r="325">
          <cell r="B325">
            <v>850171</v>
          </cell>
          <cell r="C325" t="str">
            <v>Capital Goods</v>
          </cell>
          <cell r="D325">
            <v>4.4804079109999999E-2</v>
          </cell>
        </row>
        <row r="326">
          <cell r="B326">
            <v>841620</v>
          </cell>
          <cell r="C326" t="str">
            <v>Capital Goods</v>
          </cell>
          <cell r="D326">
            <v>0.90618732547699998</v>
          </cell>
        </row>
        <row r="327">
          <cell r="B327">
            <v>820340</v>
          </cell>
          <cell r="C327" t="str">
            <v>Capital Goods</v>
          </cell>
          <cell r="D327">
            <v>0.23898831548800001</v>
          </cell>
        </row>
        <row r="328">
          <cell r="B328">
            <v>847029</v>
          </cell>
          <cell r="C328" t="str">
            <v>Capital Goods</v>
          </cell>
          <cell r="D328">
            <v>7.7263726754000006E-2</v>
          </cell>
        </row>
        <row r="329">
          <cell r="B329">
            <v>902480</v>
          </cell>
          <cell r="C329" t="str">
            <v>Capital Goods</v>
          </cell>
          <cell r="D329">
            <v>1.3486598420710001</v>
          </cell>
        </row>
        <row r="330">
          <cell r="B330">
            <v>845921</v>
          </cell>
          <cell r="C330" t="str">
            <v>Capital Goods</v>
          </cell>
          <cell r="D330">
            <v>0.28959708055599998</v>
          </cell>
        </row>
        <row r="331">
          <cell r="B331">
            <v>844319</v>
          </cell>
          <cell r="C331" t="str">
            <v>Capital Goods</v>
          </cell>
          <cell r="D331">
            <v>1.572719259591</v>
          </cell>
        </row>
        <row r="332">
          <cell r="B332">
            <v>903032</v>
          </cell>
          <cell r="C332" t="str">
            <v>Capital Goods</v>
          </cell>
          <cell r="D332">
            <v>0.606064966318</v>
          </cell>
        </row>
        <row r="333">
          <cell r="B333">
            <v>830790</v>
          </cell>
          <cell r="C333" t="str">
            <v>Capital Goods</v>
          </cell>
          <cell r="D333">
            <v>0.419475972556</v>
          </cell>
        </row>
        <row r="334">
          <cell r="B334">
            <v>846330</v>
          </cell>
          <cell r="C334" t="str">
            <v>Capital Goods</v>
          </cell>
          <cell r="D334">
            <v>0.474833037836</v>
          </cell>
        </row>
        <row r="335">
          <cell r="B335">
            <v>848580</v>
          </cell>
          <cell r="C335" t="str">
            <v>Capital Goods</v>
          </cell>
          <cell r="D335">
            <v>0.10475965274400001</v>
          </cell>
        </row>
        <row r="336">
          <cell r="B336">
            <v>821194</v>
          </cell>
          <cell r="C336" t="str">
            <v>Capital Goods</v>
          </cell>
          <cell r="D336">
            <v>0.21612750982600001</v>
          </cell>
        </row>
        <row r="337">
          <cell r="B337">
            <v>902810</v>
          </cell>
          <cell r="C337" t="str">
            <v>Capital Goods</v>
          </cell>
          <cell r="D337">
            <v>0.86118053160300001</v>
          </cell>
        </row>
        <row r="338">
          <cell r="B338">
            <v>820820</v>
          </cell>
          <cell r="C338" t="str">
            <v>Capital Goods</v>
          </cell>
          <cell r="D338">
            <v>0.41519456610900002</v>
          </cell>
        </row>
        <row r="339">
          <cell r="B339">
            <v>820530</v>
          </cell>
          <cell r="C339" t="str">
            <v>Capital Goods</v>
          </cell>
          <cell r="D339">
            <v>0.18135374604400001</v>
          </cell>
        </row>
        <row r="340">
          <cell r="B340">
            <v>960610</v>
          </cell>
          <cell r="C340" t="str">
            <v>Capital Goods</v>
          </cell>
          <cell r="D340">
            <v>0.55107627081700006</v>
          </cell>
        </row>
        <row r="341">
          <cell r="B341">
            <v>845730</v>
          </cell>
          <cell r="C341" t="str">
            <v>Capital Goods</v>
          </cell>
          <cell r="D341">
            <v>0.59012683434699997</v>
          </cell>
        </row>
        <row r="342">
          <cell r="B342">
            <v>843360</v>
          </cell>
          <cell r="C342" t="str">
            <v>Capital Goods</v>
          </cell>
          <cell r="D342">
            <v>1.2080283842000001</v>
          </cell>
        </row>
        <row r="343">
          <cell r="B343">
            <v>842389</v>
          </cell>
          <cell r="C343" t="str">
            <v>Capital Goods</v>
          </cell>
          <cell r="D343">
            <v>0.22441687813800001</v>
          </cell>
        </row>
        <row r="344">
          <cell r="B344">
            <v>761100</v>
          </cell>
          <cell r="C344" t="str">
            <v>Capital Goods</v>
          </cell>
          <cell r="D344">
            <v>0.27677543251700004</v>
          </cell>
        </row>
        <row r="345">
          <cell r="B345">
            <v>840212</v>
          </cell>
          <cell r="C345" t="str">
            <v>Capital Goods</v>
          </cell>
          <cell r="D345">
            <v>0.36238825265800001</v>
          </cell>
        </row>
        <row r="346">
          <cell r="B346">
            <v>842112</v>
          </cell>
          <cell r="C346" t="str">
            <v>Capital Goods</v>
          </cell>
          <cell r="D346">
            <v>5.7354655440999998E-2</v>
          </cell>
        </row>
        <row r="347">
          <cell r="B347">
            <v>842612</v>
          </cell>
          <cell r="C347" t="str">
            <v>Capital Goods</v>
          </cell>
          <cell r="D347">
            <v>0.63700656155099999</v>
          </cell>
        </row>
        <row r="348">
          <cell r="B348">
            <v>851529</v>
          </cell>
          <cell r="C348" t="str">
            <v>Capital Goods</v>
          </cell>
          <cell r="D348">
            <v>0.23266553060100001</v>
          </cell>
        </row>
        <row r="349">
          <cell r="B349">
            <v>901050</v>
          </cell>
          <cell r="C349" t="str">
            <v>Capital Goods</v>
          </cell>
          <cell r="D349">
            <v>0.30691580167999999</v>
          </cell>
        </row>
        <row r="350">
          <cell r="B350">
            <v>845931</v>
          </cell>
          <cell r="C350" t="str">
            <v>Capital Goods</v>
          </cell>
          <cell r="D350">
            <v>0.62877440420599995</v>
          </cell>
        </row>
        <row r="351">
          <cell r="B351">
            <v>841239</v>
          </cell>
          <cell r="C351" t="str">
            <v>Capital Goods</v>
          </cell>
          <cell r="D351">
            <v>1.045914108796</v>
          </cell>
        </row>
        <row r="352">
          <cell r="B352">
            <v>845650</v>
          </cell>
          <cell r="C352" t="str">
            <v>Capital Goods</v>
          </cell>
          <cell r="D352">
            <v>0.22500944265299999</v>
          </cell>
        </row>
        <row r="353">
          <cell r="B353">
            <v>846190</v>
          </cell>
          <cell r="C353" t="str">
            <v>Capital Goods</v>
          </cell>
          <cell r="D353">
            <v>0.20224366631099999</v>
          </cell>
        </row>
        <row r="354">
          <cell r="B354">
            <v>846140</v>
          </cell>
          <cell r="C354" t="str">
            <v>Capital Goods</v>
          </cell>
          <cell r="D354">
            <v>1.1074271560569999</v>
          </cell>
        </row>
        <row r="355">
          <cell r="B355">
            <v>842539</v>
          </cell>
          <cell r="C355" t="str">
            <v>Capital Goods</v>
          </cell>
          <cell r="D355">
            <v>1.1166606162769999</v>
          </cell>
        </row>
        <row r="356">
          <cell r="B356">
            <v>820840</v>
          </cell>
          <cell r="C356" t="str">
            <v>Capital Goods</v>
          </cell>
          <cell r="D356">
            <v>0.63863003637299998</v>
          </cell>
        </row>
        <row r="357">
          <cell r="B357">
            <v>820310</v>
          </cell>
          <cell r="C357" t="str">
            <v>Capital Goods</v>
          </cell>
          <cell r="D357">
            <v>0.31033747891500002</v>
          </cell>
        </row>
        <row r="358">
          <cell r="B358">
            <v>842219</v>
          </cell>
          <cell r="C358" t="str">
            <v>Capital Goods</v>
          </cell>
          <cell r="D358">
            <v>1.0412079485670001</v>
          </cell>
        </row>
        <row r="359">
          <cell r="B359">
            <v>844530</v>
          </cell>
          <cell r="C359" t="str">
            <v>Capital Goods</v>
          </cell>
          <cell r="D359">
            <v>0.161341095159</v>
          </cell>
        </row>
        <row r="360">
          <cell r="B360">
            <v>845150</v>
          </cell>
          <cell r="C360" t="str">
            <v>Capital Goods</v>
          </cell>
          <cell r="D360">
            <v>0.78956889965699995</v>
          </cell>
        </row>
        <row r="361">
          <cell r="B361">
            <v>845510</v>
          </cell>
          <cell r="C361" t="str">
            <v>Capital Goods</v>
          </cell>
          <cell r="D361">
            <v>0.231572879791</v>
          </cell>
        </row>
        <row r="362">
          <cell r="B362">
            <v>843340</v>
          </cell>
          <cell r="C362" t="str">
            <v>Capital Goods</v>
          </cell>
          <cell r="D362">
            <v>1.539914232319</v>
          </cell>
        </row>
        <row r="363">
          <cell r="B363">
            <v>854310</v>
          </cell>
          <cell r="C363" t="str">
            <v>Capital Goods</v>
          </cell>
          <cell r="D363">
            <v>0.23980954883199998</v>
          </cell>
        </row>
        <row r="364">
          <cell r="B364">
            <v>845410</v>
          </cell>
          <cell r="C364" t="str">
            <v>Capital Goods</v>
          </cell>
          <cell r="D364">
            <v>8.6213125506999999E-2</v>
          </cell>
        </row>
        <row r="365">
          <cell r="B365">
            <v>844711</v>
          </cell>
          <cell r="C365" t="str">
            <v>Capital Goods</v>
          </cell>
          <cell r="D365">
            <v>0.22891004633500001</v>
          </cell>
        </row>
        <row r="366">
          <cell r="B366">
            <v>841720</v>
          </cell>
          <cell r="C366" t="str">
            <v>Capital Goods</v>
          </cell>
          <cell r="D366">
            <v>0.48045118946600002</v>
          </cell>
        </row>
        <row r="367">
          <cell r="B367">
            <v>902229</v>
          </cell>
          <cell r="C367" t="str">
            <v>Capital Goods</v>
          </cell>
          <cell r="D367">
            <v>0.28884891755000003</v>
          </cell>
        </row>
        <row r="368">
          <cell r="B368">
            <v>843069</v>
          </cell>
          <cell r="C368" t="str">
            <v>Capital Goods</v>
          </cell>
          <cell r="D368">
            <v>1.265461331684</v>
          </cell>
        </row>
        <row r="369">
          <cell r="B369">
            <v>850433</v>
          </cell>
          <cell r="C369" t="str">
            <v>Capital Goods</v>
          </cell>
          <cell r="D369">
            <v>1.5922873954319998</v>
          </cell>
        </row>
        <row r="370">
          <cell r="B370">
            <v>903110</v>
          </cell>
          <cell r="C370" t="str">
            <v>Capital Goods</v>
          </cell>
          <cell r="D370">
            <v>0.489244696448</v>
          </cell>
        </row>
        <row r="371">
          <cell r="B371">
            <v>846024</v>
          </cell>
          <cell r="C371" t="str">
            <v>Capital Goods</v>
          </cell>
          <cell r="D371">
            <v>0.67453104088600002</v>
          </cell>
        </row>
        <row r="372">
          <cell r="B372">
            <v>840420</v>
          </cell>
          <cell r="C372" t="str">
            <v>Capital Goods</v>
          </cell>
          <cell r="D372">
            <v>0.17124725090599999</v>
          </cell>
        </row>
        <row r="373">
          <cell r="B373">
            <v>843680</v>
          </cell>
          <cell r="C373" t="str">
            <v>Capital Goods</v>
          </cell>
          <cell r="D373">
            <v>3.774619694998</v>
          </cell>
        </row>
        <row r="374">
          <cell r="B374">
            <v>900653</v>
          </cell>
          <cell r="C374" t="str">
            <v>Capital Goods</v>
          </cell>
          <cell r="D374">
            <v>0.13513525701199999</v>
          </cell>
        </row>
        <row r="375">
          <cell r="B375">
            <v>846594</v>
          </cell>
          <cell r="C375" t="str">
            <v>Capital Goods</v>
          </cell>
          <cell r="D375">
            <v>0.52046420449099995</v>
          </cell>
        </row>
        <row r="376">
          <cell r="B376">
            <v>845969</v>
          </cell>
          <cell r="C376" t="str">
            <v>Capital Goods</v>
          </cell>
          <cell r="D376">
            <v>0.30442855307300004</v>
          </cell>
        </row>
        <row r="377">
          <cell r="B377">
            <v>846520</v>
          </cell>
          <cell r="C377" t="str">
            <v>Capital Goods</v>
          </cell>
          <cell r="D377">
            <v>0.74216435900800004</v>
          </cell>
        </row>
        <row r="378">
          <cell r="B378">
            <v>820713</v>
          </cell>
          <cell r="C378" t="str">
            <v>Capital Goods</v>
          </cell>
          <cell r="D378">
            <v>0.6508552407</v>
          </cell>
        </row>
        <row r="379">
          <cell r="B379">
            <v>843610</v>
          </cell>
          <cell r="C379" t="str">
            <v>Capital Goods</v>
          </cell>
          <cell r="D379">
            <v>1.2184339111559999</v>
          </cell>
        </row>
        <row r="380">
          <cell r="B380">
            <v>846490</v>
          </cell>
          <cell r="C380" t="str">
            <v>Capital Goods</v>
          </cell>
          <cell r="D380">
            <v>1.0116636780770001</v>
          </cell>
        </row>
        <row r="381">
          <cell r="B381">
            <v>847621</v>
          </cell>
          <cell r="C381" t="str">
            <v>Capital Goods</v>
          </cell>
          <cell r="D381">
            <v>0.5438157708689999</v>
          </cell>
        </row>
        <row r="382">
          <cell r="B382">
            <v>844180</v>
          </cell>
          <cell r="C382" t="str">
            <v>Capital Goods</v>
          </cell>
          <cell r="D382">
            <v>1.595632331782</v>
          </cell>
        </row>
        <row r="383">
          <cell r="B383">
            <v>845970</v>
          </cell>
          <cell r="C383" t="str">
            <v>Capital Goods</v>
          </cell>
          <cell r="D383">
            <v>0.14641238812400001</v>
          </cell>
        </row>
        <row r="384">
          <cell r="B384">
            <v>850133</v>
          </cell>
          <cell r="C384" t="str">
            <v>Capital Goods</v>
          </cell>
          <cell r="D384">
            <v>0.53685649164100002</v>
          </cell>
        </row>
        <row r="385">
          <cell r="B385">
            <v>844315</v>
          </cell>
          <cell r="C385" t="str">
            <v>Capital Goods</v>
          </cell>
          <cell r="D385">
            <v>4.0080895928000002E-2</v>
          </cell>
        </row>
        <row r="386">
          <cell r="B386">
            <v>851420</v>
          </cell>
          <cell r="C386" t="str">
            <v>Capital Goods</v>
          </cell>
          <cell r="D386">
            <v>0.52533891815199996</v>
          </cell>
        </row>
        <row r="387">
          <cell r="B387">
            <v>842430</v>
          </cell>
          <cell r="C387" t="str">
            <v>Capital Goods</v>
          </cell>
          <cell r="D387">
            <v>3.2252792072449998</v>
          </cell>
        </row>
        <row r="388">
          <cell r="B388">
            <v>845959</v>
          </cell>
          <cell r="C388" t="str">
            <v>Capital Goods</v>
          </cell>
          <cell r="D388">
            <v>6.7902212363999986E-2</v>
          </cell>
        </row>
        <row r="389">
          <cell r="B389">
            <v>842449</v>
          </cell>
          <cell r="C389" t="str">
            <v>Capital Goods</v>
          </cell>
          <cell r="D389">
            <v>1.171731022301</v>
          </cell>
        </row>
        <row r="390">
          <cell r="B390">
            <v>843239</v>
          </cell>
          <cell r="C390" t="str">
            <v>Capital Goods</v>
          </cell>
          <cell r="D390">
            <v>1.651706697566</v>
          </cell>
        </row>
        <row r="391">
          <cell r="B391">
            <v>903220</v>
          </cell>
          <cell r="C391" t="str">
            <v>Capital Goods</v>
          </cell>
          <cell r="D391">
            <v>0.96828691626100005</v>
          </cell>
        </row>
        <row r="392">
          <cell r="B392">
            <v>820720</v>
          </cell>
          <cell r="C392" t="str">
            <v>Capital Goods</v>
          </cell>
          <cell r="D392">
            <v>0.78806860611600005</v>
          </cell>
        </row>
        <row r="393">
          <cell r="B393">
            <v>845180</v>
          </cell>
          <cell r="C393" t="str">
            <v>Capital Goods</v>
          </cell>
          <cell r="D393">
            <v>1.0211504429180001</v>
          </cell>
        </row>
        <row r="394">
          <cell r="B394">
            <v>843352</v>
          </cell>
          <cell r="C394" t="str">
            <v>Capital Goods</v>
          </cell>
          <cell r="D394">
            <v>0.22262219779100001</v>
          </cell>
        </row>
        <row r="395">
          <cell r="B395">
            <v>846090</v>
          </cell>
          <cell r="C395" t="str">
            <v>Capital Goods</v>
          </cell>
          <cell r="D395">
            <v>0.61184279975</v>
          </cell>
        </row>
        <row r="396">
          <cell r="B396">
            <v>850120</v>
          </cell>
          <cell r="C396" t="str">
            <v>Capital Goods</v>
          </cell>
          <cell r="D396">
            <v>0.96974949074299999</v>
          </cell>
        </row>
        <row r="397">
          <cell r="B397">
            <v>901600</v>
          </cell>
          <cell r="C397" t="str">
            <v>Capital Goods</v>
          </cell>
          <cell r="D397">
            <v>0.55667217047899997</v>
          </cell>
        </row>
        <row r="398">
          <cell r="B398">
            <v>841610</v>
          </cell>
          <cell r="C398" t="str">
            <v>Capital Goods</v>
          </cell>
          <cell r="D398">
            <v>0.23399765947699999</v>
          </cell>
        </row>
        <row r="399">
          <cell r="B399">
            <v>846029</v>
          </cell>
          <cell r="C399" t="str">
            <v>Capital Goods</v>
          </cell>
          <cell r="D399">
            <v>0.24030239656600003</v>
          </cell>
        </row>
        <row r="400">
          <cell r="B400">
            <v>851440</v>
          </cell>
          <cell r="C400" t="str">
            <v>Capital Goods</v>
          </cell>
          <cell r="D400">
            <v>0.78232562565699992</v>
          </cell>
        </row>
        <row r="401">
          <cell r="B401">
            <v>901410</v>
          </cell>
          <cell r="C401" t="str">
            <v>Capital Goods</v>
          </cell>
          <cell r="D401">
            <v>0.25395971508300003</v>
          </cell>
        </row>
        <row r="402">
          <cell r="B402">
            <v>844900</v>
          </cell>
          <cell r="C402" t="str">
            <v>Capital Goods</v>
          </cell>
          <cell r="D402">
            <v>0.70994372708099995</v>
          </cell>
        </row>
        <row r="403">
          <cell r="B403">
            <v>950822</v>
          </cell>
          <cell r="C403" t="str">
            <v>Capital Goods</v>
          </cell>
          <cell r="D403">
            <v>0.19059210803400001</v>
          </cell>
        </row>
        <row r="404">
          <cell r="B404">
            <v>850134</v>
          </cell>
          <cell r="C404" t="str">
            <v>Capital Goods</v>
          </cell>
          <cell r="D404">
            <v>0.202711154586</v>
          </cell>
        </row>
        <row r="405">
          <cell r="B405">
            <v>820830</v>
          </cell>
          <cell r="C405" t="str">
            <v>Capital Goods</v>
          </cell>
          <cell r="D405">
            <v>0.31950945043400003</v>
          </cell>
        </row>
        <row r="406">
          <cell r="B406">
            <v>840220</v>
          </cell>
          <cell r="C406" t="str">
            <v>Capital Goods</v>
          </cell>
          <cell r="D406">
            <v>0.120342515947</v>
          </cell>
        </row>
        <row r="407">
          <cell r="B407">
            <v>842320</v>
          </cell>
          <cell r="C407" t="str">
            <v>Capital Goods</v>
          </cell>
          <cell r="D407">
            <v>0.18378948881999999</v>
          </cell>
        </row>
        <row r="408">
          <cell r="B408">
            <v>847090</v>
          </cell>
          <cell r="C408" t="str">
            <v>Capital Goods</v>
          </cell>
          <cell r="D408">
            <v>0.93761384495700006</v>
          </cell>
        </row>
        <row r="409">
          <cell r="B409">
            <v>841311</v>
          </cell>
          <cell r="C409" t="str">
            <v>Capital Goods</v>
          </cell>
          <cell r="D409">
            <v>0.810302440289</v>
          </cell>
        </row>
        <row r="410">
          <cell r="B410">
            <v>844120</v>
          </cell>
          <cell r="C410" t="str">
            <v>Capital Goods</v>
          </cell>
          <cell r="D410">
            <v>0.43859306065699999</v>
          </cell>
        </row>
        <row r="411">
          <cell r="B411">
            <v>821110</v>
          </cell>
          <cell r="C411" t="str">
            <v>Capital Goods</v>
          </cell>
          <cell r="D411">
            <v>0.62011874147399992</v>
          </cell>
        </row>
        <row r="412">
          <cell r="B412">
            <v>761210</v>
          </cell>
          <cell r="C412" t="str">
            <v>Capital Goods</v>
          </cell>
          <cell r="D412">
            <v>0.534309518845</v>
          </cell>
        </row>
        <row r="413">
          <cell r="B413">
            <v>821195</v>
          </cell>
          <cell r="C413" t="str">
            <v>Capital Goods</v>
          </cell>
          <cell r="D413">
            <v>2.097410584E-2</v>
          </cell>
        </row>
        <row r="414">
          <cell r="B414">
            <v>846019</v>
          </cell>
          <cell r="C414" t="str">
            <v>Capital Goods</v>
          </cell>
          <cell r="D414">
            <v>0.179783676128</v>
          </cell>
        </row>
        <row r="415">
          <cell r="B415">
            <v>846023</v>
          </cell>
          <cell r="C415" t="str">
            <v>Capital Goods</v>
          </cell>
          <cell r="D415">
            <v>0.88233575990000002</v>
          </cell>
        </row>
        <row r="416">
          <cell r="B416">
            <v>843039</v>
          </cell>
          <cell r="C416" t="str">
            <v>Capital Goods</v>
          </cell>
          <cell r="D416">
            <v>0.53373622704099999</v>
          </cell>
        </row>
        <row r="417">
          <cell r="B417">
            <v>843280</v>
          </cell>
          <cell r="C417" t="str">
            <v>Capital Goods</v>
          </cell>
          <cell r="D417">
            <v>1.4452164390220001</v>
          </cell>
        </row>
        <row r="418">
          <cell r="B418">
            <v>847521</v>
          </cell>
          <cell r="C418" t="str">
            <v>Capital Goods</v>
          </cell>
          <cell r="D418">
            <v>8.8111445949E-2</v>
          </cell>
        </row>
        <row r="419">
          <cell r="B419">
            <v>901820</v>
          </cell>
          <cell r="C419" t="str">
            <v>Capital Goods</v>
          </cell>
          <cell r="D419">
            <v>0.67993905700000001</v>
          </cell>
        </row>
        <row r="420">
          <cell r="B420">
            <v>846039</v>
          </cell>
          <cell r="C420" t="str">
            <v>Capital Goods</v>
          </cell>
          <cell r="D420">
            <v>0.19471443838899999</v>
          </cell>
        </row>
        <row r="421">
          <cell r="B421">
            <v>844010</v>
          </cell>
          <cell r="C421" t="str">
            <v>Capital Goods</v>
          </cell>
          <cell r="D421">
            <v>0.67765983825199994</v>
          </cell>
        </row>
        <row r="422">
          <cell r="B422">
            <v>901010</v>
          </cell>
          <cell r="C422" t="str">
            <v>Capital Goods</v>
          </cell>
          <cell r="D422">
            <v>3.6715158312E-2</v>
          </cell>
        </row>
        <row r="423">
          <cell r="B423">
            <v>846263</v>
          </cell>
          <cell r="C423" t="str">
            <v>Capital Goods</v>
          </cell>
          <cell r="D423">
            <v>0.303521236375</v>
          </cell>
        </row>
        <row r="424">
          <cell r="B424">
            <v>844140</v>
          </cell>
          <cell r="C424" t="str">
            <v>Capital Goods</v>
          </cell>
          <cell r="D424">
            <v>0.381606533503</v>
          </cell>
        </row>
        <row r="425">
          <cell r="B425">
            <v>820760</v>
          </cell>
          <cell r="C425" t="str">
            <v>Capital Goods</v>
          </cell>
          <cell r="D425">
            <v>0.48196138775700004</v>
          </cell>
        </row>
        <row r="426">
          <cell r="B426">
            <v>846320</v>
          </cell>
          <cell r="C426" t="str">
            <v>Capital Goods</v>
          </cell>
          <cell r="D426">
            <v>0.111215654331</v>
          </cell>
        </row>
        <row r="427">
          <cell r="B427">
            <v>820291</v>
          </cell>
          <cell r="C427" t="str">
            <v>Capital Goods</v>
          </cell>
          <cell r="D427">
            <v>0.19740255071200002</v>
          </cell>
        </row>
        <row r="428">
          <cell r="B428">
            <v>870130</v>
          </cell>
          <cell r="C428" t="str">
            <v>Capital Goods</v>
          </cell>
          <cell r="D428">
            <v>2.104433658054</v>
          </cell>
        </row>
        <row r="429">
          <cell r="B429">
            <v>844317</v>
          </cell>
          <cell r="C429" t="str">
            <v>Capital Goods</v>
          </cell>
          <cell r="D429">
            <v>0.26310089732399999</v>
          </cell>
        </row>
        <row r="430">
          <cell r="B430">
            <v>845941</v>
          </cell>
          <cell r="C430" t="str">
            <v>Capital Goods</v>
          </cell>
          <cell r="D430">
            <v>9.3900105080999996E-2</v>
          </cell>
        </row>
        <row r="431">
          <cell r="B431">
            <v>900630</v>
          </cell>
          <cell r="C431" t="str">
            <v>Capital Goods</v>
          </cell>
          <cell r="D431">
            <v>0.28973829151800001</v>
          </cell>
        </row>
        <row r="432">
          <cell r="B432">
            <v>846820</v>
          </cell>
          <cell r="C432" t="str">
            <v>Capital Goods</v>
          </cell>
          <cell r="D432">
            <v>0.15406347080000002</v>
          </cell>
        </row>
        <row r="433">
          <cell r="B433">
            <v>901210</v>
          </cell>
          <cell r="C433" t="str">
            <v>Capital Goods</v>
          </cell>
          <cell r="D433">
            <v>2.9532414556840001</v>
          </cell>
        </row>
        <row r="434">
          <cell r="B434">
            <v>846224</v>
          </cell>
          <cell r="C434" t="str">
            <v>Capital Goods</v>
          </cell>
          <cell r="D434">
            <v>0.35972161594300001</v>
          </cell>
        </row>
        <row r="435">
          <cell r="B435">
            <v>843231</v>
          </cell>
          <cell r="C435" t="str">
            <v>Capital Goods</v>
          </cell>
          <cell r="D435">
            <v>0.786365078873</v>
          </cell>
        </row>
        <row r="436">
          <cell r="B436">
            <v>843330</v>
          </cell>
          <cell r="C436" t="str">
            <v>Capital Goods</v>
          </cell>
          <cell r="D436">
            <v>0.88480695283400002</v>
          </cell>
        </row>
        <row r="437">
          <cell r="B437">
            <v>901814</v>
          </cell>
          <cell r="C437" t="str">
            <v>Capital Goods</v>
          </cell>
          <cell r="D437">
            <v>0.28272592158199999</v>
          </cell>
        </row>
        <row r="438">
          <cell r="B438">
            <v>842832</v>
          </cell>
          <cell r="C438" t="str">
            <v>Capital Goods</v>
          </cell>
          <cell r="D438">
            <v>0.32305859716099999</v>
          </cell>
        </row>
        <row r="439">
          <cell r="B439">
            <v>844610</v>
          </cell>
          <cell r="C439" t="str">
            <v>Capital Goods</v>
          </cell>
          <cell r="D439">
            <v>8.8625011005999996E-2</v>
          </cell>
        </row>
        <row r="440">
          <cell r="B440">
            <v>820330</v>
          </cell>
          <cell r="C440" t="str">
            <v>Capital Goods</v>
          </cell>
          <cell r="D440">
            <v>0.18804970043399999</v>
          </cell>
        </row>
        <row r="441">
          <cell r="B441">
            <v>820160</v>
          </cell>
          <cell r="C441" t="str">
            <v>Capital Goods</v>
          </cell>
          <cell r="D441">
            <v>0.203385461584</v>
          </cell>
        </row>
        <row r="442">
          <cell r="B442">
            <v>846225</v>
          </cell>
          <cell r="C442" t="str">
            <v>Capital Goods</v>
          </cell>
          <cell r="D442">
            <v>8.5691921983000005E-2</v>
          </cell>
        </row>
        <row r="443">
          <cell r="B443">
            <v>845949</v>
          </cell>
          <cell r="C443" t="str">
            <v>Capital Goods</v>
          </cell>
          <cell r="D443">
            <v>3.7659043289999999E-2</v>
          </cell>
        </row>
        <row r="444">
          <cell r="B444">
            <v>901710</v>
          </cell>
          <cell r="C444" t="str">
            <v>Capital Goods</v>
          </cell>
          <cell r="D444">
            <v>3.4621261260000001E-2</v>
          </cell>
        </row>
        <row r="445">
          <cell r="B445">
            <v>846012</v>
          </cell>
          <cell r="C445" t="str">
            <v>Capital Goods</v>
          </cell>
          <cell r="D445">
            <v>0.44105261386299999</v>
          </cell>
        </row>
        <row r="446">
          <cell r="B446">
            <v>845939</v>
          </cell>
          <cell r="C446" t="str">
            <v>Capital Goods</v>
          </cell>
          <cell r="D446">
            <v>6.4032458902999995E-2</v>
          </cell>
        </row>
        <row r="447">
          <cell r="B447">
            <v>846031</v>
          </cell>
          <cell r="C447" t="str">
            <v>Capital Goods</v>
          </cell>
          <cell r="D447">
            <v>0.39964715150500002</v>
          </cell>
        </row>
        <row r="448">
          <cell r="B448">
            <v>950829</v>
          </cell>
          <cell r="C448" t="str">
            <v>Capital Goods</v>
          </cell>
          <cell r="D448">
            <v>0.33739343674699995</v>
          </cell>
        </row>
        <row r="449">
          <cell r="B449">
            <v>844314</v>
          </cell>
          <cell r="C449" t="str">
            <v>Capital Goods</v>
          </cell>
          <cell r="D449">
            <v>6.9663280073000003E-2</v>
          </cell>
        </row>
        <row r="450">
          <cell r="B450">
            <v>845229</v>
          </cell>
          <cell r="C450" t="str">
            <v>Capital Goods</v>
          </cell>
          <cell r="D450">
            <v>1.2014289408299998</v>
          </cell>
        </row>
        <row r="451">
          <cell r="B451">
            <v>846022</v>
          </cell>
          <cell r="C451" t="str">
            <v>Capital Goods</v>
          </cell>
          <cell r="D451">
            <v>0.154975347584</v>
          </cell>
        </row>
        <row r="452">
          <cell r="B452">
            <v>843221</v>
          </cell>
          <cell r="C452" t="str">
            <v>Capital Goods</v>
          </cell>
          <cell r="D452">
            <v>0.62040193158699997</v>
          </cell>
        </row>
        <row r="453">
          <cell r="B453">
            <v>950823</v>
          </cell>
          <cell r="C453" t="str">
            <v>Capital Goods</v>
          </cell>
          <cell r="D453">
            <v>3.4102415303999996E-2</v>
          </cell>
        </row>
        <row r="454">
          <cell r="B454">
            <v>846040</v>
          </cell>
          <cell r="C454" t="str">
            <v>Capital Goods</v>
          </cell>
          <cell r="D454">
            <v>0.35827570779900003</v>
          </cell>
        </row>
        <row r="455">
          <cell r="B455">
            <v>843210</v>
          </cell>
          <cell r="C455" t="str">
            <v>Capital Goods</v>
          </cell>
          <cell r="D455">
            <v>0.47624062479400003</v>
          </cell>
        </row>
        <row r="456">
          <cell r="B456">
            <v>848030</v>
          </cell>
          <cell r="C456" t="str">
            <v>Capital Goods</v>
          </cell>
          <cell r="D456">
            <v>0.21058401174300001</v>
          </cell>
        </row>
        <row r="457">
          <cell r="B457">
            <v>851633</v>
          </cell>
          <cell r="C457" t="str">
            <v>Capital Goods</v>
          </cell>
          <cell r="D457">
            <v>0.117209923748</v>
          </cell>
        </row>
        <row r="458">
          <cell r="B458">
            <v>847010</v>
          </cell>
          <cell r="C458" t="str">
            <v>Capital Goods</v>
          </cell>
          <cell r="D458">
            <v>0.66370427959799994</v>
          </cell>
        </row>
        <row r="459">
          <cell r="B459">
            <v>950824</v>
          </cell>
          <cell r="C459" t="str">
            <v>Capital Goods</v>
          </cell>
          <cell r="D459">
            <v>7.5103638846999998E-2</v>
          </cell>
        </row>
        <row r="460">
          <cell r="B460">
            <v>845140</v>
          </cell>
          <cell r="C460" t="str">
            <v>Capital Goods</v>
          </cell>
          <cell r="D460">
            <v>0.66580091346000003</v>
          </cell>
        </row>
        <row r="461">
          <cell r="B461">
            <v>847751</v>
          </cell>
          <cell r="C461" t="str">
            <v>Capital Goods</v>
          </cell>
          <cell r="D461">
            <v>0.44286583328100004</v>
          </cell>
        </row>
        <row r="462">
          <cell r="B462">
            <v>846130</v>
          </cell>
          <cell r="C462" t="str">
            <v>Capital Goods</v>
          </cell>
          <cell r="D462">
            <v>7.268036863699999E-2</v>
          </cell>
        </row>
        <row r="463">
          <cell r="B463">
            <v>847210</v>
          </cell>
          <cell r="C463" t="str">
            <v>Capital Goods</v>
          </cell>
          <cell r="D463">
            <v>4.5503505248000002E-2</v>
          </cell>
        </row>
        <row r="464">
          <cell r="B464">
            <v>848530</v>
          </cell>
          <cell r="C464" t="str">
            <v>Capital Goods</v>
          </cell>
          <cell r="D464">
            <v>1.5198732721999999E-2</v>
          </cell>
        </row>
        <row r="465">
          <cell r="B465">
            <v>851432</v>
          </cell>
          <cell r="C465" t="str">
            <v>Capital Goods</v>
          </cell>
          <cell r="D465">
            <v>4.9590998007000002E-2</v>
          </cell>
        </row>
        <row r="466">
          <cell r="B466">
            <v>950821</v>
          </cell>
          <cell r="C466" t="str">
            <v>Capital Goods</v>
          </cell>
          <cell r="D466">
            <v>0.35480053761199998</v>
          </cell>
        </row>
        <row r="467">
          <cell r="B467">
            <v>846719</v>
          </cell>
          <cell r="C467" t="str">
            <v>Capital Goods</v>
          </cell>
          <cell r="D467">
            <v>0.84554381550899993</v>
          </cell>
        </row>
        <row r="468">
          <cell r="B468">
            <v>820560</v>
          </cell>
          <cell r="C468" t="str">
            <v>Capital Goods</v>
          </cell>
          <cell r="D468">
            <v>0.10281466376700001</v>
          </cell>
        </row>
        <row r="469">
          <cell r="B469">
            <v>846120</v>
          </cell>
          <cell r="C469" t="str">
            <v>Capital Goods</v>
          </cell>
          <cell r="D469">
            <v>5.2598386744999996E-2</v>
          </cell>
        </row>
        <row r="470">
          <cell r="B470">
            <v>845951</v>
          </cell>
          <cell r="C470" t="str">
            <v>Capital Goods</v>
          </cell>
          <cell r="D470">
            <v>5.3653980487999998E-2</v>
          </cell>
        </row>
        <row r="471">
          <cell r="B471">
            <v>848010</v>
          </cell>
          <cell r="C471" t="str">
            <v>Capital Goods</v>
          </cell>
          <cell r="D471">
            <v>0.14399084233000001</v>
          </cell>
        </row>
        <row r="472">
          <cell r="B472">
            <v>845612</v>
          </cell>
          <cell r="C472" t="str">
            <v>Capital Goods</v>
          </cell>
          <cell r="D472">
            <v>3.9558874250000001E-2</v>
          </cell>
        </row>
        <row r="473">
          <cell r="B473">
            <v>844629</v>
          </cell>
          <cell r="C473" t="str">
            <v>Capital Goods</v>
          </cell>
          <cell r="D473">
            <v>4.0450776711999994E-2</v>
          </cell>
        </row>
        <row r="474">
          <cell r="B474">
            <v>842111</v>
          </cell>
          <cell r="C474" t="str">
            <v>Capital Goods</v>
          </cell>
          <cell r="D474">
            <v>5.3507848977999997E-2</v>
          </cell>
        </row>
        <row r="475">
          <cell r="B475">
            <v>841011</v>
          </cell>
          <cell r="C475" t="str">
            <v>Capital Goods</v>
          </cell>
          <cell r="D475">
            <v>6.6972995337999996E-2</v>
          </cell>
        </row>
        <row r="476">
          <cell r="B476">
            <v>845910</v>
          </cell>
          <cell r="C476" t="str">
            <v>Capital Goods</v>
          </cell>
          <cell r="D476">
            <v>4.8341103938E-2</v>
          </cell>
        </row>
        <row r="477">
          <cell r="B477">
            <v>847983</v>
          </cell>
          <cell r="C477" t="str">
            <v>Capital Goods</v>
          </cell>
          <cell r="D477">
            <v>6.5195440292000001E-2</v>
          </cell>
        </row>
        <row r="478">
          <cell r="B478">
            <v>950826</v>
          </cell>
          <cell r="C478" t="str">
            <v>Capital Goods</v>
          </cell>
          <cell r="D478">
            <v>9.8795373760999991E-2</v>
          </cell>
        </row>
        <row r="479">
          <cell r="B479">
            <v>846239</v>
          </cell>
          <cell r="C479" t="str">
            <v>Capital Goods</v>
          </cell>
          <cell r="D479">
            <v>0.29133711127399997</v>
          </cell>
        </row>
        <row r="480">
          <cell r="B480">
            <v>845620</v>
          </cell>
          <cell r="C480" t="str">
            <v>Capital Goods</v>
          </cell>
          <cell r="D480">
            <v>8.2337257578000006E-2</v>
          </cell>
        </row>
        <row r="481">
          <cell r="B481">
            <v>845690</v>
          </cell>
          <cell r="C481" t="str">
            <v>Capital Goods</v>
          </cell>
          <cell r="D481">
            <v>0.28861160058399998</v>
          </cell>
        </row>
        <row r="482">
          <cell r="B482">
            <v>843242</v>
          </cell>
          <cell r="C482" t="str">
            <v>Capital Goods</v>
          </cell>
          <cell r="D482">
            <v>0.45849022075700002</v>
          </cell>
        </row>
        <row r="483">
          <cell r="B483">
            <v>845720</v>
          </cell>
          <cell r="C483" t="str">
            <v>Capital Goods</v>
          </cell>
          <cell r="D483">
            <v>6.0701960588000002E-2</v>
          </cell>
        </row>
        <row r="484">
          <cell r="B484">
            <v>847629</v>
          </cell>
          <cell r="C484" t="str">
            <v>Capital Goods</v>
          </cell>
          <cell r="D484">
            <v>3.0897769349000001E-2</v>
          </cell>
        </row>
        <row r="485">
          <cell r="B485">
            <v>903010</v>
          </cell>
          <cell r="C485" t="str">
            <v>Capital Goods</v>
          </cell>
          <cell r="D485">
            <v>2.0597495559990002</v>
          </cell>
        </row>
        <row r="486">
          <cell r="B486">
            <v>851431</v>
          </cell>
          <cell r="C486" t="str">
            <v>Capital Goods</v>
          </cell>
          <cell r="D486">
            <v>4.7764497395000001E-2</v>
          </cell>
        </row>
        <row r="487">
          <cell r="B487">
            <v>843353</v>
          </cell>
          <cell r="C487" t="str">
            <v>Capital Goods</v>
          </cell>
          <cell r="D487">
            <v>0.62521515595499999</v>
          </cell>
        </row>
        <row r="488">
          <cell r="B488">
            <v>900710</v>
          </cell>
          <cell r="C488" t="str">
            <v>Capital Goods</v>
          </cell>
          <cell r="D488">
            <v>0.117569342324</v>
          </cell>
        </row>
        <row r="489">
          <cell r="B489">
            <v>851411</v>
          </cell>
          <cell r="C489" t="str">
            <v>Capital Goods</v>
          </cell>
          <cell r="D489">
            <v>9.3482277823999996E-2</v>
          </cell>
        </row>
        <row r="490">
          <cell r="B490">
            <v>901540</v>
          </cell>
          <cell r="C490" t="str">
            <v>Capital Goods</v>
          </cell>
          <cell r="D490">
            <v>0.235014388219</v>
          </cell>
        </row>
        <row r="491">
          <cell r="B491">
            <v>846789</v>
          </cell>
          <cell r="C491" t="str">
            <v>Capital Goods</v>
          </cell>
          <cell r="D491">
            <v>1.976565329384</v>
          </cell>
        </row>
        <row r="492">
          <cell r="B492">
            <v>844312</v>
          </cell>
          <cell r="C492" t="str">
            <v>Capital Goods</v>
          </cell>
          <cell r="D492">
            <v>2.2212821681E-2</v>
          </cell>
        </row>
        <row r="493">
          <cell r="B493">
            <v>843910</v>
          </cell>
          <cell r="C493" t="str">
            <v>Capital Goods</v>
          </cell>
          <cell r="D493">
            <v>0.43554344337799999</v>
          </cell>
        </row>
        <row r="494">
          <cell r="B494">
            <v>844590</v>
          </cell>
          <cell r="C494" t="str">
            <v>Capital Goods</v>
          </cell>
          <cell r="D494">
            <v>0.17238647058500001</v>
          </cell>
        </row>
        <row r="495">
          <cell r="B495">
            <v>840610</v>
          </cell>
          <cell r="C495" t="str">
            <v>Capital Goods</v>
          </cell>
          <cell r="D495">
            <v>8.2808922759999987E-2</v>
          </cell>
        </row>
        <row r="496">
          <cell r="B496">
            <v>950825</v>
          </cell>
          <cell r="C496" t="str">
            <v>Capital Goods</v>
          </cell>
          <cell r="D496">
            <v>2.4464203064E-2</v>
          </cell>
        </row>
        <row r="497">
          <cell r="B497">
            <v>820120</v>
          </cell>
          <cell r="C497" t="str">
            <v>Capital Goods</v>
          </cell>
          <cell r="D497">
            <v>0</v>
          </cell>
        </row>
        <row r="498">
          <cell r="B498">
            <v>820580</v>
          </cell>
          <cell r="C498" t="str">
            <v>Capital Goods</v>
          </cell>
          <cell r="D498">
            <v>0</v>
          </cell>
        </row>
        <row r="499">
          <cell r="B499">
            <v>840110</v>
          </cell>
          <cell r="C499" t="str">
            <v>Capital Goods</v>
          </cell>
          <cell r="D499">
            <v>4.7518313899999999E-3</v>
          </cell>
        </row>
        <row r="500">
          <cell r="B500">
            <v>840120</v>
          </cell>
          <cell r="C500" t="str">
            <v>Capital Goods</v>
          </cell>
          <cell r="D500">
            <v>7.8387131832999987E-2</v>
          </cell>
        </row>
        <row r="501">
          <cell r="B501">
            <v>842481</v>
          </cell>
          <cell r="C501" t="str">
            <v>Capital Goods</v>
          </cell>
          <cell r="D501">
            <v>2.16799941E-4</v>
          </cell>
        </row>
        <row r="502">
          <cell r="B502">
            <v>843230</v>
          </cell>
          <cell r="C502" t="str">
            <v>Capital Goods</v>
          </cell>
          <cell r="D502">
            <v>6.3942747000000002E-5</v>
          </cell>
        </row>
        <row r="503">
          <cell r="B503">
            <v>843240</v>
          </cell>
          <cell r="C503" t="str">
            <v>Capital Goods</v>
          </cell>
          <cell r="D503">
            <v>0</v>
          </cell>
        </row>
        <row r="504">
          <cell r="B504">
            <v>870190</v>
          </cell>
          <cell r="C504" t="str">
            <v>Capital Goods</v>
          </cell>
          <cell r="D504">
            <v>8.1980968579999994E-3</v>
          </cell>
        </row>
        <row r="505">
          <cell r="B505">
            <v>950840</v>
          </cell>
          <cell r="C505" t="str">
            <v>Capital Goods</v>
          </cell>
          <cell r="D505">
            <v>0.14664033491</v>
          </cell>
        </row>
        <row r="506">
          <cell r="B506">
            <v>844520</v>
          </cell>
          <cell r="C506" t="str">
            <v>Capital Goods</v>
          </cell>
          <cell r="D506">
            <v>1.2708829996589999</v>
          </cell>
        </row>
        <row r="507">
          <cell r="B507">
            <v>870191</v>
          </cell>
          <cell r="C507" t="str">
            <v>Capital Goods</v>
          </cell>
          <cell r="D507">
            <v>1.0287239699949999</v>
          </cell>
        </row>
        <row r="508">
          <cell r="B508">
            <v>847030</v>
          </cell>
          <cell r="C508" t="str">
            <v>Capital Goods</v>
          </cell>
          <cell r="D508">
            <v>2.9745552083000001E-2</v>
          </cell>
        </row>
        <row r="509">
          <cell r="B509">
            <v>851920</v>
          </cell>
          <cell r="C509" t="str">
            <v>Capital Goods</v>
          </cell>
          <cell r="D509">
            <v>3.6821353648000002E-2</v>
          </cell>
        </row>
        <row r="510">
          <cell r="B510">
            <v>843241</v>
          </cell>
          <cell r="C510" t="str">
            <v>Capital Goods</v>
          </cell>
          <cell r="D510">
            <v>0.37922891085999999</v>
          </cell>
        </row>
        <row r="511">
          <cell r="B511">
            <v>843420</v>
          </cell>
          <cell r="C511" t="str">
            <v>Capital Goods</v>
          </cell>
          <cell r="D511">
            <v>0.54070258566700002</v>
          </cell>
        </row>
        <row r="512">
          <cell r="B512">
            <v>841382</v>
          </cell>
          <cell r="C512" t="str">
            <v>Capital Goods</v>
          </cell>
          <cell r="D512">
            <v>0.13941234777600001</v>
          </cell>
        </row>
        <row r="513">
          <cell r="B513">
            <v>847510</v>
          </cell>
          <cell r="C513" t="str">
            <v>Capital Goods</v>
          </cell>
          <cell r="D513">
            <v>5.2568090975000002E-2</v>
          </cell>
        </row>
        <row r="514">
          <cell r="B514">
            <v>901520</v>
          </cell>
          <cell r="C514" t="str">
            <v>Capital Goods</v>
          </cell>
          <cell r="D514">
            <v>0.87679933888299999</v>
          </cell>
        </row>
        <row r="515">
          <cell r="B515">
            <v>846310</v>
          </cell>
          <cell r="C515" t="str">
            <v>Capital Goods</v>
          </cell>
          <cell r="D515">
            <v>0.48831889063700001</v>
          </cell>
        </row>
        <row r="516">
          <cell r="B516">
            <v>845110</v>
          </cell>
          <cell r="C516" t="str">
            <v>Capital Goods</v>
          </cell>
          <cell r="D516">
            <v>5.2732955996000003E-2</v>
          </cell>
        </row>
        <row r="517">
          <cell r="B517">
            <v>870110</v>
          </cell>
          <cell r="C517" t="str">
            <v>Capital Goods</v>
          </cell>
          <cell r="D517">
            <v>0.29246089718000001</v>
          </cell>
        </row>
        <row r="518">
          <cell r="B518">
            <v>844311</v>
          </cell>
          <cell r="C518" t="str">
            <v>Capital Goods</v>
          </cell>
          <cell r="D518">
            <v>0.32669080397200001</v>
          </cell>
        </row>
        <row r="519">
          <cell r="B519">
            <v>843410</v>
          </cell>
          <cell r="C519" t="str">
            <v>Capital Goods</v>
          </cell>
          <cell r="D519">
            <v>0.81416678606900006</v>
          </cell>
        </row>
        <row r="520">
          <cell r="B520">
            <v>844621</v>
          </cell>
          <cell r="C520" t="str">
            <v>Capital Goods</v>
          </cell>
          <cell r="D520">
            <v>8.9094064187999991E-2</v>
          </cell>
        </row>
        <row r="521">
          <cell r="B521">
            <v>840681</v>
          </cell>
          <cell r="C521" t="str">
            <v>Capital Goods</v>
          </cell>
          <cell r="D521">
            <v>0.46181119755700001</v>
          </cell>
        </row>
        <row r="522">
          <cell r="B522">
            <v>842919</v>
          </cell>
          <cell r="C522" t="str">
            <v>Capital Goods</v>
          </cell>
          <cell r="D522">
            <v>0.26171949981799997</v>
          </cell>
        </row>
        <row r="523">
          <cell r="B523">
            <v>841013</v>
          </cell>
          <cell r="C523" t="str">
            <v>Capital Goods</v>
          </cell>
          <cell r="D523">
            <v>7.048984778499999E-2</v>
          </cell>
        </row>
        <row r="524">
          <cell r="B524">
            <v>845899</v>
          </cell>
          <cell r="C524" t="str">
            <v>Capital Goods</v>
          </cell>
          <cell r="D524">
            <v>0.21354861496799998</v>
          </cell>
        </row>
        <row r="525">
          <cell r="B525">
            <v>847979</v>
          </cell>
          <cell r="C525" t="str">
            <v>Capital Goods</v>
          </cell>
          <cell r="D525">
            <v>0.14272605113999998</v>
          </cell>
        </row>
        <row r="526">
          <cell r="B526">
            <v>841012</v>
          </cell>
          <cell r="C526" t="str">
            <v>Capital Goods</v>
          </cell>
          <cell r="D526">
            <v>4.5509305097999997E-2</v>
          </cell>
        </row>
        <row r="527">
          <cell r="B527">
            <v>847230</v>
          </cell>
          <cell r="C527" t="str">
            <v>Capital Goods</v>
          </cell>
          <cell r="D527">
            <v>0.19303935058999999</v>
          </cell>
        </row>
        <row r="528">
          <cell r="B528">
            <v>846510</v>
          </cell>
          <cell r="C528" t="str">
            <v>Capital Goods</v>
          </cell>
          <cell r="D528">
            <v>1.3173001751089999</v>
          </cell>
        </row>
        <row r="529">
          <cell r="B529">
            <v>844540</v>
          </cell>
          <cell r="C529" t="str">
            <v>Capital Goods</v>
          </cell>
          <cell r="D529">
            <v>1.305928711055</v>
          </cell>
        </row>
        <row r="530">
          <cell r="B530">
            <v>902221</v>
          </cell>
          <cell r="C530" t="str">
            <v>Capital Goods</v>
          </cell>
          <cell r="D530">
            <v>0.23878099554100002</v>
          </cell>
        </row>
        <row r="531">
          <cell r="B531">
            <v>840682</v>
          </cell>
          <cell r="C531" t="str">
            <v>Capital Goods</v>
          </cell>
          <cell r="D531">
            <v>0.335480127219</v>
          </cell>
        </row>
        <row r="532">
          <cell r="B532">
            <v>840510</v>
          </cell>
          <cell r="C532" t="str">
            <v>Capital Goods</v>
          </cell>
          <cell r="D532">
            <v>0.60610802675600006</v>
          </cell>
        </row>
        <row r="533">
          <cell r="B533">
            <v>843010</v>
          </cell>
          <cell r="C533" t="str">
            <v>Capital Goods</v>
          </cell>
          <cell r="D533">
            <v>0.56993954137199998</v>
          </cell>
        </row>
        <row r="534">
          <cell r="B534">
            <v>847810</v>
          </cell>
          <cell r="C534" t="str">
            <v>Capital Goods</v>
          </cell>
          <cell r="D534">
            <v>0.69600618403699999</v>
          </cell>
        </row>
        <row r="535">
          <cell r="B535">
            <v>845380</v>
          </cell>
          <cell r="C535" t="str">
            <v>Capital Goods</v>
          </cell>
          <cell r="D535">
            <v>9.9836082310000004E-2</v>
          </cell>
        </row>
        <row r="536">
          <cell r="B536">
            <v>844230</v>
          </cell>
          <cell r="C536" t="str">
            <v>Capital Goods</v>
          </cell>
          <cell r="D536">
            <v>0.35168459129599999</v>
          </cell>
        </row>
        <row r="537">
          <cell r="B537">
            <v>845929</v>
          </cell>
          <cell r="C537" t="str">
            <v>Capital Goods</v>
          </cell>
          <cell r="D537">
            <v>0.33413212411100002</v>
          </cell>
        </row>
        <row r="538">
          <cell r="B538">
            <v>850520</v>
          </cell>
          <cell r="C538" t="str">
            <v>Capital Goods</v>
          </cell>
          <cell r="D538">
            <v>0.96731026323899993</v>
          </cell>
        </row>
        <row r="539">
          <cell r="B539">
            <v>847971</v>
          </cell>
          <cell r="C539" t="str">
            <v>Capital Goods</v>
          </cell>
          <cell r="D539">
            <v>0.11317481021600001</v>
          </cell>
        </row>
        <row r="540">
          <cell r="B540">
            <v>854370</v>
          </cell>
          <cell r="C540" t="str">
            <v>Capital Goods</v>
          </cell>
          <cell r="D540">
            <v>40.813646289444002</v>
          </cell>
        </row>
        <row r="541">
          <cell r="B541">
            <v>844513</v>
          </cell>
          <cell r="C541" t="str">
            <v>Capital Goods</v>
          </cell>
          <cell r="D541">
            <v>0.15427294245100001</v>
          </cell>
        </row>
        <row r="542">
          <cell r="B542">
            <v>841630</v>
          </cell>
          <cell r="C542" t="str">
            <v>Capital Goods</v>
          </cell>
          <cell r="D542">
            <v>0.16675596526</v>
          </cell>
        </row>
        <row r="543">
          <cell r="B543">
            <v>847021</v>
          </cell>
          <cell r="C543" t="str">
            <v>Capital Goods</v>
          </cell>
          <cell r="D543">
            <v>0.110754325719</v>
          </cell>
        </row>
        <row r="544">
          <cell r="B544">
            <v>840219</v>
          </cell>
          <cell r="C544" t="str">
            <v>Capital Goods</v>
          </cell>
          <cell r="D544">
            <v>0.76130414471500008</v>
          </cell>
        </row>
        <row r="545">
          <cell r="B545">
            <v>845310</v>
          </cell>
          <cell r="C545" t="str">
            <v>Capital Goods</v>
          </cell>
          <cell r="D545">
            <v>0.23774777932899999</v>
          </cell>
        </row>
        <row r="546">
          <cell r="B546">
            <v>850740</v>
          </cell>
          <cell r="C546" t="str">
            <v>Capital Goods</v>
          </cell>
          <cell r="D546">
            <v>1.4374332999999998E-4</v>
          </cell>
        </row>
        <row r="547">
          <cell r="B547">
            <v>846593</v>
          </cell>
          <cell r="C547" t="str">
            <v>Capital Goods</v>
          </cell>
          <cell r="D547">
            <v>0.46200377844099999</v>
          </cell>
        </row>
        <row r="548">
          <cell r="B548">
            <v>843359</v>
          </cell>
          <cell r="C548" t="str">
            <v>Capital Goods</v>
          </cell>
          <cell r="D548">
            <v>2.5315486961640001</v>
          </cell>
        </row>
        <row r="549">
          <cell r="B549">
            <v>902511</v>
          </cell>
          <cell r="C549" t="str">
            <v>Capital Goods</v>
          </cell>
          <cell r="D549">
            <v>0.13176210341399999</v>
          </cell>
        </row>
        <row r="550">
          <cell r="B550">
            <v>851850</v>
          </cell>
          <cell r="C550" t="str">
            <v>Capital Goods</v>
          </cell>
          <cell r="D550">
            <v>1.240999750217</v>
          </cell>
        </row>
        <row r="551">
          <cell r="B551">
            <v>901480</v>
          </cell>
          <cell r="C551" t="str">
            <v>Capital Goods</v>
          </cell>
          <cell r="D551">
            <v>2.1337567572720002</v>
          </cell>
        </row>
        <row r="552">
          <cell r="B552">
            <v>844110</v>
          </cell>
          <cell r="C552" t="str">
            <v>Capital Goods</v>
          </cell>
          <cell r="D552">
            <v>1.714972609665</v>
          </cell>
        </row>
        <row r="553">
          <cell r="B553">
            <v>843830</v>
          </cell>
          <cell r="C553" t="str">
            <v>Capital Goods</v>
          </cell>
          <cell r="D553">
            <v>0.131279999343</v>
          </cell>
        </row>
        <row r="554">
          <cell r="B554">
            <v>845129</v>
          </cell>
          <cell r="C554" t="str">
            <v>Capital Goods</v>
          </cell>
          <cell r="D554">
            <v>1.69457222031</v>
          </cell>
        </row>
        <row r="555">
          <cell r="B555">
            <v>841931</v>
          </cell>
          <cell r="C555" t="str">
            <v>Capital Goods</v>
          </cell>
          <cell r="D555">
            <v>1.4534151259999999E-3</v>
          </cell>
        </row>
        <row r="556">
          <cell r="B556">
            <v>820231</v>
          </cell>
          <cell r="C556" t="str">
            <v>Capital Goods</v>
          </cell>
          <cell r="D556">
            <v>0.56286728058400004</v>
          </cell>
        </row>
        <row r="557">
          <cell r="B557">
            <v>844400</v>
          </cell>
          <cell r="C557" t="str">
            <v>Capital Goods</v>
          </cell>
          <cell r="D557">
            <v>1.2616895306789999</v>
          </cell>
        </row>
        <row r="558">
          <cell r="B558">
            <v>843920</v>
          </cell>
          <cell r="C558" t="str">
            <v>Capital Goods</v>
          </cell>
          <cell r="D558">
            <v>1.2180796592119998</v>
          </cell>
        </row>
        <row r="559">
          <cell r="B559">
            <v>843840</v>
          </cell>
          <cell r="C559" t="str">
            <v>Capital Goods</v>
          </cell>
          <cell r="D559">
            <v>0.59570659939999993</v>
          </cell>
        </row>
        <row r="560">
          <cell r="B560">
            <v>844720</v>
          </cell>
          <cell r="C560" t="str">
            <v>Capital Goods</v>
          </cell>
          <cell r="D560">
            <v>0.66717570651799996</v>
          </cell>
        </row>
        <row r="561">
          <cell r="B561">
            <v>901841</v>
          </cell>
          <cell r="C561" t="str">
            <v>Capital Goods</v>
          </cell>
          <cell r="D561">
            <v>0.54737630934000003</v>
          </cell>
        </row>
        <row r="562">
          <cell r="B562">
            <v>842840</v>
          </cell>
          <cell r="C562" t="str">
            <v>Capital Goods</v>
          </cell>
          <cell r="D562">
            <v>0.57540366947099997</v>
          </cell>
        </row>
        <row r="563">
          <cell r="B563">
            <v>846241</v>
          </cell>
          <cell r="C563" t="str">
            <v>Capital Goods</v>
          </cell>
          <cell r="D563">
            <v>0</v>
          </cell>
        </row>
        <row r="564">
          <cell r="B564">
            <v>840410</v>
          </cell>
          <cell r="C564" t="str">
            <v>Capital Goods</v>
          </cell>
          <cell r="D564">
            <v>0.63232031817000001</v>
          </cell>
        </row>
        <row r="565">
          <cell r="B565">
            <v>846591</v>
          </cell>
          <cell r="C565" t="str">
            <v>Capital Goods</v>
          </cell>
          <cell r="D565">
            <v>2.1957360485419999</v>
          </cell>
        </row>
        <row r="566">
          <cell r="B566">
            <v>841932</v>
          </cell>
          <cell r="C566" t="str">
            <v>Capital Goods</v>
          </cell>
          <cell r="D566">
            <v>0</v>
          </cell>
        </row>
        <row r="567">
          <cell r="B567">
            <v>841381</v>
          </cell>
          <cell r="C567" t="str">
            <v>Capital Goods</v>
          </cell>
          <cell r="D567">
            <v>3.8098405319120001</v>
          </cell>
        </row>
        <row r="568">
          <cell r="B568">
            <v>841919</v>
          </cell>
          <cell r="C568" t="str">
            <v>Capital Goods</v>
          </cell>
          <cell r="D568">
            <v>2.4065180322010002</v>
          </cell>
        </row>
        <row r="569">
          <cell r="B569">
            <v>846299</v>
          </cell>
          <cell r="C569" t="str">
            <v>Capital Goods</v>
          </cell>
          <cell r="D569">
            <v>6.1895092000000007E-4</v>
          </cell>
        </row>
        <row r="570">
          <cell r="B570">
            <v>847960</v>
          </cell>
          <cell r="C570" t="str">
            <v>Capital Goods</v>
          </cell>
          <cell r="D570">
            <v>0.49887506184800001</v>
          </cell>
        </row>
        <row r="571">
          <cell r="B571">
            <v>845320</v>
          </cell>
          <cell r="C571" t="str">
            <v>Capital Goods</v>
          </cell>
          <cell r="D571">
            <v>0.34947839206699999</v>
          </cell>
        </row>
        <row r="572">
          <cell r="B572">
            <v>847759</v>
          </cell>
          <cell r="C572" t="str">
            <v>Capital Goods</v>
          </cell>
          <cell r="D572">
            <v>1.4301769840629999</v>
          </cell>
        </row>
        <row r="573">
          <cell r="B573">
            <v>846291</v>
          </cell>
          <cell r="C573" t="str">
            <v>Capital Goods</v>
          </cell>
          <cell r="D573">
            <v>2.4221716599999999E-4</v>
          </cell>
        </row>
        <row r="574">
          <cell r="B574">
            <v>902300</v>
          </cell>
          <cell r="C574" t="str">
            <v>Capital Goods</v>
          </cell>
          <cell r="D574">
            <v>3.7295665158649998</v>
          </cell>
        </row>
        <row r="575">
          <cell r="B575">
            <v>850231</v>
          </cell>
          <cell r="C575" t="str">
            <v>Capital Goods</v>
          </cell>
          <cell r="D575">
            <v>5.2178171173220012</v>
          </cell>
        </row>
        <row r="576">
          <cell r="B576">
            <v>846721</v>
          </cell>
          <cell r="C576" t="str">
            <v>Capital Goods</v>
          </cell>
          <cell r="D576">
            <v>4.5133868513050004</v>
          </cell>
        </row>
        <row r="577">
          <cell r="B577">
            <v>851410</v>
          </cell>
          <cell r="C577" t="str">
            <v>Capital Goods</v>
          </cell>
          <cell r="D577">
            <v>2.1857658600000002E-4</v>
          </cell>
        </row>
        <row r="578">
          <cell r="B578">
            <v>902780</v>
          </cell>
          <cell r="C578" t="str">
            <v>Capital Goods</v>
          </cell>
          <cell r="D578">
            <v>2.0384769191000001E-2</v>
          </cell>
        </row>
        <row r="579">
          <cell r="B579">
            <v>870120</v>
          </cell>
          <cell r="C579" t="str">
            <v>Capital Goods</v>
          </cell>
          <cell r="D579">
            <v>3.5834470433000011E-2</v>
          </cell>
        </row>
        <row r="580">
          <cell r="B580">
            <v>901380</v>
          </cell>
          <cell r="C580" t="str">
            <v>Capital Goods</v>
          </cell>
          <cell r="D580">
            <v>4.9050775173050001</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5">
          <cell r="B5">
            <v>1.9808730359019999</v>
          </cell>
        </row>
      </sheetData>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Unique HS"/>
      <sheetName val="Electronics sector"/>
      <sheetName val="Electronic Capital Goods HS"/>
      <sheetName val="Supplier"/>
      <sheetName val="Raw"/>
      <sheetName val="Backup &gt;&gt;"/>
      <sheetName val="Supplier List"/>
      <sheetName val="Supplier_6digit"/>
      <sheetName val="Wistron"/>
      <sheetName val="Tata Electronics"/>
      <sheetName val="Samsung"/>
      <sheetName val="Pegatron"/>
      <sheetName val="Foxconn (FY21-25)"/>
      <sheetName val="Foxconn (IJ)"/>
      <sheetName val="Revised Capital Good Mapping"/>
      <sheetName val="Sheet1"/>
    </sheetNames>
    <sheetDataSet>
      <sheetData sheetId="0">
        <row r="4">
          <cell r="B4">
            <v>940599</v>
          </cell>
          <cell r="C4" t="str">
            <v>Lamps and light fittings; parts thereof, of materials other than glass or plastics</v>
          </cell>
          <cell r="D4" t="str">
            <v>Parts &amp; Accessories - rc</v>
          </cell>
          <cell r="E4" t="str">
            <v>YES</v>
          </cell>
          <cell r="F4" t="str">
            <v>YES</v>
          </cell>
          <cell r="G4" t="str">
            <v>YES</v>
          </cell>
          <cell r="H4" t="str">
            <v>YES</v>
          </cell>
          <cell r="I4" t="str">
            <v>YES</v>
          </cell>
          <cell r="J4" t="str">
            <v>Yes</v>
          </cell>
        </row>
        <row r="5">
          <cell r="B5">
            <v>391990</v>
          </cell>
          <cell r="C5" t="str">
            <v>Plastics; plates, sheets, film, foil, tape, strip, other flat shapes thereof, self-adhesive, other than in rolls of a width not exceeding 20cm</v>
          </cell>
          <cell r="D5" t="str">
            <v>Consumables - rc</v>
          </cell>
          <cell r="E5" t="str">
            <v>YES</v>
          </cell>
          <cell r="F5" t="str">
            <v>YES</v>
          </cell>
          <cell r="G5" t="str">
            <v>YES</v>
          </cell>
          <cell r="H5" t="str">
            <v>YES</v>
          </cell>
          <cell r="I5" t="str">
            <v>YES</v>
          </cell>
          <cell r="J5" t="str">
            <v>Yes</v>
          </cell>
        </row>
        <row r="6">
          <cell r="B6">
            <v>960390</v>
          </cell>
          <cell r="C6" t="str">
            <v>Brooms, brushes, mops, feather dusters, squeegees, hand operated mechanical floor sweepers; (not motorised), prepared knots and tufts for brooms or brush making n.e.c.</v>
          </cell>
          <cell r="D6" t="str">
            <v>Consumables</v>
          </cell>
          <cell r="E6" t="str">
            <v>YES</v>
          </cell>
          <cell r="F6" t="str">
            <v>YES</v>
          </cell>
          <cell r="G6" t="str">
            <v>YES</v>
          </cell>
          <cell r="H6" t="str">
            <v>YES</v>
          </cell>
          <cell r="I6" t="str">
            <v>YES</v>
          </cell>
          <cell r="J6" t="str">
            <v>Yes</v>
          </cell>
        </row>
        <row r="7">
          <cell r="B7">
            <v>732690</v>
          </cell>
          <cell r="C7" t="str">
            <v>Iron or steel; articles n.e.c. in heading 7326</v>
          </cell>
          <cell r="D7" t="str">
            <v>Consumables - rc</v>
          </cell>
          <cell r="E7" t="str">
            <v>YES</v>
          </cell>
          <cell r="F7" t="str">
            <v>YES</v>
          </cell>
          <cell r="G7" t="str">
            <v>YES</v>
          </cell>
          <cell r="H7" t="str">
            <v>YES</v>
          </cell>
          <cell r="I7" t="str">
            <v>YES</v>
          </cell>
          <cell r="J7" t="str">
            <v>Yes</v>
          </cell>
        </row>
        <row r="8">
          <cell r="B8">
            <v>350699</v>
          </cell>
          <cell r="C8" t="str">
            <v>Glues and other adhesives; prepared, n.e.c. in heading no. 3506, not exceeding a net weight of 1kg</v>
          </cell>
          <cell r="D8" t="str">
            <v>Consumables - rc</v>
          </cell>
          <cell r="E8" t="str">
            <v>YES</v>
          </cell>
          <cell r="F8" t="str">
            <v>YES</v>
          </cell>
          <cell r="G8" t="str">
            <v>YES</v>
          </cell>
          <cell r="H8" t="str">
            <v>NO</v>
          </cell>
          <cell r="I8" t="str">
            <v>YES</v>
          </cell>
          <cell r="J8" t="str">
            <v>Yes</v>
          </cell>
        </row>
        <row r="9">
          <cell r="B9">
            <v>902790</v>
          </cell>
          <cell r="C9" t="str">
            <v>Microtomes and parts and accessories thereof</v>
          </cell>
          <cell r="D9" t="str">
            <v>Parts &amp; Accessories</v>
          </cell>
          <cell r="E9" t="str">
            <v>YES</v>
          </cell>
          <cell r="F9" t="str">
            <v>YES</v>
          </cell>
          <cell r="G9" t="str">
            <v>YES</v>
          </cell>
          <cell r="H9" t="str">
            <v>YES</v>
          </cell>
          <cell r="I9" t="str">
            <v>YES</v>
          </cell>
          <cell r="J9" t="str">
            <v>Yes</v>
          </cell>
        </row>
        <row r="10">
          <cell r="B10">
            <v>903180</v>
          </cell>
          <cell r="C10" t="str">
            <v>Instruments, appliances and machines; for measuring or checking n.e.c. in chapter 90</v>
          </cell>
          <cell r="D10" t="str">
            <v>Capital Goods</v>
          </cell>
          <cell r="E10" t="str">
            <v>YES</v>
          </cell>
          <cell r="F10" t="str">
            <v>YES</v>
          </cell>
          <cell r="G10" t="str">
            <v>YES</v>
          </cell>
          <cell r="H10" t="str">
            <v>YES</v>
          </cell>
          <cell r="I10" t="str">
            <v>YES</v>
          </cell>
          <cell r="J10" t="str">
            <v>Yes</v>
          </cell>
        </row>
        <row r="11">
          <cell r="B11">
            <v>902480</v>
          </cell>
          <cell r="C11" t="str">
            <v>Machines and appliances; for testing the hardness, strength, compressibility, elasticity or other mechanical properties of materials other than metals</v>
          </cell>
          <cell r="D11" t="str">
            <v>Capital Goods</v>
          </cell>
          <cell r="E11" t="str">
            <v>YES</v>
          </cell>
          <cell r="F11" t="str">
            <v>YES</v>
          </cell>
          <cell r="G11" t="str">
            <v>YES</v>
          </cell>
          <cell r="H11" t="str">
            <v>YES</v>
          </cell>
          <cell r="I11" t="str">
            <v>YES</v>
          </cell>
          <cell r="J11" t="str">
            <v>Yes</v>
          </cell>
        </row>
        <row r="12">
          <cell r="B12">
            <v>901180</v>
          </cell>
          <cell r="C12" t="str">
            <v>Microscopes, compound optical; (other than stereoscopic and microscopes for photomicrography, cinephotomicrography or microprojection)</v>
          </cell>
          <cell r="D12" t="str">
            <v>Capital Goods</v>
          </cell>
          <cell r="E12" t="str">
            <v>YES</v>
          </cell>
          <cell r="F12" t="str">
            <v>YES</v>
          </cell>
          <cell r="G12" t="str">
            <v>YES</v>
          </cell>
          <cell r="H12" t="str">
            <v>YES</v>
          </cell>
          <cell r="I12" t="str">
            <v>YES</v>
          </cell>
          <cell r="J12" t="str">
            <v>Yes</v>
          </cell>
        </row>
        <row r="13">
          <cell r="B13">
            <v>903149</v>
          </cell>
          <cell r="C13" t="str">
            <v>Optical instruments and appliances; for measuring or checking, n.e.c. in chapter 90</v>
          </cell>
          <cell r="D13" t="str">
            <v>Capital Goods</v>
          </cell>
          <cell r="E13" t="str">
            <v>YES</v>
          </cell>
          <cell r="F13" t="str">
            <v>YES</v>
          </cell>
          <cell r="G13" t="str">
            <v>YES</v>
          </cell>
          <cell r="H13" t="str">
            <v>YES</v>
          </cell>
          <cell r="I13" t="str">
            <v>YES</v>
          </cell>
          <cell r="J13" t="str">
            <v>Yes</v>
          </cell>
        </row>
        <row r="14">
          <cell r="B14">
            <v>903190</v>
          </cell>
          <cell r="C14" t="str">
            <v>Instruments, appliances and machines; parts and accessories for those measuring or checking devices of heading no. 9031</v>
          </cell>
          <cell r="D14" t="str">
            <v>Parts &amp; Accessories</v>
          </cell>
          <cell r="E14" t="str">
            <v>YES</v>
          </cell>
          <cell r="F14" t="str">
            <v>YES</v>
          </cell>
          <cell r="G14" t="str">
            <v>YES</v>
          </cell>
          <cell r="H14" t="str">
            <v>YES</v>
          </cell>
          <cell r="I14" t="str">
            <v>YES</v>
          </cell>
          <cell r="J14" t="str">
            <v>Yes</v>
          </cell>
        </row>
        <row r="15">
          <cell r="B15">
            <v>321519</v>
          </cell>
          <cell r="C15" t="str">
            <v>Ink; for printing, other than black, whether or not concentrated or solid</v>
          </cell>
          <cell r="D15" t="str">
            <v>Consumables - rc</v>
          </cell>
          <cell r="E15" t="str">
            <v>YES</v>
          </cell>
          <cell r="F15" t="str">
            <v>NO</v>
          </cell>
          <cell r="G15" t="str">
            <v>NO</v>
          </cell>
          <cell r="H15" t="str">
            <v>NO</v>
          </cell>
          <cell r="I15" t="str">
            <v>YES</v>
          </cell>
          <cell r="J15" t="str">
            <v>Yes</v>
          </cell>
        </row>
        <row r="16">
          <cell r="B16">
            <v>901320</v>
          </cell>
          <cell r="C16" t="str">
            <v>Lasers; other than laser diodes</v>
          </cell>
          <cell r="D16" t="str">
            <v>Parts &amp; Accessories</v>
          </cell>
          <cell r="E16" t="str">
            <v>YES</v>
          </cell>
          <cell r="F16" t="str">
            <v>YES</v>
          </cell>
          <cell r="G16" t="str">
            <v>NO</v>
          </cell>
          <cell r="H16" t="str">
            <v>YES</v>
          </cell>
          <cell r="I16" t="str">
            <v>YES</v>
          </cell>
          <cell r="J16" t="str">
            <v>Yes</v>
          </cell>
        </row>
        <row r="17">
          <cell r="B17">
            <v>903089</v>
          </cell>
          <cell r="C17" t="str">
            <v>Instruments and apparatus; n.e.c. in heading no. 9030, without a recording device</v>
          </cell>
          <cell r="D17" t="str">
            <v>Capital Goods</v>
          </cell>
          <cell r="E17" t="str">
            <v>YES</v>
          </cell>
          <cell r="F17" t="str">
            <v>NO</v>
          </cell>
          <cell r="G17" t="str">
            <v>YES</v>
          </cell>
          <cell r="H17" t="str">
            <v>YES</v>
          </cell>
          <cell r="I17" t="str">
            <v>YES</v>
          </cell>
          <cell r="J17" t="str">
            <v>Yes</v>
          </cell>
        </row>
        <row r="18">
          <cell r="B18">
            <v>902290</v>
          </cell>
          <cell r="C18" t="str">
            <v>Apparatus based on use of x-rays and similar; parts and accessories (x-ray generators, tubes, high tension generators, control panels and desks, screens, examination or treatment tables, chairs and like</v>
          </cell>
          <cell r="D18" t="str">
            <v>Parts &amp; Accessories - rc</v>
          </cell>
          <cell r="E18" t="str">
            <v>YES</v>
          </cell>
          <cell r="F18" t="str">
            <v>NO</v>
          </cell>
          <cell r="G18" t="str">
            <v>YES</v>
          </cell>
          <cell r="H18" t="str">
            <v>YES</v>
          </cell>
          <cell r="I18" t="str">
            <v>YES</v>
          </cell>
          <cell r="J18" t="str">
            <v>Yes</v>
          </cell>
        </row>
        <row r="19">
          <cell r="B19">
            <v>731815</v>
          </cell>
          <cell r="C19" t="str">
            <v>Iron or steel; threaded screws and bolts n.e.c. in item no. 7318.1, whether or not with their nuts or washers</v>
          </cell>
          <cell r="D19" t="str">
            <v>Parts &amp; Accessories</v>
          </cell>
          <cell r="E19" t="str">
            <v>YES</v>
          </cell>
          <cell r="F19" t="str">
            <v>YES</v>
          </cell>
          <cell r="G19" t="str">
            <v>YES</v>
          </cell>
          <cell r="H19" t="str">
            <v>YES</v>
          </cell>
          <cell r="I19" t="str">
            <v>YES</v>
          </cell>
          <cell r="J19" t="str">
            <v>Yes</v>
          </cell>
        </row>
        <row r="20">
          <cell r="B20">
            <v>902490</v>
          </cell>
          <cell r="C20" t="str">
            <v>Machines and appliances; parts and accessories for those testing hardness, strength, compressibility, elasticity or other mechanical properties of materials (e.g. metal, wood, textiles, paper, plastics)</v>
          </cell>
          <cell r="D20" t="str">
            <v>Parts &amp; Accessories</v>
          </cell>
          <cell r="E20" t="str">
            <v>YES</v>
          </cell>
          <cell r="F20" t="str">
            <v>YES</v>
          </cell>
          <cell r="G20" t="str">
            <v>NO</v>
          </cell>
          <cell r="H20" t="str">
            <v>YES</v>
          </cell>
          <cell r="I20" t="str">
            <v>YES</v>
          </cell>
          <cell r="J20" t="str">
            <v>Yes</v>
          </cell>
        </row>
        <row r="21">
          <cell r="B21">
            <v>491110</v>
          </cell>
          <cell r="C21" t="str">
            <v>Printed matter; trade advertising material, commercial catalogues and the like</v>
          </cell>
          <cell r="D21" t="str">
            <v>Consumables - rc</v>
          </cell>
          <cell r="E21" t="str">
            <v>YES</v>
          </cell>
          <cell r="F21" t="str">
            <v>NO</v>
          </cell>
          <cell r="G21" t="str">
            <v>NO</v>
          </cell>
          <cell r="H21" t="str">
            <v>YES</v>
          </cell>
          <cell r="I21" t="str">
            <v>YES</v>
          </cell>
          <cell r="J21" t="str">
            <v>Yes</v>
          </cell>
        </row>
        <row r="22">
          <cell r="B22">
            <v>940320</v>
          </cell>
          <cell r="C22" t="str">
            <v>Furniture; metal, other than for office use</v>
          </cell>
          <cell r="D22" t="str">
            <v>Durable</v>
          </cell>
          <cell r="E22" t="str">
            <v>YES</v>
          </cell>
          <cell r="F22" t="str">
            <v>YES</v>
          </cell>
          <cell r="G22" t="str">
            <v>YES</v>
          </cell>
          <cell r="H22" t="str">
            <v>YES</v>
          </cell>
          <cell r="I22" t="str">
            <v>YES</v>
          </cell>
          <cell r="J22" t="str">
            <v>Yes</v>
          </cell>
        </row>
        <row r="23">
          <cell r="B23">
            <v>902730</v>
          </cell>
          <cell r="C23" t="str">
            <v>Spectrometers, spectrophotometers and spectrographs; using optical radiations (UV, visible, IR)</v>
          </cell>
          <cell r="D23" t="str">
            <v>Capital Goods</v>
          </cell>
          <cell r="E23" t="str">
            <v>YES</v>
          </cell>
          <cell r="F23" t="str">
            <v>YES</v>
          </cell>
          <cell r="G23" t="str">
            <v>YES</v>
          </cell>
          <cell r="H23" t="str">
            <v>NO</v>
          </cell>
          <cell r="I23" t="str">
            <v>YES</v>
          </cell>
          <cell r="J23" t="str">
            <v>Yes</v>
          </cell>
        </row>
        <row r="24">
          <cell r="B24">
            <v>940549</v>
          </cell>
          <cell r="C24" t="str">
            <v>Luminaires and light fittings; electric, designed for other than use solely with light-emitting diode (LED) light sources</v>
          </cell>
          <cell r="D24" t="str">
            <v>Parts &amp; Accessories - rc</v>
          </cell>
          <cell r="E24" t="str">
            <v>YES</v>
          </cell>
          <cell r="F24" t="str">
            <v>YES</v>
          </cell>
          <cell r="G24" t="str">
            <v>YES</v>
          </cell>
          <cell r="H24" t="str">
            <v>YES</v>
          </cell>
          <cell r="I24" t="str">
            <v>YES</v>
          </cell>
          <cell r="J24" t="str">
            <v>Yes</v>
          </cell>
        </row>
        <row r="25">
          <cell r="B25">
            <v>847990</v>
          </cell>
          <cell r="C25" t="str">
            <v>Machines and mechanical appliances; parts, of those having individual functions</v>
          </cell>
          <cell r="D25" t="str">
            <v>Parts &amp; Accessories</v>
          </cell>
          <cell r="E25" t="str">
            <v>YES</v>
          </cell>
          <cell r="F25" t="str">
            <v>YES</v>
          </cell>
          <cell r="G25" t="str">
            <v>YES</v>
          </cell>
          <cell r="H25" t="str">
            <v>YES</v>
          </cell>
          <cell r="I25" t="str">
            <v>YES</v>
          </cell>
          <cell r="J25" t="str">
            <v>Yes</v>
          </cell>
        </row>
        <row r="26">
          <cell r="B26">
            <v>831130</v>
          </cell>
          <cell r="C26" t="str">
            <v>Rods and wire; coated rods and cored wire, of base metal, for soldering, brazing or welding by flame</v>
          </cell>
          <cell r="D26" t="str">
            <v>Consumables - rc</v>
          </cell>
          <cell r="E26" t="str">
            <v>YES</v>
          </cell>
          <cell r="F26" t="str">
            <v>NO</v>
          </cell>
          <cell r="G26" t="str">
            <v>YES</v>
          </cell>
          <cell r="H26" t="str">
            <v>YES</v>
          </cell>
          <cell r="I26" t="str">
            <v>YES</v>
          </cell>
          <cell r="J26" t="str">
            <v>Yes</v>
          </cell>
        </row>
        <row r="27">
          <cell r="B27">
            <v>902519</v>
          </cell>
          <cell r="C27" t="str">
            <v>Thermometers and pyrometers; (other than liquid filled, for direct reading), not combined with other instruments</v>
          </cell>
          <cell r="D27" t="str">
            <v>Capital Goods</v>
          </cell>
          <cell r="E27" t="str">
            <v>YES</v>
          </cell>
          <cell r="F27" t="str">
            <v>NO</v>
          </cell>
          <cell r="G27" t="str">
            <v>YES</v>
          </cell>
          <cell r="H27" t="str">
            <v>YES</v>
          </cell>
          <cell r="I27" t="str">
            <v>YES</v>
          </cell>
          <cell r="J27" t="str">
            <v>Yes</v>
          </cell>
        </row>
        <row r="28">
          <cell r="B28">
            <v>903300</v>
          </cell>
          <cell r="C28" t="str">
            <v>Machines and appliances, instruments or apparatus of chapter 90; parts and accessories n.e.c. in chapter 90</v>
          </cell>
          <cell r="D28" t="str">
            <v>Parts &amp; Accessories</v>
          </cell>
          <cell r="E28" t="str">
            <v>YES</v>
          </cell>
          <cell r="F28" t="str">
            <v>YES</v>
          </cell>
          <cell r="G28" t="str">
            <v>NO</v>
          </cell>
          <cell r="H28" t="str">
            <v>NO</v>
          </cell>
          <cell r="I28" t="str">
            <v>YES</v>
          </cell>
          <cell r="J28" t="str">
            <v>Yes</v>
          </cell>
        </row>
        <row r="29">
          <cell r="B29">
            <v>392690</v>
          </cell>
          <cell r="C29" t="str">
            <v>Plastics; other articles n.e.c. in chapter 39</v>
          </cell>
          <cell r="D29" t="str">
            <v>Consumables - rc</v>
          </cell>
          <cell r="E29" t="str">
            <v>YES</v>
          </cell>
          <cell r="F29" t="str">
            <v>YES</v>
          </cell>
          <cell r="G29" t="str">
            <v>YES</v>
          </cell>
          <cell r="H29" t="str">
            <v>YES</v>
          </cell>
          <cell r="I29" t="str">
            <v>YES</v>
          </cell>
          <cell r="J29" t="str">
            <v>Yes</v>
          </cell>
        </row>
        <row r="30">
          <cell r="B30">
            <v>940310</v>
          </cell>
          <cell r="C30" t="str">
            <v>Furniture; metal, for office use</v>
          </cell>
          <cell r="D30" t="str">
            <v>Durable</v>
          </cell>
          <cell r="E30" t="str">
            <v>YES</v>
          </cell>
          <cell r="F30" t="str">
            <v>NO</v>
          </cell>
          <cell r="G30" t="str">
            <v>YES</v>
          </cell>
          <cell r="H30" t="str">
            <v>YES</v>
          </cell>
          <cell r="I30" t="str">
            <v>YES</v>
          </cell>
          <cell r="J30" t="str">
            <v>Yes</v>
          </cell>
        </row>
        <row r="31">
          <cell r="B31">
            <v>903090</v>
          </cell>
          <cell r="C31" t="str">
            <v>Instruments, apparatus for measuring, checking electrical quantities, not meters of heading no. 9028; parts and accessories, for measuring or detecting alpha, beta, gamma, x-ray, cosmic and other radiations</v>
          </cell>
          <cell r="D31" t="str">
            <v>Parts &amp; Accessories</v>
          </cell>
          <cell r="E31" t="str">
            <v>YES</v>
          </cell>
          <cell r="F31" t="str">
            <v>NO</v>
          </cell>
          <cell r="G31" t="str">
            <v>YES</v>
          </cell>
          <cell r="H31" t="str">
            <v>YES</v>
          </cell>
          <cell r="I31" t="str">
            <v>YES</v>
          </cell>
          <cell r="J31" t="str">
            <v>Yes</v>
          </cell>
        </row>
        <row r="32">
          <cell r="B32">
            <v>381010</v>
          </cell>
          <cell r="C32" t="str">
            <v>Pickling preparations for metal surfaces; soldering, brazing or welding powders and pastes consisting of metal and other materials</v>
          </cell>
          <cell r="D32" t="str">
            <v>Consumables</v>
          </cell>
          <cell r="E32" t="str">
            <v>YES</v>
          </cell>
          <cell r="F32" t="str">
            <v>NO</v>
          </cell>
          <cell r="G32" t="str">
            <v>YES</v>
          </cell>
          <cell r="H32" t="str">
            <v>NO</v>
          </cell>
          <cell r="I32" t="str">
            <v>YES</v>
          </cell>
          <cell r="J32" t="str">
            <v>Yes</v>
          </cell>
        </row>
        <row r="33">
          <cell r="B33">
            <v>901380</v>
          </cell>
          <cell r="C33" t="str">
            <v>Optical devices, appliances and instruments; n.e.c. in heading no. 9013</v>
          </cell>
          <cell r="D33" t="str">
            <v>Capital Goods</v>
          </cell>
          <cell r="E33" t="str">
            <v>YES</v>
          </cell>
          <cell r="F33" t="str">
            <v>NO</v>
          </cell>
          <cell r="G33" t="str">
            <v>YES</v>
          </cell>
          <cell r="H33" t="str">
            <v>YES</v>
          </cell>
          <cell r="I33" t="str">
            <v>YES</v>
          </cell>
          <cell r="J33" t="str">
            <v>Yes</v>
          </cell>
        </row>
        <row r="34">
          <cell r="B34">
            <v>901600</v>
          </cell>
          <cell r="C34" t="str">
            <v>Balances; of a sensitivity of 5cg or better, with or without weights</v>
          </cell>
          <cell r="D34" t="str">
            <v>Capital Goods</v>
          </cell>
          <cell r="E34" t="str">
            <v>YES</v>
          </cell>
          <cell r="F34" t="str">
            <v>NO</v>
          </cell>
          <cell r="G34" t="str">
            <v>YES</v>
          </cell>
          <cell r="H34" t="str">
            <v>NO</v>
          </cell>
          <cell r="I34" t="str">
            <v>YES</v>
          </cell>
          <cell r="J34" t="str">
            <v>Yes</v>
          </cell>
        </row>
        <row r="35">
          <cell r="B35">
            <v>901780</v>
          </cell>
          <cell r="C35" t="str">
            <v>Mathematical instruments and equipment; n.e.c. in heading no. 9017</v>
          </cell>
          <cell r="D35" t="str">
            <v>Capital Goods</v>
          </cell>
          <cell r="E35" t="str">
            <v>YES</v>
          </cell>
          <cell r="F35" t="str">
            <v>NO</v>
          </cell>
          <cell r="G35" t="str">
            <v>YES</v>
          </cell>
          <cell r="H35" t="str">
            <v>YES</v>
          </cell>
          <cell r="I35" t="str">
            <v>YES</v>
          </cell>
          <cell r="J35" t="str">
            <v>Yes</v>
          </cell>
        </row>
        <row r="36">
          <cell r="B36">
            <v>900290</v>
          </cell>
          <cell r="C36" t="str">
            <v>Optical elements; n.e.c. in heading no. 9002 (e.g. prisms and mirrors), mounted, being parts or fittings for instruments or apparatus, of any material (excluding elements of glass not optically worked)</v>
          </cell>
          <cell r="D36" t="str">
            <v>Consumables</v>
          </cell>
          <cell r="E36" t="str">
            <v>YES</v>
          </cell>
          <cell r="F36" t="str">
            <v>YES</v>
          </cell>
          <cell r="G36" t="str">
            <v>YES</v>
          </cell>
          <cell r="H36" t="str">
            <v>YES</v>
          </cell>
          <cell r="I36" t="str">
            <v>YES</v>
          </cell>
          <cell r="J36" t="str">
            <v>Yes</v>
          </cell>
        </row>
        <row r="37">
          <cell r="B37">
            <v>902580</v>
          </cell>
          <cell r="C37" t="str">
            <v>Hydrometers and similar floating instruments, barometers, hygrometers, psychrometers, thermometers, pyrometers; recording or not, any combination of these instruments (excluding thermometers and barometers not combined with other instruments)</v>
          </cell>
          <cell r="D37" t="str">
            <v>Capital Goods</v>
          </cell>
          <cell r="E37" t="str">
            <v>YES</v>
          </cell>
          <cell r="F37" t="str">
            <v>NO</v>
          </cell>
          <cell r="G37" t="str">
            <v>YES</v>
          </cell>
          <cell r="H37" t="str">
            <v>YES</v>
          </cell>
          <cell r="I37" t="str">
            <v>YES</v>
          </cell>
          <cell r="J37" t="str">
            <v>Yes</v>
          </cell>
        </row>
        <row r="38">
          <cell r="B38">
            <v>903289</v>
          </cell>
          <cell r="C38" t="str">
            <v>Regulating or controlling instruments and apparatus; automatic, other than hydraulic or pneumatic</v>
          </cell>
          <cell r="D38" t="str">
            <v>Capital Goods</v>
          </cell>
          <cell r="E38" t="str">
            <v>YES</v>
          </cell>
          <cell r="F38" t="str">
            <v>YES</v>
          </cell>
          <cell r="G38" t="str">
            <v>YES</v>
          </cell>
          <cell r="H38" t="str">
            <v>YES</v>
          </cell>
          <cell r="I38" t="str">
            <v>YES</v>
          </cell>
          <cell r="J38" t="str">
            <v>Yes</v>
          </cell>
        </row>
        <row r="39">
          <cell r="B39">
            <v>850511</v>
          </cell>
          <cell r="C39" t="str">
            <v>Magnets; permanent magnets and articles intended to become permanent magnets after magnetisation, of metal</v>
          </cell>
          <cell r="D39" t="str">
            <v>Parts &amp; Accessories - rc</v>
          </cell>
          <cell r="E39" t="str">
            <v>YES</v>
          </cell>
          <cell r="F39" t="str">
            <v>NO</v>
          </cell>
          <cell r="G39" t="str">
            <v>YES</v>
          </cell>
          <cell r="H39" t="str">
            <v>YES</v>
          </cell>
          <cell r="I39" t="str">
            <v>YES</v>
          </cell>
          <cell r="J39" t="str">
            <v>Yes</v>
          </cell>
        </row>
        <row r="40">
          <cell r="B40">
            <v>903033</v>
          </cell>
          <cell r="C40" t="str">
            <v>Instruments and apparatus; for measuring or checking voltage, current, resistance or power, without a recording device (excluding multimeters)</v>
          </cell>
          <cell r="D40" t="str">
            <v>Capital Goods</v>
          </cell>
          <cell r="E40" t="str">
            <v>YES</v>
          </cell>
          <cell r="F40" t="str">
            <v>NO</v>
          </cell>
          <cell r="G40" t="str">
            <v>YES</v>
          </cell>
          <cell r="H40" t="str">
            <v>YES</v>
          </cell>
          <cell r="I40" t="str">
            <v>YES</v>
          </cell>
          <cell r="J40" t="str">
            <v>Yes</v>
          </cell>
        </row>
        <row r="41">
          <cell r="B41">
            <v>831190</v>
          </cell>
          <cell r="C41" t="str">
            <v>Wires, rods, tubes, plates, electrodes of base metal or metal carbides; of a kind used for soldering, brazing, welding; wires and rods for metal spraying; n.e.c. in item no. 8311</v>
          </cell>
          <cell r="D41" t="str">
            <v>Consumables</v>
          </cell>
          <cell r="E41" t="str">
            <v>YES</v>
          </cell>
          <cell r="F41" t="str">
            <v>NO</v>
          </cell>
          <cell r="G41" t="str">
            <v>YES</v>
          </cell>
          <cell r="H41" t="str">
            <v>NO</v>
          </cell>
          <cell r="I41" t="str">
            <v>YES</v>
          </cell>
          <cell r="J41" t="str">
            <v>Yes</v>
          </cell>
        </row>
        <row r="42">
          <cell r="B42">
            <v>902750</v>
          </cell>
          <cell r="C42" t="str">
            <v>Instruments and apparatus; using optical radiations (UV, visible, IR), (other than spectrometers, spectrophotometers and spectrographs)</v>
          </cell>
          <cell r="D42" t="str">
            <v>Capital Goods</v>
          </cell>
          <cell r="E42" t="str">
            <v>YES</v>
          </cell>
          <cell r="F42" t="str">
            <v>NO</v>
          </cell>
          <cell r="G42" t="str">
            <v>YES</v>
          </cell>
          <cell r="H42" t="str">
            <v>YES</v>
          </cell>
          <cell r="I42" t="str">
            <v>YES</v>
          </cell>
          <cell r="J42" t="str">
            <v>Yes</v>
          </cell>
        </row>
        <row r="43">
          <cell r="B43">
            <v>901190</v>
          </cell>
          <cell r="C43" t="str">
            <v>Microscopes, compound optical; parts and accessories (including those for photomicrography, cinephotomicrography or microprojection)</v>
          </cell>
          <cell r="D43" t="str">
            <v>Parts &amp; Accessories</v>
          </cell>
          <cell r="E43" t="str">
            <v>YES</v>
          </cell>
          <cell r="F43" t="str">
            <v>NO</v>
          </cell>
          <cell r="G43" t="str">
            <v>NO</v>
          </cell>
          <cell r="H43" t="str">
            <v>YES</v>
          </cell>
          <cell r="I43" t="str">
            <v>YES</v>
          </cell>
          <cell r="J43" t="str">
            <v>Yes</v>
          </cell>
        </row>
        <row r="44">
          <cell r="B44">
            <v>851590</v>
          </cell>
          <cell r="C44" t="str">
            <v>Welding, brazing or soldering machines; parts of the machines of heading no. 8515</v>
          </cell>
          <cell r="D44" t="str">
            <v>Parts &amp; Accessories</v>
          </cell>
          <cell r="E44" t="str">
            <v>YES</v>
          </cell>
          <cell r="F44" t="str">
            <v>YES</v>
          </cell>
          <cell r="G44" t="str">
            <v>YES</v>
          </cell>
          <cell r="H44" t="str">
            <v>YES</v>
          </cell>
          <cell r="I44" t="str">
            <v>YES</v>
          </cell>
          <cell r="J44" t="str">
            <v>Yes</v>
          </cell>
        </row>
        <row r="45">
          <cell r="B45">
            <v>903290</v>
          </cell>
          <cell r="C45" t="str">
            <v>Regulating or controlling instruments and apparatus; automatic, parts and accessories</v>
          </cell>
          <cell r="D45" t="str">
            <v>Parts &amp; Accessories</v>
          </cell>
          <cell r="E45" t="str">
            <v>YES</v>
          </cell>
          <cell r="F45" t="str">
            <v>NO</v>
          </cell>
          <cell r="G45" t="str">
            <v>YES</v>
          </cell>
          <cell r="H45" t="str">
            <v>YES</v>
          </cell>
          <cell r="I45" t="str">
            <v>YES</v>
          </cell>
          <cell r="J45" t="str">
            <v>Yes</v>
          </cell>
        </row>
        <row r="46">
          <cell r="B46">
            <v>900110</v>
          </cell>
          <cell r="C46" t="str">
            <v>Optical fibres, optical fibre bundles and cables; excluding those of heading no. 8544</v>
          </cell>
          <cell r="D46" t="str">
            <v>Consumables</v>
          </cell>
          <cell r="E46" t="str">
            <v>YES</v>
          </cell>
          <cell r="F46" t="str">
            <v>NO</v>
          </cell>
          <cell r="G46" t="str">
            <v>NO</v>
          </cell>
          <cell r="H46" t="str">
            <v>YES</v>
          </cell>
          <cell r="I46" t="str">
            <v>YES</v>
          </cell>
          <cell r="J46" t="str">
            <v>Yes</v>
          </cell>
        </row>
        <row r="47">
          <cell r="B47">
            <v>902680</v>
          </cell>
          <cell r="C47" t="str">
            <v>Instruments and apparatus; for measuring or checking variables of liquids or gases (excluding pressure or the flow and level of liquids and those of heading no. 9014, 9015, 9028 and 9032)</v>
          </cell>
          <cell r="D47" t="str">
            <v>Capital Goods</v>
          </cell>
          <cell r="E47" t="str">
            <v>YES</v>
          </cell>
          <cell r="F47" t="str">
            <v>NO</v>
          </cell>
          <cell r="G47" t="str">
            <v>YES</v>
          </cell>
          <cell r="H47" t="str">
            <v>YES</v>
          </cell>
          <cell r="I47" t="str">
            <v>YES</v>
          </cell>
          <cell r="J47" t="str">
            <v>Yes</v>
          </cell>
        </row>
        <row r="48">
          <cell r="B48">
            <v>901580</v>
          </cell>
          <cell r="C48" t="str">
            <v>Surveying equipment; articles n.e.c. in heading no. 9015, including hydrographic, oceanographic, hydrological, meteorological or geophysical instruments and appliances (excluding compasses)</v>
          </cell>
          <cell r="D48" t="str">
            <v>Capital Goods</v>
          </cell>
          <cell r="E48" t="str">
            <v>YES</v>
          </cell>
          <cell r="F48" t="str">
            <v>YES</v>
          </cell>
          <cell r="G48" t="str">
            <v>NO</v>
          </cell>
          <cell r="H48" t="str">
            <v>NO</v>
          </cell>
          <cell r="I48" t="str">
            <v>YES</v>
          </cell>
          <cell r="J48" t="str">
            <v>Yes</v>
          </cell>
        </row>
        <row r="49">
          <cell r="B49">
            <v>902590</v>
          </cell>
          <cell r="C49" t="str">
            <v>Hydrometers and similar floating instruments, barometers, hygrometers, psychrometers, thermometers, pyrometers; recording or not, any combination of these instruments, parts and accessories</v>
          </cell>
          <cell r="D49" t="str">
            <v>Parts &amp; Accessories</v>
          </cell>
          <cell r="E49" t="str">
            <v>YES</v>
          </cell>
          <cell r="F49" t="str">
            <v>NO</v>
          </cell>
          <cell r="G49" t="str">
            <v>YES</v>
          </cell>
          <cell r="H49" t="str">
            <v>YES</v>
          </cell>
          <cell r="I49" t="str">
            <v>YES</v>
          </cell>
          <cell r="J49" t="str">
            <v>Yes</v>
          </cell>
        </row>
        <row r="50">
          <cell r="B50">
            <v>851829</v>
          </cell>
          <cell r="C50" t="str">
            <v>Loudspeakers; not mounted in their enclosures</v>
          </cell>
          <cell r="D50" t="str">
            <v>Parts &amp; Accessories - rc</v>
          </cell>
          <cell r="E50" t="str">
            <v>YES</v>
          </cell>
          <cell r="F50" t="str">
            <v>NO</v>
          </cell>
          <cell r="G50" t="str">
            <v>YES</v>
          </cell>
          <cell r="H50" t="str">
            <v>NO</v>
          </cell>
          <cell r="I50" t="str">
            <v>YES</v>
          </cell>
          <cell r="J50" t="str">
            <v>Yes</v>
          </cell>
        </row>
        <row r="51">
          <cell r="B51">
            <v>401693</v>
          </cell>
          <cell r="C51" t="str">
            <v>Rubber; vulcanised (other than hard rubber), gaskets, washers and other seals, of non-cellular rubber</v>
          </cell>
          <cell r="D51" t="str">
            <v>Parts &amp; Accessories</v>
          </cell>
          <cell r="E51" t="str">
            <v>YES</v>
          </cell>
          <cell r="F51" t="str">
            <v>YES</v>
          </cell>
          <cell r="G51" t="str">
            <v>YES</v>
          </cell>
          <cell r="H51" t="str">
            <v>YES</v>
          </cell>
          <cell r="I51" t="str">
            <v>YES</v>
          </cell>
          <cell r="J51" t="str">
            <v>Yes</v>
          </cell>
        </row>
        <row r="52">
          <cell r="B52">
            <v>901730</v>
          </cell>
          <cell r="C52" t="str">
            <v>Mathematical equipment; micrometers, callipers and gauges</v>
          </cell>
          <cell r="D52" t="str">
            <v>Capital Goods</v>
          </cell>
          <cell r="E52" t="str">
            <v>YES</v>
          </cell>
          <cell r="F52" t="str">
            <v>YES</v>
          </cell>
          <cell r="G52" t="str">
            <v>YES</v>
          </cell>
          <cell r="H52" t="str">
            <v>NO</v>
          </cell>
          <cell r="I52" t="str">
            <v>YES</v>
          </cell>
          <cell r="J52" t="str">
            <v>Yes</v>
          </cell>
        </row>
        <row r="53">
          <cell r="B53">
            <v>901390</v>
          </cell>
          <cell r="C53" t="str">
            <v>Optical appliances and instruments; parts and accessories for articles of heading no. 9013</v>
          </cell>
          <cell r="D53" t="str">
            <v>Parts &amp; Accessories</v>
          </cell>
          <cell r="E53" t="str">
            <v>YES</v>
          </cell>
          <cell r="F53" t="str">
            <v>NO</v>
          </cell>
          <cell r="G53" t="str">
            <v>YES</v>
          </cell>
          <cell r="H53" t="str">
            <v>NO</v>
          </cell>
          <cell r="I53" t="str">
            <v>YES</v>
          </cell>
          <cell r="J53" t="str">
            <v>Yes</v>
          </cell>
        </row>
        <row r="54">
          <cell r="B54">
            <v>761699</v>
          </cell>
          <cell r="C54" t="str">
            <v>Aluminium; articles n.e.c. in heading 7616</v>
          </cell>
          <cell r="D54" t="str">
            <v>Consumables - rc</v>
          </cell>
          <cell r="E54" t="str">
            <v>YES</v>
          </cell>
          <cell r="F54" t="str">
            <v>YES</v>
          </cell>
          <cell r="G54" t="str">
            <v>YES</v>
          </cell>
          <cell r="H54" t="str">
            <v>YES</v>
          </cell>
          <cell r="I54" t="str">
            <v>YES</v>
          </cell>
          <cell r="J54" t="str">
            <v>Yes</v>
          </cell>
        </row>
        <row r="55">
          <cell r="B55">
            <v>401039</v>
          </cell>
          <cell r="C55" t="str">
            <v>Rubber; vulcanised, conveyor or transmission belts or belting, n.e.c. in heading no. 4010</v>
          </cell>
          <cell r="D55" t="str">
            <v>Consumables</v>
          </cell>
          <cell r="E55" t="str">
            <v>YES</v>
          </cell>
          <cell r="F55" t="str">
            <v>NO</v>
          </cell>
          <cell r="G55" t="str">
            <v>YES</v>
          </cell>
          <cell r="H55" t="str">
            <v>YES</v>
          </cell>
          <cell r="I55" t="str">
            <v>YES</v>
          </cell>
          <cell r="J55" t="str">
            <v>Yes</v>
          </cell>
        </row>
        <row r="56">
          <cell r="B56">
            <v>900211</v>
          </cell>
          <cell r="C56" t="str">
            <v>Lenses; objective, for cameras, projectors or photographic enlargers or reducers, mounted, being parts or fittings for instruments or apparatus, of any material (excluding glass not optically worked)</v>
          </cell>
          <cell r="D56" t="str">
            <v>Consumables - rc</v>
          </cell>
          <cell r="E56" t="str">
            <v>YES</v>
          </cell>
          <cell r="F56" t="str">
            <v>YES</v>
          </cell>
          <cell r="G56" t="str">
            <v>YES</v>
          </cell>
          <cell r="H56" t="str">
            <v>NO</v>
          </cell>
          <cell r="I56" t="str">
            <v>YES</v>
          </cell>
          <cell r="J56" t="str">
            <v>Yes</v>
          </cell>
        </row>
        <row r="57">
          <cell r="B57">
            <v>732090</v>
          </cell>
          <cell r="C57" t="str">
            <v>Iron or steel; springs n.e.c. in heading no. 7320</v>
          </cell>
          <cell r="D57" t="str">
            <v>Consumables</v>
          </cell>
          <cell r="E57" t="str">
            <v>YES</v>
          </cell>
          <cell r="F57" t="str">
            <v>YES</v>
          </cell>
          <cell r="G57" t="str">
            <v>YES</v>
          </cell>
          <cell r="H57" t="str">
            <v>YES</v>
          </cell>
          <cell r="I57" t="str">
            <v>YES</v>
          </cell>
          <cell r="J57" t="str">
            <v>Yes</v>
          </cell>
        </row>
        <row r="58">
          <cell r="B58">
            <v>902690</v>
          </cell>
          <cell r="C58" t="str">
            <v>Instruments and apparatus; parts and accessories for those measuring or checking the flow, level, pressure or other variables of liquids or gases (excluding those of heading no. 9014, 9015, 9028 or 9032)</v>
          </cell>
          <cell r="D58" t="str">
            <v>Parts &amp; Accessories</v>
          </cell>
          <cell r="E58" t="str">
            <v>YES</v>
          </cell>
          <cell r="F58" t="str">
            <v>YES</v>
          </cell>
          <cell r="G58" t="str">
            <v>NO</v>
          </cell>
          <cell r="H58" t="str">
            <v>YES</v>
          </cell>
          <cell r="I58" t="str">
            <v>YES</v>
          </cell>
          <cell r="J58" t="str">
            <v>Yes</v>
          </cell>
        </row>
        <row r="59">
          <cell r="B59">
            <v>900190</v>
          </cell>
          <cell r="C59" t="str">
            <v>Optical elements; lenses n.e.c. in heading no. 9001, prisms, mirrors and other optical elements, unmounted, of any material (excluding elements of glass not optically worked)</v>
          </cell>
          <cell r="D59" t="str">
            <v>Consumables</v>
          </cell>
          <cell r="E59" t="str">
            <v>YES</v>
          </cell>
          <cell r="F59" t="str">
            <v>YES</v>
          </cell>
          <cell r="G59" t="str">
            <v>NO</v>
          </cell>
          <cell r="H59" t="str">
            <v>YES</v>
          </cell>
          <cell r="I59" t="str">
            <v>YES</v>
          </cell>
          <cell r="J59" t="str">
            <v>Yes</v>
          </cell>
        </row>
        <row r="60">
          <cell r="B60">
            <v>900140</v>
          </cell>
          <cell r="C60" t="str">
            <v>Lenses, spectacle; unmounted, of glass, excluding elements of glass not optically worked</v>
          </cell>
          <cell r="D60" t="str">
            <v>Parts &amp; Accessories</v>
          </cell>
          <cell r="E60" t="str">
            <v>YES</v>
          </cell>
          <cell r="F60" t="str">
            <v>NO</v>
          </cell>
          <cell r="G60" t="str">
            <v>NO</v>
          </cell>
          <cell r="H60" t="str">
            <v>YES</v>
          </cell>
          <cell r="I60" t="str">
            <v>NO</v>
          </cell>
          <cell r="J60" t="str">
            <v>Yes</v>
          </cell>
        </row>
        <row r="61">
          <cell r="B61">
            <v>848180</v>
          </cell>
          <cell r="C61" t="str">
            <v>Taps, cocks, valves and similar appliances; for pipes, boiler shells, tanks, vats or the like, including thermostatically controlled valves</v>
          </cell>
          <cell r="D61" t="str">
            <v>Parts &amp; Accessories</v>
          </cell>
          <cell r="E61" t="str">
            <v>YES</v>
          </cell>
          <cell r="F61" t="str">
            <v>YES</v>
          </cell>
          <cell r="G61" t="str">
            <v>YES</v>
          </cell>
          <cell r="H61" t="str">
            <v>YES</v>
          </cell>
          <cell r="I61" t="str">
            <v>YES</v>
          </cell>
          <cell r="J61" t="str">
            <v>Yes</v>
          </cell>
        </row>
        <row r="62">
          <cell r="B62">
            <v>900219</v>
          </cell>
          <cell r="C62" t="str">
            <v>Lenses; objective, (other than for cameras, projectors or photographic enlargers or reducers), mounted, of any material (excluding elements of glass not optically worked)</v>
          </cell>
          <cell r="D62" t="str">
            <v>Consumables</v>
          </cell>
          <cell r="E62" t="str">
            <v>YES</v>
          </cell>
          <cell r="F62" t="str">
            <v>YES</v>
          </cell>
          <cell r="G62" t="str">
            <v>YES</v>
          </cell>
          <cell r="H62" t="str">
            <v>YES</v>
          </cell>
          <cell r="I62" t="str">
            <v>YES</v>
          </cell>
          <cell r="J62" t="str">
            <v>Yes</v>
          </cell>
        </row>
        <row r="63">
          <cell r="B63">
            <v>848299</v>
          </cell>
          <cell r="C63" t="str">
            <v>Bearings; parts, (other than balls, needles and rollers)</v>
          </cell>
          <cell r="D63" t="str">
            <v>Parts &amp; Accessories</v>
          </cell>
          <cell r="E63" t="str">
            <v>YES</v>
          </cell>
          <cell r="F63" t="str">
            <v>NO</v>
          </cell>
          <cell r="G63" t="str">
            <v>NO</v>
          </cell>
          <cell r="H63" t="str">
            <v>YES</v>
          </cell>
          <cell r="I63" t="str">
            <v>YES</v>
          </cell>
          <cell r="J63" t="str">
            <v>Yes</v>
          </cell>
        </row>
        <row r="64">
          <cell r="B64">
            <v>980200</v>
          </cell>
          <cell r="C64" t="e">
            <v>#VALUE!</v>
          </cell>
          <cell r="D64" t="str">
            <v>Consumables</v>
          </cell>
          <cell r="E64" t="str">
            <v>YES</v>
          </cell>
          <cell r="F64" t="str">
            <v>NO</v>
          </cell>
          <cell r="G64" t="str">
            <v>NO</v>
          </cell>
          <cell r="H64" t="str">
            <v>NO</v>
          </cell>
          <cell r="I64" t="str">
            <v>NO</v>
          </cell>
          <cell r="J64" t="str">
            <v>Yes</v>
          </cell>
        </row>
        <row r="65">
          <cell r="B65">
            <v>902789</v>
          </cell>
          <cell r="C65" t="str">
            <v>Instruments and apparatus; for physical or chemical analysis, for measuring or checking viscosity, porosity, expansion, surface tension or quantities of heat, sound or light, exposure meters</v>
          </cell>
          <cell r="D65" t="str">
            <v>Capital Goods</v>
          </cell>
          <cell r="E65" t="str">
            <v>YES</v>
          </cell>
          <cell r="F65" t="str">
            <v>NO</v>
          </cell>
          <cell r="G65" t="str">
            <v>YES</v>
          </cell>
          <cell r="H65" t="str">
            <v>YES</v>
          </cell>
          <cell r="I65" t="str">
            <v>YES</v>
          </cell>
          <cell r="J65" t="str">
            <v>Yes</v>
          </cell>
        </row>
        <row r="66">
          <cell r="B66">
            <v>902610</v>
          </cell>
          <cell r="C66" t="str">
            <v>Instruments and apparatus; for measuring or checking the flow or level of liquids</v>
          </cell>
          <cell r="D66" t="str">
            <v>Capital Goods</v>
          </cell>
          <cell r="E66" t="str">
            <v>YES</v>
          </cell>
          <cell r="F66" t="str">
            <v>NO</v>
          </cell>
          <cell r="G66" t="str">
            <v>YES</v>
          </cell>
          <cell r="H66" t="str">
            <v>NO</v>
          </cell>
          <cell r="I66" t="str">
            <v>YES</v>
          </cell>
          <cell r="J66" t="str">
            <v>Yes</v>
          </cell>
        </row>
        <row r="67">
          <cell r="B67">
            <v>870892</v>
          </cell>
          <cell r="C67" t="str">
            <v>Vehicle parts; silencers (mufflers) and exhaust pipes; parts thereof</v>
          </cell>
          <cell r="D67" t="str">
            <v>Parts &amp; Accessories - rc</v>
          </cell>
          <cell r="E67" t="str">
            <v>YES</v>
          </cell>
          <cell r="F67" t="str">
            <v>NO</v>
          </cell>
          <cell r="G67" t="str">
            <v>YES</v>
          </cell>
          <cell r="H67" t="str">
            <v>NO</v>
          </cell>
          <cell r="I67" t="str">
            <v>YES</v>
          </cell>
          <cell r="J67" t="str">
            <v>Yes</v>
          </cell>
        </row>
        <row r="68">
          <cell r="B68">
            <v>281820</v>
          </cell>
          <cell r="C68" t="str">
            <v>Aluminium oxide; other than artificial corundum</v>
          </cell>
          <cell r="D68" t="str">
            <v>Consumables - rc</v>
          </cell>
          <cell r="E68" t="str">
            <v>NO</v>
          </cell>
          <cell r="F68" t="str">
            <v>YES</v>
          </cell>
          <cell r="G68" t="str">
            <v>NO</v>
          </cell>
          <cell r="H68" t="str">
            <v>NO</v>
          </cell>
          <cell r="I68" t="str">
            <v>NO</v>
          </cell>
          <cell r="J68" t="str">
            <v>Yes</v>
          </cell>
        </row>
        <row r="69">
          <cell r="B69">
            <v>320820</v>
          </cell>
          <cell r="C69" t="str">
            <v>Paints and varnishes; based on acrylic or vinyl polymers, dispersed or dissolved in a non-aqueous medium</v>
          </cell>
          <cell r="D69" t="str">
            <v>Consumables - rc</v>
          </cell>
          <cell r="E69" t="str">
            <v>NO</v>
          </cell>
          <cell r="F69" t="str">
            <v>YES</v>
          </cell>
          <cell r="G69" t="str">
            <v>NO</v>
          </cell>
          <cell r="H69" t="str">
            <v>NO</v>
          </cell>
          <cell r="I69" t="str">
            <v>NO</v>
          </cell>
          <cell r="J69" t="str">
            <v>Yes</v>
          </cell>
        </row>
        <row r="70">
          <cell r="B70">
            <v>340290</v>
          </cell>
          <cell r="C70" t="str">
            <v>Washing and cleaning preparations; surface-active, whether or not containing soap (excluding those of heading no. 3401), including auxiliary washing preparations, not for retail sale</v>
          </cell>
          <cell r="D70" t="str">
            <v>Others</v>
          </cell>
          <cell r="E70" t="str">
            <v>NO</v>
          </cell>
          <cell r="F70" t="str">
            <v>YES</v>
          </cell>
          <cell r="G70" t="str">
            <v>YES</v>
          </cell>
          <cell r="H70" t="str">
            <v>YES</v>
          </cell>
          <cell r="I70" t="str">
            <v>YES</v>
          </cell>
          <cell r="J70" t="str">
            <v>Yes</v>
          </cell>
        </row>
        <row r="71">
          <cell r="B71">
            <v>340399</v>
          </cell>
          <cell r="C71" t="str">
            <v>Lubricating preparations; other than for the treatment of textile and similar materials, not containing petroleum oils or oils obtained from bituminous minerals</v>
          </cell>
          <cell r="D71" t="str">
            <v>Consumables - rc</v>
          </cell>
          <cell r="E71" t="str">
            <v>NO</v>
          </cell>
          <cell r="F71" t="str">
            <v>YES</v>
          </cell>
          <cell r="G71" t="str">
            <v>YES</v>
          </cell>
          <cell r="H71" t="str">
            <v>YES</v>
          </cell>
          <cell r="I71" t="str">
            <v>YES</v>
          </cell>
          <cell r="J71" t="str">
            <v>Yes</v>
          </cell>
        </row>
        <row r="72">
          <cell r="B72">
            <v>340590</v>
          </cell>
          <cell r="C72" t="str">
            <v>Polishes, creams and similar preparations; n.e.c. in heading no. 3405, excluding waxes of heading no. 3404</v>
          </cell>
          <cell r="D72" t="str">
            <v>Consumables - rc</v>
          </cell>
          <cell r="E72" t="str">
            <v>NO</v>
          </cell>
          <cell r="F72" t="str">
            <v>YES</v>
          </cell>
          <cell r="G72" t="str">
            <v>YES</v>
          </cell>
          <cell r="H72" t="str">
            <v>NO</v>
          </cell>
          <cell r="I72" t="str">
            <v>NO</v>
          </cell>
          <cell r="J72" t="str">
            <v>Yes</v>
          </cell>
        </row>
        <row r="73">
          <cell r="B73">
            <v>390422</v>
          </cell>
          <cell r="C73" t="str">
            <v>Vinyl chloride, other halogenated olefin polymers; plasticised poly(vinyl chloride), in primary forms, mixed with other substances</v>
          </cell>
          <cell r="D73" t="str">
            <v>Consumables - rc</v>
          </cell>
          <cell r="E73" t="str">
            <v>NO</v>
          </cell>
          <cell r="F73" t="str">
            <v>YES</v>
          </cell>
          <cell r="G73" t="str">
            <v>NO</v>
          </cell>
          <cell r="H73" t="str">
            <v>NO</v>
          </cell>
          <cell r="I73" t="str">
            <v>NO</v>
          </cell>
          <cell r="J73" t="str">
            <v>Yes</v>
          </cell>
        </row>
        <row r="74">
          <cell r="B74">
            <v>390610</v>
          </cell>
          <cell r="C74" t="str">
            <v>Acrylic polymers; poly(methyl methacrylate), in primary forms</v>
          </cell>
          <cell r="D74" t="str">
            <v>Consumables - rc</v>
          </cell>
          <cell r="E74" t="str">
            <v>NO</v>
          </cell>
          <cell r="F74" t="str">
            <v>YES</v>
          </cell>
          <cell r="G74" t="str">
            <v>NO</v>
          </cell>
          <cell r="H74" t="str">
            <v>NO</v>
          </cell>
          <cell r="I74" t="str">
            <v>NO</v>
          </cell>
          <cell r="J74" t="str">
            <v>Yes</v>
          </cell>
        </row>
        <row r="75">
          <cell r="B75">
            <v>390730</v>
          </cell>
          <cell r="C75" t="str">
            <v>Epoxide resins; in primary forms</v>
          </cell>
          <cell r="D75" t="str">
            <v>Consumables - rc</v>
          </cell>
          <cell r="E75" t="str">
            <v>NO</v>
          </cell>
          <cell r="F75" t="str">
            <v>YES</v>
          </cell>
          <cell r="G75" t="str">
            <v>NO</v>
          </cell>
          <cell r="H75" t="str">
            <v>NO</v>
          </cell>
          <cell r="I75" t="str">
            <v>NO</v>
          </cell>
          <cell r="J75" t="str">
            <v>Yes</v>
          </cell>
        </row>
        <row r="76">
          <cell r="B76">
            <v>391729</v>
          </cell>
          <cell r="C76" t="str">
            <v>Plastics; tubes, pipes and hoses thereof, rigid, of plastics n.e.c. in heading no. 3917</v>
          </cell>
          <cell r="D76" t="str">
            <v>Parts &amp; Accessories</v>
          </cell>
          <cell r="E76" t="str">
            <v>NO</v>
          </cell>
          <cell r="F76" t="str">
            <v>YES</v>
          </cell>
          <cell r="G76" t="str">
            <v>YES</v>
          </cell>
          <cell r="H76" t="str">
            <v>NO</v>
          </cell>
          <cell r="I76" t="str">
            <v>YES</v>
          </cell>
          <cell r="J76" t="str">
            <v>Yes</v>
          </cell>
        </row>
        <row r="77">
          <cell r="B77">
            <v>391731</v>
          </cell>
          <cell r="C77" t="str">
            <v>Plastics; tubes, pipes and hoses thereof, flexible, having a minimum burst pressure of 27.6MPa</v>
          </cell>
          <cell r="D77" t="str">
            <v>Parts &amp; Accessories</v>
          </cell>
          <cell r="E77" t="str">
            <v>NO</v>
          </cell>
          <cell r="F77" t="str">
            <v>YES</v>
          </cell>
          <cell r="G77" t="str">
            <v>YES</v>
          </cell>
          <cell r="H77" t="str">
            <v>NO</v>
          </cell>
          <cell r="I77" t="str">
            <v>YES</v>
          </cell>
          <cell r="J77" t="str">
            <v>Yes</v>
          </cell>
        </row>
        <row r="78">
          <cell r="B78">
            <v>391732</v>
          </cell>
          <cell r="C78" t="str">
            <v>Plastics; tubes, pipes and hoses thereof, other than those of item no. 3917.31, not reinforced or otherwise combined with other materials, without fittings</v>
          </cell>
          <cell r="D78" t="str">
            <v>Parts &amp; Accessories</v>
          </cell>
          <cell r="E78" t="str">
            <v>NO</v>
          </cell>
          <cell r="F78" t="str">
            <v>YES</v>
          </cell>
          <cell r="G78" t="str">
            <v>YES</v>
          </cell>
          <cell r="H78" t="str">
            <v>YES</v>
          </cell>
          <cell r="I78" t="str">
            <v>YES</v>
          </cell>
          <cell r="J78" t="str">
            <v>Yes</v>
          </cell>
        </row>
        <row r="79">
          <cell r="B79">
            <v>391733</v>
          </cell>
          <cell r="C79" t="str">
            <v>Plastics; tubes, pipes and hoses thereof, other than those of item no. 3917.31, not reinforced or otherwise combined with other materials, with fittings</v>
          </cell>
          <cell r="D79" t="str">
            <v>Parts &amp; Accessories</v>
          </cell>
          <cell r="E79" t="str">
            <v>NO</v>
          </cell>
          <cell r="F79" t="str">
            <v>YES</v>
          </cell>
          <cell r="G79" t="str">
            <v>YES</v>
          </cell>
          <cell r="H79" t="str">
            <v>YES</v>
          </cell>
          <cell r="I79" t="str">
            <v>YES</v>
          </cell>
          <cell r="J79" t="str">
            <v>Yes</v>
          </cell>
        </row>
        <row r="80">
          <cell r="B80">
            <v>391740</v>
          </cell>
          <cell r="C80" t="str">
            <v>Plastics; tube, pipe and hose fittings (e.g. joints, elbows, flanges)</v>
          </cell>
          <cell r="D80" t="str">
            <v>Parts &amp; Accessories</v>
          </cell>
          <cell r="E80" t="str">
            <v>NO</v>
          </cell>
          <cell r="F80" t="str">
            <v>YES</v>
          </cell>
          <cell r="G80" t="str">
            <v>YES</v>
          </cell>
          <cell r="H80" t="str">
            <v>YES</v>
          </cell>
          <cell r="I80" t="str">
            <v>YES</v>
          </cell>
          <cell r="J80" t="str">
            <v>Yes</v>
          </cell>
        </row>
        <row r="81">
          <cell r="B81">
            <v>392099</v>
          </cell>
          <cell r="C81" t="str">
            <v>Plastics; plates, sheets, film, foil and strip (not self-adhesive), of plastics n.e.c. in heading no. 3920, non-cellular and not reinforced, laminated, supported or similarly combined with other materials</v>
          </cell>
          <cell r="D81" t="str">
            <v>Consumables - rc</v>
          </cell>
          <cell r="E81" t="str">
            <v>NO</v>
          </cell>
          <cell r="F81" t="str">
            <v>YES</v>
          </cell>
          <cell r="G81" t="str">
            <v>YES</v>
          </cell>
          <cell r="H81" t="str">
            <v>NO</v>
          </cell>
          <cell r="I81" t="str">
            <v>YES</v>
          </cell>
          <cell r="J81" t="str">
            <v>Yes</v>
          </cell>
        </row>
        <row r="82">
          <cell r="B82">
            <v>392610</v>
          </cell>
          <cell r="C82" t="str">
            <v>Plastics; office or school supplies</v>
          </cell>
          <cell r="D82" t="str">
            <v>Consumables - rc</v>
          </cell>
          <cell r="E82" t="str">
            <v>NO</v>
          </cell>
          <cell r="F82" t="str">
            <v>YES</v>
          </cell>
          <cell r="G82" t="str">
            <v>NO</v>
          </cell>
          <cell r="H82" t="str">
            <v>YES</v>
          </cell>
          <cell r="I82" t="str">
            <v>YES</v>
          </cell>
          <cell r="J82" t="str">
            <v>Yes</v>
          </cell>
        </row>
        <row r="83">
          <cell r="B83">
            <v>400219</v>
          </cell>
          <cell r="C83" t="str">
            <v>Rubber; synthetic, styrene-butadiene rubber (SBR) and carboxylated styrene-butadiene rubber (XSBR), (other than latex), in primary forms or in plates, sheets or strip</v>
          </cell>
          <cell r="D83" t="str">
            <v>Consumables</v>
          </cell>
          <cell r="E83" t="str">
            <v>NO</v>
          </cell>
          <cell r="F83" t="str">
            <v>YES</v>
          </cell>
          <cell r="G83" t="str">
            <v>NO</v>
          </cell>
          <cell r="H83" t="str">
            <v>NO</v>
          </cell>
          <cell r="I83" t="str">
            <v>NO</v>
          </cell>
          <cell r="J83" t="str">
            <v>Yes</v>
          </cell>
        </row>
        <row r="84">
          <cell r="B84">
            <v>400811</v>
          </cell>
          <cell r="C84" t="str">
            <v>Rubber; vulcanised (other than hard rubber), in plates, sheets and strip of cellular rubber</v>
          </cell>
          <cell r="D84" t="str">
            <v>Consumables - rc</v>
          </cell>
          <cell r="E84" t="str">
            <v>NO</v>
          </cell>
          <cell r="F84" t="str">
            <v>YES</v>
          </cell>
          <cell r="G84" t="str">
            <v>NO</v>
          </cell>
          <cell r="H84" t="str">
            <v>NO</v>
          </cell>
          <cell r="I84" t="str">
            <v>YES</v>
          </cell>
          <cell r="J84" t="str">
            <v>Yes</v>
          </cell>
        </row>
        <row r="85">
          <cell r="B85">
            <v>400829</v>
          </cell>
          <cell r="C85" t="str">
            <v>Rubber; vulcanised (other than hard rubber), non-cellular rubber, in forms other than plates, sheets or strip</v>
          </cell>
          <cell r="D85" t="str">
            <v>Consumables - rc</v>
          </cell>
          <cell r="E85" t="str">
            <v>NO</v>
          </cell>
          <cell r="F85" t="str">
            <v>YES</v>
          </cell>
          <cell r="G85" t="str">
            <v>NO</v>
          </cell>
          <cell r="H85" t="str">
            <v>NO</v>
          </cell>
          <cell r="I85" t="str">
            <v>NO</v>
          </cell>
          <cell r="J85" t="str">
            <v>Yes</v>
          </cell>
        </row>
        <row r="86">
          <cell r="B86">
            <v>401019</v>
          </cell>
          <cell r="C86" t="str">
            <v>Rubber; vulcanised, conveyor belts or belting, (reinforced with other than metal only or textile materials only)</v>
          </cell>
          <cell r="D86" t="str">
            <v>Parts &amp; Accessories</v>
          </cell>
          <cell r="E86" t="str">
            <v>NO</v>
          </cell>
          <cell r="F86" t="str">
            <v>YES</v>
          </cell>
          <cell r="G86" t="str">
            <v>YES</v>
          </cell>
          <cell r="H86" t="str">
            <v>YES</v>
          </cell>
          <cell r="I86" t="str">
            <v>YES</v>
          </cell>
          <cell r="J86" t="str">
            <v>Yes</v>
          </cell>
        </row>
        <row r="87">
          <cell r="B87">
            <v>401699</v>
          </cell>
          <cell r="C87" t="str">
            <v>Rubber; vulcanised (other than hard rubber), articles n.e.c. in heading no. 4016, of non-cellular rubber</v>
          </cell>
          <cell r="D87" t="str">
            <v>Consumables - rc</v>
          </cell>
          <cell r="E87" t="str">
            <v>NO</v>
          </cell>
          <cell r="F87" t="str">
            <v>YES</v>
          </cell>
          <cell r="G87" t="str">
            <v>YES</v>
          </cell>
          <cell r="H87" t="str">
            <v>YES</v>
          </cell>
          <cell r="I87" t="str">
            <v>YES</v>
          </cell>
          <cell r="J87" t="str">
            <v>Yes</v>
          </cell>
        </row>
        <row r="88">
          <cell r="B88">
            <v>482010</v>
          </cell>
          <cell r="C88" t="str">
            <v>Paper and paperboard; registers, account books, note books, order books, receipt books, letter pads, memorandum pads, diaries and similar articles</v>
          </cell>
          <cell r="D88" t="str">
            <v>Consumables - rc</v>
          </cell>
          <cell r="E88" t="str">
            <v>NO</v>
          </cell>
          <cell r="F88" t="str">
            <v>YES</v>
          </cell>
          <cell r="G88" t="str">
            <v>YES</v>
          </cell>
          <cell r="H88" t="str">
            <v>YES</v>
          </cell>
          <cell r="I88" t="str">
            <v>NO</v>
          </cell>
          <cell r="J88" t="str">
            <v>Yes</v>
          </cell>
        </row>
        <row r="89">
          <cell r="B89">
            <v>590610</v>
          </cell>
          <cell r="C89" t="str">
            <v>Textile fabrics, rubberised; (excluding those of heading no. 5902), adhesive tape of a width not exceeding 20cm</v>
          </cell>
          <cell r="D89" t="str">
            <v>Consumables - rc</v>
          </cell>
          <cell r="E89" t="str">
            <v>NO</v>
          </cell>
          <cell r="F89" t="str">
            <v>YES</v>
          </cell>
          <cell r="G89" t="str">
            <v>NO</v>
          </cell>
          <cell r="H89" t="str">
            <v>NO</v>
          </cell>
          <cell r="I89" t="str">
            <v>NO</v>
          </cell>
          <cell r="J89" t="str">
            <v>Yes</v>
          </cell>
        </row>
        <row r="90">
          <cell r="B90">
            <v>591120</v>
          </cell>
          <cell r="C90" t="str">
            <v>Textile products and articles for technical uses; bolting cloth, whether or not made up</v>
          </cell>
          <cell r="D90" t="str">
            <v>Consumables - rc</v>
          </cell>
          <cell r="E90" t="str">
            <v>NO</v>
          </cell>
          <cell r="F90" t="str">
            <v>YES</v>
          </cell>
          <cell r="G90" t="str">
            <v>NO</v>
          </cell>
          <cell r="H90" t="str">
            <v>NO</v>
          </cell>
          <cell r="I90" t="str">
            <v>YES</v>
          </cell>
          <cell r="J90" t="str">
            <v>Yes</v>
          </cell>
        </row>
        <row r="91">
          <cell r="B91">
            <v>591190</v>
          </cell>
          <cell r="C91" t="str">
            <v>Textile products and articles for technical uses; n.e.c. in heading no. 5911</v>
          </cell>
          <cell r="D91" t="str">
            <v>Consumables - rc</v>
          </cell>
          <cell r="E91" t="str">
            <v>NO</v>
          </cell>
          <cell r="F91" t="str">
            <v>YES</v>
          </cell>
          <cell r="G91" t="str">
            <v>YES</v>
          </cell>
          <cell r="H91" t="str">
            <v>NO</v>
          </cell>
          <cell r="I91" t="str">
            <v>YES</v>
          </cell>
          <cell r="J91" t="str">
            <v>Yes</v>
          </cell>
        </row>
        <row r="92">
          <cell r="B92">
            <v>610349</v>
          </cell>
          <cell r="C92" t="str">
            <v>Trousers, bib and brace overalls, breeches and shorts; men's or boys', of textile materials (other than wool or fine animal hair, cotton or synthetic fibres), knitted or crocheted</v>
          </cell>
          <cell r="D92" t="str">
            <v>Consumables - rc</v>
          </cell>
          <cell r="E92" t="str">
            <v>NO</v>
          </cell>
          <cell r="F92" t="str">
            <v>YES</v>
          </cell>
          <cell r="G92" t="str">
            <v>NO</v>
          </cell>
          <cell r="H92" t="str">
            <v>NO</v>
          </cell>
          <cell r="I92" t="str">
            <v>NO</v>
          </cell>
          <cell r="J92" t="str">
            <v>Yes</v>
          </cell>
        </row>
        <row r="93">
          <cell r="B93">
            <v>630710</v>
          </cell>
          <cell r="C93" t="str">
            <v>Cloths; floor cloths, dish-cloths, dusters and similar cleaning cloths</v>
          </cell>
          <cell r="D93" t="str">
            <v>Consumables</v>
          </cell>
          <cell r="E93" t="str">
            <v>NO</v>
          </cell>
          <cell r="F93" t="str">
            <v>YES</v>
          </cell>
          <cell r="G93" t="str">
            <v>YES</v>
          </cell>
          <cell r="H93" t="str">
            <v>YES</v>
          </cell>
          <cell r="I93" t="str">
            <v>YES</v>
          </cell>
          <cell r="J93" t="str">
            <v>Yes</v>
          </cell>
        </row>
        <row r="94">
          <cell r="B94">
            <v>680422</v>
          </cell>
          <cell r="C94" t="str">
            <v>Millstones, grindstones, grinding wheels and the like; of other agglomerated abrasives or of ceramics</v>
          </cell>
          <cell r="D94" t="str">
            <v>Consumables</v>
          </cell>
          <cell r="E94" t="str">
            <v>NO</v>
          </cell>
          <cell r="F94" t="str">
            <v>YES</v>
          </cell>
          <cell r="G94" t="str">
            <v>YES</v>
          </cell>
          <cell r="H94" t="str">
            <v>NO</v>
          </cell>
          <cell r="I94" t="str">
            <v>NO</v>
          </cell>
          <cell r="J94" t="str">
            <v>Yes</v>
          </cell>
        </row>
        <row r="95">
          <cell r="B95">
            <v>680510</v>
          </cell>
          <cell r="C95" t="str">
            <v>Abrasive powder or grain; natural or artificial, on a base of woven textile fabric only, whether or not cut to shape or sewn or otherwise made up</v>
          </cell>
          <cell r="D95" t="str">
            <v>Consumables - rc</v>
          </cell>
          <cell r="E95" t="str">
            <v>NO</v>
          </cell>
          <cell r="F95" t="str">
            <v>YES</v>
          </cell>
          <cell r="G95" t="str">
            <v>NO</v>
          </cell>
          <cell r="H95" t="str">
            <v>NO</v>
          </cell>
          <cell r="I95" t="str">
            <v>NO</v>
          </cell>
          <cell r="J95" t="str">
            <v>Yes</v>
          </cell>
        </row>
        <row r="96">
          <cell r="B96">
            <v>680520</v>
          </cell>
          <cell r="C96" t="str">
            <v>Abrasive powder or grain; natural or artificial, on a base of paper or paperboard only, whether or not cut to shape or sewn or otherwise made up</v>
          </cell>
          <cell r="D96" t="str">
            <v>Consumables - rc</v>
          </cell>
          <cell r="E96" t="str">
            <v>NO</v>
          </cell>
          <cell r="F96" t="str">
            <v>YES</v>
          </cell>
          <cell r="G96" t="str">
            <v>YES</v>
          </cell>
          <cell r="H96" t="str">
            <v>NO</v>
          </cell>
          <cell r="I96" t="str">
            <v>YES</v>
          </cell>
          <cell r="J96" t="str">
            <v>Yes</v>
          </cell>
        </row>
        <row r="97">
          <cell r="B97">
            <v>680530</v>
          </cell>
          <cell r="C97" t="str">
            <v>Abrasive powder or grain; natural or artificial, on a base of materials n.e.c. in heading no. 6805, whether or not cut to shape or sewn or otherwise made up</v>
          </cell>
          <cell r="D97" t="str">
            <v>Consumables</v>
          </cell>
          <cell r="E97" t="str">
            <v>NO</v>
          </cell>
          <cell r="F97" t="str">
            <v>YES</v>
          </cell>
          <cell r="G97" t="str">
            <v>NO</v>
          </cell>
          <cell r="H97" t="str">
            <v>NO</v>
          </cell>
          <cell r="I97" t="str">
            <v>YES</v>
          </cell>
          <cell r="J97" t="str">
            <v>Yes</v>
          </cell>
        </row>
        <row r="98">
          <cell r="B98">
            <v>681599</v>
          </cell>
          <cell r="C98" t="str">
            <v>Stone articles and articles of other mineral substances; n.e.c. or included in heading no. 6815</v>
          </cell>
          <cell r="D98" t="str">
            <v>Capital Goods - rc</v>
          </cell>
          <cell r="E98" t="str">
            <v>NO</v>
          </cell>
          <cell r="F98" t="str">
            <v>YES</v>
          </cell>
          <cell r="G98" t="str">
            <v>NO</v>
          </cell>
          <cell r="H98" t="str">
            <v>NO</v>
          </cell>
          <cell r="I98" t="str">
            <v>YES</v>
          </cell>
          <cell r="J98" t="str">
            <v>Yes</v>
          </cell>
        </row>
        <row r="99">
          <cell r="B99">
            <v>730640</v>
          </cell>
          <cell r="C99" t="str">
            <v>Steel, stainless; tubes, pipes and hollow profiles, welded, of circular cross-section, n.e.c. in chapter 73</v>
          </cell>
          <cell r="D99" t="str">
            <v>Parts &amp; Accessories</v>
          </cell>
          <cell r="E99" t="str">
            <v>NO</v>
          </cell>
          <cell r="F99" t="str">
            <v>YES</v>
          </cell>
          <cell r="G99" t="str">
            <v>NO</v>
          </cell>
          <cell r="H99" t="str">
            <v>NO</v>
          </cell>
          <cell r="I99" t="str">
            <v>NO</v>
          </cell>
          <cell r="J99" t="str">
            <v>Yes</v>
          </cell>
        </row>
        <row r="100">
          <cell r="B100">
            <v>730729</v>
          </cell>
          <cell r="C100" t="str">
            <v>Steel, stainless; tube or pipe fittings, n.e.c. in item no. 7307.2</v>
          </cell>
          <cell r="D100" t="str">
            <v>Parts &amp; Accessories</v>
          </cell>
          <cell r="E100" t="str">
            <v>NO</v>
          </cell>
          <cell r="F100" t="str">
            <v>YES</v>
          </cell>
          <cell r="G100" t="str">
            <v>NO</v>
          </cell>
          <cell r="H100" t="str">
            <v>NO</v>
          </cell>
          <cell r="I100" t="str">
            <v>YES</v>
          </cell>
          <cell r="J100" t="str">
            <v>Yes</v>
          </cell>
        </row>
        <row r="101">
          <cell r="B101">
            <v>730799</v>
          </cell>
          <cell r="C101" t="str">
            <v>Iron or steel; tube or pipe fittings, n.e.c. in item no. 7307.9, other than stainless steel</v>
          </cell>
          <cell r="D101" t="str">
            <v>Parts &amp; Accessories</v>
          </cell>
          <cell r="E101" t="str">
            <v>NO</v>
          </cell>
          <cell r="F101" t="str">
            <v>YES</v>
          </cell>
          <cell r="G101" t="str">
            <v>YES</v>
          </cell>
          <cell r="H101" t="str">
            <v>YES</v>
          </cell>
          <cell r="I101" t="str">
            <v>YES</v>
          </cell>
          <cell r="J101" t="str">
            <v>Yes</v>
          </cell>
        </row>
        <row r="102">
          <cell r="B102">
            <v>731100</v>
          </cell>
          <cell r="C102" t="str">
            <v>Containers for compressed or liquefied gas, of iron or steel</v>
          </cell>
          <cell r="D102" t="str">
            <v>Capital Goods - rc</v>
          </cell>
          <cell r="E102" t="str">
            <v>NO</v>
          </cell>
          <cell r="F102" t="str">
            <v>YES</v>
          </cell>
          <cell r="G102" t="str">
            <v>NO</v>
          </cell>
          <cell r="H102" t="str">
            <v>NO</v>
          </cell>
          <cell r="I102" t="str">
            <v>NO</v>
          </cell>
          <cell r="J102" t="str">
            <v>Yes</v>
          </cell>
        </row>
        <row r="103">
          <cell r="B103">
            <v>731210</v>
          </cell>
          <cell r="C103" t="str">
            <v>Iron or steel; stranded wire, ropes and cables, not electrically insulated</v>
          </cell>
          <cell r="D103" t="str">
            <v>Parts &amp; Accessories</v>
          </cell>
          <cell r="E103" t="str">
            <v>NO</v>
          </cell>
          <cell r="F103" t="str">
            <v>YES</v>
          </cell>
          <cell r="G103" t="str">
            <v>NO</v>
          </cell>
          <cell r="H103" t="str">
            <v>NO</v>
          </cell>
          <cell r="I103" t="str">
            <v>YES</v>
          </cell>
          <cell r="J103" t="str">
            <v>Yes</v>
          </cell>
        </row>
        <row r="104">
          <cell r="B104">
            <v>731811</v>
          </cell>
          <cell r="C104" t="str">
            <v>Iron or steel; threaded coach screws</v>
          </cell>
          <cell r="D104" t="str">
            <v>Consumables</v>
          </cell>
          <cell r="E104" t="str">
            <v>NO</v>
          </cell>
          <cell r="F104" t="str">
            <v>YES</v>
          </cell>
          <cell r="G104" t="str">
            <v>YES</v>
          </cell>
          <cell r="H104" t="str">
            <v>NO</v>
          </cell>
          <cell r="I104" t="str">
            <v>YES</v>
          </cell>
          <cell r="J104" t="str">
            <v>Yes</v>
          </cell>
        </row>
        <row r="105">
          <cell r="B105">
            <v>731816</v>
          </cell>
          <cell r="C105" t="str">
            <v>Iron or steel; threaded nuts</v>
          </cell>
          <cell r="D105" t="str">
            <v>Consumables</v>
          </cell>
          <cell r="E105" t="str">
            <v>NO</v>
          </cell>
          <cell r="F105" t="str">
            <v>YES</v>
          </cell>
          <cell r="G105" t="str">
            <v>YES</v>
          </cell>
          <cell r="H105" t="str">
            <v>YES</v>
          </cell>
          <cell r="I105" t="str">
            <v>YES</v>
          </cell>
          <cell r="J105" t="str">
            <v>Yes</v>
          </cell>
        </row>
        <row r="106">
          <cell r="B106">
            <v>731819</v>
          </cell>
          <cell r="C106" t="str">
            <v>Iron or steel; threaded screws, bolts and nuts n.e.c. in item no. 7318.1</v>
          </cell>
          <cell r="D106" t="str">
            <v>Consumables</v>
          </cell>
          <cell r="E106" t="str">
            <v>NO</v>
          </cell>
          <cell r="F106" t="str">
            <v>YES</v>
          </cell>
          <cell r="G106" t="str">
            <v>YES</v>
          </cell>
          <cell r="H106" t="str">
            <v>NO</v>
          </cell>
          <cell r="I106" t="str">
            <v>YES</v>
          </cell>
          <cell r="J106" t="str">
            <v>Yes</v>
          </cell>
        </row>
        <row r="107">
          <cell r="B107">
            <v>731822</v>
          </cell>
          <cell r="C107" t="str">
            <v>Iron or steel; non-threaded washers, excluding spring and lock</v>
          </cell>
          <cell r="D107" t="str">
            <v>Consumables</v>
          </cell>
          <cell r="E107" t="str">
            <v>NO</v>
          </cell>
          <cell r="F107" t="str">
            <v>YES</v>
          </cell>
          <cell r="G107" t="str">
            <v>YES</v>
          </cell>
          <cell r="H107" t="str">
            <v>NO</v>
          </cell>
          <cell r="I107" t="str">
            <v>YES</v>
          </cell>
          <cell r="J107" t="str">
            <v>Yes</v>
          </cell>
        </row>
        <row r="108">
          <cell r="B108">
            <v>731824</v>
          </cell>
          <cell r="C108" t="str">
            <v>Iron or steel; non-threaded cotters and cotter-pins</v>
          </cell>
          <cell r="D108" t="str">
            <v>Consumables</v>
          </cell>
          <cell r="E108" t="str">
            <v>NO</v>
          </cell>
          <cell r="F108" t="str">
            <v>YES</v>
          </cell>
          <cell r="G108" t="str">
            <v>YES</v>
          </cell>
          <cell r="H108" t="str">
            <v>YES</v>
          </cell>
          <cell r="I108" t="str">
            <v>YES</v>
          </cell>
          <cell r="J108" t="str">
            <v>Yes</v>
          </cell>
        </row>
        <row r="109">
          <cell r="B109">
            <v>731829</v>
          </cell>
          <cell r="C109" t="str">
            <v>Iron or steel; non-threaded articles, n.e.c. in item no. 7318.2</v>
          </cell>
          <cell r="D109" t="str">
            <v>Consumables</v>
          </cell>
          <cell r="E109" t="str">
            <v>NO</v>
          </cell>
          <cell r="F109" t="str">
            <v>YES</v>
          </cell>
          <cell r="G109" t="str">
            <v>YES</v>
          </cell>
          <cell r="H109" t="str">
            <v>YES</v>
          </cell>
          <cell r="I109" t="str">
            <v>YES</v>
          </cell>
          <cell r="J109" t="str">
            <v>Yes</v>
          </cell>
        </row>
        <row r="110">
          <cell r="B110">
            <v>732020</v>
          </cell>
          <cell r="C110" t="str">
            <v>Iron or steel; helical springs and leaves for springs</v>
          </cell>
          <cell r="D110" t="str">
            <v>Consumables</v>
          </cell>
          <cell r="E110" t="str">
            <v>NO</v>
          </cell>
          <cell r="F110" t="str">
            <v>YES</v>
          </cell>
          <cell r="G110" t="str">
            <v>YES</v>
          </cell>
          <cell r="H110" t="str">
            <v>YES</v>
          </cell>
          <cell r="I110" t="str">
            <v>YES</v>
          </cell>
          <cell r="J110" t="str">
            <v>Yes</v>
          </cell>
        </row>
        <row r="111">
          <cell r="B111">
            <v>732490</v>
          </cell>
          <cell r="C111" t="str">
            <v>Iron or steel; sanitary ware and parts thereof, excluding sinks, wash basins and baths</v>
          </cell>
          <cell r="D111" t="str">
            <v>Others</v>
          </cell>
          <cell r="E111" t="str">
            <v>NO</v>
          </cell>
          <cell r="F111" t="str">
            <v>YES</v>
          </cell>
          <cell r="G111" t="str">
            <v>NO</v>
          </cell>
          <cell r="H111" t="str">
            <v>NO</v>
          </cell>
          <cell r="I111" t="str">
            <v>NO</v>
          </cell>
          <cell r="J111" t="str">
            <v>Yes</v>
          </cell>
        </row>
        <row r="112">
          <cell r="B112">
            <v>732619</v>
          </cell>
          <cell r="C112" t="str">
            <v>Iron or steel; articles n.e.c. in item no. 7326.11, forged or stamped, but not further worked</v>
          </cell>
          <cell r="D112" t="str">
            <v>Parts &amp; Accessories</v>
          </cell>
          <cell r="E112" t="str">
            <v>NO</v>
          </cell>
          <cell r="F112" t="str">
            <v>YES</v>
          </cell>
          <cell r="G112" t="str">
            <v>YES</v>
          </cell>
          <cell r="H112" t="str">
            <v>NO</v>
          </cell>
          <cell r="I112" t="str">
            <v>YES</v>
          </cell>
          <cell r="J112" t="str">
            <v>Yes</v>
          </cell>
        </row>
        <row r="113">
          <cell r="B113">
            <v>741220</v>
          </cell>
          <cell r="C113" t="str">
            <v>Copper; tube or pipe fittings (e.g. couplings, elbows, sleeves) of copper alloys</v>
          </cell>
          <cell r="D113" t="str">
            <v>Parts &amp; Accessories</v>
          </cell>
          <cell r="E113" t="str">
            <v>NO</v>
          </cell>
          <cell r="F113" t="str">
            <v>YES</v>
          </cell>
          <cell r="G113" t="str">
            <v>YES</v>
          </cell>
          <cell r="H113" t="str">
            <v>YES</v>
          </cell>
          <cell r="I113" t="str">
            <v>YES</v>
          </cell>
          <cell r="J113" t="str">
            <v>Yes</v>
          </cell>
        </row>
        <row r="114">
          <cell r="B114">
            <v>760611</v>
          </cell>
          <cell r="C114" t="str">
            <v>Aluminium; plates, sheets and strip, thickness exceeding 0.2mm, (not alloyed), rectangular (including square)</v>
          </cell>
          <cell r="D114" t="str">
            <v>Consumables - rc</v>
          </cell>
          <cell r="E114" t="str">
            <v>NO</v>
          </cell>
          <cell r="F114" t="str">
            <v>YES</v>
          </cell>
          <cell r="G114" t="str">
            <v>NO</v>
          </cell>
          <cell r="H114" t="str">
            <v>NO</v>
          </cell>
          <cell r="I114" t="str">
            <v>YES</v>
          </cell>
          <cell r="J114" t="str">
            <v>Yes</v>
          </cell>
        </row>
        <row r="115">
          <cell r="B115">
            <v>810890</v>
          </cell>
          <cell r="C115" t="str">
            <v>Titanium; other than unwrought, n.e.c. in heading no. 8108</v>
          </cell>
          <cell r="D115" t="str">
            <v>Consumables - rc</v>
          </cell>
          <cell r="E115" t="str">
            <v>NO</v>
          </cell>
          <cell r="F115" t="str">
            <v>YES</v>
          </cell>
          <cell r="G115" t="str">
            <v>NO</v>
          </cell>
          <cell r="H115" t="str">
            <v>NO</v>
          </cell>
          <cell r="I115" t="str">
            <v>YES</v>
          </cell>
          <cell r="J115" t="str">
            <v>Yes</v>
          </cell>
        </row>
        <row r="116">
          <cell r="B116">
            <v>820320</v>
          </cell>
          <cell r="C116" t="str">
            <v>Tools, hand; pliers (including cutting pliers), pincers, tweezers and similar tools</v>
          </cell>
          <cell r="D116" t="str">
            <v>Capital Goods</v>
          </cell>
          <cell r="E116" t="str">
            <v>NO</v>
          </cell>
          <cell r="F116" t="str">
            <v>YES</v>
          </cell>
          <cell r="G116" t="str">
            <v>YES</v>
          </cell>
          <cell r="H116" t="str">
            <v>YES</v>
          </cell>
          <cell r="I116" t="str">
            <v>YES</v>
          </cell>
          <cell r="J116" t="str">
            <v>Yes</v>
          </cell>
        </row>
        <row r="117">
          <cell r="B117">
            <v>820411</v>
          </cell>
          <cell r="C117" t="str">
            <v>Tools, hand; hand-operated spanners and wrenches (including torque meter wrenches but not including tap wrenches), non-adjustable</v>
          </cell>
          <cell r="D117" t="str">
            <v>Capital Goods</v>
          </cell>
          <cell r="E117" t="str">
            <v>NO</v>
          </cell>
          <cell r="F117" t="str">
            <v>YES</v>
          </cell>
          <cell r="G117" t="str">
            <v>YES</v>
          </cell>
          <cell r="H117" t="str">
            <v>YES</v>
          </cell>
          <cell r="I117" t="str">
            <v>YES</v>
          </cell>
          <cell r="J117" t="str">
            <v>Yes</v>
          </cell>
        </row>
        <row r="118">
          <cell r="B118">
            <v>820412</v>
          </cell>
          <cell r="C118" t="str">
            <v>Tools, hand; hand-operated spanners and wrenches (including torque meter wrenches but not including tap wrenches), adjustable</v>
          </cell>
          <cell r="D118" t="str">
            <v>Capital Goods</v>
          </cell>
          <cell r="E118" t="str">
            <v>NO</v>
          </cell>
          <cell r="F118" t="str">
            <v>YES</v>
          </cell>
          <cell r="G118" t="str">
            <v>YES</v>
          </cell>
          <cell r="H118" t="str">
            <v>YES</v>
          </cell>
          <cell r="I118" t="str">
            <v>YES</v>
          </cell>
          <cell r="J118" t="str">
            <v>Yes</v>
          </cell>
        </row>
        <row r="119">
          <cell r="B119">
            <v>820420</v>
          </cell>
          <cell r="C119" t="str">
            <v>Tools, hand; interchangeable spanner sockets, with or without handles</v>
          </cell>
          <cell r="D119" t="str">
            <v>Capital Goods</v>
          </cell>
          <cell r="E119" t="str">
            <v>NO</v>
          </cell>
          <cell r="F119" t="str">
            <v>YES</v>
          </cell>
          <cell r="G119" t="str">
            <v>YES</v>
          </cell>
          <cell r="H119" t="str">
            <v>YES</v>
          </cell>
          <cell r="I119" t="str">
            <v>YES</v>
          </cell>
          <cell r="J119" t="str">
            <v>Yes</v>
          </cell>
        </row>
        <row r="120">
          <cell r="B120">
            <v>820540</v>
          </cell>
          <cell r="C120" t="str">
            <v>Tools, hand; screwdrivers</v>
          </cell>
          <cell r="D120" t="str">
            <v>Capital Goods</v>
          </cell>
          <cell r="E120" t="str">
            <v>NO</v>
          </cell>
          <cell r="F120" t="str">
            <v>YES</v>
          </cell>
          <cell r="G120" t="str">
            <v>YES</v>
          </cell>
          <cell r="H120" t="str">
            <v>YES</v>
          </cell>
          <cell r="I120" t="str">
            <v>YES</v>
          </cell>
          <cell r="J120" t="str">
            <v>Yes</v>
          </cell>
        </row>
        <row r="121">
          <cell r="B121">
            <v>820570</v>
          </cell>
          <cell r="C121" t="str">
            <v>Tools, hand; vices, clamps and the like</v>
          </cell>
          <cell r="D121" t="str">
            <v>Capital Goods</v>
          </cell>
          <cell r="E121" t="str">
            <v>NO</v>
          </cell>
          <cell r="F121" t="str">
            <v>YES</v>
          </cell>
          <cell r="G121" t="str">
            <v>YES</v>
          </cell>
          <cell r="H121" t="str">
            <v>YES</v>
          </cell>
          <cell r="I121" t="str">
            <v>YES</v>
          </cell>
          <cell r="J121" t="str">
            <v>Yes</v>
          </cell>
        </row>
        <row r="122">
          <cell r="B122">
            <v>820770</v>
          </cell>
          <cell r="C122" t="str">
            <v>Tools, interchangeable; (for machine or hand tools, whether or not power-operated), for milling</v>
          </cell>
          <cell r="D122" t="str">
            <v>Capital Goods</v>
          </cell>
          <cell r="E122" t="str">
            <v>NO</v>
          </cell>
          <cell r="F122" t="str">
            <v>YES</v>
          </cell>
          <cell r="G122" t="str">
            <v>YES</v>
          </cell>
          <cell r="H122" t="str">
            <v>NO</v>
          </cell>
          <cell r="I122" t="str">
            <v>YES</v>
          </cell>
          <cell r="J122" t="str">
            <v>Yes</v>
          </cell>
        </row>
        <row r="123">
          <cell r="B123">
            <v>820790</v>
          </cell>
          <cell r="C123" t="str">
            <v>Tools, interchangeable; (for machine or hand tools, whether or not power-operated), for screw-driving or uses n.e.c. in heading no. 8207</v>
          </cell>
          <cell r="D123" t="str">
            <v>Capital Goods</v>
          </cell>
          <cell r="E123" t="str">
            <v>NO</v>
          </cell>
          <cell r="F123" t="str">
            <v>YES</v>
          </cell>
          <cell r="G123" t="str">
            <v>YES</v>
          </cell>
          <cell r="H123" t="str">
            <v>YES</v>
          </cell>
          <cell r="I123" t="str">
            <v>YES</v>
          </cell>
          <cell r="J123" t="str">
            <v>Yes</v>
          </cell>
        </row>
        <row r="124">
          <cell r="B124">
            <v>820890</v>
          </cell>
          <cell r="C124" t="str">
            <v>Tools; knives and cutting blades, for machines or mechanical appliances, n.e.c. in heading no. 8208</v>
          </cell>
          <cell r="D124" t="str">
            <v>Capital Goods</v>
          </cell>
          <cell r="E124" t="str">
            <v>NO</v>
          </cell>
          <cell r="F124" t="str">
            <v>YES</v>
          </cell>
          <cell r="G124" t="str">
            <v>YES</v>
          </cell>
          <cell r="H124" t="str">
            <v>YES</v>
          </cell>
          <cell r="I124" t="str">
            <v>YES</v>
          </cell>
          <cell r="J124" t="str">
            <v>Yes</v>
          </cell>
        </row>
        <row r="125">
          <cell r="B125">
            <v>821300</v>
          </cell>
          <cell r="C125" t="str">
            <v>Scissors; tailors' shears, similar shears and blades therefore</v>
          </cell>
          <cell r="D125" t="str">
            <v>Capital Goods</v>
          </cell>
          <cell r="E125" t="str">
            <v>NO</v>
          </cell>
          <cell r="F125" t="str">
            <v>YES</v>
          </cell>
          <cell r="G125" t="str">
            <v>YES</v>
          </cell>
          <cell r="H125" t="str">
            <v>NO</v>
          </cell>
          <cell r="I125" t="str">
            <v>YES</v>
          </cell>
          <cell r="J125" t="str">
            <v>Yes</v>
          </cell>
        </row>
        <row r="126">
          <cell r="B126">
            <v>830210</v>
          </cell>
          <cell r="C126" t="str">
            <v>Hinges; suitable for furniture, doors, staircases, windows, blinds, coachwork, saddlery, trunks, chests, caskets or the like, of base metal</v>
          </cell>
          <cell r="D126" t="str">
            <v>Parts &amp; Accessories - rc</v>
          </cell>
          <cell r="E126" t="str">
            <v>NO</v>
          </cell>
          <cell r="F126" t="str">
            <v>YES</v>
          </cell>
          <cell r="G126" t="str">
            <v>YES</v>
          </cell>
          <cell r="H126" t="str">
            <v>YES</v>
          </cell>
          <cell r="I126" t="str">
            <v>YES</v>
          </cell>
          <cell r="J126" t="str">
            <v>Yes</v>
          </cell>
        </row>
        <row r="127">
          <cell r="B127">
            <v>830220</v>
          </cell>
          <cell r="C127" t="str">
            <v>Castors; with mountings, of base metal</v>
          </cell>
          <cell r="D127" t="str">
            <v>Capital Goods - rc</v>
          </cell>
          <cell r="E127" t="str">
            <v>NO</v>
          </cell>
          <cell r="F127" t="str">
            <v>YES</v>
          </cell>
          <cell r="G127" t="str">
            <v>YES</v>
          </cell>
          <cell r="H127" t="str">
            <v>YES</v>
          </cell>
          <cell r="I127" t="str">
            <v>YES</v>
          </cell>
          <cell r="J127" t="str">
            <v>Yes</v>
          </cell>
        </row>
        <row r="128">
          <cell r="B128">
            <v>830250</v>
          </cell>
          <cell r="C128" t="str">
            <v>Hat-racks, hat-pegs, brackets and similar fixtures, of base metal</v>
          </cell>
          <cell r="D128" t="str">
            <v>Capital Goods - rc</v>
          </cell>
          <cell r="E128" t="str">
            <v>NO</v>
          </cell>
          <cell r="F128" t="str">
            <v>YES</v>
          </cell>
          <cell r="G128" t="str">
            <v>YES</v>
          </cell>
          <cell r="H128" t="str">
            <v>YES</v>
          </cell>
          <cell r="I128" t="str">
            <v>YES</v>
          </cell>
          <cell r="J128" t="str">
            <v>Yes</v>
          </cell>
        </row>
        <row r="129">
          <cell r="B129">
            <v>830630</v>
          </cell>
          <cell r="C129" t="str">
            <v>Photograph, picture or similar frames, mirrors; of base metal</v>
          </cell>
          <cell r="D129" t="str">
            <v>Others</v>
          </cell>
          <cell r="E129" t="str">
            <v>NO</v>
          </cell>
          <cell r="F129" t="str">
            <v>YES</v>
          </cell>
          <cell r="G129" t="str">
            <v>NO</v>
          </cell>
          <cell r="H129" t="str">
            <v>NO</v>
          </cell>
          <cell r="I129" t="str">
            <v>NO</v>
          </cell>
          <cell r="J129" t="str">
            <v>Yes</v>
          </cell>
        </row>
        <row r="130">
          <cell r="B130">
            <v>841221</v>
          </cell>
          <cell r="C130" t="str">
            <v>Engines; hydraulic power engines and motors, linear acting (cylinders)</v>
          </cell>
          <cell r="D130" t="str">
            <v>Capital Goods</v>
          </cell>
          <cell r="E130" t="str">
            <v>NO</v>
          </cell>
          <cell r="F130" t="str">
            <v>YES</v>
          </cell>
          <cell r="G130" t="str">
            <v>YES</v>
          </cell>
          <cell r="H130" t="str">
            <v>NO</v>
          </cell>
          <cell r="I130" t="str">
            <v>NO</v>
          </cell>
          <cell r="J130" t="str">
            <v>Yes</v>
          </cell>
        </row>
        <row r="131">
          <cell r="B131">
            <v>841231</v>
          </cell>
          <cell r="C131" t="str">
            <v>Engines; pneumatic power engines and motors, linear acting (cylinders)</v>
          </cell>
          <cell r="D131" t="str">
            <v>Capital Goods</v>
          </cell>
          <cell r="E131" t="str">
            <v>NO</v>
          </cell>
          <cell r="F131" t="str">
            <v>YES</v>
          </cell>
          <cell r="G131" t="str">
            <v>YES</v>
          </cell>
          <cell r="H131" t="str">
            <v>YES</v>
          </cell>
          <cell r="I131" t="str">
            <v>YES</v>
          </cell>
          <cell r="J131" t="str">
            <v>Yes</v>
          </cell>
        </row>
        <row r="132">
          <cell r="B132">
            <v>841239</v>
          </cell>
          <cell r="C132" t="str">
            <v>Engines; pneumatic power engines and motors, other than linear acting (cylinders)</v>
          </cell>
          <cell r="D132" t="str">
            <v>Capital Goods</v>
          </cell>
          <cell r="E132" t="str">
            <v>NO</v>
          </cell>
          <cell r="F132" t="str">
            <v>YES</v>
          </cell>
          <cell r="G132" t="str">
            <v>YES</v>
          </cell>
          <cell r="H132" t="str">
            <v>YES</v>
          </cell>
          <cell r="I132" t="str">
            <v>YES</v>
          </cell>
          <cell r="J132" t="str">
            <v>Yes</v>
          </cell>
        </row>
        <row r="133">
          <cell r="B133">
            <v>841290</v>
          </cell>
          <cell r="C133" t="str">
            <v>Engines; parts, for engines and motors of heading no. 8412</v>
          </cell>
          <cell r="D133" t="str">
            <v>Parts &amp; Accessories - rc</v>
          </cell>
          <cell r="E133" t="str">
            <v>NO</v>
          </cell>
          <cell r="F133" t="str">
            <v>YES</v>
          </cell>
          <cell r="G133" t="str">
            <v>YES</v>
          </cell>
          <cell r="H133" t="str">
            <v>NO</v>
          </cell>
          <cell r="I133" t="str">
            <v>YES</v>
          </cell>
          <cell r="J133" t="str">
            <v>Yes</v>
          </cell>
        </row>
        <row r="134">
          <cell r="B134">
            <v>841360</v>
          </cell>
          <cell r="C134" t="str">
            <v>Pumps; rotary positive displacement pumps, n.e.c. in heading no. 8413, for liquids</v>
          </cell>
          <cell r="D134" t="str">
            <v>Capital Goods</v>
          </cell>
          <cell r="E134" t="str">
            <v>NO</v>
          </cell>
          <cell r="F134" t="str">
            <v>YES</v>
          </cell>
          <cell r="G134" t="str">
            <v>NO</v>
          </cell>
          <cell r="H134" t="str">
            <v>NO</v>
          </cell>
          <cell r="I134" t="str">
            <v>YES</v>
          </cell>
          <cell r="J134" t="str">
            <v>Yes</v>
          </cell>
        </row>
        <row r="135">
          <cell r="B135">
            <v>841370</v>
          </cell>
          <cell r="C135" t="str">
            <v>Pumps; centrifugal, n.e.c. in heading no. 8413, for liquids</v>
          </cell>
          <cell r="D135" t="str">
            <v>Capital Goods</v>
          </cell>
          <cell r="E135" t="str">
            <v>NO</v>
          </cell>
          <cell r="F135" t="str">
            <v>YES</v>
          </cell>
          <cell r="G135" t="str">
            <v>YES</v>
          </cell>
          <cell r="H135" t="str">
            <v>NO</v>
          </cell>
          <cell r="I135" t="str">
            <v>NO</v>
          </cell>
          <cell r="J135" t="str">
            <v>Yes</v>
          </cell>
        </row>
        <row r="136">
          <cell r="B136">
            <v>841391</v>
          </cell>
          <cell r="C136" t="str">
            <v>Pumps; parts thereof</v>
          </cell>
          <cell r="D136" t="str">
            <v>Parts &amp; Accessories</v>
          </cell>
          <cell r="E136" t="str">
            <v>NO</v>
          </cell>
          <cell r="F136" t="str">
            <v>YES</v>
          </cell>
          <cell r="G136" t="str">
            <v>YES</v>
          </cell>
          <cell r="H136" t="str">
            <v>NO</v>
          </cell>
          <cell r="I136" t="str">
            <v>YES</v>
          </cell>
          <cell r="J136" t="str">
            <v>Yes</v>
          </cell>
        </row>
        <row r="137">
          <cell r="B137">
            <v>841410</v>
          </cell>
          <cell r="C137" t="str">
            <v>Pumps; vacuum</v>
          </cell>
          <cell r="D137" t="str">
            <v>Parts &amp; Accessories</v>
          </cell>
          <cell r="E137" t="str">
            <v>NO</v>
          </cell>
          <cell r="F137" t="str">
            <v>YES</v>
          </cell>
          <cell r="G137" t="str">
            <v>YES</v>
          </cell>
          <cell r="H137" t="str">
            <v>YES</v>
          </cell>
          <cell r="I137" t="str">
            <v>YES</v>
          </cell>
          <cell r="J137" t="str">
            <v>Yes</v>
          </cell>
        </row>
        <row r="138">
          <cell r="B138">
            <v>841440</v>
          </cell>
          <cell r="C138" t="str">
            <v>Compressors; air compressors mounted on a wheeled chassis for towing</v>
          </cell>
          <cell r="D138" t="str">
            <v>Parts &amp; Accessories</v>
          </cell>
          <cell r="E138" t="str">
            <v>NO</v>
          </cell>
          <cell r="F138" t="str">
            <v>YES</v>
          </cell>
          <cell r="G138" t="str">
            <v>YES</v>
          </cell>
          <cell r="H138" t="str">
            <v>NO</v>
          </cell>
          <cell r="I138" t="str">
            <v>NO</v>
          </cell>
          <cell r="J138" t="str">
            <v>Yes</v>
          </cell>
        </row>
        <row r="139">
          <cell r="B139">
            <v>841459</v>
          </cell>
          <cell r="C139" t="str">
            <v>Fans; n.e.c. in item no. 8414.51</v>
          </cell>
          <cell r="D139" t="str">
            <v>Durable</v>
          </cell>
          <cell r="E139" t="str">
            <v>NO</v>
          </cell>
          <cell r="F139" t="str">
            <v>YES</v>
          </cell>
          <cell r="G139" t="str">
            <v>YES</v>
          </cell>
          <cell r="H139" t="str">
            <v>YES</v>
          </cell>
          <cell r="I139" t="str">
            <v>YES</v>
          </cell>
          <cell r="J139" t="str">
            <v>Yes</v>
          </cell>
        </row>
        <row r="140">
          <cell r="B140">
            <v>841480</v>
          </cell>
          <cell r="C140" t="str">
            <v>Pumps and compressors; for air, vacuum or gas, n.e.c. in heading no. 8414</v>
          </cell>
          <cell r="D140" t="str">
            <v>Parts &amp; Accessories</v>
          </cell>
          <cell r="E140" t="str">
            <v>NO</v>
          </cell>
          <cell r="F140" t="str">
            <v>YES</v>
          </cell>
          <cell r="G140" t="str">
            <v>YES</v>
          </cell>
          <cell r="H140" t="str">
            <v>YES</v>
          </cell>
          <cell r="I140" t="str">
            <v>YES</v>
          </cell>
          <cell r="J140" t="str">
            <v>Yes</v>
          </cell>
        </row>
        <row r="141">
          <cell r="B141">
            <v>841490</v>
          </cell>
          <cell r="C141" t="str">
            <v>Pumps and compressors; parts, of air or vacuum pumps, air or other gas compressors and fans, ventilating or recycling hoods incorporating a fan</v>
          </cell>
          <cell r="D141" t="str">
            <v>Parts &amp; Accessories</v>
          </cell>
          <cell r="E141" t="str">
            <v>NO</v>
          </cell>
          <cell r="F141" t="str">
            <v>YES</v>
          </cell>
          <cell r="G141" t="str">
            <v>YES</v>
          </cell>
          <cell r="H141" t="str">
            <v>YES</v>
          </cell>
          <cell r="I141" t="str">
            <v>YES</v>
          </cell>
          <cell r="J141" t="str">
            <v>Yes</v>
          </cell>
        </row>
        <row r="142">
          <cell r="B142">
            <v>841810</v>
          </cell>
          <cell r="C142" t="str">
            <v>Refrigerators and freezers; combined refrigerator-freezers, fitted with separate external doors, electric or other</v>
          </cell>
          <cell r="D142" t="str">
            <v>Durable</v>
          </cell>
          <cell r="E142" t="str">
            <v>NO</v>
          </cell>
          <cell r="F142" t="str">
            <v>YES</v>
          </cell>
          <cell r="G142" t="str">
            <v>YES</v>
          </cell>
          <cell r="H142" t="str">
            <v>NO</v>
          </cell>
          <cell r="I142" t="str">
            <v>YES</v>
          </cell>
          <cell r="J142" t="str">
            <v>Yes</v>
          </cell>
        </row>
        <row r="143">
          <cell r="B143">
            <v>841869</v>
          </cell>
          <cell r="C143" t="str">
            <v>Refrigerating or freezing equipment; n.e.c. in heading no. 8418</v>
          </cell>
          <cell r="D143" t="str">
            <v>Durable</v>
          </cell>
          <cell r="E143" t="str">
            <v>NO</v>
          </cell>
          <cell r="F143" t="str">
            <v>YES</v>
          </cell>
          <cell r="G143" t="str">
            <v>NO</v>
          </cell>
          <cell r="H143" t="str">
            <v>YES</v>
          </cell>
          <cell r="I143" t="str">
            <v>YES</v>
          </cell>
          <cell r="J143" t="str">
            <v>Yes</v>
          </cell>
        </row>
        <row r="144">
          <cell r="B144">
            <v>841899</v>
          </cell>
          <cell r="C144" t="str">
            <v>Refrigerating or freezing equipment; parts thereof, other than furniture</v>
          </cell>
          <cell r="D144" t="str">
            <v>Parts &amp; Accessories - rc</v>
          </cell>
          <cell r="E144" t="str">
            <v>NO</v>
          </cell>
          <cell r="F144" t="str">
            <v>YES</v>
          </cell>
          <cell r="G144" t="str">
            <v>YES</v>
          </cell>
          <cell r="H144" t="str">
            <v>NO</v>
          </cell>
          <cell r="I144" t="str">
            <v>YES</v>
          </cell>
          <cell r="J144" t="str">
            <v>Yes</v>
          </cell>
        </row>
        <row r="145">
          <cell r="B145">
            <v>841939</v>
          </cell>
          <cell r="C145" t="str">
            <v>Dryers; for products n.e.c. in heading no. 8419, not used for domestic purposes</v>
          </cell>
          <cell r="D145" t="str">
            <v>Capital Goods</v>
          </cell>
          <cell r="E145" t="str">
            <v>NO</v>
          </cell>
          <cell r="F145" t="str">
            <v>YES</v>
          </cell>
          <cell r="G145" t="str">
            <v>YES</v>
          </cell>
          <cell r="H145" t="str">
            <v>YES</v>
          </cell>
          <cell r="I145" t="str">
            <v>YES</v>
          </cell>
          <cell r="J145" t="str">
            <v>Yes</v>
          </cell>
        </row>
        <row r="146">
          <cell r="B146">
            <v>841989</v>
          </cell>
          <cell r="C146" t="str">
            <v>Machinery, plant and laboratory equipment; for treating materials by change of temperature, other than for making hot drinks or cooking or heating food</v>
          </cell>
          <cell r="D146" t="str">
            <v>Capital Goods</v>
          </cell>
          <cell r="E146" t="str">
            <v>NO</v>
          </cell>
          <cell r="F146" t="str">
            <v>YES</v>
          </cell>
          <cell r="G146" t="str">
            <v>YES</v>
          </cell>
          <cell r="H146" t="str">
            <v>YES</v>
          </cell>
          <cell r="I146" t="str">
            <v>YES</v>
          </cell>
          <cell r="J146" t="str">
            <v>Yes</v>
          </cell>
        </row>
        <row r="147">
          <cell r="B147">
            <v>842099</v>
          </cell>
          <cell r="C147" t="str">
            <v>Machines; parts, (other than cylinders), for calendering or other rolling machines, for other than metal or glass</v>
          </cell>
          <cell r="D147" t="str">
            <v>Parts &amp; Accessories</v>
          </cell>
          <cell r="E147" t="str">
            <v>NO</v>
          </cell>
          <cell r="F147" t="str">
            <v>YES</v>
          </cell>
          <cell r="G147" t="str">
            <v>YES</v>
          </cell>
          <cell r="H147" t="str">
            <v>YES</v>
          </cell>
          <cell r="I147" t="str">
            <v>YES</v>
          </cell>
          <cell r="J147" t="str">
            <v>Yes</v>
          </cell>
        </row>
        <row r="148">
          <cell r="B148">
            <v>842131</v>
          </cell>
          <cell r="C148" t="str">
            <v>Machinery; intake air filters for internal combustion engines</v>
          </cell>
          <cell r="D148" t="str">
            <v>Capital Goods - rc</v>
          </cell>
          <cell r="E148" t="str">
            <v>NO</v>
          </cell>
          <cell r="F148" t="str">
            <v>YES</v>
          </cell>
          <cell r="G148" t="str">
            <v>YES</v>
          </cell>
          <cell r="H148" t="str">
            <v>NO</v>
          </cell>
          <cell r="I148" t="str">
            <v>YES</v>
          </cell>
          <cell r="J148" t="str">
            <v>Yes</v>
          </cell>
        </row>
        <row r="149">
          <cell r="B149">
            <v>842139</v>
          </cell>
          <cell r="C149" t="str">
            <v>Machinery; for filtering or purifying gases, other than intake air filters, catalytic converters or particulate filters for internal combustion engines</v>
          </cell>
          <cell r="D149" t="str">
            <v>Capital Goods</v>
          </cell>
          <cell r="E149" t="str">
            <v>NO</v>
          </cell>
          <cell r="F149" t="str">
            <v>YES</v>
          </cell>
          <cell r="G149" t="str">
            <v>YES</v>
          </cell>
          <cell r="H149" t="str">
            <v>YES</v>
          </cell>
          <cell r="I149" t="str">
            <v>YES</v>
          </cell>
          <cell r="J149" t="str">
            <v>Yes</v>
          </cell>
        </row>
        <row r="150">
          <cell r="B150">
            <v>842191</v>
          </cell>
          <cell r="C150" t="str">
            <v>Centrifuges; parts thereof, including parts for centrifugal dryers</v>
          </cell>
          <cell r="D150" t="str">
            <v>Parts &amp; Accessories</v>
          </cell>
          <cell r="E150" t="str">
            <v>NO</v>
          </cell>
          <cell r="F150" t="str">
            <v>YES</v>
          </cell>
          <cell r="G150" t="str">
            <v>YES</v>
          </cell>
          <cell r="H150" t="str">
            <v>NO</v>
          </cell>
          <cell r="I150" t="str">
            <v>NO</v>
          </cell>
          <cell r="J150" t="str">
            <v>Yes</v>
          </cell>
        </row>
        <row r="151">
          <cell r="B151">
            <v>842199</v>
          </cell>
          <cell r="C151" t="str">
            <v>Machinery; parts for filtering or purifying liquids or gases</v>
          </cell>
          <cell r="D151" t="str">
            <v>Parts &amp; Accessories</v>
          </cell>
          <cell r="E151" t="str">
            <v>NO</v>
          </cell>
          <cell r="F151" t="str">
            <v>YES</v>
          </cell>
          <cell r="G151" t="str">
            <v>YES</v>
          </cell>
          <cell r="H151" t="str">
            <v>YES</v>
          </cell>
          <cell r="I151" t="str">
            <v>YES</v>
          </cell>
          <cell r="J151" t="str">
            <v>Yes</v>
          </cell>
        </row>
        <row r="152">
          <cell r="B152">
            <v>842430</v>
          </cell>
          <cell r="C152" t="str">
            <v>Mechanical appliances; steam or sand blasting machines and similar jet projecting machines</v>
          </cell>
          <cell r="D152" t="str">
            <v>Capital Goods</v>
          </cell>
          <cell r="E152" t="str">
            <v>NO</v>
          </cell>
          <cell r="F152" t="str">
            <v>YES</v>
          </cell>
          <cell r="G152" t="str">
            <v>NO</v>
          </cell>
          <cell r="H152" t="str">
            <v>NO</v>
          </cell>
          <cell r="I152" t="str">
            <v>YES</v>
          </cell>
          <cell r="J152" t="str">
            <v>Yes</v>
          </cell>
        </row>
        <row r="153">
          <cell r="B153">
            <v>842489</v>
          </cell>
          <cell r="C153" t="str">
            <v>Mechanical appliances; for projecting, dispersing or spraying liquids or powders, for other than agricultural or horticultural use, whether or not hand-operated</v>
          </cell>
          <cell r="D153" t="str">
            <v>Capital Goods</v>
          </cell>
          <cell r="E153" t="str">
            <v>NO</v>
          </cell>
          <cell r="F153" t="str">
            <v>YES</v>
          </cell>
          <cell r="G153" t="str">
            <v>YES</v>
          </cell>
          <cell r="H153" t="str">
            <v>YES</v>
          </cell>
          <cell r="I153" t="str">
            <v>YES</v>
          </cell>
          <cell r="J153" t="str">
            <v>Yes</v>
          </cell>
        </row>
        <row r="154">
          <cell r="B154">
            <v>842490</v>
          </cell>
          <cell r="C154" t="str">
            <v>Mechanical appliances; parts of machines projecting, dispersing or spraying liquids or powders, whether or not hand-operated</v>
          </cell>
          <cell r="D154" t="str">
            <v>Parts &amp; Accessories</v>
          </cell>
          <cell r="E154" t="str">
            <v>NO</v>
          </cell>
          <cell r="F154" t="str">
            <v>YES</v>
          </cell>
          <cell r="G154" t="str">
            <v>YES</v>
          </cell>
          <cell r="H154" t="str">
            <v>NO</v>
          </cell>
          <cell r="I154" t="str">
            <v>YES</v>
          </cell>
          <cell r="J154" t="str">
            <v>Yes</v>
          </cell>
        </row>
        <row r="155">
          <cell r="B155">
            <v>845611</v>
          </cell>
          <cell r="C155" t="str">
            <v>Machine-tools; for working any material by removal of material; operated by laser</v>
          </cell>
          <cell r="D155" t="str">
            <v>Capital Goods</v>
          </cell>
          <cell r="E155" t="str">
            <v>NO</v>
          </cell>
          <cell r="F155" t="str">
            <v>YES</v>
          </cell>
          <cell r="G155" t="str">
            <v>YES</v>
          </cell>
          <cell r="H155" t="str">
            <v>YES</v>
          </cell>
          <cell r="I155" t="str">
            <v>YES</v>
          </cell>
          <cell r="J155" t="str">
            <v>Yes</v>
          </cell>
        </row>
        <row r="156">
          <cell r="B156">
            <v>845710</v>
          </cell>
          <cell r="C156" t="str">
            <v>Machining centres; for working metal</v>
          </cell>
          <cell r="D156" t="str">
            <v>Capital Goods</v>
          </cell>
          <cell r="E156" t="str">
            <v>NO</v>
          </cell>
          <cell r="F156" t="str">
            <v>YES</v>
          </cell>
          <cell r="G156" t="str">
            <v>NO</v>
          </cell>
          <cell r="H156" t="str">
            <v>NO</v>
          </cell>
          <cell r="I156" t="str">
            <v>NO</v>
          </cell>
          <cell r="J156" t="str">
            <v>Yes</v>
          </cell>
        </row>
        <row r="157">
          <cell r="B157">
            <v>846090</v>
          </cell>
          <cell r="C157" t="str">
            <v>Machine-tools; for deburring, grinding, polishing or otherwise finishing metal, sintered metal carbides or cermets by means of grinding stones, abrasives or polishing products, n.e.c. in heading no. 8460</v>
          </cell>
          <cell r="D157" t="str">
            <v>Capital Goods</v>
          </cell>
          <cell r="E157" t="str">
            <v>NO</v>
          </cell>
          <cell r="F157" t="str">
            <v>YES</v>
          </cell>
          <cell r="G157" t="str">
            <v>YES</v>
          </cell>
          <cell r="H157" t="str">
            <v>YES</v>
          </cell>
          <cell r="I157" t="str">
            <v>YES</v>
          </cell>
          <cell r="J157" t="str">
            <v>Yes</v>
          </cell>
        </row>
        <row r="158">
          <cell r="B158">
            <v>846150</v>
          </cell>
          <cell r="C158" t="str">
            <v>Machine-tools; sawing or cutting-off machines, working by removing metal, sintered metal carbides or cermets</v>
          </cell>
          <cell r="D158" t="str">
            <v>Capital Goods</v>
          </cell>
          <cell r="E158" t="str">
            <v>NO</v>
          </cell>
          <cell r="F158" t="str">
            <v>YES</v>
          </cell>
          <cell r="G158" t="str">
            <v>NO</v>
          </cell>
          <cell r="H158" t="str">
            <v>NO</v>
          </cell>
          <cell r="I158" t="str">
            <v>YES</v>
          </cell>
          <cell r="J158" t="str">
            <v>Yes</v>
          </cell>
        </row>
        <row r="159">
          <cell r="B159">
            <v>846390</v>
          </cell>
          <cell r="C159" t="str">
            <v>Machine-tools; for working metal, sintered metal carbides or cermets, without removing material, n.e.c. in heading no. 8463</v>
          </cell>
          <cell r="D159" t="str">
            <v>Capital Goods</v>
          </cell>
          <cell r="E159" t="str">
            <v>NO</v>
          </cell>
          <cell r="F159" t="str">
            <v>YES</v>
          </cell>
          <cell r="G159" t="str">
            <v>YES</v>
          </cell>
          <cell r="H159" t="str">
            <v>NO</v>
          </cell>
          <cell r="I159" t="str">
            <v>YES</v>
          </cell>
          <cell r="J159" t="str">
            <v>Yes</v>
          </cell>
        </row>
        <row r="160">
          <cell r="B160">
            <v>846610</v>
          </cell>
          <cell r="C160" t="str">
            <v>Parts &amp; accessories suited for use solely/principally with machines of headings 8456-8465; tool holders and self-opening dieheads</v>
          </cell>
          <cell r="D160" t="str">
            <v>Parts &amp; Accessories</v>
          </cell>
          <cell r="E160" t="str">
            <v>NO</v>
          </cell>
          <cell r="F160" t="str">
            <v>YES</v>
          </cell>
          <cell r="G160" t="str">
            <v>YES</v>
          </cell>
          <cell r="H160" t="str">
            <v>NO</v>
          </cell>
          <cell r="I160" t="str">
            <v>YES</v>
          </cell>
          <cell r="J160" t="str">
            <v>Yes</v>
          </cell>
        </row>
        <row r="161">
          <cell r="B161">
            <v>846620</v>
          </cell>
          <cell r="C161" t="str">
            <v>Parts &amp; accessories suited for use solely/principally with machines of headings 8456-8465; work holders</v>
          </cell>
          <cell r="D161" t="str">
            <v>Parts &amp; Accessories</v>
          </cell>
          <cell r="E161" t="str">
            <v>NO</v>
          </cell>
          <cell r="F161" t="str">
            <v>YES</v>
          </cell>
          <cell r="G161" t="str">
            <v>YES</v>
          </cell>
          <cell r="H161" t="str">
            <v>NO</v>
          </cell>
          <cell r="I161" t="str">
            <v>YES</v>
          </cell>
          <cell r="J161" t="str">
            <v>Yes</v>
          </cell>
        </row>
        <row r="162">
          <cell r="B162">
            <v>846630</v>
          </cell>
          <cell r="C162" t="str">
            <v>Parts &amp; accessories suited for use solely/principally with machines of headings 8456-8465; dividing heads and other special attachments for machines</v>
          </cell>
          <cell r="D162" t="str">
            <v>Parts &amp; Accessories</v>
          </cell>
          <cell r="E162" t="str">
            <v>NO</v>
          </cell>
          <cell r="F162" t="str">
            <v>YES</v>
          </cell>
          <cell r="G162" t="str">
            <v>YES</v>
          </cell>
          <cell r="H162" t="str">
            <v>YES</v>
          </cell>
          <cell r="I162" t="str">
            <v>YES</v>
          </cell>
          <cell r="J162" t="str">
            <v>Yes</v>
          </cell>
        </row>
        <row r="163">
          <cell r="B163">
            <v>846693</v>
          </cell>
          <cell r="C163" t="str">
            <v>Parts &amp; accessories suited for use solely/principally with machines of headings 8456-8465; n.e.c. in heading no. 8466</v>
          </cell>
          <cell r="D163" t="str">
            <v>Parts &amp; Accessories</v>
          </cell>
          <cell r="E163" t="str">
            <v>NO</v>
          </cell>
          <cell r="F163" t="str">
            <v>YES</v>
          </cell>
          <cell r="G163" t="str">
            <v>YES</v>
          </cell>
          <cell r="H163" t="str">
            <v>YES</v>
          </cell>
          <cell r="I163" t="str">
            <v>YES</v>
          </cell>
          <cell r="J163" t="str">
            <v>Yes</v>
          </cell>
        </row>
        <row r="164">
          <cell r="B164">
            <v>846719</v>
          </cell>
          <cell r="C164" t="str">
            <v>Tools; for working in the hand, pneumatic, other than rotary type</v>
          </cell>
          <cell r="D164" t="str">
            <v>Capital Goods</v>
          </cell>
          <cell r="E164" t="str">
            <v>NO</v>
          </cell>
          <cell r="F164" t="str">
            <v>YES</v>
          </cell>
          <cell r="G164" t="str">
            <v>YES</v>
          </cell>
          <cell r="H164" t="str">
            <v>NO</v>
          </cell>
          <cell r="I164" t="str">
            <v>YES</v>
          </cell>
          <cell r="J164" t="str">
            <v>Yes</v>
          </cell>
        </row>
        <row r="165">
          <cell r="B165">
            <v>846792</v>
          </cell>
          <cell r="C165" t="str">
            <v>Tools; for working in the hand, parts of pneumatic tools</v>
          </cell>
          <cell r="D165" t="str">
            <v>Capital Goods</v>
          </cell>
          <cell r="E165" t="str">
            <v>NO</v>
          </cell>
          <cell r="F165" t="str">
            <v>YES</v>
          </cell>
          <cell r="G165" t="str">
            <v>NO</v>
          </cell>
          <cell r="H165" t="str">
            <v>NO</v>
          </cell>
          <cell r="I165" t="str">
            <v>YES</v>
          </cell>
          <cell r="J165" t="str">
            <v>Yes</v>
          </cell>
        </row>
        <row r="166">
          <cell r="B166">
            <v>846799</v>
          </cell>
          <cell r="C166" t="str">
            <v>Tools; for working in the hand, parts thereof for other than chain saws and pneumatic tools</v>
          </cell>
          <cell r="D166" t="str">
            <v>Parts &amp; Accessories</v>
          </cell>
          <cell r="E166" t="str">
            <v>NO</v>
          </cell>
          <cell r="F166" t="str">
            <v>YES</v>
          </cell>
          <cell r="G166" t="str">
            <v>YES</v>
          </cell>
          <cell r="H166" t="str">
            <v>YES</v>
          </cell>
          <cell r="I166" t="str">
            <v>YES</v>
          </cell>
          <cell r="J166" t="str">
            <v>Yes</v>
          </cell>
        </row>
        <row r="167">
          <cell r="B167">
            <v>847141</v>
          </cell>
          <cell r="C167" t="str">
            <v>Automatic data processing machines; comprising in the same housing at least a central processing unit and an input and output unit, whether or not combined, n.e.c. in item no. 8471.30</v>
          </cell>
          <cell r="D167" t="str">
            <v>Durable</v>
          </cell>
          <cell r="E167" t="str">
            <v>NO</v>
          </cell>
          <cell r="F167" t="str">
            <v>YES</v>
          </cell>
          <cell r="G167" t="str">
            <v>YES</v>
          </cell>
          <cell r="H167" t="str">
            <v>YES</v>
          </cell>
          <cell r="I167" t="str">
            <v>YES</v>
          </cell>
          <cell r="J167" t="str">
            <v>Yes</v>
          </cell>
        </row>
        <row r="168">
          <cell r="B168">
            <v>847150</v>
          </cell>
          <cell r="C168" t="str">
            <v>Units of automatic data processing machines; processing units other than those of item no. 8471.41 or 8471.49, whether or not containing in the same housing one or two of the following types of unit: storage units, input units or output units</v>
          </cell>
          <cell r="D168" t="str">
            <v>Parts &amp; Accessories - rc</v>
          </cell>
          <cell r="E168" t="str">
            <v>NO</v>
          </cell>
          <cell r="F168" t="str">
            <v>YES</v>
          </cell>
          <cell r="G168" t="str">
            <v>YES</v>
          </cell>
          <cell r="H168" t="str">
            <v>YES</v>
          </cell>
          <cell r="I168" t="str">
            <v>YES</v>
          </cell>
          <cell r="J168" t="str">
            <v>Yes</v>
          </cell>
        </row>
        <row r="169">
          <cell r="B169">
            <v>847180</v>
          </cell>
          <cell r="C169" t="str">
            <v>Units of automatic data processing machines; n.e.c. in item no. 8471.50, 8471.60 or 8471.70</v>
          </cell>
          <cell r="D169" t="str">
            <v>Capital Goods - rc</v>
          </cell>
          <cell r="E169" t="str">
            <v>NO</v>
          </cell>
          <cell r="F169" t="str">
            <v>YES</v>
          </cell>
          <cell r="G169" t="str">
            <v>YES</v>
          </cell>
          <cell r="H169" t="str">
            <v>YES</v>
          </cell>
          <cell r="I169" t="str">
            <v>YES</v>
          </cell>
          <cell r="J169" t="str">
            <v>Yes</v>
          </cell>
        </row>
        <row r="170">
          <cell r="B170">
            <v>847190</v>
          </cell>
          <cell r="C170" t="str">
            <v>Magnetic or optical readers, machines for transcribing data onto data media in coded form and machines for processing such data, not elsewhere specified or included</v>
          </cell>
          <cell r="D170" t="str">
            <v>Durable</v>
          </cell>
          <cell r="E170" t="str">
            <v>NO</v>
          </cell>
          <cell r="F170" t="str">
            <v>YES</v>
          </cell>
          <cell r="G170" t="str">
            <v>YES</v>
          </cell>
          <cell r="H170" t="str">
            <v>YES</v>
          </cell>
          <cell r="I170" t="str">
            <v>YES</v>
          </cell>
          <cell r="J170" t="str">
            <v>Yes</v>
          </cell>
        </row>
        <row r="171">
          <cell r="B171">
            <v>847330</v>
          </cell>
          <cell r="C171" t="str">
            <v>Machinery; parts and accessories (other than covers, carrying cases and the like) of the machines of heading no. 8471</v>
          </cell>
          <cell r="D171" t="str">
            <v>Parts &amp; Accessories - rc</v>
          </cell>
          <cell r="E171" t="str">
            <v>NO</v>
          </cell>
          <cell r="F171" t="str">
            <v>YES</v>
          </cell>
          <cell r="G171" t="str">
            <v>YES</v>
          </cell>
          <cell r="H171" t="str">
            <v>YES</v>
          </cell>
          <cell r="I171" t="str">
            <v>YES</v>
          </cell>
          <cell r="J171" t="str">
            <v>Yes</v>
          </cell>
        </row>
        <row r="172">
          <cell r="B172">
            <v>847710</v>
          </cell>
          <cell r="C172" t="str">
            <v>Machinery; injection-moulding machines, for working rubber or plastics or for the manufacture of products from these materials</v>
          </cell>
          <cell r="D172" t="str">
            <v>Capital Goods</v>
          </cell>
          <cell r="E172" t="str">
            <v>NO</v>
          </cell>
          <cell r="F172" t="str">
            <v>YES</v>
          </cell>
          <cell r="G172" t="str">
            <v>NO</v>
          </cell>
          <cell r="H172" t="str">
            <v>NO</v>
          </cell>
          <cell r="I172" t="str">
            <v>NO</v>
          </cell>
          <cell r="J172" t="str">
            <v>Yes</v>
          </cell>
        </row>
        <row r="173">
          <cell r="B173">
            <v>847790</v>
          </cell>
          <cell r="C173" t="str">
            <v>Machinery; parts of the machines of heading no. 8477, n.e.c. in item no. 8477.90</v>
          </cell>
          <cell r="D173" t="str">
            <v>Parts &amp; Accessories</v>
          </cell>
          <cell r="E173" t="str">
            <v>NO</v>
          </cell>
          <cell r="F173" t="str">
            <v>YES</v>
          </cell>
          <cell r="G173" t="str">
            <v>YES</v>
          </cell>
          <cell r="H173" t="str">
            <v>NO</v>
          </cell>
          <cell r="I173" t="str">
            <v>YES</v>
          </cell>
          <cell r="J173" t="str">
            <v>Yes</v>
          </cell>
        </row>
        <row r="174">
          <cell r="B174">
            <v>847910</v>
          </cell>
          <cell r="C174" t="str">
            <v>Machinery and mechanical appliances; for public works, building or the like</v>
          </cell>
          <cell r="D174" t="str">
            <v>Capital Goods</v>
          </cell>
          <cell r="E174" t="str">
            <v>NO</v>
          </cell>
          <cell r="F174" t="str">
            <v>YES</v>
          </cell>
          <cell r="G174" t="str">
            <v>NO</v>
          </cell>
          <cell r="H174" t="str">
            <v>NO</v>
          </cell>
          <cell r="I174" t="str">
            <v>NO</v>
          </cell>
          <cell r="J174" t="str">
            <v>Yes</v>
          </cell>
        </row>
        <row r="175">
          <cell r="B175">
            <v>847950</v>
          </cell>
          <cell r="C175" t="str">
            <v>Machinery and mechanical appliances; industrial robots, n.e.c. or included</v>
          </cell>
          <cell r="D175" t="str">
            <v>Capital Goods</v>
          </cell>
          <cell r="E175" t="str">
            <v>NO</v>
          </cell>
          <cell r="F175" t="str">
            <v>YES</v>
          </cell>
          <cell r="G175" t="str">
            <v>YES</v>
          </cell>
          <cell r="H175" t="str">
            <v>NO</v>
          </cell>
          <cell r="I175" t="str">
            <v>YES</v>
          </cell>
          <cell r="J175" t="str">
            <v>Yes</v>
          </cell>
        </row>
        <row r="176">
          <cell r="B176">
            <v>847981</v>
          </cell>
          <cell r="C176" t="str">
            <v>Machines and mechanical appliances; for treating metal, including electric wire coil-winders</v>
          </cell>
          <cell r="D176" t="str">
            <v>Capital Goods</v>
          </cell>
          <cell r="E176" t="str">
            <v>NO</v>
          </cell>
          <cell r="F176" t="str">
            <v>YES</v>
          </cell>
          <cell r="G176" t="str">
            <v>NO</v>
          </cell>
          <cell r="H176" t="str">
            <v>NO</v>
          </cell>
          <cell r="I176" t="str">
            <v>YES</v>
          </cell>
          <cell r="J176" t="str">
            <v>Yes</v>
          </cell>
        </row>
        <row r="177">
          <cell r="B177">
            <v>847989</v>
          </cell>
          <cell r="C177" t="str">
            <v>Machines and mechanical appliances; having individual functions, n.e.c. or included in this chapter</v>
          </cell>
          <cell r="D177" t="str">
            <v>Capital Goods</v>
          </cell>
          <cell r="E177" t="str">
            <v>NO</v>
          </cell>
          <cell r="F177" t="str">
            <v>YES</v>
          </cell>
          <cell r="G177" t="str">
            <v>YES</v>
          </cell>
          <cell r="H177" t="str">
            <v>YES</v>
          </cell>
          <cell r="I177" t="str">
            <v>YES</v>
          </cell>
          <cell r="J177" t="str">
            <v>Yes</v>
          </cell>
        </row>
        <row r="178">
          <cell r="B178">
            <v>848079</v>
          </cell>
          <cell r="C178" t="str">
            <v>Moulds; for rubber or plastics, other than injection or compression types</v>
          </cell>
          <cell r="D178" t="str">
            <v>Parts &amp; Accessories</v>
          </cell>
          <cell r="E178" t="str">
            <v>NO</v>
          </cell>
          <cell r="F178" t="str">
            <v>YES</v>
          </cell>
          <cell r="G178" t="str">
            <v>YES</v>
          </cell>
          <cell r="H178" t="str">
            <v>NO</v>
          </cell>
          <cell r="I178" t="str">
            <v>YES</v>
          </cell>
          <cell r="J178" t="str">
            <v>Yes</v>
          </cell>
        </row>
        <row r="179">
          <cell r="B179">
            <v>848110</v>
          </cell>
          <cell r="C179" t="str">
            <v>Valves; pressure reducing, for pipes, boiler shells, tanks, vats or the like</v>
          </cell>
          <cell r="D179" t="str">
            <v>Parts &amp; Accessories - rc</v>
          </cell>
          <cell r="E179" t="str">
            <v>NO</v>
          </cell>
          <cell r="F179" t="str">
            <v>YES</v>
          </cell>
          <cell r="G179" t="str">
            <v>YES</v>
          </cell>
          <cell r="H179" t="str">
            <v>YES</v>
          </cell>
          <cell r="I179" t="str">
            <v>YES</v>
          </cell>
          <cell r="J179" t="str">
            <v>Yes</v>
          </cell>
        </row>
        <row r="180">
          <cell r="B180">
            <v>848120</v>
          </cell>
          <cell r="C180" t="str">
            <v>Valves; for oleohydraulic or pneumatic transmissions</v>
          </cell>
          <cell r="D180" t="str">
            <v>Parts &amp; Accessories</v>
          </cell>
          <cell r="E180" t="str">
            <v>NO</v>
          </cell>
          <cell r="F180" t="str">
            <v>YES</v>
          </cell>
          <cell r="G180" t="str">
            <v>YES</v>
          </cell>
          <cell r="H180" t="str">
            <v>NO</v>
          </cell>
          <cell r="I180" t="str">
            <v>YES</v>
          </cell>
          <cell r="J180" t="str">
            <v>Yes</v>
          </cell>
        </row>
        <row r="181">
          <cell r="B181">
            <v>848210</v>
          </cell>
          <cell r="C181" t="str">
            <v>Ball bearings</v>
          </cell>
          <cell r="D181" t="str">
            <v>Parts &amp; Accessories</v>
          </cell>
          <cell r="E181" t="str">
            <v>NO</v>
          </cell>
          <cell r="F181" t="str">
            <v>YES</v>
          </cell>
          <cell r="G181" t="str">
            <v>YES</v>
          </cell>
          <cell r="H181" t="str">
            <v>YES</v>
          </cell>
          <cell r="I181" t="str">
            <v>YES</v>
          </cell>
          <cell r="J181" t="str">
            <v>Yes</v>
          </cell>
        </row>
        <row r="182">
          <cell r="B182">
            <v>848280</v>
          </cell>
          <cell r="C182" t="str">
            <v>Bearings; n.e.c. in heading no. 8482, including combined ball/roller</v>
          </cell>
          <cell r="D182" t="str">
            <v>Parts &amp; Accessories</v>
          </cell>
          <cell r="E182" t="str">
            <v>NO</v>
          </cell>
          <cell r="F182" t="str">
            <v>YES</v>
          </cell>
          <cell r="G182" t="str">
            <v>YES</v>
          </cell>
          <cell r="H182" t="str">
            <v>NO</v>
          </cell>
          <cell r="I182" t="str">
            <v>YES</v>
          </cell>
          <cell r="J182" t="str">
            <v>Yes</v>
          </cell>
        </row>
        <row r="183">
          <cell r="B183">
            <v>848310</v>
          </cell>
          <cell r="C183" t="str">
            <v>Transmission shafts (including cam shafts and crank shafts) and cranks</v>
          </cell>
          <cell r="D183" t="str">
            <v>Parts &amp; Accessories - rc</v>
          </cell>
          <cell r="E183" t="str">
            <v>NO</v>
          </cell>
          <cell r="F183" t="str">
            <v>YES</v>
          </cell>
          <cell r="G183" t="str">
            <v>YES</v>
          </cell>
          <cell r="H183" t="str">
            <v>YES</v>
          </cell>
          <cell r="I183" t="str">
            <v>YES</v>
          </cell>
          <cell r="J183" t="str">
            <v>Yes</v>
          </cell>
        </row>
        <row r="184">
          <cell r="B184">
            <v>848330</v>
          </cell>
          <cell r="C184" t="str">
            <v>Bearing housings, not incorporating ball or roller bearings and plain shaft bearings</v>
          </cell>
          <cell r="D184" t="str">
            <v>Parts &amp; Accessories</v>
          </cell>
          <cell r="E184" t="str">
            <v>NO</v>
          </cell>
          <cell r="F184" t="str">
            <v>YES</v>
          </cell>
          <cell r="G184" t="str">
            <v>YES</v>
          </cell>
          <cell r="H184" t="str">
            <v>YES</v>
          </cell>
          <cell r="I184" t="str">
            <v>YES</v>
          </cell>
          <cell r="J184" t="str">
            <v>Yes</v>
          </cell>
        </row>
        <row r="185">
          <cell r="B185">
            <v>848340</v>
          </cell>
          <cell r="C185" t="str">
            <v>Gears and gearing; (not toothed wheels, chain sprockets and other transmission elements presented separately); ball or roller screws; gear boxes and other speed changers, including torque converters</v>
          </cell>
          <cell r="D185" t="str">
            <v>Parts &amp; Accessories</v>
          </cell>
          <cell r="E185" t="str">
            <v>NO</v>
          </cell>
          <cell r="F185" t="str">
            <v>YES</v>
          </cell>
          <cell r="G185" t="str">
            <v>YES</v>
          </cell>
          <cell r="H185" t="str">
            <v>YES</v>
          </cell>
          <cell r="I185" t="str">
            <v>YES</v>
          </cell>
          <cell r="J185" t="str">
            <v>Yes</v>
          </cell>
        </row>
        <row r="186">
          <cell r="B186">
            <v>848360</v>
          </cell>
          <cell r="C186" t="str">
            <v>Clutches and shaft couplings (including universal joints)</v>
          </cell>
          <cell r="D186" t="str">
            <v>Parts &amp; Accessories - rc</v>
          </cell>
          <cell r="E186" t="str">
            <v>NO</v>
          </cell>
          <cell r="F186" t="str">
            <v>YES</v>
          </cell>
          <cell r="G186" t="str">
            <v>YES</v>
          </cell>
          <cell r="H186" t="str">
            <v>YES</v>
          </cell>
          <cell r="I186" t="str">
            <v>YES</v>
          </cell>
          <cell r="J186" t="str">
            <v>Yes</v>
          </cell>
        </row>
        <row r="187">
          <cell r="B187">
            <v>848390</v>
          </cell>
          <cell r="C187" t="str">
            <v>Transmission components; toothed wheels, chain sprockets and other transmission elements presented separately; parts</v>
          </cell>
          <cell r="D187" t="str">
            <v>Parts &amp; Accessories</v>
          </cell>
          <cell r="E187" t="str">
            <v>NO</v>
          </cell>
          <cell r="F187" t="str">
            <v>YES</v>
          </cell>
          <cell r="G187" t="str">
            <v>YES</v>
          </cell>
          <cell r="H187" t="str">
            <v>NO</v>
          </cell>
          <cell r="I187" t="str">
            <v>YES</v>
          </cell>
          <cell r="J187" t="str">
            <v>Yes</v>
          </cell>
        </row>
        <row r="188">
          <cell r="B188">
            <v>850110</v>
          </cell>
          <cell r="C188" t="str">
            <v>Electric motors; of an output not exceeding 37.5W</v>
          </cell>
          <cell r="D188" t="str">
            <v>Parts &amp; Accessories - rc</v>
          </cell>
          <cell r="E188" t="str">
            <v>NO</v>
          </cell>
          <cell r="F188" t="str">
            <v>YES</v>
          </cell>
          <cell r="G188" t="str">
            <v>YES</v>
          </cell>
          <cell r="H188" t="str">
            <v>YES</v>
          </cell>
          <cell r="I188" t="str">
            <v>YES</v>
          </cell>
          <cell r="J188" t="str">
            <v>Yes</v>
          </cell>
        </row>
        <row r="189">
          <cell r="B189">
            <v>850120</v>
          </cell>
          <cell r="C189" t="str">
            <v>Electric motors; universal AC/DC of an output exceeding 37.5W</v>
          </cell>
          <cell r="D189" t="str">
            <v>Capital Goods</v>
          </cell>
          <cell r="E189" t="str">
            <v>NO</v>
          </cell>
          <cell r="F189" t="str">
            <v>YES</v>
          </cell>
          <cell r="G189" t="str">
            <v>YES</v>
          </cell>
          <cell r="H189" t="str">
            <v>NO</v>
          </cell>
          <cell r="I189" t="str">
            <v>YES</v>
          </cell>
          <cell r="J189" t="str">
            <v>Yes</v>
          </cell>
        </row>
        <row r="190">
          <cell r="B190">
            <v>850131</v>
          </cell>
          <cell r="C190" t="str">
            <v>Electric motors and generators; DC, of an output not exceeding 750W</v>
          </cell>
          <cell r="D190" t="str">
            <v>Parts &amp; Accessories</v>
          </cell>
          <cell r="E190" t="str">
            <v>NO</v>
          </cell>
          <cell r="F190" t="str">
            <v>YES</v>
          </cell>
          <cell r="G190" t="str">
            <v>YES</v>
          </cell>
          <cell r="H190" t="str">
            <v>YES</v>
          </cell>
          <cell r="I190" t="str">
            <v>YES</v>
          </cell>
          <cell r="J190" t="str">
            <v>Yes</v>
          </cell>
        </row>
        <row r="191">
          <cell r="B191">
            <v>850140</v>
          </cell>
          <cell r="C191" t="str">
            <v>Electric motors; AC motors, single-phase</v>
          </cell>
          <cell r="D191" t="str">
            <v>Capital Goods</v>
          </cell>
          <cell r="E191" t="str">
            <v>NO</v>
          </cell>
          <cell r="F191" t="str">
            <v>YES</v>
          </cell>
          <cell r="G191" t="str">
            <v>YES</v>
          </cell>
          <cell r="H191" t="str">
            <v>NO</v>
          </cell>
          <cell r="I191" t="str">
            <v>YES</v>
          </cell>
          <cell r="J191" t="str">
            <v>Yes</v>
          </cell>
        </row>
        <row r="192">
          <cell r="B192">
            <v>850151</v>
          </cell>
          <cell r="C192" t="str">
            <v>Electric motors; AC motors, multi-phase, of an output not exceeding 750W</v>
          </cell>
          <cell r="D192" t="str">
            <v>Capital Goods</v>
          </cell>
          <cell r="E192" t="str">
            <v>NO</v>
          </cell>
          <cell r="F192" t="str">
            <v>YES</v>
          </cell>
          <cell r="G192" t="str">
            <v>YES</v>
          </cell>
          <cell r="H192" t="str">
            <v>NO</v>
          </cell>
          <cell r="I192" t="str">
            <v>YES</v>
          </cell>
          <cell r="J192" t="str">
            <v>Yes</v>
          </cell>
        </row>
        <row r="193">
          <cell r="B193">
            <v>850152</v>
          </cell>
          <cell r="C193" t="str">
            <v>Electric motors; AC motors, multi-phase, of an output exceeding 750W but not exceeding 75kW</v>
          </cell>
          <cell r="D193" t="str">
            <v>Capital Goods</v>
          </cell>
          <cell r="E193" t="str">
            <v>NO</v>
          </cell>
          <cell r="F193" t="str">
            <v>YES</v>
          </cell>
          <cell r="G193" t="str">
            <v>YES</v>
          </cell>
          <cell r="H193" t="str">
            <v>YES</v>
          </cell>
          <cell r="I193" t="str">
            <v>YES</v>
          </cell>
          <cell r="J193" t="str">
            <v>Yes</v>
          </cell>
        </row>
        <row r="194">
          <cell r="B194">
            <v>850300</v>
          </cell>
          <cell r="C194" t="str">
            <v>Electric motors and generators; parts suitable for use solely or principally with the machines of heading no. 8501 or 8502</v>
          </cell>
          <cell r="D194" t="str">
            <v>Parts &amp; Accessories</v>
          </cell>
          <cell r="E194" t="str">
            <v>NO</v>
          </cell>
          <cell r="F194" t="str">
            <v>YES</v>
          </cell>
          <cell r="G194" t="str">
            <v>YES</v>
          </cell>
          <cell r="H194" t="str">
            <v>NO</v>
          </cell>
          <cell r="I194" t="str">
            <v>YES</v>
          </cell>
          <cell r="J194" t="str">
            <v>Yes</v>
          </cell>
        </row>
        <row r="195">
          <cell r="B195">
            <v>850440</v>
          </cell>
          <cell r="C195" t="str">
            <v>Electrical static converters</v>
          </cell>
          <cell r="D195" t="str">
            <v>Capital Goods</v>
          </cell>
          <cell r="E195" t="str">
            <v>NO</v>
          </cell>
          <cell r="F195" t="str">
            <v>YES</v>
          </cell>
          <cell r="G195" t="str">
            <v>YES</v>
          </cell>
          <cell r="H195" t="str">
            <v>YES</v>
          </cell>
          <cell r="I195" t="str">
            <v>YES</v>
          </cell>
          <cell r="J195" t="str">
            <v>Yes</v>
          </cell>
        </row>
        <row r="196">
          <cell r="B196">
            <v>850490</v>
          </cell>
          <cell r="C196" t="str">
            <v>Electrical transformers, static converters and inductors; parts thereof</v>
          </cell>
          <cell r="D196" t="str">
            <v>Parts &amp; Accessories</v>
          </cell>
          <cell r="E196" t="str">
            <v>NO</v>
          </cell>
          <cell r="F196" t="str">
            <v>YES</v>
          </cell>
          <cell r="G196" t="str">
            <v>YES</v>
          </cell>
          <cell r="H196" t="str">
            <v>YES</v>
          </cell>
          <cell r="I196" t="str">
            <v>YES</v>
          </cell>
          <cell r="J196" t="str">
            <v>Yes</v>
          </cell>
        </row>
        <row r="197">
          <cell r="B197">
            <v>850520</v>
          </cell>
          <cell r="C197" t="str">
            <v>Magnets; electro-magnetic couplings, clutches and brakes</v>
          </cell>
          <cell r="D197" t="str">
            <v>Capital Goods</v>
          </cell>
          <cell r="E197" t="str">
            <v>NO</v>
          </cell>
          <cell r="F197" t="str">
            <v>YES</v>
          </cell>
          <cell r="G197" t="str">
            <v>YES</v>
          </cell>
          <cell r="H197" t="str">
            <v>NO</v>
          </cell>
          <cell r="I197" t="str">
            <v>YES</v>
          </cell>
          <cell r="J197" t="str">
            <v>Yes</v>
          </cell>
        </row>
        <row r="198">
          <cell r="B198">
            <v>850590</v>
          </cell>
          <cell r="C198" t="str">
            <v>Magnets; electro-magnets, holding devices and parts n.e.c. in heading no. 8505</v>
          </cell>
          <cell r="D198" t="str">
            <v>Capital Goods</v>
          </cell>
          <cell r="E198" t="str">
            <v>NO</v>
          </cell>
          <cell r="F198" t="str">
            <v>YES</v>
          </cell>
          <cell r="G198" t="str">
            <v>YES</v>
          </cell>
          <cell r="H198" t="str">
            <v>YES</v>
          </cell>
          <cell r="I198" t="str">
            <v>YES</v>
          </cell>
          <cell r="J198" t="str">
            <v>Yes</v>
          </cell>
        </row>
        <row r="199">
          <cell r="B199">
            <v>850790</v>
          </cell>
          <cell r="C199" t="str">
            <v>Electric accumulators; parts n.e.c. in heading no. 8507</v>
          </cell>
          <cell r="D199" t="str">
            <v>Parts &amp; Accessories</v>
          </cell>
          <cell r="E199" t="str">
            <v>NO</v>
          </cell>
          <cell r="F199" t="str">
            <v>YES</v>
          </cell>
          <cell r="G199" t="str">
            <v>YES</v>
          </cell>
          <cell r="H199" t="str">
            <v>NO</v>
          </cell>
          <cell r="I199" t="str">
            <v>NO</v>
          </cell>
          <cell r="J199" t="str">
            <v>Yes</v>
          </cell>
        </row>
        <row r="200">
          <cell r="B200">
            <v>851440</v>
          </cell>
          <cell r="C200" t="str">
            <v>Heating equipment; for the heat treatment of materials by induction or dielectric loss, industrial or laboratory, other than furnaces and ovens</v>
          </cell>
          <cell r="D200" t="str">
            <v>Capital Goods</v>
          </cell>
          <cell r="E200" t="str">
            <v>NO</v>
          </cell>
          <cell r="F200" t="str">
            <v>YES</v>
          </cell>
          <cell r="G200" t="str">
            <v>NO</v>
          </cell>
          <cell r="H200" t="str">
            <v>NO</v>
          </cell>
          <cell r="I200" t="str">
            <v>NO</v>
          </cell>
          <cell r="J200" t="str">
            <v>Yes</v>
          </cell>
        </row>
        <row r="201">
          <cell r="B201">
            <v>851490</v>
          </cell>
          <cell r="C201" t="str">
            <v>Furnaces, ovens and heating equipment; parts of the industrial or laboratory equipment of heading no. 8514</v>
          </cell>
          <cell r="D201" t="str">
            <v>Parts &amp; Accessories</v>
          </cell>
          <cell r="E201" t="str">
            <v>NO</v>
          </cell>
          <cell r="F201" t="str">
            <v>YES</v>
          </cell>
          <cell r="G201" t="str">
            <v>YES</v>
          </cell>
          <cell r="H201" t="str">
            <v>YES</v>
          </cell>
          <cell r="I201" t="str">
            <v>YES</v>
          </cell>
          <cell r="J201" t="str">
            <v>Yes</v>
          </cell>
        </row>
        <row r="202">
          <cell r="B202">
            <v>851629</v>
          </cell>
          <cell r="C202" t="str">
            <v>Heating apparatus; electric soil heating apparatus and space heating apparatus (excluding storage heating radiators)</v>
          </cell>
          <cell r="D202" t="str">
            <v>Durable</v>
          </cell>
          <cell r="E202" t="str">
            <v>NO</v>
          </cell>
          <cell r="F202" t="str">
            <v>YES</v>
          </cell>
          <cell r="G202" t="str">
            <v>YES</v>
          </cell>
          <cell r="H202" t="str">
            <v>NO</v>
          </cell>
          <cell r="I202" t="str">
            <v>YES</v>
          </cell>
          <cell r="J202" t="str">
            <v>Yes</v>
          </cell>
        </row>
        <row r="203">
          <cell r="B203">
            <v>851631</v>
          </cell>
          <cell r="C203" t="str">
            <v>Hair-dressing apparatus; electro-thermic hair dryers</v>
          </cell>
          <cell r="D203" t="str">
            <v>Durable</v>
          </cell>
          <cell r="E203" t="str">
            <v>NO</v>
          </cell>
          <cell r="F203" t="str">
            <v>YES</v>
          </cell>
          <cell r="G203" t="str">
            <v>NO</v>
          </cell>
          <cell r="H203" t="str">
            <v>NO</v>
          </cell>
          <cell r="I203" t="str">
            <v>NO</v>
          </cell>
          <cell r="J203" t="str">
            <v>Yes</v>
          </cell>
        </row>
        <row r="204">
          <cell r="B204">
            <v>851680</v>
          </cell>
          <cell r="C204" t="str">
            <v>Resistors; electric heating, other than those of heading no. 8545</v>
          </cell>
          <cell r="D204" t="str">
            <v>Capital Goods</v>
          </cell>
          <cell r="E204" t="str">
            <v>NO</v>
          </cell>
          <cell r="F204" t="str">
            <v>YES</v>
          </cell>
          <cell r="G204" t="str">
            <v>YES</v>
          </cell>
          <cell r="H204" t="str">
            <v>YES</v>
          </cell>
          <cell r="I204" t="str">
            <v>YES</v>
          </cell>
          <cell r="J204" t="str">
            <v>Yes</v>
          </cell>
        </row>
        <row r="205">
          <cell r="B205">
            <v>851762</v>
          </cell>
          <cell r="C205" t="str">
            <v>Communication apparatus (excluding telephone sets or base stations); machines for the reception, conversion and transmission or regeneration of voice, images or other data, including switching and routing apparatus</v>
          </cell>
          <cell r="D205" t="str">
            <v>Capital Goods - rc</v>
          </cell>
          <cell r="E205" t="str">
            <v>NO</v>
          </cell>
          <cell r="F205" t="str">
            <v>YES</v>
          </cell>
          <cell r="G205" t="str">
            <v>YES</v>
          </cell>
          <cell r="H205" t="str">
            <v>YES</v>
          </cell>
          <cell r="I205" t="str">
            <v>YES</v>
          </cell>
          <cell r="J205" t="str">
            <v>Yes</v>
          </cell>
        </row>
        <row r="206">
          <cell r="B206">
            <v>851779</v>
          </cell>
          <cell r="C206" t="str">
            <v>Communication apparatus; parts, other than aerials and aerial reflectors of all kinds</v>
          </cell>
          <cell r="D206" t="str">
            <v>Parts &amp; Accessories - rc</v>
          </cell>
          <cell r="E206" t="str">
            <v>NO</v>
          </cell>
          <cell r="F206" t="str">
            <v>YES</v>
          </cell>
          <cell r="G206" t="str">
            <v>YES</v>
          </cell>
          <cell r="H206" t="str">
            <v>YES</v>
          </cell>
          <cell r="I206" t="str">
            <v>YES</v>
          </cell>
          <cell r="J206" t="str">
            <v>Yes</v>
          </cell>
        </row>
        <row r="207">
          <cell r="B207">
            <v>852380</v>
          </cell>
          <cell r="C207" t="str">
            <v>Media n.e.c. in heading 8523, whether or not recorded, excluding products of Chapter 37</v>
          </cell>
          <cell r="D207" t="str">
            <v>Parts &amp; Accessories - rc</v>
          </cell>
          <cell r="E207" t="str">
            <v>NO</v>
          </cell>
          <cell r="F207" t="str">
            <v>YES</v>
          </cell>
          <cell r="G207" t="str">
            <v>YES</v>
          </cell>
          <cell r="H207" t="str">
            <v>YES</v>
          </cell>
          <cell r="I207" t="str">
            <v>YES</v>
          </cell>
          <cell r="J207" t="str">
            <v>Yes</v>
          </cell>
        </row>
        <row r="208">
          <cell r="B208">
            <v>852499</v>
          </cell>
          <cell r="C208" t="str">
            <v>Flat panel display modules, whether or not incorporating touch-sensitive screens; of other than liquid crystals or organic light-emitting diodes (OLED), with drivers or control circuits</v>
          </cell>
          <cell r="D208" t="str">
            <v>Parts &amp; Accessories - rc</v>
          </cell>
          <cell r="E208" t="str">
            <v>NO</v>
          </cell>
          <cell r="F208" t="str">
            <v>YES</v>
          </cell>
          <cell r="G208" t="str">
            <v>YES</v>
          </cell>
          <cell r="H208" t="str">
            <v>NO</v>
          </cell>
          <cell r="I208" t="str">
            <v>NO</v>
          </cell>
          <cell r="J208" t="str">
            <v>Yes</v>
          </cell>
        </row>
        <row r="209">
          <cell r="B209">
            <v>852589</v>
          </cell>
          <cell r="C209" t="str">
            <v>Television cameras; n.e.c. in item no 8525.8</v>
          </cell>
          <cell r="D209" t="str">
            <v>Durable</v>
          </cell>
          <cell r="E209" t="str">
            <v>NO</v>
          </cell>
          <cell r="F209" t="str">
            <v>YES</v>
          </cell>
          <cell r="G209" t="str">
            <v>YES</v>
          </cell>
          <cell r="H209" t="str">
            <v>YES</v>
          </cell>
          <cell r="I209" t="str">
            <v>YES</v>
          </cell>
          <cell r="J209" t="str">
            <v>Yes</v>
          </cell>
        </row>
        <row r="210">
          <cell r="B210">
            <v>852859</v>
          </cell>
          <cell r="C210" t="str">
            <v>Monitors other than cathode-ray tube; n.e.c. in subheading 8528.52, whether or not colour</v>
          </cell>
          <cell r="D210" t="str">
            <v>Durable</v>
          </cell>
          <cell r="E210" t="str">
            <v>NO</v>
          </cell>
          <cell r="F210" t="str">
            <v>YES</v>
          </cell>
          <cell r="G210" t="str">
            <v>YES</v>
          </cell>
          <cell r="H210" t="str">
            <v>NO</v>
          </cell>
          <cell r="I210" t="str">
            <v>YES</v>
          </cell>
          <cell r="J210" t="str">
            <v>Yes</v>
          </cell>
        </row>
        <row r="211">
          <cell r="B211">
            <v>853180</v>
          </cell>
          <cell r="C211" t="str">
            <v>Signalling apparatus; electric, sound or visual, apparatus n.e.c. in heading no. 8531, excluding those of heading no. 8512 or 8530</v>
          </cell>
          <cell r="D211" t="str">
            <v>Parts &amp; Accessories</v>
          </cell>
          <cell r="E211" t="str">
            <v>NO</v>
          </cell>
          <cell r="F211" t="str">
            <v>YES</v>
          </cell>
          <cell r="G211" t="str">
            <v>YES</v>
          </cell>
          <cell r="H211" t="str">
            <v>YES</v>
          </cell>
          <cell r="I211" t="str">
            <v>YES</v>
          </cell>
          <cell r="J211" t="str">
            <v>Yes</v>
          </cell>
        </row>
        <row r="212">
          <cell r="B212">
            <v>853620</v>
          </cell>
          <cell r="C212" t="str">
            <v>Electrical apparatus; automatic circuit breakers, for a voltage not exceeding 1000 volts</v>
          </cell>
          <cell r="D212" t="str">
            <v>Parts &amp; Accessories</v>
          </cell>
          <cell r="E212" t="str">
            <v>NO</v>
          </cell>
          <cell r="F212" t="str">
            <v>YES</v>
          </cell>
          <cell r="G212" t="str">
            <v>YES</v>
          </cell>
          <cell r="H212" t="str">
            <v>NO</v>
          </cell>
          <cell r="I212" t="str">
            <v>YES</v>
          </cell>
          <cell r="J212" t="str">
            <v>Yes</v>
          </cell>
        </row>
        <row r="213">
          <cell r="B213">
            <v>853630</v>
          </cell>
          <cell r="C213" t="str">
            <v>Electrical apparatus; for protecting electrical circuits, n.e.c. in heading no. 8536, for a voltage not exceeding 1000 volts</v>
          </cell>
          <cell r="D213" t="str">
            <v>Capital Goods</v>
          </cell>
          <cell r="E213" t="str">
            <v>NO</v>
          </cell>
          <cell r="F213" t="str">
            <v>YES</v>
          </cell>
          <cell r="G213" t="str">
            <v>YES</v>
          </cell>
          <cell r="H213" t="str">
            <v>YES</v>
          </cell>
          <cell r="I213" t="str">
            <v>YES</v>
          </cell>
          <cell r="J213" t="str">
            <v>Yes</v>
          </cell>
        </row>
        <row r="214">
          <cell r="B214">
            <v>853641</v>
          </cell>
          <cell r="C214" t="str">
            <v>Electrical apparatus; relays, (for a voltage not exceeding 60 volts)</v>
          </cell>
          <cell r="D214" t="str">
            <v>Parts &amp; Accessories</v>
          </cell>
          <cell r="E214" t="str">
            <v>NO</v>
          </cell>
          <cell r="F214" t="str">
            <v>YES</v>
          </cell>
          <cell r="G214" t="str">
            <v>YES</v>
          </cell>
          <cell r="H214" t="str">
            <v>NO</v>
          </cell>
          <cell r="I214" t="str">
            <v>YES</v>
          </cell>
          <cell r="J214" t="str">
            <v>Yes</v>
          </cell>
        </row>
        <row r="215">
          <cell r="B215">
            <v>853649</v>
          </cell>
          <cell r="C215" t="str">
            <v>Electrical apparatus; relays, for a voltage exceeding 60 volts</v>
          </cell>
          <cell r="D215" t="str">
            <v>Parts &amp; Accessories</v>
          </cell>
          <cell r="E215" t="str">
            <v>NO</v>
          </cell>
          <cell r="F215" t="str">
            <v>YES</v>
          </cell>
          <cell r="G215" t="str">
            <v>YES</v>
          </cell>
          <cell r="H215" t="str">
            <v>YES</v>
          </cell>
          <cell r="I215" t="str">
            <v>YES</v>
          </cell>
          <cell r="J215" t="str">
            <v>Yes</v>
          </cell>
        </row>
        <row r="216">
          <cell r="B216">
            <v>853650</v>
          </cell>
          <cell r="C216" t="str">
            <v>Electrical apparatus; switches n.e.c. in heading no. 8536, for a voltage not exceeding 1000 volts</v>
          </cell>
          <cell r="D216" t="str">
            <v>Parts &amp; Accessories</v>
          </cell>
          <cell r="E216" t="str">
            <v>NO</v>
          </cell>
          <cell r="F216" t="str">
            <v>YES</v>
          </cell>
          <cell r="G216" t="str">
            <v>YES</v>
          </cell>
          <cell r="H216" t="str">
            <v>YES</v>
          </cell>
          <cell r="I216" t="str">
            <v>YES</v>
          </cell>
          <cell r="J216" t="str">
            <v>Yes</v>
          </cell>
        </row>
        <row r="217">
          <cell r="B217">
            <v>853669</v>
          </cell>
          <cell r="C217" t="str">
            <v>Electrical apparatus; plugs and sockets, for a voltage not exceeding 1000 volts</v>
          </cell>
          <cell r="D217" t="str">
            <v>Parts &amp; Accessories</v>
          </cell>
          <cell r="E217" t="str">
            <v>NO</v>
          </cell>
          <cell r="F217" t="str">
            <v>YES</v>
          </cell>
          <cell r="G217" t="str">
            <v>YES</v>
          </cell>
          <cell r="H217" t="str">
            <v>YES</v>
          </cell>
          <cell r="I217" t="str">
            <v>YES</v>
          </cell>
          <cell r="J217" t="str">
            <v>Yes</v>
          </cell>
        </row>
        <row r="218">
          <cell r="B218">
            <v>853690</v>
          </cell>
          <cell r="C218" t="str">
            <v>Electrical apparatus; n.e.c. in heading no. 8536, for switching or protecting electrical circuits, for a voltage not exceeding 1000 volts</v>
          </cell>
          <cell r="D218" t="str">
            <v>Parts &amp; Accessories</v>
          </cell>
          <cell r="E218" t="str">
            <v>NO</v>
          </cell>
          <cell r="F218" t="str">
            <v>YES</v>
          </cell>
          <cell r="G218" t="str">
            <v>YES</v>
          </cell>
          <cell r="H218" t="str">
            <v>YES</v>
          </cell>
          <cell r="I218" t="str">
            <v>YES</v>
          </cell>
          <cell r="J218" t="str">
            <v>Yes</v>
          </cell>
        </row>
        <row r="219">
          <cell r="B219">
            <v>853710</v>
          </cell>
          <cell r="C219" t="str">
            <v>Boards, panels, consoles, desks and other bases; for electric control or the distribution of electricity, (other than switching apparatus of heading no. 8517), for a voltage not exceeding 1000 volts</v>
          </cell>
          <cell r="D219" t="str">
            <v>Parts &amp; Accessories</v>
          </cell>
          <cell r="E219" t="str">
            <v>NO</v>
          </cell>
          <cell r="F219" t="str">
            <v>YES</v>
          </cell>
          <cell r="G219" t="str">
            <v>YES</v>
          </cell>
          <cell r="H219" t="str">
            <v>YES</v>
          </cell>
          <cell r="I219" t="str">
            <v>YES</v>
          </cell>
          <cell r="J219" t="str">
            <v>Yes</v>
          </cell>
        </row>
        <row r="220">
          <cell r="B220">
            <v>853810</v>
          </cell>
          <cell r="C220" t="str">
            <v>Electrical apparatus; parts (e.g. boards, panels, consoles, desks, cabinets, other bases), for goods of heading no. 8537, not equipped with their apparatus</v>
          </cell>
          <cell r="D220" t="str">
            <v>Parts &amp; Accessories</v>
          </cell>
          <cell r="E220" t="str">
            <v>NO</v>
          </cell>
          <cell r="F220" t="str">
            <v>YES</v>
          </cell>
          <cell r="G220" t="str">
            <v>YES</v>
          </cell>
          <cell r="H220" t="str">
            <v>NO</v>
          </cell>
          <cell r="I220" t="str">
            <v>YES</v>
          </cell>
          <cell r="J220" t="str">
            <v>Yes</v>
          </cell>
        </row>
        <row r="221">
          <cell r="B221">
            <v>853890</v>
          </cell>
          <cell r="C221" t="str">
            <v>Electrical apparatus; parts suitable for use solely or principally with the apparatus of heading no. 8535, 8536 or 8537</v>
          </cell>
          <cell r="D221" t="str">
            <v>Parts &amp; Accessories</v>
          </cell>
          <cell r="E221" t="str">
            <v>NO</v>
          </cell>
          <cell r="F221" t="str">
            <v>YES</v>
          </cell>
          <cell r="G221" t="str">
            <v>YES</v>
          </cell>
          <cell r="H221" t="str">
            <v>YES</v>
          </cell>
          <cell r="I221" t="str">
            <v>YES</v>
          </cell>
          <cell r="J221" t="str">
            <v>Yes</v>
          </cell>
        </row>
        <row r="222">
          <cell r="B222">
            <v>853929</v>
          </cell>
          <cell r="C222" t="str">
            <v>Lamps; filament, (excluding ultra-violet or infra-red), n.e.c. in item no. 8539.2</v>
          </cell>
          <cell r="D222" t="str">
            <v>Capital Goods - rc</v>
          </cell>
          <cell r="E222" t="str">
            <v>NO</v>
          </cell>
          <cell r="F222" t="str">
            <v>YES</v>
          </cell>
          <cell r="G222" t="str">
            <v>YES</v>
          </cell>
          <cell r="H222" t="str">
            <v>YES</v>
          </cell>
          <cell r="I222" t="str">
            <v>YES</v>
          </cell>
          <cell r="J222" t="str">
            <v>Yes</v>
          </cell>
        </row>
        <row r="223">
          <cell r="B223">
            <v>853951</v>
          </cell>
          <cell r="C223" t="str">
            <v>Lamps; light-emitting diode (LED) light sources, light-emitting diode (LED) modules</v>
          </cell>
          <cell r="D223" t="str">
            <v>Capital Goods - rc</v>
          </cell>
          <cell r="E223" t="str">
            <v>NO</v>
          </cell>
          <cell r="F223" t="str">
            <v>YES</v>
          </cell>
          <cell r="G223" t="str">
            <v>YES</v>
          </cell>
          <cell r="H223" t="str">
            <v>NO</v>
          </cell>
          <cell r="I223" t="str">
            <v>YES</v>
          </cell>
          <cell r="J223" t="str">
            <v>Yes</v>
          </cell>
        </row>
        <row r="224">
          <cell r="B224">
            <v>853952</v>
          </cell>
          <cell r="C224" t="str">
            <v>Lamps; light-emitting diode (LED) light sources, light-emitting diode (LED) lamps</v>
          </cell>
          <cell r="D224" t="str">
            <v>Durable</v>
          </cell>
          <cell r="E224" t="str">
            <v>NO</v>
          </cell>
          <cell r="F224" t="str">
            <v>YES</v>
          </cell>
          <cell r="G224" t="str">
            <v>YES</v>
          </cell>
          <cell r="H224" t="str">
            <v>NO</v>
          </cell>
          <cell r="I224" t="str">
            <v>YES</v>
          </cell>
          <cell r="J224" t="str">
            <v>Yes</v>
          </cell>
        </row>
        <row r="225">
          <cell r="B225">
            <v>854330</v>
          </cell>
          <cell r="C225" t="str">
            <v>Electrical machines and apparatus; for electroplating, electrolysis or electrophoresis</v>
          </cell>
          <cell r="D225" t="str">
            <v>Capital Goods</v>
          </cell>
          <cell r="E225" t="str">
            <v>NO</v>
          </cell>
          <cell r="F225" t="str">
            <v>YES</v>
          </cell>
          <cell r="G225" t="str">
            <v>NO</v>
          </cell>
          <cell r="H225" t="str">
            <v>NO</v>
          </cell>
          <cell r="I225" t="str">
            <v>YES</v>
          </cell>
          <cell r="J225" t="str">
            <v>Yes</v>
          </cell>
        </row>
        <row r="226">
          <cell r="B226">
            <v>854370</v>
          </cell>
          <cell r="C226" t="str">
            <v>Electrical machines and apparatus; having individual functions, not specified or included elsewhere in this chapter, n.e.c. in heading no. 8543</v>
          </cell>
          <cell r="D226" t="str">
            <v>Capital Goods</v>
          </cell>
          <cell r="E226" t="str">
            <v>NO</v>
          </cell>
          <cell r="F226" t="str">
            <v>YES</v>
          </cell>
          <cell r="G226" t="str">
            <v>YES</v>
          </cell>
          <cell r="H226" t="str">
            <v>YES</v>
          </cell>
          <cell r="I226" t="str">
            <v>YES</v>
          </cell>
          <cell r="J226" t="str">
            <v>Yes</v>
          </cell>
        </row>
        <row r="227">
          <cell r="B227">
            <v>854390</v>
          </cell>
          <cell r="C227" t="str">
            <v>Electrical machines and apparatus; parts of the electrical goods of heading no. 8543</v>
          </cell>
          <cell r="D227" t="str">
            <v>Parts &amp; Accessories</v>
          </cell>
          <cell r="E227" t="str">
            <v>NO</v>
          </cell>
          <cell r="F227" t="str">
            <v>YES</v>
          </cell>
          <cell r="G227" t="str">
            <v>YES</v>
          </cell>
          <cell r="H227" t="str">
            <v>YES</v>
          </cell>
          <cell r="I227" t="str">
            <v>YES</v>
          </cell>
          <cell r="J227" t="str">
            <v>Yes</v>
          </cell>
        </row>
        <row r="228">
          <cell r="B228">
            <v>854420</v>
          </cell>
          <cell r="C228" t="str">
            <v>Insulated electric conductors; co-axial cable and other co-axial electric conductors</v>
          </cell>
          <cell r="D228" t="str">
            <v>Parts &amp; Accessories</v>
          </cell>
          <cell r="E228" t="str">
            <v>NO</v>
          </cell>
          <cell r="F228" t="str">
            <v>YES</v>
          </cell>
          <cell r="G228" t="str">
            <v>YES</v>
          </cell>
          <cell r="H228" t="str">
            <v>YES</v>
          </cell>
          <cell r="I228" t="str">
            <v>YES</v>
          </cell>
          <cell r="J228" t="str">
            <v>Yes</v>
          </cell>
        </row>
        <row r="229">
          <cell r="B229">
            <v>854442</v>
          </cell>
          <cell r="C229" t="str">
            <v>Insulated electric conductors; for a voltage not exceeding 1000 volts, fitted with connectors</v>
          </cell>
          <cell r="D229" t="str">
            <v>Parts &amp; Accessories</v>
          </cell>
          <cell r="E229" t="str">
            <v>NO</v>
          </cell>
          <cell r="F229" t="str">
            <v>YES</v>
          </cell>
          <cell r="G229" t="str">
            <v>YES</v>
          </cell>
          <cell r="H229" t="str">
            <v>YES</v>
          </cell>
          <cell r="I229" t="str">
            <v>YES</v>
          </cell>
          <cell r="J229" t="str">
            <v>Yes</v>
          </cell>
        </row>
        <row r="230">
          <cell r="B230">
            <v>854449</v>
          </cell>
          <cell r="C230" t="str">
            <v>Insulated electric conductors; for a voltage not exceeding 1000 volts, not fitted with connectors</v>
          </cell>
          <cell r="D230" t="str">
            <v>Parts &amp; Accessories</v>
          </cell>
          <cell r="E230" t="str">
            <v>NO</v>
          </cell>
          <cell r="F230" t="str">
            <v>YES</v>
          </cell>
          <cell r="G230" t="str">
            <v>YES</v>
          </cell>
          <cell r="H230" t="str">
            <v>YES</v>
          </cell>
          <cell r="I230" t="str">
            <v>YES</v>
          </cell>
          <cell r="J230" t="str">
            <v>Yes</v>
          </cell>
        </row>
        <row r="231">
          <cell r="B231">
            <v>900659</v>
          </cell>
          <cell r="C231" t="str">
            <v>Cameras, photographic (excluding cinematographic); n.e.c. in heading no 9006</v>
          </cell>
          <cell r="D231" t="str">
            <v>Capital Goods</v>
          </cell>
          <cell r="E231" t="str">
            <v>NO</v>
          </cell>
          <cell r="F231" t="str">
            <v>YES</v>
          </cell>
          <cell r="G231" t="str">
            <v>NO</v>
          </cell>
          <cell r="H231" t="str">
            <v>NO</v>
          </cell>
          <cell r="I231" t="str">
            <v>NO</v>
          </cell>
          <cell r="J231" t="str">
            <v>Yes</v>
          </cell>
        </row>
        <row r="232">
          <cell r="B232">
            <v>902620</v>
          </cell>
          <cell r="C232" t="str">
            <v>Instruments and apparatus; for measuring or checking pressure</v>
          </cell>
          <cell r="D232" t="str">
            <v>Capital Goods</v>
          </cell>
          <cell r="E232" t="str">
            <v>NO</v>
          </cell>
          <cell r="F232" t="str">
            <v>YES</v>
          </cell>
          <cell r="G232" t="str">
            <v>YES</v>
          </cell>
          <cell r="H232" t="str">
            <v>YES</v>
          </cell>
          <cell r="I232" t="str">
            <v>YES</v>
          </cell>
          <cell r="J232" t="str">
            <v>Yes</v>
          </cell>
        </row>
        <row r="233">
          <cell r="B233">
            <v>902890</v>
          </cell>
          <cell r="C233" t="str">
            <v>Meters; parts and accessories of gas, liquid, electricity supply or production meters, including calibrating meters thereof</v>
          </cell>
          <cell r="D233" t="str">
            <v>Parts &amp; Accessories</v>
          </cell>
          <cell r="E233" t="str">
            <v>NO</v>
          </cell>
          <cell r="F233" t="str">
            <v>YES</v>
          </cell>
          <cell r="G233" t="str">
            <v>NO</v>
          </cell>
          <cell r="H233" t="str">
            <v>YES</v>
          </cell>
          <cell r="I233" t="str">
            <v>YES</v>
          </cell>
          <cell r="J233" t="str">
            <v>Yes</v>
          </cell>
        </row>
        <row r="234">
          <cell r="B234">
            <v>902920</v>
          </cell>
          <cell r="C234" t="str">
            <v>Meters; speed indicators and tachometers; stroboscopes</v>
          </cell>
          <cell r="D234" t="str">
            <v>Capital Goods</v>
          </cell>
          <cell r="E234" t="str">
            <v>NO</v>
          </cell>
          <cell r="F234" t="str">
            <v>YES</v>
          </cell>
          <cell r="G234" t="str">
            <v>YES</v>
          </cell>
          <cell r="H234" t="str">
            <v>YES</v>
          </cell>
          <cell r="I234" t="str">
            <v>YES</v>
          </cell>
          <cell r="J234" t="str">
            <v>Yes</v>
          </cell>
        </row>
        <row r="235">
          <cell r="B235">
            <v>903031</v>
          </cell>
          <cell r="C235" t="str">
            <v>Multimeters; for measuring or checking voltage, current, resistance or power (other than those for measuring or checking semiconductor wafer or devices), without a recording device</v>
          </cell>
          <cell r="D235" t="str">
            <v>Capital Goods</v>
          </cell>
          <cell r="E235" t="str">
            <v>NO</v>
          </cell>
          <cell r="F235" t="str">
            <v>YES</v>
          </cell>
          <cell r="G235" t="str">
            <v>YES</v>
          </cell>
          <cell r="H235" t="str">
            <v>YES</v>
          </cell>
          <cell r="I235" t="str">
            <v>YES</v>
          </cell>
          <cell r="J235" t="str">
            <v>Yes</v>
          </cell>
        </row>
        <row r="236">
          <cell r="B236">
            <v>903120</v>
          </cell>
          <cell r="C236" t="str">
            <v>Test benches</v>
          </cell>
          <cell r="D236" t="str">
            <v>Capital Goods</v>
          </cell>
          <cell r="E236" t="str">
            <v>NO</v>
          </cell>
          <cell r="F236" t="str">
            <v>YES</v>
          </cell>
          <cell r="G236" t="str">
            <v>NO</v>
          </cell>
          <cell r="H236" t="str">
            <v>NO</v>
          </cell>
          <cell r="I236" t="str">
            <v>YES</v>
          </cell>
          <cell r="J236" t="str">
            <v>Yes</v>
          </cell>
        </row>
        <row r="237">
          <cell r="B237">
            <v>903210</v>
          </cell>
          <cell r="C237" t="str">
            <v>Regulating or controlling instruments and apparatus; automatic type, thermostats</v>
          </cell>
          <cell r="D237" t="str">
            <v>Capital Goods</v>
          </cell>
          <cell r="E237" t="str">
            <v>NO</v>
          </cell>
          <cell r="F237" t="str">
            <v>YES</v>
          </cell>
          <cell r="G237" t="str">
            <v>YES</v>
          </cell>
          <cell r="H237" t="str">
            <v>NO</v>
          </cell>
          <cell r="I237" t="str">
            <v>YES</v>
          </cell>
          <cell r="J237" t="str">
            <v>Yes</v>
          </cell>
        </row>
        <row r="238">
          <cell r="B238">
            <v>940542</v>
          </cell>
          <cell r="C238" t="str">
            <v>Luminaires and light fittings; electric, designed for use solely with light-emitting diode (LED) light sources</v>
          </cell>
          <cell r="D238" t="str">
            <v>Parts &amp; Accessories - rc</v>
          </cell>
          <cell r="E238" t="str">
            <v>NO</v>
          </cell>
          <cell r="F238" t="str">
            <v>YES</v>
          </cell>
          <cell r="G238" t="str">
            <v>NO</v>
          </cell>
          <cell r="H238" t="str">
            <v>NO</v>
          </cell>
          <cell r="I238" t="str">
            <v>YES</v>
          </cell>
          <cell r="J238" t="str">
            <v>Yes</v>
          </cell>
        </row>
        <row r="239">
          <cell r="B239">
            <v>960340</v>
          </cell>
          <cell r="C239" t="str">
            <v>Brushes; paint, distemper, varnish or similar brushes (not those of item no. 9603.30), paint pads and rollers</v>
          </cell>
          <cell r="D239" t="str">
            <v>Consumables</v>
          </cell>
          <cell r="E239" t="str">
            <v>NO</v>
          </cell>
          <cell r="F239" t="str">
            <v>YES</v>
          </cell>
          <cell r="G239" t="str">
            <v>YES</v>
          </cell>
          <cell r="H239" t="str">
            <v>NO</v>
          </cell>
          <cell r="I239" t="str">
            <v>NO</v>
          </cell>
          <cell r="J239" t="str">
            <v>Yes</v>
          </cell>
        </row>
        <row r="240">
          <cell r="B240">
            <v>960350</v>
          </cell>
          <cell r="C240" t="str">
            <v>Brushes; constituting parts of machines, appliances or vehicles</v>
          </cell>
          <cell r="D240" t="str">
            <v>Parts &amp; Accessories - rc</v>
          </cell>
          <cell r="E240" t="str">
            <v>NO</v>
          </cell>
          <cell r="F240" t="str">
            <v>YES</v>
          </cell>
          <cell r="G240" t="str">
            <v>YES</v>
          </cell>
          <cell r="H240" t="str">
            <v>YES</v>
          </cell>
          <cell r="I240" t="str">
            <v>YES</v>
          </cell>
          <cell r="J240" t="str">
            <v>Yes</v>
          </cell>
        </row>
        <row r="241">
          <cell r="B241">
            <v>290123</v>
          </cell>
          <cell r="C241" t="str">
            <v>Acyclic hydrocarbons; unsaturated, butene (butylene) and isomers thereof</v>
          </cell>
          <cell r="D241" t="str">
            <v>Consumables - rc</v>
          </cell>
          <cell r="E241" t="str">
            <v>NO</v>
          </cell>
          <cell r="F241" t="str">
            <v>NO</v>
          </cell>
          <cell r="G241" t="str">
            <v>YES</v>
          </cell>
          <cell r="H241" t="str">
            <v>NO</v>
          </cell>
          <cell r="I241" t="str">
            <v>NO</v>
          </cell>
          <cell r="J241" t="str">
            <v>Yes</v>
          </cell>
        </row>
        <row r="242">
          <cell r="B242">
            <v>291712</v>
          </cell>
          <cell r="C242" t="str">
            <v>Acids; acyclic polycarboxylic acids; adipic acid, its salts and esters</v>
          </cell>
          <cell r="D242" t="str">
            <v>Consumables - rc</v>
          </cell>
          <cell r="E242" t="str">
            <v>NO</v>
          </cell>
          <cell r="F242" t="str">
            <v>NO</v>
          </cell>
          <cell r="G242" t="str">
            <v>YES</v>
          </cell>
          <cell r="H242" t="str">
            <v>NO</v>
          </cell>
          <cell r="I242" t="str">
            <v>NO</v>
          </cell>
          <cell r="J242" t="str">
            <v>Yes</v>
          </cell>
        </row>
        <row r="243">
          <cell r="B243">
            <v>320890</v>
          </cell>
          <cell r="C243" t="str">
            <v>Paints and varnishes; based on polymers n.e.c. in heading no. 3208, dispersed or dissolved in a non-aqueous medium</v>
          </cell>
          <cell r="D243" t="str">
            <v>Consumables - rc</v>
          </cell>
          <cell r="E243" t="str">
            <v>NO</v>
          </cell>
          <cell r="F243" t="str">
            <v>NO</v>
          </cell>
          <cell r="G243" t="str">
            <v>YES</v>
          </cell>
          <cell r="H243" t="str">
            <v>NO</v>
          </cell>
          <cell r="I243" t="str">
            <v>YES</v>
          </cell>
          <cell r="J243" t="str">
            <v>Yes</v>
          </cell>
        </row>
        <row r="244">
          <cell r="B244">
            <v>321590</v>
          </cell>
          <cell r="C244" t="str">
            <v>Ink; writing, drawing and other inks, n.e.c. in heading no. 3215, whether or not concentrated or solid</v>
          </cell>
          <cell r="D244" t="str">
            <v>Consumables - rc</v>
          </cell>
          <cell r="E244" t="str">
            <v>NO</v>
          </cell>
          <cell r="F244" t="str">
            <v>NO</v>
          </cell>
          <cell r="G244" t="str">
            <v>YES</v>
          </cell>
          <cell r="H244" t="str">
            <v>YES</v>
          </cell>
          <cell r="I244" t="str">
            <v>YES</v>
          </cell>
          <cell r="J244" t="str">
            <v>Yes</v>
          </cell>
        </row>
        <row r="245">
          <cell r="B245">
            <v>330749</v>
          </cell>
          <cell r="C245" t="str">
            <v>Perfumes and deodorizers; perfuming or deodorizing preparations for rooms, (excluding those which operate by burning)</v>
          </cell>
          <cell r="D245" t="str">
            <v>Others</v>
          </cell>
          <cell r="E245" t="str">
            <v>NO</v>
          </cell>
          <cell r="F245" t="str">
            <v>NO</v>
          </cell>
          <cell r="G245" t="str">
            <v>YES</v>
          </cell>
          <cell r="H245" t="str">
            <v>NO</v>
          </cell>
          <cell r="I245" t="str">
            <v>NO</v>
          </cell>
          <cell r="J245" t="str">
            <v>Yes</v>
          </cell>
        </row>
        <row r="246">
          <cell r="B246">
            <v>381519</v>
          </cell>
          <cell r="C246" t="str">
            <v>Catalysts, supported; reaction initiators, reaction accelerators and catalytic preparations, with an active substance other than nickel or precious metals or their compounds, n.e.c. or included</v>
          </cell>
          <cell r="D246" t="str">
            <v>Consumables</v>
          </cell>
          <cell r="E246" t="str">
            <v>NO</v>
          </cell>
          <cell r="F246" t="str">
            <v>NO</v>
          </cell>
          <cell r="G246" t="str">
            <v>YES</v>
          </cell>
          <cell r="H246" t="str">
            <v>NO</v>
          </cell>
          <cell r="I246" t="str">
            <v>NO</v>
          </cell>
          <cell r="J246" t="str">
            <v>Yes</v>
          </cell>
        </row>
        <row r="247">
          <cell r="B247">
            <v>382000</v>
          </cell>
          <cell r="C247" t="str">
            <v>Anti-freezing preparations and prepared de-icing fluids</v>
          </cell>
          <cell r="D247" t="str">
            <v>Consumables</v>
          </cell>
          <cell r="E247" t="str">
            <v>NO</v>
          </cell>
          <cell r="F247" t="str">
            <v>NO</v>
          </cell>
          <cell r="G247" t="str">
            <v>YES</v>
          </cell>
          <cell r="H247" t="str">
            <v>NO</v>
          </cell>
          <cell r="I247" t="str">
            <v>YES</v>
          </cell>
          <cell r="J247" t="str">
            <v>Yes</v>
          </cell>
        </row>
        <row r="248">
          <cell r="B248">
            <v>382440</v>
          </cell>
          <cell r="C248" t="str">
            <v>Cements, mortars or concretes; their prepared additives</v>
          </cell>
          <cell r="D248" t="str">
            <v>Consumables - rc</v>
          </cell>
          <cell r="E248" t="str">
            <v>NO</v>
          </cell>
          <cell r="F248" t="str">
            <v>NO</v>
          </cell>
          <cell r="G248" t="str">
            <v>YES</v>
          </cell>
          <cell r="H248" t="str">
            <v>NO</v>
          </cell>
          <cell r="I248" t="str">
            <v>NO</v>
          </cell>
          <cell r="J248" t="str">
            <v>Yes</v>
          </cell>
        </row>
        <row r="249">
          <cell r="B249">
            <v>390210</v>
          </cell>
          <cell r="C249" t="str">
            <v>Propylene, other olefin polymers; polypropylene in primary forms</v>
          </cell>
          <cell r="D249" t="str">
            <v>Consumables - rc</v>
          </cell>
          <cell r="E249" t="str">
            <v>NO</v>
          </cell>
          <cell r="F249" t="str">
            <v>NO</v>
          </cell>
          <cell r="G249" t="str">
            <v>YES</v>
          </cell>
          <cell r="H249" t="str">
            <v>NO</v>
          </cell>
          <cell r="I249" t="str">
            <v>NO</v>
          </cell>
          <cell r="J249" t="str">
            <v>Yes</v>
          </cell>
        </row>
        <row r="250">
          <cell r="B250">
            <v>391721</v>
          </cell>
          <cell r="C250" t="str">
            <v>Plastics; tubes, pipes and hoses thereof, rigid, of polymers of ethylene</v>
          </cell>
          <cell r="D250" t="str">
            <v>Parts &amp; Accessories</v>
          </cell>
          <cell r="E250" t="str">
            <v>NO</v>
          </cell>
          <cell r="F250" t="str">
            <v>NO</v>
          </cell>
          <cell r="G250" t="str">
            <v>YES</v>
          </cell>
          <cell r="H250" t="str">
            <v>NO</v>
          </cell>
          <cell r="I250" t="str">
            <v>YES</v>
          </cell>
          <cell r="J250" t="str">
            <v>Yes</v>
          </cell>
        </row>
        <row r="251">
          <cell r="B251">
            <v>391723</v>
          </cell>
          <cell r="C251" t="str">
            <v>Plastics; tubes, pipes and hoses thereof, rigid, of polymers of vinyl chloride</v>
          </cell>
          <cell r="D251" t="str">
            <v>Parts &amp; Accessories</v>
          </cell>
          <cell r="E251" t="str">
            <v>NO</v>
          </cell>
          <cell r="F251" t="str">
            <v>NO</v>
          </cell>
          <cell r="G251" t="str">
            <v>YES</v>
          </cell>
          <cell r="H251" t="str">
            <v>NO</v>
          </cell>
          <cell r="I251" t="str">
            <v>NO</v>
          </cell>
          <cell r="J251" t="str">
            <v>Yes</v>
          </cell>
        </row>
        <row r="252">
          <cell r="B252">
            <v>391739</v>
          </cell>
          <cell r="C252" t="str">
            <v>Plastics; tubes, pipes and hoses thereof, n.e.c. in item no. 3917.30</v>
          </cell>
          <cell r="D252" t="str">
            <v>Parts &amp; Accessories</v>
          </cell>
          <cell r="E252" t="str">
            <v>NO</v>
          </cell>
          <cell r="F252" t="str">
            <v>NO</v>
          </cell>
          <cell r="G252" t="str">
            <v>YES</v>
          </cell>
          <cell r="H252" t="str">
            <v>YES</v>
          </cell>
          <cell r="I252" t="str">
            <v>YES</v>
          </cell>
          <cell r="J252" t="str">
            <v>Yes</v>
          </cell>
        </row>
        <row r="253">
          <cell r="B253">
            <v>391890</v>
          </cell>
          <cell r="C253" t="str">
            <v>Floor, wall or ceiling coverings; of plastics (excluding polymers of vinyl chloride), whether or not self-adhesive, in rolls or in the form of tiles</v>
          </cell>
          <cell r="D253" t="str">
            <v>Others</v>
          </cell>
          <cell r="E253" t="str">
            <v>NO</v>
          </cell>
          <cell r="F253" t="str">
            <v>NO</v>
          </cell>
          <cell r="G253" t="str">
            <v>YES</v>
          </cell>
          <cell r="H253" t="str">
            <v>NO</v>
          </cell>
          <cell r="I253" t="str">
            <v>YES</v>
          </cell>
          <cell r="J253" t="str">
            <v>Yes</v>
          </cell>
        </row>
        <row r="254">
          <cell r="B254">
            <v>391910</v>
          </cell>
          <cell r="C254" t="str">
            <v>Plastics; plates, sheets, film, foil, tape, strip, other flat shapes thereof, self-adhesive, in rolls of a width not exceeding 20cm</v>
          </cell>
          <cell r="D254" t="str">
            <v>Consumables - rc</v>
          </cell>
          <cell r="E254" t="str">
            <v>NO</v>
          </cell>
          <cell r="F254" t="str">
            <v>NO</v>
          </cell>
          <cell r="G254" t="str">
            <v>YES</v>
          </cell>
          <cell r="H254" t="str">
            <v>NO</v>
          </cell>
          <cell r="I254" t="str">
            <v>YES</v>
          </cell>
          <cell r="J254" t="str">
            <v>Yes</v>
          </cell>
        </row>
        <row r="255">
          <cell r="B255">
            <v>392049</v>
          </cell>
          <cell r="C255" t="str">
            <v>Plastics; polymers of vinyl chloride, containing by weight, less than 6% of plasticisers; plates, sheets, film, foil and strip (not self-adhesive), non-cellular and not reinforced, laminated, supported or similarly combined with other materials</v>
          </cell>
          <cell r="D255" t="str">
            <v>Consumables - rc</v>
          </cell>
          <cell r="E255" t="str">
            <v>NO</v>
          </cell>
          <cell r="F255" t="str">
            <v>NO</v>
          </cell>
          <cell r="G255" t="str">
            <v>YES</v>
          </cell>
          <cell r="H255" t="str">
            <v>YES</v>
          </cell>
          <cell r="I255" t="str">
            <v>YES</v>
          </cell>
          <cell r="J255" t="str">
            <v>Yes</v>
          </cell>
        </row>
        <row r="256">
          <cell r="B256">
            <v>392062</v>
          </cell>
          <cell r="C256" t="str">
            <v>Plastics; plates, sheets, film, foil and strip (not self-adhesive), of poly(ethylene terephthalate), non-cellular and not reinforced, laminated, supported or similarly combined with other materials</v>
          </cell>
          <cell r="D256" t="str">
            <v>Consumables - rc</v>
          </cell>
          <cell r="E256" t="str">
            <v>NO</v>
          </cell>
          <cell r="F256" t="str">
            <v>NO</v>
          </cell>
          <cell r="G256" t="str">
            <v>YES</v>
          </cell>
          <cell r="H256" t="str">
            <v>YES</v>
          </cell>
          <cell r="I256" t="str">
            <v>YES</v>
          </cell>
          <cell r="J256" t="str">
            <v>Yes</v>
          </cell>
        </row>
        <row r="257">
          <cell r="B257">
            <v>392119</v>
          </cell>
          <cell r="C257" t="str">
            <v>Plastics; plates, sheets, film, foil and strip, of plastics n.e.c. in heading no. 3921, cellular</v>
          </cell>
          <cell r="D257" t="str">
            <v>Consumables - rc</v>
          </cell>
          <cell r="E257" t="str">
            <v>NO</v>
          </cell>
          <cell r="F257" t="str">
            <v>NO</v>
          </cell>
          <cell r="G257" t="str">
            <v>YES</v>
          </cell>
          <cell r="H257" t="str">
            <v>NO</v>
          </cell>
          <cell r="I257" t="str">
            <v>YES</v>
          </cell>
          <cell r="J257" t="str">
            <v>Yes</v>
          </cell>
        </row>
        <row r="258">
          <cell r="B258">
            <v>392190</v>
          </cell>
          <cell r="C258" t="str">
            <v>Plastics; plates, sheets, film, foil and strip, other than cellular</v>
          </cell>
          <cell r="D258" t="str">
            <v>Consumables - rc</v>
          </cell>
          <cell r="E258" t="str">
            <v>NO</v>
          </cell>
          <cell r="F258" t="str">
            <v>NO</v>
          </cell>
          <cell r="G258" t="str">
            <v>YES</v>
          </cell>
          <cell r="H258" t="str">
            <v>NO</v>
          </cell>
          <cell r="I258" t="str">
            <v>YES</v>
          </cell>
          <cell r="J258" t="str">
            <v>Yes</v>
          </cell>
        </row>
        <row r="259">
          <cell r="B259">
            <v>392321</v>
          </cell>
          <cell r="C259" t="str">
            <v>Ethylene polymers; sacks and bags (including cones), for the conveyance or packing of goods</v>
          </cell>
          <cell r="D259" t="str">
            <v>Consumables - rc</v>
          </cell>
          <cell r="E259" t="str">
            <v>NO</v>
          </cell>
          <cell r="F259" t="str">
            <v>NO</v>
          </cell>
          <cell r="G259" t="str">
            <v>YES</v>
          </cell>
          <cell r="H259" t="str">
            <v>YES</v>
          </cell>
          <cell r="I259" t="str">
            <v>YES</v>
          </cell>
          <cell r="J259" t="str">
            <v>Yes</v>
          </cell>
        </row>
        <row r="260">
          <cell r="B260">
            <v>392329</v>
          </cell>
          <cell r="C260" t="str">
            <v>Plastics; sacks and bags (including cones), for the conveyance or packing of goods, of plastics other than ethylene polymers</v>
          </cell>
          <cell r="D260" t="str">
            <v>Consumables</v>
          </cell>
          <cell r="E260" t="str">
            <v>NO</v>
          </cell>
          <cell r="F260" t="str">
            <v>NO</v>
          </cell>
          <cell r="G260" t="str">
            <v>YES</v>
          </cell>
          <cell r="H260" t="str">
            <v>YES</v>
          </cell>
          <cell r="I260" t="str">
            <v>YES</v>
          </cell>
          <cell r="J260" t="str">
            <v>Yes</v>
          </cell>
        </row>
        <row r="261">
          <cell r="B261">
            <v>392350</v>
          </cell>
          <cell r="C261" t="str">
            <v>Plastics; stoppers, lids, caps and other closures, for the conveyance or packing of goods</v>
          </cell>
          <cell r="D261" t="str">
            <v>Consumables - rc</v>
          </cell>
          <cell r="E261" t="str">
            <v>NO</v>
          </cell>
          <cell r="F261" t="str">
            <v>NO</v>
          </cell>
          <cell r="G261" t="str">
            <v>YES</v>
          </cell>
          <cell r="H261" t="str">
            <v>NO</v>
          </cell>
          <cell r="I261" t="str">
            <v>YES</v>
          </cell>
          <cell r="J261" t="str">
            <v>Yes</v>
          </cell>
        </row>
        <row r="262">
          <cell r="B262">
            <v>392390</v>
          </cell>
          <cell r="C262" t="str">
            <v>Plastics; articles for the conveyance or packing of goods n.e.c. in heading no. 3923</v>
          </cell>
          <cell r="D262" t="str">
            <v>Consumables - rc</v>
          </cell>
          <cell r="E262" t="str">
            <v>NO</v>
          </cell>
          <cell r="F262" t="str">
            <v>NO</v>
          </cell>
          <cell r="G262" t="str">
            <v>YES</v>
          </cell>
          <cell r="H262" t="str">
            <v>YES</v>
          </cell>
          <cell r="I262" t="str">
            <v>YES</v>
          </cell>
          <cell r="J262" t="str">
            <v>Yes</v>
          </cell>
        </row>
        <row r="263">
          <cell r="B263">
            <v>392410</v>
          </cell>
          <cell r="C263" t="str">
            <v>Plastics; tableware and kitchenware</v>
          </cell>
          <cell r="D263" t="str">
            <v>Others</v>
          </cell>
          <cell r="E263" t="str">
            <v>NO</v>
          </cell>
          <cell r="F263" t="str">
            <v>NO</v>
          </cell>
          <cell r="G263" t="str">
            <v>YES</v>
          </cell>
          <cell r="H263" t="str">
            <v>YES</v>
          </cell>
          <cell r="I263" t="str">
            <v>YES</v>
          </cell>
          <cell r="J263" t="str">
            <v>Yes</v>
          </cell>
        </row>
        <row r="264">
          <cell r="B264">
            <v>400911</v>
          </cell>
          <cell r="C264" t="str">
            <v>Rubber; vulcanised (other than hard rubber), tubing, piping and hoses, not reinforced or otherwise combined with other materials, without fittings</v>
          </cell>
          <cell r="D264" t="str">
            <v>Capital Goods - rc</v>
          </cell>
          <cell r="E264" t="str">
            <v>NO</v>
          </cell>
          <cell r="F264" t="str">
            <v>NO</v>
          </cell>
          <cell r="G264" t="str">
            <v>YES</v>
          </cell>
          <cell r="H264" t="str">
            <v>NO</v>
          </cell>
          <cell r="I264" t="str">
            <v>YES</v>
          </cell>
          <cell r="J264" t="str">
            <v>Yes</v>
          </cell>
        </row>
        <row r="265">
          <cell r="B265">
            <v>400942</v>
          </cell>
          <cell r="C265" t="str">
            <v>Rubber; vulcanised (other than hard rubber), tubing, piping and hoses, reinforced or otherwise combined with materials other than metal or textiles, with fittings</v>
          </cell>
          <cell r="D265" t="str">
            <v>Capital Goods - rc</v>
          </cell>
          <cell r="E265" t="str">
            <v>NO</v>
          </cell>
          <cell r="F265" t="str">
            <v>NO</v>
          </cell>
          <cell r="G265" t="str">
            <v>YES</v>
          </cell>
          <cell r="H265" t="str">
            <v>NO</v>
          </cell>
          <cell r="I265" t="str">
            <v>YES</v>
          </cell>
          <cell r="J265" t="str">
            <v>Yes</v>
          </cell>
        </row>
        <row r="266">
          <cell r="B266">
            <v>401590</v>
          </cell>
          <cell r="C266" t="str">
            <v>Rubber; vulcanised (other than hard rubber), articles of apparel and clothing accessories (other than gloves, mittens and mitts)</v>
          </cell>
          <cell r="D266" t="str">
            <v>Consumables - rc</v>
          </cell>
          <cell r="E266" t="str">
            <v>NO</v>
          </cell>
          <cell r="F266" t="str">
            <v>NO</v>
          </cell>
          <cell r="G266" t="str">
            <v>YES</v>
          </cell>
          <cell r="H266" t="str">
            <v>NO</v>
          </cell>
          <cell r="I266" t="str">
            <v>YES</v>
          </cell>
          <cell r="J266" t="str">
            <v>Yes</v>
          </cell>
        </row>
        <row r="267">
          <cell r="B267">
            <v>420231</v>
          </cell>
          <cell r="C267" t="str">
            <v>Cases and containers; of a kind normally carried in the pocket or in the handbag, with outer surface of leather or of composition leather</v>
          </cell>
          <cell r="D267" t="str">
            <v>Others</v>
          </cell>
          <cell r="E267" t="str">
            <v>NO</v>
          </cell>
          <cell r="F267" t="str">
            <v>NO</v>
          </cell>
          <cell r="G267" t="str">
            <v>YES</v>
          </cell>
          <cell r="H267" t="str">
            <v>NO</v>
          </cell>
          <cell r="I267" t="str">
            <v>NO</v>
          </cell>
          <cell r="J267" t="str">
            <v>Yes</v>
          </cell>
        </row>
        <row r="268">
          <cell r="B268">
            <v>420232</v>
          </cell>
          <cell r="C268" t="str">
            <v>Cases and containers; of a kind normally carried in the pocket or in the handbag, with outer surface of sheeting of plastics or of textile materials</v>
          </cell>
          <cell r="D268" t="str">
            <v>Capital Goods - rc</v>
          </cell>
          <cell r="E268" t="str">
            <v>NO</v>
          </cell>
          <cell r="F268" t="str">
            <v>NO</v>
          </cell>
          <cell r="G268" t="str">
            <v>YES</v>
          </cell>
          <cell r="H268" t="str">
            <v>NO</v>
          </cell>
          <cell r="I268" t="str">
            <v>YES</v>
          </cell>
          <cell r="J268" t="str">
            <v>Yes</v>
          </cell>
        </row>
        <row r="269">
          <cell r="B269">
            <v>420292</v>
          </cell>
          <cell r="C269" t="str">
            <v>Cases and containers; n.e.c. in heading 4202, with outer surface of sheeting of plastics or of textile materials</v>
          </cell>
          <cell r="D269" t="str">
            <v>Others</v>
          </cell>
          <cell r="E269" t="str">
            <v>NO</v>
          </cell>
          <cell r="F269" t="str">
            <v>NO</v>
          </cell>
          <cell r="G269" t="str">
            <v>YES</v>
          </cell>
          <cell r="H269" t="str">
            <v>NO</v>
          </cell>
          <cell r="I269" t="str">
            <v>YES</v>
          </cell>
          <cell r="J269" t="str">
            <v>Yes</v>
          </cell>
        </row>
        <row r="270">
          <cell r="B270">
            <v>481910</v>
          </cell>
          <cell r="C270" t="str">
            <v>Paper and paperboard; cartons, boxes and cases, of corrugated paper or paperboard</v>
          </cell>
          <cell r="D270" t="str">
            <v>Consumables - rc</v>
          </cell>
          <cell r="E270" t="str">
            <v>NO</v>
          </cell>
          <cell r="F270" t="str">
            <v>NO</v>
          </cell>
          <cell r="G270" t="str">
            <v>YES</v>
          </cell>
          <cell r="H270" t="str">
            <v>YES</v>
          </cell>
          <cell r="I270" t="str">
            <v>YES</v>
          </cell>
          <cell r="J270" t="str">
            <v>Yes</v>
          </cell>
        </row>
        <row r="271">
          <cell r="B271">
            <v>481920</v>
          </cell>
          <cell r="C271" t="str">
            <v>Paper and paperboard; folding cartons, boxes and cases, of non-corrugated paper or paperboard</v>
          </cell>
          <cell r="D271" t="str">
            <v>Consumables - rc</v>
          </cell>
          <cell r="E271" t="str">
            <v>NO</v>
          </cell>
          <cell r="F271" t="str">
            <v>NO</v>
          </cell>
          <cell r="G271" t="str">
            <v>YES</v>
          </cell>
          <cell r="H271" t="str">
            <v>YES</v>
          </cell>
          <cell r="I271" t="str">
            <v>YES</v>
          </cell>
          <cell r="J271" t="str">
            <v>Yes</v>
          </cell>
        </row>
        <row r="272">
          <cell r="B272">
            <v>481940</v>
          </cell>
          <cell r="C272" t="str">
            <v>Paper and paperboard; sacks and bags, including cones, of paper, paperboard, cellulose wadding or fibres, having a base width less than 40cm</v>
          </cell>
          <cell r="D272" t="str">
            <v>Consumables</v>
          </cell>
          <cell r="E272" t="str">
            <v>NO</v>
          </cell>
          <cell r="F272" t="str">
            <v>NO</v>
          </cell>
          <cell r="G272" t="str">
            <v>YES</v>
          </cell>
          <cell r="H272" t="str">
            <v>NO</v>
          </cell>
          <cell r="I272" t="str">
            <v>NO</v>
          </cell>
          <cell r="J272" t="str">
            <v>Yes</v>
          </cell>
        </row>
        <row r="273">
          <cell r="B273">
            <v>482110</v>
          </cell>
          <cell r="C273" t="str">
            <v>Paper and paperboard; labels or all kinds, printed</v>
          </cell>
          <cell r="D273" t="str">
            <v>Consumables - rc</v>
          </cell>
          <cell r="E273" t="str">
            <v>NO</v>
          </cell>
          <cell r="F273" t="str">
            <v>NO</v>
          </cell>
          <cell r="G273" t="str">
            <v>YES</v>
          </cell>
          <cell r="H273" t="str">
            <v>YES</v>
          </cell>
          <cell r="I273" t="str">
            <v>YES</v>
          </cell>
          <cell r="J273" t="str">
            <v>Yes</v>
          </cell>
        </row>
        <row r="274">
          <cell r="B274">
            <v>482190</v>
          </cell>
          <cell r="C274" t="str">
            <v>Paper and paperboard; labels of all kinds, unprinted</v>
          </cell>
          <cell r="D274" t="str">
            <v>Consumables - rc</v>
          </cell>
          <cell r="E274" t="str">
            <v>NO</v>
          </cell>
          <cell r="F274" t="str">
            <v>NO</v>
          </cell>
          <cell r="G274" t="str">
            <v>YES</v>
          </cell>
          <cell r="H274" t="str">
            <v>YES</v>
          </cell>
          <cell r="I274" t="str">
            <v>YES</v>
          </cell>
          <cell r="J274" t="str">
            <v>Yes</v>
          </cell>
        </row>
        <row r="275">
          <cell r="B275">
            <v>482370</v>
          </cell>
          <cell r="C275" t="str">
            <v>Paper pulp; moulded or pressed articles or paper pulp</v>
          </cell>
          <cell r="D275" t="str">
            <v>Consumables - rc</v>
          </cell>
          <cell r="E275" t="str">
            <v>NO</v>
          </cell>
          <cell r="F275" t="str">
            <v>NO</v>
          </cell>
          <cell r="G275" t="str">
            <v>YES</v>
          </cell>
          <cell r="H275" t="str">
            <v>NO</v>
          </cell>
          <cell r="I275" t="str">
            <v>YES</v>
          </cell>
          <cell r="J275" t="str">
            <v>Yes</v>
          </cell>
        </row>
        <row r="276">
          <cell r="B276">
            <v>482390</v>
          </cell>
          <cell r="C276" t="str">
            <v>Paper pulp, paper, paperboard, cellulose wadding or webs of cellulose fibres; articles n.e.c. in heading no. 4823</v>
          </cell>
          <cell r="D276" t="str">
            <v>Consumables - rc</v>
          </cell>
          <cell r="E276" t="str">
            <v>NO</v>
          </cell>
          <cell r="F276" t="str">
            <v>NO</v>
          </cell>
          <cell r="G276" t="str">
            <v>YES</v>
          </cell>
          <cell r="H276" t="str">
            <v>YES</v>
          </cell>
          <cell r="I276" t="str">
            <v>YES</v>
          </cell>
          <cell r="J276" t="str">
            <v>Yes</v>
          </cell>
        </row>
        <row r="277">
          <cell r="B277">
            <v>560121</v>
          </cell>
          <cell r="C277" t="str">
            <v>Wadding; other articles thereof, of cotton</v>
          </cell>
          <cell r="D277" t="str">
            <v>Consumables - rc</v>
          </cell>
          <cell r="E277" t="str">
            <v>NO</v>
          </cell>
          <cell r="F277" t="str">
            <v>NO</v>
          </cell>
          <cell r="G277" t="str">
            <v>YES</v>
          </cell>
          <cell r="H277" t="str">
            <v>NO</v>
          </cell>
          <cell r="I277" t="str">
            <v>YES</v>
          </cell>
          <cell r="J277" t="str">
            <v>Yes</v>
          </cell>
        </row>
        <row r="278">
          <cell r="B278">
            <v>580790</v>
          </cell>
          <cell r="C278" t="str">
            <v>Labels, badges and similar articles; (other than woven), of textile materials, in the piece, in strips or cut to shape or size, not embroidered</v>
          </cell>
          <cell r="D278" t="str">
            <v>Consumables - rc</v>
          </cell>
          <cell r="E278" t="str">
            <v>NO</v>
          </cell>
          <cell r="F278" t="str">
            <v>NO</v>
          </cell>
          <cell r="G278" t="str">
            <v>YES</v>
          </cell>
          <cell r="H278" t="str">
            <v>NO</v>
          </cell>
          <cell r="I278" t="str">
            <v>YES</v>
          </cell>
          <cell r="J278" t="str">
            <v>Yes</v>
          </cell>
        </row>
        <row r="279">
          <cell r="B279">
            <v>590699</v>
          </cell>
          <cell r="C279" t="str">
            <v>Textile fabrics, rubberised; (excluding those of heading no. 5902 and adhesive tape of a width not exceeding 20cm), not knitted or crocheted</v>
          </cell>
          <cell r="D279" t="str">
            <v>Consumables - rc</v>
          </cell>
          <cell r="E279" t="str">
            <v>NO</v>
          </cell>
          <cell r="F279" t="str">
            <v>NO</v>
          </cell>
          <cell r="G279" t="str">
            <v>YES</v>
          </cell>
          <cell r="H279" t="str">
            <v>NO</v>
          </cell>
          <cell r="I279" t="str">
            <v>NO</v>
          </cell>
          <cell r="J279" t="str">
            <v>Yes</v>
          </cell>
        </row>
        <row r="280">
          <cell r="B280">
            <v>611699</v>
          </cell>
          <cell r="C280" t="str">
            <v>Gloves, mittens and mitts; of textile materials (other than wool or fine animal hair, cotton or synthetic fibres), knitted or crocheted, (other than impregnated, coated, covered or laminated with plastics or rubber)</v>
          </cell>
          <cell r="D280" t="str">
            <v>Consumables</v>
          </cell>
          <cell r="E280" t="str">
            <v>NO</v>
          </cell>
          <cell r="F280" t="str">
            <v>NO</v>
          </cell>
          <cell r="G280" t="str">
            <v>YES</v>
          </cell>
          <cell r="H280" t="str">
            <v>NO</v>
          </cell>
          <cell r="I280" t="str">
            <v>YES</v>
          </cell>
          <cell r="J280" t="str">
            <v>Yes</v>
          </cell>
        </row>
        <row r="281">
          <cell r="B281">
            <v>630539</v>
          </cell>
          <cell r="C281" t="str">
            <v>Sacks and bags; of a kind used for the packing of goods, of man-made textile materials, not of polyethylene or polypropylene strip or the like, not flexible intermediate bulk containers</v>
          </cell>
          <cell r="D281" t="str">
            <v>Consumables</v>
          </cell>
          <cell r="E281" t="str">
            <v>NO</v>
          </cell>
          <cell r="F281" t="str">
            <v>NO</v>
          </cell>
          <cell r="G281" t="str">
            <v>YES</v>
          </cell>
          <cell r="H281" t="str">
            <v>NO</v>
          </cell>
          <cell r="I281" t="str">
            <v>NO</v>
          </cell>
          <cell r="J281" t="str">
            <v>Yes</v>
          </cell>
        </row>
        <row r="282">
          <cell r="B282">
            <v>700719</v>
          </cell>
          <cell r="C282" t="str">
            <v>Glass; safety glass, toughened (tempered), (not of a size and shape suitable for incorporation in vehicles, aircraft, spacecraft or vessels)</v>
          </cell>
          <cell r="D282" t="str">
            <v>Consumables - rc</v>
          </cell>
          <cell r="E282" t="str">
            <v>NO</v>
          </cell>
          <cell r="F282" t="str">
            <v>NO</v>
          </cell>
          <cell r="G282" t="str">
            <v>YES</v>
          </cell>
          <cell r="H282" t="str">
            <v>NO</v>
          </cell>
          <cell r="I282" t="str">
            <v>YES</v>
          </cell>
          <cell r="J282" t="str">
            <v>Yes</v>
          </cell>
        </row>
        <row r="283">
          <cell r="B283">
            <v>701349</v>
          </cell>
          <cell r="C283" t="str">
            <v>Glassware of a kind used for table or kitchen purposes (not drinking glasses or of glass-ceramics), of glass n.e.c. in item no. 7013.4</v>
          </cell>
          <cell r="D283" t="str">
            <v>Consumables - rc</v>
          </cell>
          <cell r="E283" t="str">
            <v>NO</v>
          </cell>
          <cell r="F283" t="str">
            <v>NO</v>
          </cell>
          <cell r="G283" t="str">
            <v>YES</v>
          </cell>
          <cell r="H283" t="str">
            <v>NO</v>
          </cell>
          <cell r="I283" t="str">
            <v>NO</v>
          </cell>
          <cell r="J283" t="str">
            <v>Yes</v>
          </cell>
        </row>
        <row r="284">
          <cell r="B284">
            <v>701980</v>
          </cell>
          <cell r="C284" t="str">
            <v>Glass fibres; glass wool and articles thereof</v>
          </cell>
          <cell r="D284" t="str">
            <v>Capital Goods - rc</v>
          </cell>
          <cell r="E284" t="str">
            <v>NO</v>
          </cell>
          <cell r="F284" t="str">
            <v>NO</v>
          </cell>
          <cell r="G284" t="str">
            <v>YES</v>
          </cell>
          <cell r="H284" t="str">
            <v>NO</v>
          </cell>
          <cell r="I284" t="str">
            <v>NO</v>
          </cell>
          <cell r="J284" t="str">
            <v>Yes</v>
          </cell>
        </row>
        <row r="285">
          <cell r="B285">
            <v>701990</v>
          </cell>
          <cell r="C285" t="str">
            <v>Glass fibres; n.e.c. in heading no. 7019</v>
          </cell>
          <cell r="D285" t="str">
            <v>Consumables - rc</v>
          </cell>
          <cell r="E285" t="str">
            <v>NO</v>
          </cell>
          <cell r="F285" t="str">
            <v>NO</v>
          </cell>
          <cell r="G285" t="str">
            <v>YES</v>
          </cell>
          <cell r="H285" t="str">
            <v>YES</v>
          </cell>
          <cell r="I285" t="str">
            <v>YES</v>
          </cell>
          <cell r="J285" t="str">
            <v>Yes</v>
          </cell>
        </row>
        <row r="286">
          <cell r="B286">
            <v>702000</v>
          </cell>
          <cell r="C286" t="str">
            <v>Glass; articles n.e.c. in chapter 70</v>
          </cell>
          <cell r="D286" t="str">
            <v>Consumables - rc</v>
          </cell>
          <cell r="E286" t="str">
            <v>NO</v>
          </cell>
          <cell r="F286" t="str">
            <v>NO</v>
          </cell>
          <cell r="G286" t="str">
            <v>YES</v>
          </cell>
          <cell r="H286" t="str">
            <v>NO</v>
          </cell>
          <cell r="I286" t="str">
            <v>YES</v>
          </cell>
          <cell r="J286" t="str">
            <v>Yes</v>
          </cell>
        </row>
        <row r="287">
          <cell r="B287">
            <v>721070</v>
          </cell>
          <cell r="C287" t="str">
            <v>Iron or non-alloy steel; flat-rolled, width 600mm or more, painted, varnished or coated with plastics</v>
          </cell>
          <cell r="D287" t="str">
            <v>Consumables - rc</v>
          </cell>
          <cell r="E287" t="str">
            <v>NO</v>
          </cell>
          <cell r="F287" t="str">
            <v>NO</v>
          </cell>
          <cell r="G287" t="str">
            <v>YES</v>
          </cell>
          <cell r="H287" t="str">
            <v>NO</v>
          </cell>
          <cell r="I287" t="str">
            <v>NO</v>
          </cell>
          <cell r="J287" t="str">
            <v>Yes</v>
          </cell>
        </row>
        <row r="288">
          <cell r="B288">
            <v>730722</v>
          </cell>
          <cell r="C288" t="str">
            <v>Steel, stainless; tube or pipe fittings, threaded elbows, bends and sleeves</v>
          </cell>
          <cell r="D288" t="str">
            <v>Parts &amp; Accessories</v>
          </cell>
          <cell r="E288" t="str">
            <v>NO</v>
          </cell>
          <cell r="F288" t="str">
            <v>NO</v>
          </cell>
          <cell r="G288" t="str">
            <v>YES</v>
          </cell>
          <cell r="H288" t="str">
            <v>NO</v>
          </cell>
          <cell r="I288" t="str">
            <v>YES</v>
          </cell>
          <cell r="J288" t="str">
            <v>Yes</v>
          </cell>
        </row>
        <row r="289">
          <cell r="B289">
            <v>730890</v>
          </cell>
          <cell r="C289" t="str">
            <v>Iron or steel; structures and parts thereof, n.e.c. in heading 7308</v>
          </cell>
          <cell r="D289" t="str">
            <v>Capital Goods - rc</v>
          </cell>
          <cell r="E289" t="str">
            <v>NO</v>
          </cell>
          <cell r="F289" t="str">
            <v>NO</v>
          </cell>
          <cell r="G289" t="str">
            <v>YES</v>
          </cell>
          <cell r="H289" t="str">
            <v>YES</v>
          </cell>
          <cell r="I289" t="str">
            <v>YES</v>
          </cell>
          <cell r="J289" t="str">
            <v>Yes</v>
          </cell>
        </row>
        <row r="290">
          <cell r="B290">
            <v>731029</v>
          </cell>
          <cell r="C290" t="str">
            <v>Tanks, casks, drums, boxes and similar containers for any material (excluding compressed or liquefied gas) less than 50l capacity, n.e.c. in item no. 7310.2, of iron or steel</v>
          </cell>
          <cell r="D290" t="str">
            <v>Consumables</v>
          </cell>
          <cell r="E290" t="str">
            <v>NO</v>
          </cell>
          <cell r="F290" t="str">
            <v>NO</v>
          </cell>
          <cell r="G290" t="str">
            <v>YES</v>
          </cell>
          <cell r="H290" t="str">
            <v>NO</v>
          </cell>
          <cell r="I290" t="str">
            <v>NO</v>
          </cell>
          <cell r="J290" t="str">
            <v>Yes</v>
          </cell>
        </row>
        <row r="291">
          <cell r="B291">
            <v>731290</v>
          </cell>
          <cell r="C291" t="str">
            <v>Iron or steel; plaited bands, slings and the like, not electrically insulated</v>
          </cell>
          <cell r="D291" t="str">
            <v>Parts &amp; Accessories</v>
          </cell>
          <cell r="E291" t="str">
            <v>NO</v>
          </cell>
          <cell r="F291" t="str">
            <v>NO</v>
          </cell>
          <cell r="G291" t="str">
            <v>YES</v>
          </cell>
          <cell r="H291" t="str">
            <v>NO</v>
          </cell>
          <cell r="I291" t="str">
            <v>YES</v>
          </cell>
          <cell r="J291" t="str">
            <v>Yes</v>
          </cell>
        </row>
        <row r="292">
          <cell r="B292">
            <v>731590</v>
          </cell>
          <cell r="C292" t="str">
            <v>Chain; parts n.e.c. in heading no. 7315, of iron or steel</v>
          </cell>
          <cell r="D292" t="str">
            <v>Parts &amp; Accessories</v>
          </cell>
          <cell r="E292" t="str">
            <v>NO</v>
          </cell>
          <cell r="F292" t="str">
            <v>NO</v>
          </cell>
          <cell r="G292" t="str">
            <v>YES</v>
          </cell>
          <cell r="H292" t="str">
            <v>YES</v>
          </cell>
          <cell r="I292" t="str">
            <v>YES</v>
          </cell>
          <cell r="J292" t="str">
            <v>Yes</v>
          </cell>
        </row>
        <row r="293">
          <cell r="B293">
            <v>731814</v>
          </cell>
          <cell r="C293" t="str">
            <v>Iron or steel; threaded self-tapping screws</v>
          </cell>
          <cell r="D293" t="str">
            <v>Consumables</v>
          </cell>
          <cell r="E293" t="str">
            <v>NO</v>
          </cell>
          <cell r="F293" t="str">
            <v>NO</v>
          </cell>
          <cell r="G293" t="str">
            <v>YES</v>
          </cell>
          <cell r="H293" t="str">
            <v>NO</v>
          </cell>
          <cell r="I293" t="str">
            <v>YES</v>
          </cell>
          <cell r="J293" t="str">
            <v>Yes</v>
          </cell>
        </row>
        <row r="294">
          <cell r="B294">
            <v>731823</v>
          </cell>
          <cell r="C294" t="str">
            <v>Iron or steel; non-threaded rivets</v>
          </cell>
          <cell r="D294" t="str">
            <v>Consumables</v>
          </cell>
          <cell r="E294" t="str">
            <v>NO</v>
          </cell>
          <cell r="F294" t="str">
            <v>NO</v>
          </cell>
          <cell r="G294" t="str">
            <v>YES</v>
          </cell>
          <cell r="H294" t="str">
            <v>NO</v>
          </cell>
          <cell r="I294" t="str">
            <v>YES</v>
          </cell>
          <cell r="J294" t="str">
            <v>Yes</v>
          </cell>
        </row>
        <row r="295">
          <cell r="B295">
            <v>731940</v>
          </cell>
          <cell r="C295" t="str">
            <v>Safety pins and other pins; of iron or steel</v>
          </cell>
          <cell r="D295" t="str">
            <v>Consumables</v>
          </cell>
          <cell r="E295" t="str">
            <v>NO</v>
          </cell>
          <cell r="F295" t="str">
            <v>NO</v>
          </cell>
          <cell r="G295" t="str">
            <v>YES</v>
          </cell>
          <cell r="H295" t="str">
            <v>NO</v>
          </cell>
          <cell r="I295" t="str">
            <v>YES</v>
          </cell>
          <cell r="J295" t="str">
            <v>Yes</v>
          </cell>
        </row>
        <row r="296">
          <cell r="B296">
            <v>731990</v>
          </cell>
          <cell r="C296" t="str">
            <v>Sewing and knitting needles, bodkins, crochet hooks, embroidery stilettos and similar articles, for use in the hand, not elsewhere specified or included, of iron or steel</v>
          </cell>
          <cell r="D296" t="str">
            <v>Consumables</v>
          </cell>
          <cell r="E296" t="str">
            <v>NO</v>
          </cell>
          <cell r="F296" t="str">
            <v>NO</v>
          </cell>
          <cell r="G296" t="str">
            <v>YES</v>
          </cell>
          <cell r="H296" t="str">
            <v>YES</v>
          </cell>
          <cell r="I296" t="str">
            <v>YES</v>
          </cell>
          <cell r="J296" t="str">
            <v>Yes</v>
          </cell>
        </row>
        <row r="297">
          <cell r="B297">
            <v>732393</v>
          </cell>
          <cell r="C297" t="str">
            <v>Steel, stainless; table, kitchen and other household articles and parts thereof</v>
          </cell>
          <cell r="D297" t="str">
            <v>Others</v>
          </cell>
          <cell r="E297" t="str">
            <v>NO</v>
          </cell>
          <cell r="F297" t="str">
            <v>NO</v>
          </cell>
          <cell r="G297" t="str">
            <v>YES</v>
          </cell>
          <cell r="H297" t="str">
            <v>NO</v>
          </cell>
          <cell r="I297" t="str">
            <v>NO</v>
          </cell>
          <cell r="J297" t="str">
            <v>Yes</v>
          </cell>
        </row>
        <row r="298">
          <cell r="B298">
            <v>732429</v>
          </cell>
          <cell r="C298" t="str">
            <v>Iron (other than cast) or steel; baths</v>
          </cell>
          <cell r="D298" t="str">
            <v>Others</v>
          </cell>
          <cell r="E298" t="str">
            <v>NO</v>
          </cell>
          <cell r="F298" t="str">
            <v>NO</v>
          </cell>
          <cell r="G298" t="str">
            <v>YES</v>
          </cell>
          <cell r="H298" t="str">
            <v>NO</v>
          </cell>
          <cell r="I298" t="str">
            <v>NO</v>
          </cell>
          <cell r="J298" t="str">
            <v>Yes</v>
          </cell>
        </row>
        <row r="299">
          <cell r="B299">
            <v>741022</v>
          </cell>
          <cell r="C299" t="str">
            <v>Copper; foil, backed with paper, paperboard, plastics or similar backing material, of a thickness (excluding any backing) not exceeding 0.15mm, of copper alloys</v>
          </cell>
          <cell r="D299" t="str">
            <v>Consumables - rc</v>
          </cell>
          <cell r="E299" t="str">
            <v>NO</v>
          </cell>
          <cell r="F299" t="str">
            <v>NO</v>
          </cell>
          <cell r="G299" t="str">
            <v>YES</v>
          </cell>
          <cell r="H299" t="str">
            <v>NO</v>
          </cell>
          <cell r="I299" t="str">
            <v>NO</v>
          </cell>
          <cell r="J299" t="str">
            <v>Yes</v>
          </cell>
        </row>
        <row r="300">
          <cell r="B300">
            <v>741110</v>
          </cell>
          <cell r="C300" t="str">
            <v>Copper; tubes and pipes, of refined copper</v>
          </cell>
          <cell r="D300" t="str">
            <v>Consumables - rc</v>
          </cell>
          <cell r="E300" t="str">
            <v>NO</v>
          </cell>
          <cell r="F300" t="str">
            <v>NO</v>
          </cell>
          <cell r="G300" t="str">
            <v>YES</v>
          </cell>
          <cell r="H300" t="str">
            <v>NO</v>
          </cell>
          <cell r="I300" t="str">
            <v>YES</v>
          </cell>
          <cell r="J300" t="str">
            <v>Yes</v>
          </cell>
        </row>
        <row r="301">
          <cell r="B301">
            <v>741210</v>
          </cell>
          <cell r="C301" t="str">
            <v>Copper; tube or pipe fittings (e.g. couplings, elbows, sleeves) of refined copper</v>
          </cell>
          <cell r="D301" t="str">
            <v>Parts &amp; Accessories</v>
          </cell>
          <cell r="E301" t="str">
            <v>NO</v>
          </cell>
          <cell r="F301" t="str">
            <v>NO</v>
          </cell>
          <cell r="G301" t="str">
            <v>YES</v>
          </cell>
          <cell r="H301" t="str">
            <v>NO</v>
          </cell>
          <cell r="I301" t="str">
            <v>YES</v>
          </cell>
          <cell r="J301" t="str">
            <v>Yes</v>
          </cell>
        </row>
        <row r="302">
          <cell r="B302">
            <v>741980</v>
          </cell>
          <cell r="C302" t="str">
            <v>Copper; articles thereof n.e.c. in chapter 74</v>
          </cell>
          <cell r="D302" t="str">
            <v>Parts &amp; Accessories</v>
          </cell>
          <cell r="E302" t="str">
            <v>NO</v>
          </cell>
          <cell r="F302" t="str">
            <v>NO</v>
          </cell>
          <cell r="G302" t="str">
            <v>YES</v>
          </cell>
          <cell r="H302" t="str">
            <v>YES</v>
          </cell>
          <cell r="I302" t="str">
            <v>YES</v>
          </cell>
          <cell r="J302" t="str">
            <v>Yes</v>
          </cell>
        </row>
        <row r="303">
          <cell r="B303">
            <v>760711</v>
          </cell>
          <cell r="C303" t="str">
            <v>Aluminium; foil, (not backed), rolled (but not further worked), of a thickness not exceeding 0.2mm</v>
          </cell>
          <cell r="D303" t="str">
            <v>Consumables</v>
          </cell>
          <cell r="E303" t="str">
            <v>NO</v>
          </cell>
          <cell r="F303" t="str">
            <v>NO</v>
          </cell>
          <cell r="G303" t="str">
            <v>YES</v>
          </cell>
          <cell r="H303" t="str">
            <v>NO</v>
          </cell>
          <cell r="I303" t="str">
            <v>NO</v>
          </cell>
          <cell r="J303" t="str">
            <v>Yes</v>
          </cell>
        </row>
        <row r="304">
          <cell r="B304">
            <v>761510</v>
          </cell>
          <cell r="C304" t="str">
            <v>Aluminium; table, kitchen or other household articles and parts thereof; pot scourers and scouring or polishing pads, gloves and the like</v>
          </cell>
          <cell r="D304" t="str">
            <v>Capital Goods - rc</v>
          </cell>
          <cell r="E304" t="str">
            <v>NO</v>
          </cell>
          <cell r="F304" t="str">
            <v>NO</v>
          </cell>
          <cell r="G304" t="str">
            <v>YES</v>
          </cell>
          <cell r="H304" t="str">
            <v>NO</v>
          </cell>
          <cell r="I304" t="str">
            <v>NO</v>
          </cell>
          <cell r="J304" t="str">
            <v>Yes</v>
          </cell>
        </row>
        <row r="305">
          <cell r="B305">
            <v>820299</v>
          </cell>
          <cell r="C305" t="str">
            <v>Tools, hand; saw blades n.e.c. in heading no. 8202</v>
          </cell>
          <cell r="D305" t="str">
            <v>Capital Goods</v>
          </cell>
          <cell r="E305" t="str">
            <v>NO</v>
          </cell>
          <cell r="F305" t="str">
            <v>NO</v>
          </cell>
          <cell r="G305" t="str">
            <v>YES</v>
          </cell>
          <cell r="H305" t="str">
            <v>YES</v>
          </cell>
          <cell r="I305" t="str">
            <v>YES</v>
          </cell>
          <cell r="J305" t="str">
            <v>Yes</v>
          </cell>
        </row>
        <row r="306">
          <cell r="B306">
            <v>820340</v>
          </cell>
          <cell r="C306" t="str">
            <v>Tools, hand; pipe-cutters, bolt croppers, perforating punches and similar tools</v>
          </cell>
          <cell r="D306" t="str">
            <v>Capital Goods</v>
          </cell>
          <cell r="E306" t="str">
            <v>NO</v>
          </cell>
          <cell r="F306" t="str">
            <v>NO</v>
          </cell>
          <cell r="G306" t="str">
            <v>YES</v>
          </cell>
          <cell r="H306" t="str">
            <v>YES</v>
          </cell>
          <cell r="I306" t="str">
            <v>YES</v>
          </cell>
          <cell r="J306" t="str">
            <v>Yes</v>
          </cell>
        </row>
        <row r="307">
          <cell r="B307">
            <v>820590</v>
          </cell>
          <cell r="C307" t="str">
            <v>Tools, hand; n.e.c. in heading 8205, including anvils, portable forges, hand or pedal-operated grinding wheels with frameworks, and sets of articles of two or more of the subheadings in heading 8205</v>
          </cell>
          <cell r="D307" t="str">
            <v>Capital Goods</v>
          </cell>
          <cell r="E307" t="str">
            <v>NO</v>
          </cell>
          <cell r="F307" t="str">
            <v>NO</v>
          </cell>
          <cell r="G307" t="str">
            <v>YES</v>
          </cell>
          <cell r="H307" t="str">
            <v>YES</v>
          </cell>
          <cell r="I307" t="str">
            <v>YES</v>
          </cell>
          <cell r="J307" t="str">
            <v>Yes</v>
          </cell>
        </row>
        <row r="308">
          <cell r="B308">
            <v>820730</v>
          </cell>
          <cell r="C308" t="str">
            <v>Tools, interchangeable; (for machine or hand tools, whether or not power-operated), tools for pressing, stamping or punching</v>
          </cell>
          <cell r="D308" t="str">
            <v>Capital Goods</v>
          </cell>
          <cell r="E308" t="str">
            <v>NO</v>
          </cell>
          <cell r="F308" t="str">
            <v>NO</v>
          </cell>
          <cell r="G308" t="str">
            <v>YES</v>
          </cell>
          <cell r="H308" t="str">
            <v>NO</v>
          </cell>
          <cell r="I308" t="str">
            <v>YES</v>
          </cell>
          <cell r="J308" t="str">
            <v>Yes</v>
          </cell>
        </row>
        <row r="309">
          <cell r="B309">
            <v>820750</v>
          </cell>
          <cell r="C309" t="str">
            <v>Tools, interchangeable; (for machine or hand tools, whether or not power-operated), tools for drilling (other than rock)</v>
          </cell>
          <cell r="D309" t="str">
            <v>Capital Goods</v>
          </cell>
          <cell r="E309" t="str">
            <v>NO</v>
          </cell>
          <cell r="F309" t="str">
            <v>NO</v>
          </cell>
          <cell r="G309" t="str">
            <v>YES</v>
          </cell>
          <cell r="H309" t="str">
            <v>YES</v>
          </cell>
          <cell r="I309" t="str">
            <v>YES</v>
          </cell>
          <cell r="J309" t="str">
            <v>Yes</v>
          </cell>
        </row>
        <row r="310">
          <cell r="B310">
            <v>830110</v>
          </cell>
          <cell r="C310" t="str">
            <v>Padlocks; (key, combination or electrically operated), of base metal</v>
          </cell>
          <cell r="D310" t="str">
            <v>Consumables</v>
          </cell>
          <cell r="E310" t="str">
            <v>NO</v>
          </cell>
          <cell r="F310" t="str">
            <v>NO</v>
          </cell>
          <cell r="G310" t="str">
            <v>YES</v>
          </cell>
          <cell r="H310" t="str">
            <v>YES</v>
          </cell>
          <cell r="I310" t="str">
            <v>NO</v>
          </cell>
          <cell r="J310" t="str">
            <v>Yes</v>
          </cell>
        </row>
        <row r="311">
          <cell r="B311">
            <v>830120</v>
          </cell>
          <cell r="C311" t="str">
            <v>Locks; of a kind used for motor vehicles (key, combination or electrically operated), of base metal</v>
          </cell>
          <cell r="D311" t="str">
            <v>Capital Goods - rc</v>
          </cell>
          <cell r="E311" t="str">
            <v>NO</v>
          </cell>
          <cell r="F311" t="str">
            <v>NO</v>
          </cell>
          <cell r="G311" t="str">
            <v>YES</v>
          </cell>
          <cell r="H311" t="str">
            <v>NO</v>
          </cell>
          <cell r="I311" t="str">
            <v>YES</v>
          </cell>
          <cell r="J311" t="str">
            <v>Yes</v>
          </cell>
        </row>
        <row r="312">
          <cell r="B312">
            <v>830140</v>
          </cell>
          <cell r="C312" t="str">
            <v>Locks; (other than those for motor vehicles or furniture), (key, combination or electrically operated), of base metal</v>
          </cell>
          <cell r="D312" t="str">
            <v>Others</v>
          </cell>
          <cell r="E312" t="str">
            <v>NO</v>
          </cell>
          <cell r="F312" t="str">
            <v>NO</v>
          </cell>
          <cell r="G312" t="str">
            <v>YES</v>
          </cell>
          <cell r="H312" t="str">
            <v>YES</v>
          </cell>
          <cell r="I312" t="str">
            <v>YES</v>
          </cell>
          <cell r="J312" t="str">
            <v>Yes</v>
          </cell>
        </row>
        <row r="313">
          <cell r="B313">
            <v>830160</v>
          </cell>
          <cell r="C313" t="str">
            <v>Locks; parts of padlocks, locks, clasps and frames with clasps incorporating locks, of base metal</v>
          </cell>
          <cell r="D313" t="str">
            <v>Capital Goods - rc</v>
          </cell>
          <cell r="E313" t="str">
            <v>NO</v>
          </cell>
          <cell r="F313" t="str">
            <v>NO</v>
          </cell>
          <cell r="G313" t="str">
            <v>YES</v>
          </cell>
          <cell r="H313" t="str">
            <v>NO</v>
          </cell>
          <cell r="I313" t="str">
            <v>YES</v>
          </cell>
          <cell r="J313" t="str">
            <v>Yes</v>
          </cell>
        </row>
        <row r="314">
          <cell r="B314">
            <v>830241</v>
          </cell>
          <cell r="C314" t="str">
            <v>Mountings, fittings and similar articles; of base metal, suitable for buildings</v>
          </cell>
          <cell r="D314" t="str">
            <v>Consumables</v>
          </cell>
          <cell r="E314" t="str">
            <v>NO</v>
          </cell>
          <cell r="F314" t="str">
            <v>NO</v>
          </cell>
          <cell r="G314" t="str">
            <v>YES</v>
          </cell>
          <cell r="H314" t="str">
            <v>NO</v>
          </cell>
          <cell r="I314" t="str">
            <v>YES</v>
          </cell>
          <cell r="J314" t="str">
            <v>Yes</v>
          </cell>
        </row>
        <row r="315">
          <cell r="B315">
            <v>830249</v>
          </cell>
          <cell r="C315" t="str">
            <v>Mountings, fittings and similar articles; suitable for other than buildings or furniture, of base metal</v>
          </cell>
          <cell r="D315" t="str">
            <v>Parts &amp; Accessories - rc</v>
          </cell>
          <cell r="E315" t="str">
            <v>NO</v>
          </cell>
          <cell r="F315" t="str">
            <v>NO</v>
          </cell>
          <cell r="G315" t="str">
            <v>YES</v>
          </cell>
          <cell r="H315" t="str">
            <v>NO</v>
          </cell>
          <cell r="I315" t="str">
            <v>YES</v>
          </cell>
          <cell r="J315" t="str">
            <v>Yes</v>
          </cell>
        </row>
        <row r="316">
          <cell r="B316">
            <v>830590</v>
          </cell>
          <cell r="C316" t="str">
            <v>Stationery; letter clips, letter corners, paper clips, indexing tags and similar office articles, including parts, of base metal</v>
          </cell>
          <cell r="D316" t="str">
            <v>Consumables - rc</v>
          </cell>
          <cell r="E316" t="str">
            <v>NO</v>
          </cell>
          <cell r="F316" t="str">
            <v>NO</v>
          </cell>
          <cell r="G316" t="str">
            <v>YES</v>
          </cell>
          <cell r="H316" t="str">
            <v>NO</v>
          </cell>
          <cell r="I316" t="str">
            <v>YES</v>
          </cell>
          <cell r="J316" t="str">
            <v>Yes</v>
          </cell>
        </row>
        <row r="317">
          <cell r="B317">
            <v>830810</v>
          </cell>
          <cell r="C317" t="str">
            <v>Hooks, eyes and eyelets; of base metal, of a kind used for clothing, footwear, awnings, handbags, travel goods or other made up articles</v>
          </cell>
          <cell r="D317" t="str">
            <v>Consumables - rc</v>
          </cell>
          <cell r="E317" t="str">
            <v>NO</v>
          </cell>
          <cell r="F317" t="str">
            <v>NO</v>
          </cell>
          <cell r="G317" t="str">
            <v>YES</v>
          </cell>
          <cell r="H317" t="str">
            <v>NO</v>
          </cell>
          <cell r="I317" t="str">
            <v>YES</v>
          </cell>
          <cell r="J317" t="str">
            <v>Yes</v>
          </cell>
        </row>
        <row r="318">
          <cell r="B318">
            <v>831000</v>
          </cell>
          <cell r="C318" t="str">
            <v>Sign plates, name-plates, address-plates and similar plates, numbers, letters and other symbols; of base metal, excluding those of heading no. 9405</v>
          </cell>
          <cell r="D318" t="str">
            <v>Others</v>
          </cell>
          <cell r="E318" t="str">
            <v>NO</v>
          </cell>
          <cell r="F318" t="str">
            <v>NO</v>
          </cell>
          <cell r="G318" t="str">
            <v>YES</v>
          </cell>
          <cell r="H318" t="str">
            <v>YES</v>
          </cell>
          <cell r="I318" t="str">
            <v>YES</v>
          </cell>
          <cell r="J318" t="str">
            <v>Yes</v>
          </cell>
        </row>
        <row r="319">
          <cell r="B319">
            <v>841229</v>
          </cell>
          <cell r="C319" t="str">
            <v>Engines; hydraulic power engines and motors, other than linear acting (cylinders)</v>
          </cell>
          <cell r="D319" t="str">
            <v>Capital Goods</v>
          </cell>
          <cell r="E319" t="str">
            <v>NO</v>
          </cell>
          <cell r="F319" t="str">
            <v>NO</v>
          </cell>
          <cell r="G319" t="str">
            <v>YES</v>
          </cell>
          <cell r="H319" t="str">
            <v>NO</v>
          </cell>
          <cell r="I319" t="str">
            <v>YES</v>
          </cell>
          <cell r="J319" t="str">
            <v>Yes</v>
          </cell>
        </row>
        <row r="320">
          <cell r="B320">
            <v>841330</v>
          </cell>
          <cell r="C320" t="str">
            <v>Pumps; fuel, lubricating or cooling medium pumps for internal combustion piston engines</v>
          </cell>
          <cell r="D320" t="str">
            <v>Parts &amp; Accessories - rc</v>
          </cell>
          <cell r="E320" t="str">
            <v>NO</v>
          </cell>
          <cell r="F320" t="str">
            <v>NO</v>
          </cell>
          <cell r="G320" t="str">
            <v>YES</v>
          </cell>
          <cell r="H320" t="str">
            <v>NO</v>
          </cell>
          <cell r="I320" t="str">
            <v>YES</v>
          </cell>
          <cell r="J320" t="str">
            <v>Yes</v>
          </cell>
        </row>
        <row r="321">
          <cell r="B321">
            <v>841382</v>
          </cell>
          <cell r="C321" t="str">
            <v>Liquid elevators</v>
          </cell>
          <cell r="D321" t="str">
            <v>Capital Goods</v>
          </cell>
          <cell r="E321" t="str">
            <v>NO</v>
          </cell>
          <cell r="F321" t="str">
            <v>NO</v>
          </cell>
          <cell r="G321" t="str">
            <v>YES</v>
          </cell>
          <cell r="H321" t="str">
            <v>NO</v>
          </cell>
          <cell r="I321" t="str">
            <v>NO</v>
          </cell>
          <cell r="J321" t="str">
            <v>Yes</v>
          </cell>
        </row>
        <row r="322">
          <cell r="B322">
            <v>841430</v>
          </cell>
          <cell r="C322" t="str">
            <v>Compressors; of a kind used in refrigerating equipment</v>
          </cell>
          <cell r="D322" t="str">
            <v>Durable</v>
          </cell>
          <cell r="E322" t="str">
            <v>NO</v>
          </cell>
          <cell r="F322" t="str">
            <v>NO</v>
          </cell>
          <cell r="G322" t="str">
            <v>YES</v>
          </cell>
          <cell r="H322" t="str">
            <v>NO</v>
          </cell>
          <cell r="I322" t="str">
            <v>NO</v>
          </cell>
          <cell r="J322" t="str">
            <v>Yes</v>
          </cell>
        </row>
        <row r="323">
          <cell r="B323">
            <v>841451</v>
          </cell>
          <cell r="C323" t="str">
            <v>Fans; table, floor, wall, window, ceiling or roof fans, with a self-contained electric motor of an output not exceeding 125W</v>
          </cell>
          <cell r="D323" t="str">
            <v>Durable</v>
          </cell>
          <cell r="E323" t="str">
            <v>NO</v>
          </cell>
          <cell r="F323" t="str">
            <v>NO</v>
          </cell>
          <cell r="G323" t="str">
            <v>YES</v>
          </cell>
          <cell r="H323" t="str">
            <v>NO</v>
          </cell>
          <cell r="I323" t="str">
            <v>YES</v>
          </cell>
          <cell r="J323" t="str">
            <v>Yes</v>
          </cell>
        </row>
        <row r="324">
          <cell r="B324">
            <v>841590</v>
          </cell>
          <cell r="C324" t="str">
            <v>Air conditioning machines; with motor driven fan and elements for temperature control, parts thereof</v>
          </cell>
          <cell r="D324" t="str">
            <v>Durable</v>
          </cell>
          <cell r="E324" t="str">
            <v>NO</v>
          </cell>
          <cell r="F324" t="str">
            <v>NO</v>
          </cell>
          <cell r="G324" t="str">
            <v>YES</v>
          </cell>
          <cell r="H324" t="str">
            <v>NO</v>
          </cell>
          <cell r="I324" t="str">
            <v>NO</v>
          </cell>
          <cell r="J324" t="str">
            <v>Yes</v>
          </cell>
        </row>
        <row r="325">
          <cell r="B325">
            <v>841821</v>
          </cell>
          <cell r="C325" t="str">
            <v>Refrigerators; for household use, compression-type, electric or other</v>
          </cell>
          <cell r="D325" t="str">
            <v>Durable</v>
          </cell>
          <cell r="E325" t="str">
            <v>NO</v>
          </cell>
          <cell r="F325" t="str">
            <v>NO</v>
          </cell>
          <cell r="G325" t="str">
            <v>YES</v>
          </cell>
          <cell r="H325" t="str">
            <v>NO</v>
          </cell>
          <cell r="I325" t="str">
            <v>NO</v>
          </cell>
          <cell r="J325" t="str">
            <v>Yes</v>
          </cell>
        </row>
        <row r="326">
          <cell r="B326">
            <v>841829</v>
          </cell>
          <cell r="C326" t="str">
            <v>Refrigerators; household, electric or not, other than compression-type</v>
          </cell>
          <cell r="D326" t="str">
            <v>Durable</v>
          </cell>
          <cell r="E326" t="str">
            <v>NO</v>
          </cell>
          <cell r="F326" t="str">
            <v>NO</v>
          </cell>
          <cell r="G326" t="str">
            <v>YES</v>
          </cell>
          <cell r="H326" t="str">
            <v>NO</v>
          </cell>
          <cell r="I326" t="str">
            <v>NO</v>
          </cell>
          <cell r="J326" t="str">
            <v>Yes</v>
          </cell>
        </row>
        <row r="327">
          <cell r="B327">
            <v>841990</v>
          </cell>
          <cell r="C327" t="str">
            <v>Machinery, plant and laboratory equipment; parts of equipment for treating materials by a process involving a change of temperature</v>
          </cell>
          <cell r="D327" t="str">
            <v>Parts &amp; Accessories</v>
          </cell>
          <cell r="E327" t="str">
            <v>NO</v>
          </cell>
          <cell r="F327" t="str">
            <v>NO</v>
          </cell>
          <cell r="G327" t="str">
            <v>YES</v>
          </cell>
          <cell r="H327" t="str">
            <v>NO</v>
          </cell>
          <cell r="I327" t="str">
            <v>YES</v>
          </cell>
          <cell r="J327" t="str">
            <v>Yes</v>
          </cell>
        </row>
        <row r="328">
          <cell r="B328">
            <v>842091</v>
          </cell>
          <cell r="C328" t="str">
            <v>Machines; parts, cylinders for calendering or other rolling machines, for other than metal or glass</v>
          </cell>
          <cell r="D328" t="str">
            <v>Parts &amp; Accessories</v>
          </cell>
          <cell r="E328" t="str">
            <v>NO</v>
          </cell>
          <cell r="F328" t="str">
            <v>NO</v>
          </cell>
          <cell r="G328" t="str">
            <v>YES</v>
          </cell>
          <cell r="H328" t="str">
            <v>NO</v>
          </cell>
          <cell r="I328" t="str">
            <v>NO</v>
          </cell>
          <cell r="J328" t="str">
            <v>Yes</v>
          </cell>
        </row>
        <row r="329">
          <cell r="B329">
            <v>842121</v>
          </cell>
          <cell r="C329" t="str">
            <v>Machinery; for filtering or purifying water</v>
          </cell>
          <cell r="D329" t="str">
            <v>Capital Goods - rc</v>
          </cell>
          <cell r="E329" t="str">
            <v>NO</v>
          </cell>
          <cell r="F329" t="str">
            <v>NO</v>
          </cell>
          <cell r="G329" t="str">
            <v>YES</v>
          </cell>
          <cell r="H329" t="str">
            <v>YES</v>
          </cell>
          <cell r="I329" t="str">
            <v>YES</v>
          </cell>
          <cell r="J329" t="str">
            <v>Yes</v>
          </cell>
        </row>
        <row r="330">
          <cell r="B330">
            <v>842123</v>
          </cell>
          <cell r="C330" t="str">
            <v>Machinery; filtering or purifying machinery, oil or petrol filters for internal combustion engines</v>
          </cell>
          <cell r="D330" t="str">
            <v>Capital Goods</v>
          </cell>
          <cell r="E330" t="str">
            <v>NO</v>
          </cell>
          <cell r="F330" t="str">
            <v>NO</v>
          </cell>
          <cell r="G330" t="str">
            <v>YES</v>
          </cell>
          <cell r="H330" t="str">
            <v>NO</v>
          </cell>
          <cell r="I330" t="str">
            <v>NO</v>
          </cell>
          <cell r="J330" t="str">
            <v>Yes</v>
          </cell>
        </row>
        <row r="331">
          <cell r="B331">
            <v>842129</v>
          </cell>
          <cell r="C331" t="str">
            <v>Machinery; for filtering or purifying liquids, n.e.c. in item no. 8421.2</v>
          </cell>
          <cell r="D331" t="str">
            <v>Capital Goods</v>
          </cell>
          <cell r="E331" t="str">
            <v>NO</v>
          </cell>
          <cell r="F331" t="str">
            <v>NO</v>
          </cell>
          <cell r="G331" t="str">
            <v>YES</v>
          </cell>
          <cell r="H331" t="str">
            <v>NO</v>
          </cell>
          <cell r="I331" t="str">
            <v>YES</v>
          </cell>
          <cell r="J331" t="str">
            <v>Yes</v>
          </cell>
        </row>
        <row r="332">
          <cell r="B332">
            <v>842211</v>
          </cell>
          <cell r="C332" t="str">
            <v>Dish washing machines; of the household type</v>
          </cell>
          <cell r="D332" t="str">
            <v>Durable</v>
          </cell>
          <cell r="E332" t="str">
            <v>NO</v>
          </cell>
          <cell r="F332" t="str">
            <v>NO</v>
          </cell>
          <cell r="G332" t="str">
            <v>YES</v>
          </cell>
          <cell r="H332" t="str">
            <v>NO</v>
          </cell>
          <cell r="I332" t="str">
            <v>NO</v>
          </cell>
          <cell r="J332" t="str">
            <v>Yes</v>
          </cell>
        </row>
        <row r="333">
          <cell r="B333">
            <v>842240</v>
          </cell>
          <cell r="C333" t="str">
            <v>Machinery; for packing or wrapping</v>
          </cell>
          <cell r="D333" t="str">
            <v>Capital Goods</v>
          </cell>
          <cell r="E333" t="str">
            <v>NO</v>
          </cell>
          <cell r="F333" t="str">
            <v>NO</v>
          </cell>
          <cell r="G333" t="str">
            <v>YES</v>
          </cell>
          <cell r="H333" t="str">
            <v>YES</v>
          </cell>
          <cell r="I333" t="str">
            <v>YES</v>
          </cell>
          <cell r="J333" t="str">
            <v>Yes</v>
          </cell>
        </row>
        <row r="334">
          <cell r="B334">
            <v>842290</v>
          </cell>
          <cell r="C334" t="str">
            <v>Machinery; parts of machinery of heading no. 8422</v>
          </cell>
          <cell r="D334" t="str">
            <v>Parts &amp; Accessories</v>
          </cell>
          <cell r="E334" t="str">
            <v>NO</v>
          </cell>
          <cell r="F334" t="str">
            <v>NO</v>
          </cell>
          <cell r="G334" t="str">
            <v>YES</v>
          </cell>
          <cell r="H334" t="str">
            <v>YES</v>
          </cell>
          <cell r="I334" t="str">
            <v>YES</v>
          </cell>
          <cell r="J334" t="str">
            <v>Yes</v>
          </cell>
        </row>
        <row r="335">
          <cell r="B335">
            <v>842710</v>
          </cell>
          <cell r="C335" t="str">
            <v>Fork-lift and other works trucks; fitted with lifting or handling equipment, self-propelled by electric motor</v>
          </cell>
          <cell r="D335" t="str">
            <v>Capital Goods</v>
          </cell>
          <cell r="E335" t="str">
            <v>NO</v>
          </cell>
          <cell r="F335" t="str">
            <v>NO</v>
          </cell>
          <cell r="G335" t="str">
            <v>YES</v>
          </cell>
          <cell r="H335" t="str">
            <v>NO</v>
          </cell>
          <cell r="I335" t="str">
            <v>NO</v>
          </cell>
          <cell r="J335" t="str">
            <v>Yes</v>
          </cell>
        </row>
        <row r="336">
          <cell r="B336">
            <v>842820</v>
          </cell>
          <cell r="C336" t="str">
            <v>Elevators and conveyors; pneumatic</v>
          </cell>
          <cell r="D336" t="str">
            <v>Capital Goods</v>
          </cell>
          <cell r="E336" t="str">
            <v>NO</v>
          </cell>
          <cell r="F336" t="str">
            <v>NO</v>
          </cell>
          <cell r="G336" t="str">
            <v>YES</v>
          </cell>
          <cell r="H336" t="str">
            <v>YES</v>
          </cell>
          <cell r="I336" t="str">
            <v>YES</v>
          </cell>
          <cell r="J336" t="str">
            <v>Yes</v>
          </cell>
        </row>
        <row r="337">
          <cell r="B337">
            <v>842839</v>
          </cell>
          <cell r="C337" t="str">
            <v>Elevators and conveyors; continuous-action, for goods or materials, n.e.c. in item no. 8428.20, 8428.31, 8428.32 or 8428.33</v>
          </cell>
          <cell r="D337" t="str">
            <v>Capital Goods</v>
          </cell>
          <cell r="E337" t="str">
            <v>NO</v>
          </cell>
          <cell r="F337" t="str">
            <v>NO</v>
          </cell>
          <cell r="G337" t="str">
            <v>YES</v>
          </cell>
          <cell r="H337" t="str">
            <v>YES</v>
          </cell>
          <cell r="I337" t="str">
            <v>YES</v>
          </cell>
          <cell r="J337" t="str">
            <v>Yes</v>
          </cell>
        </row>
        <row r="338">
          <cell r="B338">
            <v>843120</v>
          </cell>
          <cell r="C338" t="str">
            <v>Machinery; parts of the machinery of heading no. 8427</v>
          </cell>
          <cell r="D338" t="str">
            <v>Parts &amp; Accessories</v>
          </cell>
          <cell r="E338" t="str">
            <v>NO</v>
          </cell>
          <cell r="F338" t="str">
            <v>NO</v>
          </cell>
          <cell r="G338" t="str">
            <v>YES</v>
          </cell>
          <cell r="H338" t="str">
            <v>NO</v>
          </cell>
          <cell r="I338" t="str">
            <v>YES</v>
          </cell>
          <cell r="J338" t="str">
            <v>Yes</v>
          </cell>
        </row>
        <row r="339">
          <cell r="B339">
            <v>843139</v>
          </cell>
          <cell r="C339" t="str">
            <v>Machinery; parts of the machinery of heading no. 8428, (other than lifts, skip hoists or escalators)</v>
          </cell>
          <cell r="D339" t="str">
            <v>Parts &amp; Accessories</v>
          </cell>
          <cell r="E339" t="str">
            <v>NO</v>
          </cell>
          <cell r="F339" t="str">
            <v>NO</v>
          </cell>
          <cell r="G339" t="str">
            <v>YES</v>
          </cell>
          <cell r="H339" t="str">
            <v>YES</v>
          </cell>
          <cell r="I339" t="str">
            <v>YES</v>
          </cell>
          <cell r="J339" t="str">
            <v>Yes</v>
          </cell>
        </row>
        <row r="340">
          <cell r="B340">
            <v>844399</v>
          </cell>
          <cell r="C340" t="str">
            <v>Printing machinery; parts and accessories, n.e.c. in item no. 8443.91</v>
          </cell>
          <cell r="D340" t="str">
            <v>Parts &amp; Accessories - rc</v>
          </cell>
          <cell r="E340" t="str">
            <v>NO</v>
          </cell>
          <cell r="F340" t="str">
            <v>NO</v>
          </cell>
          <cell r="G340" t="str">
            <v>YES</v>
          </cell>
          <cell r="H340" t="str">
            <v>YES</v>
          </cell>
          <cell r="I340" t="str">
            <v>YES</v>
          </cell>
          <cell r="J340" t="str">
            <v>Yes</v>
          </cell>
        </row>
        <row r="341">
          <cell r="B341">
            <v>845011</v>
          </cell>
          <cell r="C341" t="str">
            <v>Washing machines; household or laundry-type, fully-automatic, (of a dry linen capacity not exceeding 10kg)</v>
          </cell>
          <cell r="D341" t="str">
            <v>Durable</v>
          </cell>
          <cell r="E341" t="str">
            <v>NO</v>
          </cell>
          <cell r="F341" t="str">
            <v>NO</v>
          </cell>
          <cell r="G341" t="str">
            <v>YES</v>
          </cell>
          <cell r="H341" t="str">
            <v>NO</v>
          </cell>
          <cell r="I341" t="str">
            <v>NO</v>
          </cell>
          <cell r="J341" t="str">
            <v>Yes</v>
          </cell>
        </row>
        <row r="342">
          <cell r="B342">
            <v>845020</v>
          </cell>
          <cell r="C342" t="str">
            <v>Washing machines; household or laundry-type, of a dry linen capacity exceeding 10kg</v>
          </cell>
          <cell r="D342" t="str">
            <v>Durable</v>
          </cell>
          <cell r="E342" t="str">
            <v>NO</v>
          </cell>
          <cell r="F342" t="str">
            <v>NO</v>
          </cell>
          <cell r="G342" t="str">
            <v>YES</v>
          </cell>
          <cell r="H342" t="str">
            <v>NO</v>
          </cell>
          <cell r="I342" t="str">
            <v>NO</v>
          </cell>
          <cell r="J342" t="str">
            <v>Yes</v>
          </cell>
        </row>
        <row r="343">
          <cell r="B343">
            <v>845090</v>
          </cell>
          <cell r="C343" t="str">
            <v>Washing machines; parts for household or laundry-type</v>
          </cell>
          <cell r="D343" t="str">
            <v>Parts &amp; Accessories - rc</v>
          </cell>
          <cell r="E343" t="str">
            <v>NO</v>
          </cell>
          <cell r="F343" t="str">
            <v>NO</v>
          </cell>
          <cell r="G343" t="str">
            <v>YES</v>
          </cell>
          <cell r="H343" t="str">
            <v>NO</v>
          </cell>
          <cell r="I343" t="str">
            <v>NO</v>
          </cell>
          <cell r="J343" t="str">
            <v>Yes</v>
          </cell>
        </row>
        <row r="344">
          <cell r="B344">
            <v>845190</v>
          </cell>
          <cell r="C344" t="str">
            <v>Machinery; parts, of the machinery of heading no. 8451</v>
          </cell>
          <cell r="D344" t="str">
            <v>Parts &amp; Accessories</v>
          </cell>
          <cell r="E344" t="str">
            <v>NO</v>
          </cell>
          <cell r="F344" t="str">
            <v>NO</v>
          </cell>
          <cell r="G344" t="str">
            <v>YES</v>
          </cell>
          <cell r="H344" t="str">
            <v>NO</v>
          </cell>
          <cell r="I344" t="str">
            <v>NO</v>
          </cell>
          <cell r="J344" t="str">
            <v>Yes</v>
          </cell>
        </row>
        <row r="345">
          <cell r="B345">
            <v>846599</v>
          </cell>
          <cell r="C345" t="str">
            <v>Machine-tools; for working wood, cork, bone, hard rubber, hard plastics or similar hard materials; n.e.c. in heading no. 8465</v>
          </cell>
          <cell r="D345" t="str">
            <v>Capital Goods</v>
          </cell>
          <cell r="E345" t="str">
            <v>NO</v>
          </cell>
          <cell r="F345" t="str">
            <v>NO</v>
          </cell>
          <cell r="G345" t="str">
            <v>YES</v>
          </cell>
          <cell r="H345" t="str">
            <v>YES</v>
          </cell>
          <cell r="I345" t="str">
            <v>YES</v>
          </cell>
          <cell r="J345" t="str">
            <v>Yes</v>
          </cell>
        </row>
        <row r="346">
          <cell r="B346">
            <v>846694</v>
          </cell>
          <cell r="C346" t="str">
            <v>Machine-tools; parts and accessories, for the machines of heading no. 8462 or 8463, n.e.c. in heading no. 8466</v>
          </cell>
          <cell r="D346" t="str">
            <v>Parts &amp; Accessories</v>
          </cell>
          <cell r="E346" t="str">
            <v>NO</v>
          </cell>
          <cell r="F346" t="str">
            <v>NO</v>
          </cell>
          <cell r="G346" t="str">
            <v>YES</v>
          </cell>
          <cell r="H346" t="str">
            <v>NO</v>
          </cell>
          <cell r="I346" t="str">
            <v>YES</v>
          </cell>
          <cell r="J346" t="str">
            <v>Yes</v>
          </cell>
        </row>
        <row r="347">
          <cell r="B347">
            <v>846729</v>
          </cell>
          <cell r="C347" t="str">
            <v>Tools; for working in the hand, with self-contained electric motor; other than saws and drills</v>
          </cell>
          <cell r="D347" t="str">
            <v>Capital Goods</v>
          </cell>
          <cell r="E347" t="str">
            <v>NO</v>
          </cell>
          <cell r="F347" t="str">
            <v>NO</v>
          </cell>
          <cell r="G347" t="str">
            <v>YES</v>
          </cell>
          <cell r="H347" t="str">
            <v>YES</v>
          </cell>
          <cell r="I347" t="str">
            <v>YES</v>
          </cell>
          <cell r="J347" t="str">
            <v>Yes</v>
          </cell>
        </row>
        <row r="348">
          <cell r="B348">
            <v>846789</v>
          </cell>
          <cell r="C348" t="str">
            <v>Tools; for working in the hand, (other than chain saws), hydraulic or with self-contained non-electric motor, (not pneumatic)</v>
          </cell>
          <cell r="D348" t="str">
            <v>Capital Goods</v>
          </cell>
          <cell r="E348" t="str">
            <v>NO</v>
          </cell>
          <cell r="F348" t="str">
            <v>NO</v>
          </cell>
          <cell r="G348" t="str">
            <v>YES</v>
          </cell>
          <cell r="H348" t="str">
            <v>YES</v>
          </cell>
          <cell r="I348" t="str">
            <v>NO</v>
          </cell>
          <cell r="J348" t="str">
            <v>Yes</v>
          </cell>
        </row>
        <row r="349">
          <cell r="B349">
            <v>846890</v>
          </cell>
          <cell r="C349" t="str">
            <v>Machinery and apparatus; parts, soldering, brazing or welding, whether or not capable of cutting, parts thereof</v>
          </cell>
          <cell r="D349" t="str">
            <v>Parts &amp; Accessories</v>
          </cell>
          <cell r="E349" t="str">
            <v>NO</v>
          </cell>
          <cell r="F349" t="str">
            <v>NO</v>
          </cell>
          <cell r="G349" t="str">
            <v>YES</v>
          </cell>
          <cell r="H349" t="str">
            <v>NO</v>
          </cell>
          <cell r="I349" t="str">
            <v>YES</v>
          </cell>
          <cell r="J349" t="str">
            <v>Yes</v>
          </cell>
        </row>
        <row r="350">
          <cell r="B350">
            <v>847010</v>
          </cell>
          <cell r="C350" t="str">
            <v>Calculating machines; electronic calculators capable of operation without an external source of electric power and pocket-size data recording, reproducing and displaying machines with calculating functions</v>
          </cell>
          <cell r="D350" t="str">
            <v>Capital Goods</v>
          </cell>
          <cell r="E350" t="str">
            <v>NO</v>
          </cell>
          <cell r="F350" t="str">
            <v>NO</v>
          </cell>
          <cell r="G350" t="str">
            <v>YES</v>
          </cell>
          <cell r="H350" t="str">
            <v>NO</v>
          </cell>
          <cell r="I350" t="str">
            <v>NO</v>
          </cell>
          <cell r="J350" t="str">
            <v>Yes</v>
          </cell>
        </row>
        <row r="351">
          <cell r="B351">
            <v>847130</v>
          </cell>
          <cell r="C351" t="str">
            <v>Automatic data processing machines; portable, weighing not more than 10kg, consisting of at least a central processing unit, a keyboard and a display</v>
          </cell>
          <cell r="D351" t="str">
            <v>Durable</v>
          </cell>
          <cell r="E351" t="str">
            <v>NO</v>
          </cell>
          <cell r="F351" t="str">
            <v>NO</v>
          </cell>
          <cell r="G351" t="str">
            <v>YES</v>
          </cell>
          <cell r="H351" t="str">
            <v>YES</v>
          </cell>
          <cell r="I351" t="str">
            <v>YES</v>
          </cell>
          <cell r="J351" t="str">
            <v>Yes</v>
          </cell>
        </row>
        <row r="352">
          <cell r="B352">
            <v>847149</v>
          </cell>
          <cell r="C352" t="str">
            <v>Automatic data processing machines; presented in the form of systems, n.e.c. in item no. 8471.30 or 8471.41</v>
          </cell>
          <cell r="D352" t="str">
            <v>Durable</v>
          </cell>
          <cell r="E352" t="str">
            <v>NO</v>
          </cell>
          <cell r="F352" t="str">
            <v>NO</v>
          </cell>
          <cell r="G352" t="str">
            <v>YES</v>
          </cell>
          <cell r="H352" t="str">
            <v>NO</v>
          </cell>
          <cell r="I352" t="str">
            <v>YES</v>
          </cell>
          <cell r="J352" t="str">
            <v>Yes</v>
          </cell>
        </row>
        <row r="353">
          <cell r="B353">
            <v>847160</v>
          </cell>
          <cell r="C353" t="str">
            <v>Units of automatic data processing machines; input or output units, whether or not containing storage units in the same housing</v>
          </cell>
          <cell r="D353" t="str">
            <v>Durable</v>
          </cell>
          <cell r="E353" t="str">
            <v>NO</v>
          </cell>
          <cell r="F353" t="str">
            <v>NO</v>
          </cell>
          <cell r="G353" t="str">
            <v>YES</v>
          </cell>
          <cell r="H353" t="str">
            <v>YES</v>
          </cell>
          <cell r="I353" t="str">
            <v>YES</v>
          </cell>
          <cell r="J353" t="str">
            <v>Yes</v>
          </cell>
        </row>
        <row r="354">
          <cell r="B354">
            <v>847170</v>
          </cell>
          <cell r="C354" t="str">
            <v>Units of automatic data processing machines; storage units</v>
          </cell>
          <cell r="D354" t="str">
            <v>Parts &amp; Accessories - rc</v>
          </cell>
          <cell r="E354" t="str">
            <v>NO</v>
          </cell>
          <cell r="F354" t="str">
            <v>NO</v>
          </cell>
          <cell r="G354" t="str">
            <v>YES</v>
          </cell>
          <cell r="H354" t="str">
            <v>YES</v>
          </cell>
          <cell r="I354" t="str">
            <v>YES</v>
          </cell>
          <cell r="J354" t="str">
            <v>Yes</v>
          </cell>
        </row>
        <row r="355">
          <cell r="B355">
            <v>848041</v>
          </cell>
          <cell r="C355" t="str">
            <v>Moulds; for metal or metal carbides, injection or compression types</v>
          </cell>
          <cell r="D355" t="str">
            <v>Parts &amp; Accessories</v>
          </cell>
          <cell r="E355" t="str">
            <v>NO</v>
          </cell>
          <cell r="F355" t="str">
            <v>NO</v>
          </cell>
          <cell r="G355" t="str">
            <v>YES</v>
          </cell>
          <cell r="H355" t="str">
            <v>NO</v>
          </cell>
          <cell r="I355" t="str">
            <v>NO</v>
          </cell>
          <cell r="J355" t="str">
            <v>Yes</v>
          </cell>
        </row>
        <row r="356">
          <cell r="B356">
            <v>848071</v>
          </cell>
          <cell r="C356" t="str">
            <v>Moulds; for rubber or plastics, injection or compression types</v>
          </cell>
          <cell r="D356" t="str">
            <v>Parts &amp; Accessories</v>
          </cell>
          <cell r="E356" t="str">
            <v>NO</v>
          </cell>
          <cell r="F356" t="str">
            <v>NO</v>
          </cell>
          <cell r="G356" t="str">
            <v>YES</v>
          </cell>
          <cell r="H356" t="str">
            <v>NO</v>
          </cell>
          <cell r="I356" t="str">
            <v>YES</v>
          </cell>
          <cell r="J356" t="str">
            <v>Yes</v>
          </cell>
        </row>
        <row r="357">
          <cell r="B357">
            <v>848190</v>
          </cell>
          <cell r="C357" t="str">
            <v>Taps, cocks, valves and similar appliances; parts thereof</v>
          </cell>
          <cell r="D357" t="str">
            <v>Parts &amp; Accessories</v>
          </cell>
          <cell r="E357" t="str">
            <v>NO</v>
          </cell>
          <cell r="F357" t="str">
            <v>NO</v>
          </cell>
          <cell r="G357" t="str">
            <v>YES</v>
          </cell>
          <cell r="H357" t="str">
            <v>YES</v>
          </cell>
          <cell r="I357" t="str">
            <v>YES</v>
          </cell>
          <cell r="J357" t="str">
            <v>Yes</v>
          </cell>
        </row>
        <row r="358">
          <cell r="B358">
            <v>848350</v>
          </cell>
          <cell r="C358" t="str">
            <v>Pulleys and flywheels, including pulley blocks</v>
          </cell>
          <cell r="D358" t="str">
            <v>Parts &amp; Accessories</v>
          </cell>
          <cell r="E358" t="str">
            <v>NO</v>
          </cell>
          <cell r="F358" t="str">
            <v>NO</v>
          </cell>
          <cell r="G358" t="str">
            <v>YES</v>
          </cell>
          <cell r="H358" t="str">
            <v>YES</v>
          </cell>
          <cell r="I358" t="str">
            <v>YES</v>
          </cell>
          <cell r="J358" t="str">
            <v>Yes</v>
          </cell>
        </row>
        <row r="359">
          <cell r="B359">
            <v>848490</v>
          </cell>
          <cell r="C359" t="str">
            <v>Gasket sets or assortments of gaskets and similar joints; dissimilar in composition, put up in pouches, envelopes or similar packings</v>
          </cell>
          <cell r="D359" t="str">
            <v>Parts &amp; Accessories</v>
          </cell>
          <cell r="E359" t="str">
            <v>NO</v>
          </cell>
          <cell r="F359" t="str">
            <v>NO</v>
          </cell>
          <cell r="G359" t="str">
            <v>YES</v>
          </cell>
          <cell r="H359" t="str">
            <v>YES</v>
          </cell>
          <cell r="I359" t="str">
            <v>YES</v>
          </cell>
          <cell r="J359" t="str">
            <v>Yes</v>
          </cell>
        </row>
        <row r="360">
          <cell r="B360">
            <v>850171</v>
          </cell>
          <cell r="C360" t="str">
            <v>Electric generators; photovoltaic DC generators, of an output not exceeding 50W</v>
          </cell>
          <cell r="D360" t="str">
            <v>Capital Goods</v>
          </cell>
          <cell r="E360" t="str">
            <v>NO</v>
          </cell>
          <cell r="F360" t="str">
            <v>NO</v>
          </cell>
          <cell r="G360" t="str">
            <v>YES</v>
          </cell>
          <cell r="H360" t="str">
            <v>NO</v>
          </cell>
          <cell r="I360" t="str">
            <v>NO</v>
          </cell>
          <cell r="J360" t="str">
            <v>Yes</v>
          </cell>
        </row>
        <row r="361">
          <cell r="B361">
            <v>850180</v>
          </cell>
          <cell r="C361" t="str">
            <v>Electric generators; (excluding generating sets), photovoltaic AC generators (alternators)</v>
          </cell>
          <cell r="D361" t="str">
            <v>Capital Goods</v>
          </cell>
          <cell r="E361" t="str">
            <v>NO</v>
          </cell>
          <cell r="F361" t="str">
            <v>NO</v>
          </cell>
          <cell r="G361" t="str">
            <v>YES</v>
          </cell>
          <cell r="H361" t="str">
            <v>NO</v>
          </cell>
          <cell r="I361" t="str">
            <v>NO</v>
          </cell>
          <cell r="J361" t="str">
            <v>Yes</v>
          </cell>
        </row>
        <row r="362">
          <cell r="B362">
            <v>850431</v>
          </cell>
          <cell r="C362" t="str">
            <v>Electrical transformers; n.e.c. in item no. 8504.2, having a power handling capacity not exceeding 1kVA</v>
          </cell>
          <cell r="D362" t="str">
            <v>Parts &amp; Accessories</v>
          </cell>
          <cell r="E362" t="str">
            <v>NO</v>
          </cell>
          <cell r="F362" t="str">
            <v>NO</v>
          </cell>
          <cell r="G362" t="str">
            <v>YES</v>
          </cell>
          <cell r="H362" t="str">
            <v>YES</v>
          </cell>
          <cell r="I362" t="str">
            <v>YES</v>
          </cell>
          <cell r="J362" t="str">
            <v>Yes</v>
          </cell>
        </row>
        <row r="363">
          <cell r="B363">
            <v>850432</v>
          </cell>
          <cell r="C363" t="str">
            <v>Transformers; n.e.c. in item no. 8504.2, having a power handling capacity exceeding 1kVA but not exceeding 16kVA</v>
          </cell>
          <cell r="D363" t="str">
            <v>Parts &amp; Accessories</v>
          </cell>
          <cell r="E363" t="str">
            <v>NO</v>
          </cell>
          <cell r="F363" t="str">
            <v>NO</v>
          </cell>
          <cell r="G363" t="str">
            <v>YES</v>
          </cell>
          <cell r="H363" t="str">
            <v>NO</v>
          </cell>
          <cell r="I363" t="str">
            <v>YES</v>
          </cell>
          <cell r="J363" t="str">
            <v>Yes</v>
          </cell>
        </row>
        <row r="364">
          <cell r="B364">
            <v>850450</v>
          </cell>
          <cell r="C364" t="str">
            <v>Electrical inductors; n.e.c. in heading no. 8504</v>
          </cell>
          <cell r="D364" t="str">
            <v>Parts &amp; Accessories</v>
          </cell>
          <cell r="E364" t="str">
            <v>NO</v>
          </cell>
          <cell r="F364" t="str">
            <v>NO</v>
          </cell>
          <cell r="G364" t="str">
            <v>YES</v>
          </cell>
          <cell r="H364" t="str">
            <v>YES</v>
          </cell>
          <cell r="I364" t="str">
            <v>YES</v>
          </cell>
          <cell r="J364" t="str">
            <v>Yes</v>
          </cell>
        </row>
        <row r="365">
          <cell r="B365">
            <v>850519</v>
          </cell>
          <cell r="C365" t="str">
            <v>Magnets; permanent magnets and articles intended to become permanent magnets after magnetisation, other than of metal</v>
          </cell>
          <cell r="D365" t="str">
            <v>Parts &amp; Accessories - rc</v>
          </cell>
          <cell r="E365" t="str">
            <v>NO</v>
          </cell>
          <cell r="F365" t="str">
            <v>NO</v>
          </cell>
          <cell r="G365" t="str">
            <v>YES</v>
          </cell>
          <cell r="H365" t="str">
            <v>NO</v>
          </cell>
          <cell r="I365" t="str">
            <v>YES</v>
          </cell>
          <cell r="J365" t="str">
            <v>Yes</v>
          </cell>
        </row>
        <row r="366">
          <cell r="B366">
            <v>850680</v>
          </cell>
          <cell r="C366" t="str">
            <v>Cells and batteries; primary, (other than manganese dioxide, mercuric oxide, silver oxide, lithium or air-zinc)</v>
          </cell>
          <cell r="D366" t="str">
            <v>Consumables</v>
          </cell>
          <cell r="E366" t="str">
            <v>NO</v>
          </cell>
          <cell r="F366" t="str">
            <v>NO</v>
          </cell>
          <cell r="G366" t="str">
            <v>YES</v>
          </cell>
          <cell r="H366" t="str">
            <v>NO</v>
          </cell>
          <cell r="I366" t="str">
            <v>YES</v>
          </cell>
          <cell r="J366" t="str">
            <v>Yes</v>
          </cell>
        </row>
        <row r="367">
          <cell r="B367">
            <v>850720</v>
          </cell>
          <cell r="C367" t="str">
            <v>Electric accumulators; lead-acid, (other than for starting piston engines), including separators, whether or not rectangular (including square)</v>
          </cell>
          <cell r="D367" t="str">
            <v>Parts &amp; Accessories</v>
          </cell>
          <cell r="E367" t="str">
            <v>NO</v>
          </cell>
          <cell r="F367" t="str">
            <v>NO</v>
          </cell>
          <cell r="G367" t="str">
            <v>YES</v>
          </cell>
          <cell r="H367" t="str">
            <v>NO</v>
          </cell>
          <cell r="I367" t="str">
            <v>NO</v>
          </cell>
          <cell r="J367" t="str">
            <v>Yes</v>
          </cell>
        </row>
        <row r="368">
          <cell r="B368">
            <v>850760</v>
          </cell>
          <cell r="C368" t="str">
            <v>Electric accumulators; lithium-ion, including separators, whether or not rectangular (including square)</v>
          </cell>
          <cell r="D368" t="str">
            <v>Parts &amp; Accessories - rc</v>
          </cell>
          <cell r="E368" t="str">
            <v>NO</v>
          </cell>
          <cell r="F368" t="str">
            <v>NO</v>
          </cell>
          <cell r="G368" t="str">
            <v>YES</v>
          </cell>
          <cell r="H368" t="str">
            <v>YES</v>
          </cell>
          <cell r="I368" t="str">
            <v>YES</v>
          </cell>
          <cell r="J368" t="str">
            <v>Yes</v>
          </cell>
        </row>
        <row r="369">
          <cell r="B369">
            <v>850780</v>
          </cell>
          <cell r="C369" t="str">
            <v>Electric accumulators; other than lead-acid, nickel-cadmium, nickel-metal hydride and lithium-ion, including separators, whether or not rectangular (including square)</v>
          </cell>
          <cell r="D369" t="str">
            <v>Parts &amp; Accessories</v>
          </cell>
          <cell r="E369" t="str">
            <v>NO</v>
          </cell>
          <cell r="F369" t="str">
            <v>NO</v>
          </cell>
          <cell r="G369" t="str">
            <v>YES</v>
          </cell>
          <cell r="H369" t="str">
            <v>NO</v>
          </cell>
          <cell r="I369" t="str">
            <v>NO</v>
          </cell>
          <cell r="J369" t="str">
            <v>Yes</v>
          </cell>
        </row>
        <row r="370">
          <cell r="B370">
            <v>850860</v>
          </cell>
          <cell r="C370" t="str">
            <v>Vacuum cleaners, other than with a self-contained electric motor</v>
          </cell>
          <cell r="D370" t="str">
            <v>Durable</v>
          </cell>
          <cell r="E370" t="str">
            <v>NO</v>
          </cell>
          <cell r="F370" t="str">
            <v>NO</v>
          </cell>
          <cell r="G370" t="str">
            <v>YES</v>
          </cell>
          <cell r="H370" t="str">
            <v>NO</v>
          </cell>
          <cell r="I370" t="str">
            <v>NO</v>
          </cell>
          <cell r="J370" t="str">
            <v>Yes</v>
          </cell>
        </row>
        <row r="371">
          <cell r="B371">
            <v>850870</v>
          </cell>
          <cell r="C371" t="str">
            <v>Parts of vacuum cleaners</v>
          </cell>
          <cell r="D371" t="str">
            <v>Parts &amp; Accessories - rc</v>
          </cell>
          <cell r="E371" t="str">
            <v>NO</v>
          </cell>
          <cell r="F371" t="str">
            <v>NO</v>
          </cell>
          <cell r="G371" t="str">
            <v>YES</v>
          </cell>
          <cell r="H371" t="str">
            <v>NO</v>
          </cell>
          <cell r="I371" t="str">
            <v>YES</v>
          </cell>
          <cell r="J371" t="str">
            <v>Yes</v>
          </cell>
        </row>
        <row r="372">
          <cell r="B372">
            <v>851290</v>
          </cell>
          <cell r="C372" t="str">
            <v>Lighting or signalling equipment; electrical, (excluding articles of heading no. 8539), windscreen wipers, defrosters and demisters; parts, of those kinds used for cycles or motor vehicles</v>
          </cell>
          <cell r="D372" t="str">
            <v>Capital Goods - rc</v>
          </cell>
          <cell r="E372" t="str">
            <v>NO</v>
          </cell>
          <cell r="F372" t="str">
            <v>NO</v>
          </cell>
          <cell r="G372" t="str">
            <v>YES</v>
          </cell>
          <cell r="H372" t="str">
            <v>NO</v>
          </cell>
          <cell r="I372" t="str">
            <v>NO</v>
          </cell>
          <cell r="J372" t="str">
            <v>Yes</v>
          </cell>
        </row>
        <row r="373">
          <cell r="B373">
            <v>851511</v>
          </cell>
          <cell r="C373" t="str">
            <v>Brazing or soldering machines and apparatus; soldering irons and guns, whether or not capable of cutting</v>
          </cell>
          <cell r="D373" t="str">
            <v>Capital Goods</v>
          </cell>
          <cell r="E373" t="str">
            <v>NO</v>
          </cell>
          <cell r="F373" t="str">
            <v>NO</v>
          </cell>
          <cell r="G373" t="str">
            <v>YES</v>
          </cell>
          <cell r="H373" t="str">
            <v>YES</v>
          </cell>
          <cell r="I373" t="str">
            <v>YES</v>
          </cell>
          <cell r="J373" t="str">
            <v>Yes</v>
          </cell>
        </row>
        <row r="374">
          <cell r="B374">
            <v>851610</v>
          </cell>
          <cell r="C374" t="str">
            <v>Heaters; electric, instantaneous or storage water and immersion heaters</v>
          </cell>
          <cell r="D374" t="str">
            <v>Capital Goods</v>
          </cell>
          <cell r="E374" t="str">
            <v>NO</v>
          </cell>
          <cell r="F374" t="str">
            <v>NO</v>
          </cell>
          <cell r="G374" t="str">
            <v>YES</v>
          </cell>
          <cell r="H374" t="str">
            <v>NO</v>
          </cell>
          <cell r="I374" t="str">
            <v>YES</v>
          </cell>
          <cell r="J374" t="str">
            <v>Yes</v>
          </cell>
        </row>
        <row r="375">
          <cell r="B375">
            <v>851650</v>
          </cell>
          <cell r="C375" t="str">
            <v>Ovens; microwave, of a kind used for domestic purposes</v>
          </cell>
          <cell r="D375" t="str">
            <v>Durable</v>
          </cell>
          <cell r="E375" t="str">
            <v>NO</v>
          </cell>
          <cell r="F375" t="str">
            <v>NO</v>
          </cell>
          <cell r="G375" t="str">
            <v>YES</v>
          </cell>
          <cell r="H375" t="str">
            <v>NO</v>
          </cell>
          <cell r="I375" t="str">
            <v>NO</v>
          </cell>
          <cell r="J375" t="str">
            <v>Yes</v>
          </cell>
        </row>
        <row r="376">
          <cell r="B376">
            <v>851660</v>
          </cell>
          <cell r="C376" t="str">
            <v>Ovens, cookers, cooking plates, boiling rings, grillers and roasters; of a kind used for domestic purposes (excluding microwaves)</v>
          </cell>
          <cell r="D376" t="str">
            <v>Durable</v>
          </cell>
          <cell r="E376" t="str">
            <v>NO</v>
          </cell>
          <cell r="F376" t="str">
            <v>NO</v>
          </cell>
          <cell r="G376" t="str">
            <v>YES</v>
          </cell>
          <cell r="H376" t="str">
            <v>NO</v>
          </cell>
          <cell r="I376" t="str">
            <v>NO</v>
          </cell>
          <cell r="J376" t="str">
            <v>Yes</v>
          </cell>
        </row>
        <row r="377">
          <cell r="B377">
            <v>851679</v>
          </cell>
          <cell r="C377" t="str">
            <v>Electro-thermic appliances; n.e.c. in heading no. 8516, used for domestic purposes</v>
          </cell>
          <cell r="D377" t="str">
            <v>Durable</v>
          </cell>
          <cell r="E377" t="str">
            <v>NO</v>
          </cell>
          <cell r="F377" t="str">
            <v>NO</v>
          </cell>
          <cell r="G377" t="str">
            <v>YES</v>
          </cell>
          <cell r="H377" t="str">
            <v>YES</v>
          </cell>
          <cell r="I377" t="str">
            <v>YES</v>
          </cell>
          <cell r="J377" t="str">
            <v>Yes</v>
          </cell>
        </row>
        <row r="378">
          <cell r="B378">
            <v>851690</v>
          </cell>
          <cell r="C378" t="str">
            <v>Electro-thermic appliances; parts, of heating resistors, of water, space and soil heaters, hair-dressing apparatus, hand dryers, smoothing irons and other domestic appliances of heading no. 8516</v>
          </cell>
          <cell r="D378" t="str">
            <v>Parts &amp; Accessories</v>
          </cell>
          <cell r="E378" t="str">
            <v>NO</v>
          </cell>
          <cell r="F378" t="str">
            <v>NO</v>
          </cell>
          <cell r="G378" t="str">
            <v>YES</v>
          </cell>
          <cell r="H378" t="str">
            <v>YES</v>
          </cell>
          <cell r="I378" t="str">
            <v>YES</v>
          </cell>
          <cell r="J378" t="str">
            <v>Yes</v>
          </cell>
        </row>
        <row r="379">
          <cell r="B379">
            <v>851713</v>
          </cell>
          <cell r="C379" t="str">
            <v>Telephone sets; smartphones for cellular or other wireless networks</v>
          </cell>
          <cell r="D379" t="str">
            <v>Durable</v>
          </cell>
          <cell r="E379" t="str">
            <v>NO</v>
          </cell>
          <cell r="F379" t="str">
            <v>NO</v>
          </cell>
          <cell r="G379" t="str">
            <v>YES</v>
          </cell>
          <cell r="H379" t="str">
            <v>YES</v>
          </cell>
          <cell r="I379" t="str">
            <v>YES</v>
          </cell>
          <cell r="J379" t="str">
            <v>Yes</v>
          </cell>
        </row>
        <row r="380">
          <cell r="B380">
            <v>851771</v>
          </cell>
          <cell r="C380" t="str">
            <v>Communication apparatus; parts, aerials and aerial reflectors of all kinds, part suitable for use therewith</v>
          </cell>
          <cell r="D380" t="str">
            <v>Parts &amp; Accessories - rc</v>
          </cell>
          <cell r="E380" t="str">
            <v>NO</v>
          </cell>
          <cell r="F380" t="str">
            <v>NO</v>
          </cell>
          <cell r="G380" t="str">
            <v>YES</v>
          </cell>
          <cell r="H380" t="str">
            <v>YES</v>
          </cell>
          <cell r="I380" t="str">
            <v>YES</v>
          </cell>
          <cell r="J380" t="str">
            <v>Yes</v>
          </cell>
        </row>
        <row r="381">
          <cell r="B381">
            <v>851810</v>
          </cell>
          <cell r="C381" t="str">
            <v>Microphones and stands therefor</v>
          </cell>
          <cell r="D381" t="str">
            <v>Capital Goods - rc</v>
          </cell>
          <cell r="E381" t="str">
            <v>NO</v>
          </cell>
          <cell r="F381" t="str">
            <v>NO</v>
          </cell>
          <cell r="G381" t="str">
            <v>YES</v>
          </cell>
          <cell r="H381" t="str">
            <v>NO</v>
          </cell>
          <cell r="I381" t="str">
            <v>YES</v>
          </cell>
          <cell r="J381" t="str">
            <v>Yes</v>
          </cell>
        </row>
        <row r="382">
          <cell r="B382">
            <v>851821</v>
          </cell>
          <cell r="C382" t="str">
            <v>Loudspeakers; single, mounted in their enclosures</v>
          </cell>
          <cell r="D382" t="str">
            <v>Durable</v>
          </cell>
          <cell r="E382" t="str">
            <v>NO</v>
          </cell>
          <cell r="F382" t="str">
            <v>NO</v>
          </cell>
          <cell r="G382" t="str">
            <v>YES</v>
          </cell>
          <cell r="H382" t="str">
            <v>NO</v>
          </cell>
          <cell r="I382" t="str">
            <v>YES</v>
          </cell>
          <cell r="J382" t="str">
            <v>Yes</v>
          </cell>
        </row>
        <row r="383">
          <cell r="B383">
            <v>851822</v>
          </cell>
          <cell r="C383" t="str">
            <v>Loudspeakers; multiple, mounted in the same enclosure</v>
          </cell>
          <cell r="D383" t="str">
            <v>Durable</v>
          </cell>
          <cell r="E383" t="str">
            <v>NO</v>
          </cell>
          <cell r="F383" t="str">
            <v>NO</v>
          </cell>
          <cell r="G383" t="str">
            <v>YES</v>
          </cell>
          <cell r="H383" t="str">
            <v>NO</v>
          </cell>
          <cell r="I383" t="str">
            <v>NO</v>
          </cell>
          <cell r="J383" t="str">
            <v>Yes</v>
          </cell>
        </row>
        <row r="384">
          <cell r="B384">
            <v>851830</v>
          </cell>
          <cell r="C384" t="str">
            <v>Headphones and earphones, whether or not combined with a microphone, and sets consisting of a microphone and one or more loudspeakers</v>
          </cell>
          <cell r="D384" t="str">
            <v>Parts &amp; Accessories - rc</v>
          </cell>
          <cell r="E384" t="str">
            <v>NO</v>
          </cell>
          <cell r="F384" t="str">
            <v>NO</v>
          </cell>
          <cell r="G384" t="str">
            <v>YES</v>
          </cell>
          <cell r="H384" t="str">
            <v>NO</v>
          </cell>
          <cell r="I384" t="str">
            <v>YES</v>
          </cell>
          <cell r="J384" t="str">
            <v>Yes</v>
          </cell>
        </row>
        <row r="385">
          <cell r="B385">
            <v>851890</v>
          </cell>
          <cell r="C385" t="str">
            <v>Microphones, headphones, earphones, amplifier equipment; parts of the equipment of heading no. 8518</v>
          </cell>
          <cell r="D385" t="str">
            <v>Parts &amp; Accessories - rc</v>
          </cell>
          <cell r="E385" t="str">
            <v>NO</v>
          </cell>
          <cell r="F385" t="str">
            <v>NO</v>
          </cell>
          <cell r="G385" t="str">
            <v>YES</v>
          </cell>
          <cell r="H385" t="str">
            <v>YES</v>
          </cell>
          <cell r="I385" t="str">
            <v>YES</v>
          </cell>
          <cell r="J385" t="str">
            <v>Yes</v>
          </cell>
        </row>
        <row r="386">
          <cell r="B386">
            <v>852290</v>
          </cell>
          <cell r="C386" t="str">
            <v>Sound or video recording or reproducing apparatus; parts and accessories thereof, other than pick-up cartridges</v>
          </cell>
          <cell r="D386" t="str">
            <v>Parts &amp; Accessories - rc</v>
          </cell>
          <cell r="E386" t="str">
            <v>NO</v>
          </cell>
          <cell r="F386" t="str">
            <v>NO</v>
          </cell>
          <cell r="G386" t="str">
            <v>YES</v>
          </cell>
          <cell r="H386" t="str">
            <v>NO</v>
          </cell>
          <cell r="I386" t="str">
            <v>NO</v>
          </cell>
          <cell r="J386" t="str">
            <v>Yes</v>
          </cell>
        </row>
        <row r="387">
          <cell r="B387">
            <v>852351</v>
          </cell>
          <cell r="C387" t="str">
            <v>Semiconductor media; solid-state non-volatile storage devices, whether or not recorded, excluding products of Chapter 37</v>
          </cell>
          <cell r="D387" t="str">
            <v>Parts &amp; Accessories - rc</v>
          </cell>
          <cell r="E387" t="str">
            <v>NO</v>
          </cell>
          <cell r="F387" t="str">
            <v>NO</v>
          </cell>
          <cell r="G387" t="str">
            <v>YES</v>
          </cell>
          <cell r="H387" t="str">
            <v>NO</v>
          </cell>
          <cell r="I387" t="str">
            <v>YES</v>
          </cell>
          <cell r="J387" t="str">
            <v>Yes</v>
          </cell>
        </row>
        <row r="388">
          <cell r="B388">
            <v>852352</v>
          </cell>
          <cell r="C388" t="str">
            <v>Semiconductor media; smart cards, whether or not recorded, excluding products of Chapter 37</v>
          </cell>
          <cell r="D388" t="str">
            <v>Capital Goods - rc</v>
          </cell>
          <cell r="E388" t="str">
            <v>NO</v>
          </cell>
          <cell r="F388" t="str">
            <v>NO</v>
          </cell>
          <cell r="G388" t="str">
            <v>YES</v>
          </cell>
          <cell r="H388" t="str">
            <v>YES</v>
          </cell>
          <cell r="I388" t="str">
            <v>YES</v>
          </cell>
          <cell r="J388" t="str">
            <v>Yes</v>
          </cell>
        </row>
        <row r="389">
          <cell r="B389">
            <v>852359</v>
          </cell>
          <cell r="C389" t="str">
            <v>Semiconductor media; other than smart cards, whether or not recorded, excluding products of Chapter 37</v>
          </cell>
          <cell r="D389" t="str">
            <v>Capital Goods - rc</v>
          </cell>
          <cell r="E389" t="str">
            <v>NO</v>
          </cell>
          <cell r="F389" t="str">
            <v>NO</v>
          </cell>
          <cell r="G389" t="str">
            <v>YES</v>
          </cell>
          <cell r="H389" t="str">
            <v>YES</v>
          </cell>
          <cell r="I389" t="str">
            <v>YES</v>
          </cell>
          <cell r="J389" t="str">
            <v>Yes</v>
          </cell>
        </row>
        <row r="390">
          <cell r="B390">
            <v>852491</v>
          </cell>
          <cell r="C390" t="str">
            <v>Flat panel display modules, whether or not incorporating touch-sensitive screens; of liquid crystals, with drivers or control circuits</v>
          </cell>
          <cell r="D390" t="str">
            <v>Parts &amp; Accessories - rc</v>
          </cell>
          <cell r="E390" t="str">
            <v>NO</v>
          </cell>
          <cell r="F390" t="str">
            <v>NO</v>
          </cell>
          <cell r="G390" t="str">
            <v>YES</v>
          </cell>
          <cell r="H390" t="str">
            <v>NO</v>
          </cell>
          <cell r="I390" t="str">
            <v>NO</v>
          </cell>
          <cell r="J390" t="str">
            <v>Yes</v>
          </cell>
        </row>
        <row r="391">
          <cell r="B391">
            <v>852492</v>
          </cell>
          <cell r="C391" t="str">
            <v>Flat panel display modules, whether or not incorporating touch-sensitive screens; of organic light-emitting diodes (OLED), with drivers or control circuits</v>
          </cell>
          <cell r="D391" t="str">
            <v>Parts &amp; Accessories - rc</v>
          </cell>
          <cell r="E391" t="str">
            <v>NO</v>
          </cell>
          <cell r="F391" t="str">
            <v>NO</v>
          </cell>
          <cell r="G391" t="str">
            <v>YES</v>
          </cell>
          <cell r="H391" t="str">
            <v>NO</v>
          </cell>
          <cell r="I391" t="str">
            <v>NO</v>
          </cell>
          <cell r="J391" t="str">
            <v>Yes</v>
          </cell>
        </row>
        <row r="392">
          <cell r="B392">
            <v>852852</v>
          </cell>
          <cell r="C392" t="str">
            <v>Monitors; other than cathode-ray tube; capable of directly connecting to and designed for use with an automatic data processing machine of heading 84.71</v>
          </cell>
          <cell r="D392" t="str">
            <v>Durable</v>
          </cell>
          <cell r="E392" t="str">
            <v>NO</v>
          </cell>
          <cell r="F392" t="str">
            <v>NO</v>
          </cell>
          <cell r="G392" t="str">
            <v>YES</v>
          </cell>
          <cell r="H392" t="str">
            <v>YES</v>
          </cell>
          <cell r="I392" t="str">
            <v>YES</v>
          </cell>
          <cell r="J392" t="str">
            <v>Yes</v>
          </cell>
        </row>
        <row r="393">
          <cell r="B393">
            <v>852872</v>
          </cell>
          <cell r="C393" t="str">
            <v>Reception apparatus for television, whether or not incorporating radio-broadcast receivers or sound or video recording or reproducing apparatus; incorporating a colour video display or screen</v>
          </cell>
          <cell r="D393" t="str">
            <v>Durable</v>
          </cell>
          <cell r="E393" t="str">
            <v>NO</v>
          </cell>
          <cell r="F393" t="str">
            <v>NO</v>
          </cell>
          <cell r="G393" t="str">
            <v>YES</v>
          </cell>
          <cell r="H393" t="str">
            <v>NO</v>
          </cell>
          <cell r="I393" t="str">
            <v>NO</v>
          </cell>
          <cell r="J393" t="str">
            <v>Yes</v>
          </cell>
        </row>
        <row r="394">
          <cell r="B394">
            <v>852873</v>
          </cell>
          <cell r="C394" t="str">
            <v>Reception apparatus for television, whether or not incorporating radio-broadcast receivers or sound or video recording or reproducing apparatus; incorporating a monochrome video display or screen</v>
          </cell>
          <cell r="D394" t="str">
            <v>Capital Goods - rc</v>
          </cell>
          <cell r="E394" t="str">
            <v>NO</v>
          </cell>
          <cell r="F394" t="str">
            <v>NO</v>
          </cell>
          <cell r="G394" t="str">
            <v>YES</v>
          </cell>
          <cell r="H394" t="str">
            <v>NO</v>
          </cell>
          <cell r="I394" t="str">
            <v>YES</v>
          </cell>
          <cell r="J394" t="str">
            <v>Yes</v>
          </cell>
        </row>
        <row r="395">
          <cell r="B395">
            <v>852910</v>
          </cell>
          <cell r="C395" t="str">
            <v>Reception and transmission apparatus; aerials and aerial reflectors of all kinds and parts suitable for use therewith</v>
          </cell>
          <cell r="D395" t="str">
            <v>Parts &amp; Accessories - rc</v>
          </cell>
          <cell r="E395" t="str">
            <v>NO</v>
          </cell>
          <cell r="F395" t="str">
            <v>NO</v>
          </cell>
          <cell r="G395" t="str">
            <v>YES</v>
          </cell>
          <cell r="H395" t="str">
            <v>NO</v>
          </cell>
          <cell r="I395" t="str">
            <v>YES</v>
          </cell>
          <cell r="J395" t="str">
            <v>Yes</v>
          </cell>
        </row>
        <row r="396">
          <cell r="B396">
            <v>852990</v>
          </cell>
          <cell r="C396" t="str">
            <v>Reception and transmission apparatus; for use with the apparatus of heading no. 8524 to 8528, excluding aerials and aerial reflectors</v>
          </cell>
          <cell r="D396" t="str">
            <v>Consumables - rc</v>
          </cell>
          <cell r="E396" t="str">
            <v>NO</v>
          </cell>
          <cell r="F396" t="str">
            <v>NO</v>
          </cell>
          <cell r="G396" t="str">
            <v>YES</v>
          </cell>
          <cell r="H396" t="str">
            <v>NO</v>
          </cell>
          <cell r="I396" t="str">
            <v>YES</v>
          </cell>
          <cell r="J396" t="str">
            <v>Yes</v>
          </cell>
        </row>
        <row r="397">
          <cell r="B397">
            <v>853120</v>
          </cell>
          <cell r="C397" t="str">
            <v>Signalling apparatus; electric, sound or visual, indicator panels incorporating liquid crystal devices (LCD) or light-emitting diodes (LED), excluding those of heading no. 8512 or 8530</v>
          </cell>
          <cell r="D397" t="str">
            <v>Parts &amp; Accessories</v>
          </cell>
          <cell r="E397" t="str">
            <v>NO</v>
          </cell>
          <cell r="F397" t="str">
            <v>NO</v>
          </cell>
          <cell r="G397" t="str">
            <v>YES</v>
          </cell>
          <cell r="H397" t="str">
            <v>NO</v>
          </cell>
          <cell r="I397" t="str">
            <v>NO</v>
          </cell>
          <cell r="J397" t="str">
            <v>Yes</v>
          </cell>
        </row>
        <row r="398">
          <cell r="B398">
            <v>853190</v>
          </cell>
          <cell r="C398" t="str">
            <v>Signalling apparatus; parts of the electric, sound or visual apparatus of heading no. 8531</v>
          </cell>
          <cell r="D398" t="str">
            <v>Parts &amp; Accessories</v>
          </cell>
          <cell r="E398" t="str">
            <v>NO</v>
          </cell>
          <cell r="F398" t="str">
            <v>NO</v>
          </cell>
          <cell r="G398" t="str">
            <v>YES</v>
          </cell>
          <cell r="H398" t="str">
            <v>YES</v>
          </cell>
          <cell r="I398" t="str">
            <v>YES</v>
          </cell>
          <cell r="J398" t="str">
            <v>Yes</v>
          </cell>
        </row>
        <row r="399">
          <cell r="B399">
            <v>853222</v>
          </cell>
          <cell r="C399" t="str">
            <v>Electrical capacitors; fixed, aluminium electrolytic</v>
          </cell>
          <cell r="D399" t="str">
            <v>Parts &amp; Accessories</v>
          </cell>
          <cell r="E399" t="str">
            <v>NO</v>
          </cell>
          <cell r="F399" t="str">
            <v>NO</v>
          </cell>
          <cell r="G399" t="str">
            <v>YES</v>
          </cell>
          <cell r="H399" t="str">
            <v>NO</v>
          </cell>
          <cell r="I399" t="str">
            <v>YES</v>
          </cell>
          <cell r="J399" t="str">
            <v>Yes</v>
          </cell>
        </row>
        <row r="400">
          <cell r="B400">
            <v>853223</v>
          </cell>
          <cell r="C400" t="str">
            <v>Electrical capacitors; fixed, ceramic dielectric, single layer</v>
          </cell>
          <cell r="D400" t="str">
            <v>Parts &amp; Accessories</v>
          </cell>
          <cell r="E400" t="str">
            <v>NO</v>
          </cell>
          <cell r="F400" t="str">
            <v>NO</v>
          </cell>
          <cell r="G400" t="str">
            <v>YES</v>
          </cell>
          <cell r="H400" t="str">
            <v>NO</v>
          </cell>
          <cell r="I400" t="str">
            <v>NO</v>
          </cell>
          <cell r="J400" t="str">
            <v>Yes</v>
          </cell>
        </row>
        <row r="401">
          <cell r="B401">
            <v>853224</v>
          </cell>
          <cell r="C401" t="str">
            <v>Electrical capacitors; fixed, ceramic dielectric, multilayer</v>
          </cell>
          <cell r="D401" t="str">
            <v>Parts &amp; Accessories</v>
          </cell>
          <cell r="E401" t="str">
            <v>NO</v>
          </cell>
          <cell r="F401" t="str">
            <v>NO</v>
          </cell>
          <cell r="G401" t="str">
            <v>YES</v>
          </cell>
          <cell r="H401" t="str">
            <v>YES</v>
          </cell>
          <cell r="I401" t="str">
            <v>YES</v>
          </cell>
          <cell r="J401" t="str">
            <v>Yes</v>
          </cell>
        </row>
        <row r="402">
          <cell r="B402">
            <v>853225</v>
          </cell>
          <cell r="C402" t="str">
            <v>Electrical capacitors; fixed, dielectric of paper or plastics</v>
          </cell>
          <cell r="D402" t="str">
            <v>Parts &amp; Accessories</v>
          </cell>
          <cell r="E402" t="str">
            <v>NO</v>
          </cell>
          <cell r="F402" t="str">
            <v>NO</v>
          </cell>
          <cell r="G402" t="str">
            <v>YES</v>
          </cell>
          <cell r="H402" t="str">
            <v>NO</v>
          </cell>
          <cell r="I402" t="str">
            <v>NO</v>
          </cell>
          <cell r="J402" t="str">
            <v>Yes</v>
          </cell>
        </row>
        <row r="403">
          <cell r="B403">
            <v>853229</v>
          </cell>
          <cell r="C403" t="str">
            <v>Electrical capacitors; fixed, n.e.c. in heading no. 8532</v>
          </cell>
          <cell r="D403" t="str">
            <v>Parts &amp; Accessories</v>
          </cell>
          <cell r="E403" t="str">
            <v>NO</v>
          </cell>
          <cell r="F403" t="str">
            <v>NO</v>
          </cell>
          <cell r="G403" t="str">
            <v>YES</v>
          </cell>
          <cell r="H403" t="str">
            <v>YES</v>
          </cell>
          <cell r="I403" t="str">
            <v>YES</v>
          </cell>
          <cell r="J403" t="str">
            <v>Yes</v>
          </cell>
        </row>
        <row r="404">
          <cell r="B404">
            <v>853310</v>
          </cell>
          <cell r="C404" t="str">
            <v>Electrical resistors; fixed carbon resistors, composition or film types (including rheostats and potentiometers but excluding heating resistors)</v>
          </cell>
          <cell r="D404" t="str">
            <v>Parts &amp; Accessories</v>
          </cell>
          <cell r="E404" t="str">
            <v>NO</v>
          </cell>
          <cell r="F404" t="str">
            <v>NO</v>
          </cell>
          <cell r="G404" t="str">
            <v>YES</v>
          </cell>
          <cell r="H404" t="str">
            <v>NO</v>
          </cell>
          <cell r="I404" t="str">
            <v>NO</v>
          </cell>
          <cell r="J404" t="str">
            <v>Yes</v>
          </cell>
        </row>
        <row r="405">
          <cell r="B405">
            <v>853321</v>
          </cell>
          <cell r="C405" t="str">
            <v>Electrical resistors; fixed, for a power handling capacity not exceeding 20W (including rheostats and potentiometers but excluding heating resistors and carbon resistors)</v>
          </cell>
          <cell r="D405" t="str">
            <v>Parts &amp; Accessories</v>
          </cell>
          <cell r="E405" t="str">
            <v>NO</v>
          </cell>
          <cell r="F405" t="str">
            <v>NO</v>
          </cell>
          <cell r="G405" t="str">
            <v>YES</v>
          </cell>
          <cell r="H405" t="str">
            <v>YES</v>
          </cell>
          <cell r="I405" t="str">
            <v>YES</v>
          </cell>
          <cell r="J405" t="str">
            <v>Yes</v>
          </cell>
        </row>
        <row r="406">
          <cell r="B406">
            <v>853331</v>
          </cell>
          <cell r="C406" t="str">
            <v>Electrical resistors; wirewound variable, including rheostats and potentiometers, for a power handling capacity not exceeding 20W (excluding heating)</v>
          </cell>
          <cell r="D406" t="str">
            <v>Parts &amp; Accessories</v>
          </cell>
          <cell r="E406" t="str">
            <v>NO</v>
          </cell>
          <cell r="F406" t="str">
            <v>NO</v>
          </cell>
          <cell r="G406" t="str">
            <v>YES</v>
          </cell>
          <cell r="H406" t="str">
            <v>NO</v>
          </cell>
          <cell r="I406" t="str">
            <v>YES</v>
          </cell>
          <cell r="J406" t="str">
            <v>Yes</v>
          </cell>
        </row>
        <row r="407">
          <cell r="B407">
            <v>853339</v>
          </cell>
          <cell r="C407" t="str">
            <v>Electrical resistors; wirewound variable, including rheostats and potentiometers, for a power handling capacity exceeding 20W (excluding heating)</v>
          </cell>
          <cell r="D407" t="str">
            <v>Parts &amp; Accessories</v>
          </cell>
          <cell r="E407" t="str">
            <v>NO</v>
          </cell>
          <cell r="F407" t="str">
            <v>NO</v>
          </cell>
          <cell r="G407" t="str">
            <v>YES</v>
          </cell>
          <cell r="H407" t="str">
            <v>NO</v>
          </cell>
          <cell r="I407" t="str">
            <v>NO</v>
          </cell>
          <cell r="J407" t="str">
            <v>Yes</v>
          </cell>
        </row>
        <row r="408">
          <cell r="B408">
            <v>853340</v>
          </cell>
          <cell r="C408" t="str">
            <v>Electrical resistors; variable, including rheostats and potentiometers (excluding heating)</v>
          </cell>
          <cell r="D408" t="str">
            <v>Parts &amp; Accessories</v>
          </cell>
          <cell r="E408" t="str">
            <v>NO</v>
          </cell>
          <cell r="F408" t="str">
            <v>NO</v>
          </cell>
          <cell r="G408" t="str">
            <v>YES</v>
          </cell>
          <cell r="H408" t="str">
            <v>YES</v>
          </cell>
          <cell r="I408" t="str">
            <v>YES</v>
          </cell>
          <cell r="J408" t="str">
            <v>Yes</v>
          </cell>
        </row>
        <row r="409">
          <cell r="B409">
            <v>853400</v>
          </cell>
          <cell r="C409" t="str">
            <v>Circuits; printed</v>
          </cell>
          <cell r="D409" t="str">
            <v>Parts &amp; Accessories - rc</v>
          </cell>
          <cell r="E409" t="str">
            <v>NO</v>
          </cell>
          <cell r="F409" t="str">
            <v>NO</v>
          </cell>
          <cell r="G409" t="str">
            <v>YES</v>
          </cell>
          <cell r="H409" t="str">
            <v>YES</v>
          </cell>
          <cell r="I409" t="str">
            <v>YES</v>
          </cell>
          <cell r="J409" t="str">
            <v>Yes</v>
          </cell>
        </row>
        <row r="410">
          <cell r="B410">
            <v>853540</v>
          </cell>
          <cell r="C410" t="str">
            <v>Electrical apparatus; lightning arresters, voltage limiters and surge suppressors (for a voltage exceeding 1000 volts)</v>
          </cell>
          <cell r="D410" t="str">
            <v>Capital Goods</v>
          </cell>
          <cell r="E410" t="str">
            <v>NO</v>
          </cell>
          <cell r="F410" t="str">
            <v>NO</v>
          </cell>
          <cell r="G410" t="str">
            <v>YES</v>
          </cell>
          <cell r="H410" t="str">
            <v>NO</v>
          </cell>
          <cell r="I410" t="str">
            <v>NO</v>
          </cell>
          <cell r="J410" t="str">
            <v>Yes</v>
          </cell>
        </row>
        <row r="411">
          <cell r="B411">
            <v>853610</v>
          </cell>
          <cell r="C411" t="str">
            <v>Electrical apparatus; fuses, for a voltage not exceeding 1000 volts</v>
          </cell>
          <cell r="D411" t="str">
            <v>Parts &amp; Accessories</v>
          </cell>
          <cell r="E411" t="str">
            <v>NO</v>
          </cell>
          <cell r="F411" t="str">
            <v>NO</v>
          </cell>
          <cell r="G411" t="str">
            <v>YES</v>
          </cell>
          <cell r="H411" t="str">
            <v>YES</v>
          </cell>
          <cell r="I411" t="str">
            <v>YES</v>
          </cell>
          <cell r="J411" t="str">
            <v>Yes</v>
          </cell>
        </row>
        <row r="412">
          <cell r="B412">
            <v>853670</v>
          </cell>
          <cell r="C412" t="str">
            <v>Connectors for optical fibres, optical fibre bundles or cables</v>
          </cell>
          <cell r="D412" t="str">
            <v>Capital Goods</v>
          </cell>
          <cell r="E412" t="str">
            <v>NO</v>
          </cell>
          <cell r="F412" t="str">
            <v>NO</v>
          </cell>
          <cell r="G412" t="str">
            <v>YES</v>
          </cell>
          <cell r="H412" t="str">
            <v>NO</v>
          </cell>
          <cell r="I412" t="str">
            <v>YES</v>
          </cell>
          <cell r="J412" t="str">
            <v>Yes</v>
          </cell>
        </row>
        <row r="413">
          <cell r="B413">
            <v>853720</v>
          </cell>
          <cell r="C413" t="str">
            <v>Boards, panels, consoles, desks and other bases; for electric control or the distribution of electricity, (other than switching apparatus of heading no. 8517), for a voltage exceeding 1000 volts</v>
          </cell>
          <cell r="D413" t="str">
            <v>Parts &amp; Accessories</v>
          </cell>
          <cell r="E413" t="str">
            <v>NO</v>
          </cell>
          <cell r="F413" t="str">
            <v>NO</v>
          </cell>
          <cell r="G413" t="str">
            <v>YES</v>
          </cell>
          <cell r="H413" t="str">
            <v>NO</v>
          </cell>
          <cell r="I413" t="str">
            <v>YES</v>
          </cell>
          <cell r="J413" t="str">
            <v>Yes</v>
          </cell>
        </row>
        <row r="414">
          <cell r="B414">
            <v>853922</v>
          </cell>
          <cell r="C414" t="str">
            <v>Lamps; filament, (excluding ultra-violet or infra-red), of a power not exceeding 200W and for a voltage exceeding 100 volts, other than tungsten halogen</v>
          </cell>
          <cell r="D414" t="str">
            <v>Parts &amp; Accessories - rc</v>
          </cell>
          <cell r="E414" t="str">
            <v>NO</v>
          </cell>
          <cell r="F414" t="str">
            <v>NO</v>
          </cell>
          <cell r="G414" t="str">
            <v>YES</v>
          </cell>
          <cell r="H414" t="str">
            <v>NO</v>
          </cell>
          <cell r="I414" t="str">
            <v>NO</v>
          </cell>
          <cell r="J414" t="str">
            <v>Yes</v>
          </cell>
        </row>
        <row r="415">
          <cell r="B415">
            <v>853931</v>
          </cell>
          <cell r="C415" t="str">
            <v>Lamps; discharge, (excluding ultra-violet), fluorescent, hot cathode</v>
          </cell>
          <cell r="D415" t="str">
            <v>Capital Goods - rc</v>
          </cell>
          <cell r="E415" t="str">
            <v>NO</v>
          </cell>
          <cell r="F415" t="str">
            <v>NO</v>
          </cell>
          <cell r="G415" t="str">
            <v>YES</v>
          </cell>
          <cell r="H415" t="str">
            <v>NO</v>
          </cell>
          <cell r="I415" t="str">
            <v>YES</v>
          </cell>
          <cell r="J415" t="str">
            <v>Yes</v>
          </cell>
        </row>
        <row r="416">
          <cell r="B416">
            <v>853949</v>
          </cell>
          <cell r="C416" t="str">
            <v>Lamps; ultra-violet or infra-red lamps, (excluding arc-lamps)</v>
          </cell>
          <cell r="D416" t="str">
            <v>Capital Goods - rc</v>
          </cell>
          <cell r="E416" t="str">
            <v>NO</v>
          </cell>
          <cell r="F416" t="str">
            <v>NO</v>
          </cell>
          <cell r="G416" t="str">
            <v>YES</v>
          </cell>
          <cell r="H416" t="str">
            <v>YES</v>
          </cell>
          <cell r="I416" t="str">
            <v>YES</v>
          </cell>
          <cell r="J416" t="str">
            <v>Yes</v>
          </cell>
        </row>
        <row r="417">
          <cell r="B417">
            <v>854071</v>
          </cell>
          <cell r="C417" t="str">
            <v>Tubes; microwave, magnetrons, excluding grid-controlled tubes</v>
          </cell>
          <cell r="D417" t="str">
            <v>Parts &amp; Accessories - rc</v>
          </cell>
          <cell r="E417" t="str">
            <v>NO</v>
          </cell>
          <cell r="F417" t="str">
            <v>NO</v>
          </cell>
          <cell r="G417" t="str">
            <v>YES</v>
          </cell>
          <cell r="H417" t="str">
            <v>NO</v>
          </cell>
          <cell r="I417" t="str">
            <v>NO</v>
          </cell>
          <cell r="J417" t="str">
            <v>Yes</v>
          </cell>
        </row>
        <row r="418">
          <cell r="B418">
            <v>854110</v>
          </cell>
          <cell r="C418" t="str">
            <v>Electrical apparatus; diodes, other than photosensitive or light-emitting diodes (LED)</v>
          </cell>
          <cell r="D418" t="str">
            <v>Parts &amp; Accessories - rc</v>
          </cell>
          <cell r="E418" t="str">
            <v>NO</v>
          </cell>
          <cell r="F418" t="str">
            <v>NO</v>
          </cell>
          <cell r="G418" t="str">
            <v>YES</v>
          </cell>
          <cell r="H418" t="str">
            <v>YES</v>
          </cell>
          <cell r="I418" t="str">
            <v>YES</v>
          </cell>
          <cell r="J418" t="str">
            <v>Yes</v>
          </cell>
        </row>
        <row r="419">
          <cell r="B419">
            <v>854129</v>
          </cell>
          <cell r="C419" t="str">
            <v>Electrical apparatus; transistors, (other than photosensitive), with a dissipation rate of 1W or more</v>
          </cell>
          <cell r="D419" t="str">
            <v>Parts &amp; Accessories</v>
          </cell>
          <cell r="E419" t="str">
            <v>NO</v>
          </cell>
          <cell r="F419" t="str">
            <v>NO</v>
          </cell>
          <cell r="G419" t="str">
            <v>YES</v>
          </cell>
          <cell r="H419" t="str">
            <v>YES</v>
          </cell>
          <cell r="I419" t="str">
            <v>YES</v>
          </cell>
          <cell r="J419" t="str">
            <v>Yes</v>
          </cell>
        </row>
        <row r="420">
          <cell r="B420">
            <v>854141</v>
          </cell>
          <cell r="C420" t="str">
            <v>Electrical apparatus; photosensitive semiconductor devices, light emitting diodes (LED)</v>
          </cell>
          <cell r="D420" t="str">
            <v>Parts &amp; Accessories - rc</v>
          </cell>
          <cell r="E420" t="str">
            <v>NO</v>
          </cell>
          <cell r="F420" t="str">
            <v>NO</v>
          </cell>
          <cell r="G420" t="str">
            <v>YES</v>
          </cell>
          <cell r="H420" t="str">
            <v>NO</v>
          </cell>
          <cell r="I420" t="str">
            <v>YES</v>
          </cell>
          <cell r="J420" t="str">
            <v>Yes</v>
          </cell>
        </row>
        <row r="421">
          <cell r="B421">
            <v>854159</v>
          </cell>
          <cell r="C421" t="str">
            <v>Electrical apparatus; photosensitive semiconductor devices n.e.c. in heading no. 8541</v>
          </cell>
          <cell r="D421" t="str">
            <v>Capital Goods</v>
          </cell>
          <cell r="E421" t="str">
            <v>NO</v>
          </cell>
          <cell r="F421" t="str">
            <v>NO</v>
          </cell>
          <cell r="G421" t="str">
            <v>YES</v>
          </cell>
          <cell r="H421" t="str">
            <v>NO</v>
          </cell>
          <cell r="I421" t="str">
            <v>YES</v>
          </cell>
          <cell r="J421" t="str">
            <v>Yes</v>
          </cell>
        </row>
        <row r="422">
          <cell r="B422">
            <v>854160</v>
          </cell>
          <cell r="C422" t="str">
            <v>Crystals; mounted piezo-electric</v>
          </cell>
          <cell r="D422" t="str">
            <v>Parts &amp; Accessories - rc</v>
          </cell>
          <cell r="E422" t="str">
            <v>NO</v>
          </cell>
          <cell r="F422" t="str">
            <v>NO</v>
          </cell>
          <cell r="G422" t="str">
            <v>YES</v>
          </cell>
          <cell r="H422" t="str">
            <v>YES</v>
          </cell>
          <cell r="I422" t="str">
            <v>YES</v>
          </cell>
          <cell r="J422" t="str">
            <v>Yes</v>
          </cell>
        </row>
        <row r="423">
          <cell r="B423">
            <v>854231</v>
          </cell>
          <cell r="C423" t="str">
            <v>Electronic integrated circuits; processors and controllers, whether or not combined with memories, converters, logic circuits, amplifiers, clock and timing circuits, or other circuits</v>
          </cell>
          <cell r="D423" t="str">
            <v>Consumables - rc</v>
          </cell>
          <cell r="E423" t="str">
            <v>NO</v>
          </cell>
          <cell r="F423" t="str">
            <v>NO</v>
          </cell>
          <cell r="G423" t="str">
            <v>YES</v>
          </cell>
          <cell r="H423" t="str">
            <v>YES</v>
          </cell>
          <cell r="I423" t="str">
            <v>YES</v>
          </cell>
          <cell r="J423" t="str">
            <v>Yes</v>
          </cell>
        </row>
        <row r="424">
          <cell r="B424">
            <v>854232</v>
          </cell>
          <cell r="C424" t="str">
            <v>Electronic integrated circuits; memories</v>
          </cell>
          <cell r="D424" t="str">
            <v>Consumables - rc</v>
          </cell>
          <cell r="E424" t="str">
            <v>NO</v>
          </cell>
          <cell r="F424" t="str">
            <v>NO</v>
          </cell>
          <cell r="G424" t="str">
            <v>YES</v>
          </cell>
          <cell r="H424" t="str">
            <v>YES</v>
          </cell>
          <cell r="I424" t="str">
            <v>YES</v>
          </cell>
          <cell r="J424" t="str">
            <v>Yes</v>
          </cell>
        </row>
        <row r="425">
          <cell r="B425">
            <v>854233</v>
          </cell>
          <cell r="C425" t="str">
            <v>Electronic integrated circuits; amplifiers</v>
          </cell>
          <cell r="D425" t="str">
            <v>Consumables - rc</v>
          </cell>
          <cell r="E425" t="str">
            <v>NO</v>
          </cell>
          <cell r="F425" t="str">
            <v>NO</v>
          </cell>
          <cell r="G425" t="str">
            <v>YES</v>
          </cell>
          <cell r="H425" t="str">
            <v>NO</v>
          </cell>
          <cell r="I425" t="str">
            <v>YES</v>
          </cell>
          <cell r="J425" t="str">
            <v>Yes</v>
          </cell>
        </row>
        <row r="426">
          <cell r="B426">
            <v>854239</v>
          </cell>
          <cell r="C426" t="str">
            <v>Electronic integrated circuits; n.e.c. in heading no. 8542</v>
          </cell>
          <cell r="D426" t="str">
            <v>Consumables - rc</v>
          </cell>
          <cell r="E426" t="str">
            <v>NO</v>
          </cell>
          <cell r="F426" t="str">
            <v>NO</v>
          </cell>
          <cell r="G426" t="str">
            <v>YES</v>
          </cell>
          <cell r="H426" t="str">
            <v>NO</v>
          </cell>
          <cell r="I426" t="str">
            <v>YES</v>
          </cell>
          <cell r="J426" t="str">
            <v>Yes</v>
          </cell>
        </row>
        <row r="427">
          <cell r="B427">
            <v>854419</v>
          </cell>
          <cell r="C427" t="str">
            <v>Insulated electric conductors; winding wire, (of other than copper)</v>
          </cell>
          <cell r="D427" t="str">
            <v>Consumables - rc</v>
          </cell>
          <cell r="E427" t="str">
            <v>NO</v>
          </cell>
          <cell r="F427" t="str">
            <v>NO</v>
          </cell>
          <cell r="G427" t="str">
            <v>YES</v>
          </cell>
          <cell r="H427" t="str">
            <v>NO</v>
          </cell>
          <cell r="I427" t="str">
            <v>YES</v>
          </cell>
          <cell r="J427" t="str">
            <v>Yes</v>
          </cell>
        </row>
        <row r="428">
          <cell r="B428">
            <v>854470</v>
          </cell>
          <cell r="C428" t="str">
            <v>Insulated electric conductors; optical fibre cables</v>
          </cell>
          <cell r="D428" t="str">
            <v>Parts &amp; Accessories</v>
          </cell>
          <cell r="E428" t="str">
            <v>NO</v>
          </cell>
          <cell r="F428" t="str">
            <v>NO</v>
          </cell>
          <cell r="G428" t="str">
            <v>YES</v>
          </cell>
          <cell r="H428" t="str">
            <v>YES</v>
          </cell>
          <cell r="I428" t="str">
            <v>YES</v>
          </cell>
          <cell r="J428" t="str">
            <v>Yes</v>
          </cell>
        </row>
        <row r="429">
          <cell r="B429">
            <v>854720</v>
          </cell>
          <cell r="C429" t="str">
            <v>Insulating fittings; of plastics, for electrical machines, of insulating material only (except minor assembly parts), excluding those of heading no. 8546</v>
          </cell>
          <cell r="D429" t="str">
            <v>Parts &amp; Accessories - rc</v>
          </cell>
          <cell r="E429" t="str">
            <v>NO</v>
          </cell>
          <cell r="F429" t="str">
            <v>NO</v>
          </cell>
          <cell r="G429" t="str">
            <v>YES</v>
          </cell>
          <cell r="H429" t="str">
            <v>NO</v>
          </cell>
          <cell r="I429" t="str">
            <v>YES</v>
          </cell>
          <cell r="J429" t="str">
            <v>Yes</v>
          </cell>
        </row>
        <row r="430">
          <cell r="B430">
            <v>900490</v>
          </cell>
          <cell r="C430" t="str">
            <v>Spectacles, goggles and the like; (other than sunglasses) corrective, protective or other</v>
          </cell>
          <cell r="D430" t="str">
            <v>Others</v>
          </cell>
          <cell r="E430" t="str">
            <v>NO</v>
          </cell>
          <cell r="F430" t="str">
            <v>NO</v>
          </cell>
          <cell r="G430" t="str">
            <v>YES</v>
          </cell>
          <cell r="H430" t="str">
            <v>NO</v>
          </cell>
          <cell r="I430" t="str">
            <v>YES</v>
          </cell>
          <cell r="J430" t="str">
            <v>Yes</v>
          </cell>
        </row>
        <row r="431">
          <cell r="B431">
            <v>901210</v>
          </cell>
          <cell r="C431" t="str">
            <v>Microscopes (excluding optical microscopes); diffraction apparatus</v>
          </cell>
          <cell r="D431" t="str">
            <v>Capital Goods</v>
          </cell>
          <cell r="E431" t="str">
            <v>NO</v>
          </cell>
          <cell r="F431" t="str">
            <v>NO</v>
          </cell>
          <cell r="G431" t="str">
            <v>YES</v>
          </cell>
          <cell r="H431" t="str">
            <v>YES</v>
          </cell>
          <cell r="I431" t="str">
            <v>YES</v>
          </cell>
          <cell r="J431" t="str">
            <v>Yes</v>
          </cell>
        </row>
        <row r="432">
          <cell r="B432">
            <v>901790</v>
          </cell>
          <cell r="C432" t="str">
            <v>Drawing, marking-out equipment and mathematical instruments; parts and accessories</v>
          </cell>
          <cell r="D432" t="str">
            <v>Parts &amp; Accessories</v>
          </cell>
          <cell r="E432" t="str">
            <v>NO</v>
          </cell>
          <cell r="F432" t="str">
            <v>NO</v>
          </cell>
          <cell r="G432" t="str">
            <v>YES</v>
          </cell>
          <cell r="H432" t="str">
            <v>NO</v>
          </cell>
          <cell r="I432" t="str">
            <v>YES</v>
          </cell>
          <cell r="J432" t="str">
            <v>Yes</v>
          </cell>
        </row>
        <row r="433">
          <cell r="B433">
            <v>901812</v>
          </cell>
          <cell r="C433" t="str">
            <v>Medical, surgical instruments and appliances; ultrasonic scanning apparatus</v>
          </cell>
          <cell r="D433" t="str">
            <v>Capital Goods - rc</v>
          </cell>
          <cell r="E433" t="str">
            <v>NO</v>
          </cell>
          <cell r="F433" t="str">
            <v>NO</v>
          </cell>
          <cell r="G433" t="str">
            <v>YES</v>
          </cell>
          <cell r="H433" t="str">
            <v>NO</v>
          </cell>
          <cell r="I433" t="str">
            <v>NO</v>
          </cell>
          <cell r="J433" t="str">
            <v>Yes</v>
          </cell>
        </row>
        <row r="434">
          <cell r="B434">
            <v>902214</v>
          </cell>
          <cell r="C434" t="str">
            <v>Apparatus based on the use of x-rays; including radiography or radiotherapy apparatus, for medical, surgical or veterinary uses, not dental uses, excluding computed tomography apparatus</v>
          </cell>
          <cell r="D434" t="str">
            <v>Capital Goods - rc</v>
          </cell>
          <cell r="E434" t="str">
            <v>NO</v>
          </cell>
          <cell r="F434" t="str">
            <v>NO</v>
          </cell>
          <cell r="G434" t="str">
            <v>YES</v>
          </cell>
          <cell r="H434" t="str">
            <v>NO</v>
          </cell>
          <cell r="I434" t="str">
            <v>YES</v>
          </cell>
          <cell r="J434" t="str">
            <v>Yes</v>
          </cell>
        </row>
        <row r="435">
          <cell r="B435">
            <v>902230</v>
          </cell>
          <cell r="C435" t="str">
            <v>X-ray tubes</v>
          </cell>
          <cell r="D435" t="str">
            <v>Parts &amp; Accessories - rc</v>
          </cell>
          <cell r="E435" t="str">
            <v>NO</v>
          </cell>
          <cell r="F435" t="str">
            <v>NO</v>
          </cell>
          <cell r="G435" t="str">
            <v>YES</v>
          </cell>
          <cell r="H435" t="str">
            <v>NO</v>
          </cell>
          <cell r="I435" t="str">
            <v>NO</v>
          </cell>
          <cell r="J435" t="str">
            <v>Yes</v>
          </cell>
        </row>
        <row r="436">
          <cell r="B436">
            <v>902300</v>
          </cell>
          <cell r="C436" t="str">
            <v>Instruments, apparatus and models; designed for demonstrational purposes (in education or exhibitions), unsuitable for other uses</v>
          </cell>
          <cell r="D436" t="str">
            <v>Capital Goods</v>
          </cell>
          <cell r="E436" t="str">
            <v>NO</v>
          </cell>
          <cell r="F436" t="str">
            <v>NO</v>
          </cell>
          <cell r="G436" t="str">
            <v>YES</v>
          </cell>
          <cell r="H436" t="str">
            <v>NO</v>
          </cell>
          <cell r="I436" t="str">
            <v>YES</v>
          </cell>
          <cell r="J436" t="str">
            <v>Yes</v>
          </cell>
        </row>
        <row r="437">
          <cell r="B437">
            <v>902820</v>
          </cell>
          <cell r="C437" t="str">
            <v>Meters; liquid supply or production meters, including calibrating meters thereof</v>
          </cell>
          <cell r="D437" t="str">
            <v>Capital Goods</v>
          </cell>
          <cell r="E437" t="str">
            <v>NO</v>
          </cell>
          <cell r="F437" t="str">
            <v>NO</v>
          </cell>
          <cell r="G437" t="str">
            <v>YES</v>
          </cell>
          <cell r="H437" t="str">
            <v>NO</v>
          </cell>
          <cell r="I437" t="str">
            <v>NO</v>
          </cell>
          <cell r="J437" t="str">
            <v>Yes</v>
          </cell>
        </row>
        <row r="438">
          <cell r="B438">
            <v>902830</v>
          </cell>
          <cell r="C438" t="str">
            <v>Meters; electricity supply or production meters, including calibrating meters thereof</v>
          </cell>
          <cell r="D438" t="str">
            <v>Capital Goods</v>
          </cell>
          <cell r="E438" t="str">
            <v>NO</v>
          </cell>
          <cell r="F438" t="str">
            <v>NO</v>
          </cell>
          <cell r="G438" t="str">
            <v>YES</v>
          </cell>
          <cell r="H438" t="str">
            <v>NO</v>
          </cell>
          <cell r="I438" t="str">
            <v>YES</v>
          </cell>
          <cell r="J438" t="str">
            <v>Yes</v>
          </cell>
        </row>
        <row r="439">
          <cell r="B439">
            <v>903040</v>
          </cell>
          <cell r="C439" t="str">
            <v>Instruments and apparatus; specially designed for telecommunications (e.g. cross-talk meters, gain measuring instruments, distortion factor meters, psophometers)</v>
          </cell>
          <cell r="D439" t="str">
            <v>Capital Goods - rc</v>
          </cell>
          <cell r="E439" t="str">
            <v>NO</v>
          </cell>
          <cell r="F439" t="str">
            <v>NO</v>
          </cell>
          <cell r="G439" t="str">
            <v>YES</v>
          </cell>
          <cell r="H439" t="str">
            <v>YES</v>
          </cell>
          <cell r="I439" t="str">
            <v>YES</v>
          </cell>
          <cell r="J439" t="str">
            <v>Yes</v>
          </cell>
        </row>
        <row r="440">
          <cell r="B440">
            <v>910700</v>
          </cell>
          <cell r="C440" t="str">
            <v>Time switches; with clock, watch movement or synchronous motor</v>
          </cell>
          <cell r="D440" t="str">
            <v>Capital Goods</v>
          </cell>
          <cell r="E440" t="str">
            <v>NO</v>
          </cell>
          <cell r="F440" t="str">
            <v>NO</v>
          </cell>
          <cell r="G440" t="str">
            <v>YES</v>
          </cell>
          <cell r="H440" t="str">
            <v>NO</v>
          </cell>
          <cell r="I440" t="str">
            <v>NO</v>
          </cell>
          <cell r="J440" t="str">
            <v>Yes</v>
          </cell>
        </row>
        <row r="441">
          <cell r="B441">
            <v>911390</v>
          </cell>
          <cell r="C441" t="str">
            <v>Watch straps, watch bands, watch bracelets, and parts thereof; n.e.c. in heading no. 9113</v>
          </cell>
          <cell r="D441" t="str">
            <v>Consumables - rc</v>
          </cell>
          <cell r="E441" t="str">
            <v>NO</v>
          </cell>
          <cell r="F441" t="str">
            <v>NO</v>
          </cell>
          <cell r="G441" t="str">
            <v>YES</v>
          </cell>
          <cell r="H441" t="str">
            <v>NO</v>
          </cell>
          <cell r="I441" t="str">
            <v>YES</v>
          </cell>
          <cell r="J441" t="str">
            <v>Yes</v>
          </cell>
        </row>
        <row r="442">
          <cell r="B442">
            <v>940210</v>
          </cell>
          <cell r="C442" t="str">
            <v>Chairs; dentists', barbers' or similar chairs having rotating as well as both reclining and elevating movements, and parts thereof</v>
          </cell>
          <cell r="D442" t="str">
            <v>Capital Goods</v>
          </cell>
          <cell r="E442" t="str">
            <v>NO</v>
          </cell>
          <cell r="F442" t="str">
            <v>NO</v>
          </cell>
          <cell r="G442" t="str">
            <v>YES</v>
          </cell>
          <cell r="H442" t="str">
            <v>NO</v>
          </cell>
          <cell r="I442" t="str">
            <v>NO</v>
          </cell>
          <cell r="J442" t="str">
            <v>Yes</v>
          </cell>
        </row>
        <row r="443">
          <cell r="B443">
            <v>940290</v>
          </cell>
          <cell r="C443" t="str">
            <v>Furniture; for medical, surgical, veterinary use (e.g. operating tables, examination tables, hospital beds with mechanical fittings) and parts thereof</v>
          </cell>
          <cell r="D443" t="str">
            <v>Capital Goods - rc</v>
          </cell>
          <cell r="E443" t="str">
            <v>NO</v>
          </cell>
          <cell r="F443" t="str">
            <v>NO</v>
          </cell>
          <cell r="G443" t="str">
            <v>YES</v>
          </cell>
          <cell r="H443" t="str">
            <v>NO</v>
          </cell>
          <cell r="I443" t="str">
            <v>NO</v>
          </cell>
          <cell r="J443" t="str">
            <v>Yes</v>
          </cell>
        </row>
        <row r="444">
          <cell r="B444">
            <v>960329</v>
          </cell>
          <cell r="C444" t="str">
            <v>Brushes; shaving, hair, nail, eyelash and other toilet brushes for use on the person, including brushes as parts of appliances</v>
          </cell>
          <cell r="D444" t="str">
            <v>Consumables - rc</v>
          </cell>
          <cell r="E444" t="str">
            <v>NO</v>
          </cell>
          <cell r="F444" t="str">
            <v>NO</v>
          </cell>
          <cell r="G444" t="str">
            <v>YES</v>
          </cell>
          <cell r="H444" t="str">
            <v>NO</v>
          </cell>
          <cell r="I444" t="str">
            <v>YES</v>
          </cell>
          <cell r="J444" t="str">
            <v>Yes</v>
          </cell>
        </row>
        <row r="445">
          <cell r="B445">
            <v>961220</v>
          </cell>
          <cell r="C445" t="str">
            <v>Ink pads; whether or not inked, with or without boxes</v>
          </cell>
          <cell r="D445" t="str">
            <v>Consumables - rc</v>
          </cell>
          <cell r="E445" t="str">
            <v>NO</v>
          </cell>
          <cell r="F445" t="str">
            <v>NO</v>
          </cell>
          <cell r="G445" t="str">
            <v>YES</v>
          </cell>
          <cell r="H445" t="str">
            <v>NO</v>
          </cell>
          <cell r="I445" t="str">
            <v>NO</v>
          </cell>
          <cell r="J445" t="str">
            <v>Yes</v>
          </cell>
        </row>
        <row r="446">
          <cell r="B446">
            <v>250100</v>
          </cell>
          <cell r="C446" t="str">
            <v>Salt (including table salt and denatured salt); pure sodium chloride whether or not in aqueous solution; sea water</v>
          </cell>
          <cell r="D446" t="str">
            <v>Consumables</v>
          </cell>
          <cell r="E446" t="str">
            <v>NO</v>
          </cell>
          <cell r="F446" t="str">
            <v>NO</v>
          </cell>
          <cell r="G446" t="str">
            <v>YES</v>
          </cell>
          <cell r="H446" t="str">
            <v>NO</v>
          </cell>
          <cell r="I446" t="str">
            <v>NO</v>
          </cell>
          <cell r="J446" t="str">
            <v>Yes</v>
          </cell>
        </row>
        <row r="447">
          <cell r="B447">
            <v>271019</v>
          </cell>
          <cell r="C447" t="str">
            <v>Petroleum oils and oils from bituminous minerals, not containing biodiesel, not crude, not waste oils; preparations n.e.c, containing by weight 70% or more of petroleum oils or oils from bituminous minerals; not light oils and preparations</v>
          </cell>
          <cell r="D447" t="str">
            <v>Others</v>
          </cell>
          <cell r="E447" t="str">
            <v>NO</v>
          </cell>
          <cell r="F447" t="str">
            <v>NO</v>
          </cell>
          <cell r="G447" t="str">
            <v>YES</v>
          </cell>
          <cell r="H447" t="str">
            <v>NO</v>
          </cell>
          <cell r="I447" t="str">
            <v>NO</v>
          </cell>
          <cell r="J447" t="str">
            <v>Yes</v>
          </cell>
        </row>
        <row r="448">
          <cell r="B448">
            <v>381090</v>
          </cell>
          <cell r="C448" t="str">
            <v>Fluxes and other auxiliary preparations; for soldering, brazing or welding, or preparations used as cores or coatings for welding electrodes or rods</v>
          </cell>
          <cell r="D448" t="str">
            <v>Consumables</v>
          </cell>
          <cell r="E448" t="str">
            <v>NO</v>
          </cell>
          <cell r="F448" t="str">
            <v>NO</v>
          </cell>
          <cell r="G448" t="str">
            <v>YES</v>
          </cell>
          <cell r="H448" t="str">
            <v>YES</v>
          </cell>
          <cell r="I448" t="str">
            <v>NO</v>
          </cell>
          <cell r="J448" t="str">
            <v>Yes</v>
          </cell>
        </row>
        <row r="449">
          <cell r="B449">
            <v>390230</v>
          </cell>
          <cell r="C449" t="str">
            <v>Propylene, other olefin polymers; propylene copolymers in primary forms</v>
          </cell>
          <cell r="D449" t="str">
            <v>Consumables - rc</v>
          </cell>
          <cell r="E449" t="str">
            <v>NO</v>
          </cell>
          <cell r="F449" t="str">
            <v>NO</v>
          </cell>
          <cell r="G449" t="str">
            <v>YES</v>
          </cell>
          <cell r="H449" t="str">
            <v>NO</v>
          </cell>
          <cell r="I449" t="str">
            <v>NO</v>
          </cell>
          <cell r="J449" t="str">
            <v>Yes</v>
          </cell>
        </row>
        <row r="450">
          <cell r="B450">
            <v>390690</v>
          </cell>
          <cell r="C450" t="str">
            <v>Acrylic polymers; (other than polymethyl methacrylate), in primary forms</v>
          </cell>
          <cell r="D450" t="str">
            <v>Consumables - rc</v>
          </cell>
          <cell r="E450" t="str">
            <v>NO</v>
          </cell>
          <cell r="F450" t="str">
            <v>NO</v>
          </cell>
          <cell r="G450" t="str">
            <v>YES</v>
          </cell>
          <cell r="H450" t="str">
            <v>NO</v>
          </cell>
          <cell r="I450" t="str">
            <v>NO</v>
          </cell>
          <cell r="J450" t="str">
            <v>Yes</v>
          </cell>
        </row>
        <row r="451">
          <cell r="B451">
            <v>390791</v>
          </cell>
          <cell r="C451" t="str">
            <v>Polyesters; n.e.c. in heading no. 3907, unsaturated, in primary forms</v>
          </cell>
          <cell r="D451" t="str">
            <v>Consumables - rc</v>
          </cell>
          <cell r="E451" t="str">
            <v>NO</v>
          </cell>
          <cell r="F451" t="str">
            <v>NO</v>
          </cell>
          <cell r="G451" t="str">
            <v>YES</v>
          </cell>
          <cell r="H451" t="str">
            <v>NO</v>
          </cell>
          <cell r="I451" t="str">
            <v>NO</v>
          </cell>
          <cell r="J451" t="str">
            <v>Yes</v>
          </cell>
        </row>
        <row r="452">
          <cell r="B452">
            <v>391000</v>
          </cell>
          <cell r="C452" t="str">
            <v>Silicones; in primary forms</v>
          </cell>
          <cell r="D452" t="str">
            <v>Consumables - rc</v>
          </cell>
          <cell r="E452" t="str">
            <v>NO</v>
          </cell>
          <cell r="F452" t="str">
            <v>NO</v>
          </cell>
          <cell r="G452" t="str">
            <v>YES</v>
          </cell>
          <cell r="H452" t="str">
            <v>YES</v>
          </cell>
          <cell r="I452" t="str">
            <v>YES</v>
          </cell>
          <cell r="J452" t="str">
            <v>Yes</v>
          </cell>
        </row>
        <row r="453">
          <cell r="B453">
            <v>392061</v>
          </cell>
          <cell r="C453" t="str">
            <v>Plastics; plates, sheets, film, foil and strip (not self-adhesive), of polycarbonates, non-cellular and not reinforced, laminated, supported or similarly combined with other materials</v>
          </cell>
          <cell r="D453" t="str">
            <v>Consumables - rc</v>
          </cell>
          <cell r="E453" t="str">
            <v>NO</v>
          </cell>
          <cell r="F453" t="str">
            <v>NO</v>
          </cell>
          <cell r="G453" t="str">
            <v>YES</v>
          </cell>
          <cell r="H453" t="str">
            <v>YES</v>
          </cell>
          <cell r="I453" t="str">
            <v>NO</v>
          </cell>
          <cell r="J453" t="str">
            <v>Yes</v>
          </cell>
        </row>
        <row r="454">
          <cell r="B454">
            <v>392310</v>
          </cell>
          <cell r="C454" t="str">
            <v>Plastics; boxes, cases, crates and similar articles for the conveyance or packing of goods</v>
          </cell>
          <cell r="D454" t="str">
            <v>Others</v>
          </cell>
          <cell r="E454" t="str">
            <v>NO</v>
          </cell>
          <cell r="F454" t="str">
            <v>NO</v>
          </cell>
          <cell r="G454" t="str">
            <v>YES</v>
          </cell>
          <cell r="H454" t="str">
            <v>YES</v>
          </cell>
          <cell r="I454" t="str">
            <v>YES</v>
          </cell>
          <cell r="J454" t="str">
            <v>Yes</v>
          </cell>
        </row>
        <row r="455">
          <cell r="B455">
            <v>392490</v>
          </cell>
          <cell r="C455" t="str">
            <v>Plastics; household articles and hygienic or toilet articles</v>
          </cell>
          <cell r="D455" t="str">
            <v>Others</v>
          </cell>
          <cell r="E455" t="str">
            <v>NO</v>
          </cell>
          <cell r="F455" t="str">
            <v>NO</v>
          </cell>
          <cell r="G455" t="str">
            <v>YES</v>
          </cell>
          <cell r="H455" t="str">
            <v>NO</v>
          </cell>
          <cell r="I455" t="str">
            <v>YES</v>
          </cell>
          <cell r="J455" t="str">
            <v>Yes</v>
          </cell>
        </row>
        <row r="456">
          <cell r="B456">
            <v>392620</v>
          </cell>
          <cell r="C456" t="str">
            <v>Plastics; articles of apparel and clothing accessories (including gloves, mittens and mitts)</v>
          </cell>
          <cell r="D456" t="str">
            <v>Consumables - rc</v>
          </cell>
          <cell r="E456" t="str">
            <v>NO</v>
          </cell>
          <cell r="F456" t="str">
            <v>NO</v>
          </cell>
          <cell r="G456" t="str">
            <v>YES</v>
          </cell>
          <cell r="H456" t="str">
            <v>NO</v>
          </cell>
          <cell r="I456" t="str">
            <v>NO</v>
          </cell>
          <cell r="J456" t="str">
            <v>Yes</v>
          </cell>
        </row>
        <row r="457">
          <cell r="B457">
            <v>400912</v>
          </cell>
          <cell r="C457" t="str">
            <v>Rubber; vulcanised (other than hard rubber), tubing, piping and hoses, not reinforced or otherwise combined with other materials, with fittings</v>
          </cell>
          <cell r="D457" t="str">
            <v>Capital Goods - rc</v>
          </cell>
          <cell r="E457" t="str">
            <v>NO</v>
          </cell>
          <cell r="F457" t="str">
            <v>NO</v>
          </cell>
          <cell r="G457" t="str">
            <v>YES</v>
          </cell>
          <cell r="H457" t="str">
            <v>NO</v>
          </cell>
          <cell r="I457" t="str">
            <v>NO</v>
          </cell>
          <cell r="J457" t="str">
            <v>Yes</v>
          </cell>
        </row>
        <row r="458">
          <cell r="B458">
            <v>400922</v>
          </cell>
          <cell r="C458" t="str">
            <v>Rubber; vulcanised (other than hard rubber), tubing, piping and hoses, reinforced or otherwise combined only with metal, with fittings</v>
          </cell>
          <cell r="D458" t="str">
            <v>Capital Goods - rc</v>
          </cell>
          <cell r="E458" t="str">
            <v>NO</v>
          </cell>
          <cell r="F458" t="str">
            <v>NO</v>
          </cell>
          <cell r="G458" t="str">
            <v>YES</v>
          </cell>
          <cell r="H458" t="str">
            <v>NO</v>
          </cell>
          <cell r="I458" t="str">
            <v>NO</v>
          </cell>
          <cell r="J458" t="str">
            <v>Yes</v>
          </cell>
        </row>
        <row r="459">
          <cell r="B459">
            <v>400931</v>
          </cell>
          <cell r="C459" t="str">
            <v>Rubber; vulcanised (other than hard rubber), tubing, piping and hoses, reinforced or otherwise combined only with textile materials, without fittings</v>
          </cell>
          <cell r="D459" t="str">
            <v>Capital Goods - rc</v>
          </cell>
          <cell r="E459" t="str">
            <v>NO</v>
          </cell>
          <cell r="F459" t="str">
            <v>NO</v>
          </cell>
          <cell r="G459" t="str">
            <v>YES</v>
          </cell>
          <cell r="H459" t="str">
            <v>NO</v>
          </cell>
          <cell r="I459" t="str">
            <v>YES</v>
          </cell>
          <cell r="J459" t="str">
            <v>Yes</v>
          </cell>
        </row>
        <row r="460">
          <cell r="B460">
            <v>400941</v>
          </cell>
          <cell r="C460" t="str">
            <v>Rubber; vulcanised (other than hard rubber), tubing, piping and hoses, reinforced or otherwise combined with materials other than metal or textiles, without fittings</v>
          </cell>
          <cell r="D460" t="str">
            <v>Capital Goods - rc</v>
          </cell>
          <cell r="E460" t="str">
            <v>NO</v>
          </cell>
          <cell r="F460" t="str">
            <v>NO</v>
          </cell>
          <cell r="G460" t="str">
            <v>YES</v>
          </cell>
          <cell r="H460" t="str">
            <v>NO</v>
          </cell>
          <cell r="I460" t="str">
            <v>YES</v>
          </cell>
          <cell r="J460" t="str">
            <v>Yes</v>
          </cell>
        </row>
        <row r="461">
          <cell r="B461">
            <v>401519</v>
          </cell>
          <cell r="C461" t="str">
            <v>Rubber; vulcanised (other than hard rubber), gloves, mittens and mitts other than surgical gloves</v>
          </cell>
          <cell r="D461" t="str">
            <v>Consumables</v>
          </cell>
          <cell r="E461" t="str">
            <v>NO</v>
          </cell>
          <cell r="F461" t="str">
            <v>NO</v>
          </cell>
          <cell r="G461" t="str">
            <v>YES</v>
          </cell>
          <cell r="H461" t="str">
            <v>NO</v>
          </cell>
          <cell r="I461" t="str">
            <v>YES</v>
          </cell>
          <cell r="J461" t="str">
            <v>Yes</v>
          </cell>
        </row>
        <row r="462">
          <cell r="B462">
            <v>401691</v>
          </cell>
          <cell r="C462" t="str">
            <v>Rubber; vulcanised (other than hard rubber), floor coverings and mats, of non-cellular rubber</v>
          </cell>
          <cell r="D462" t="str">
            <v>Consumables - rc</v>
          </cell>
          <cell r="E462" t="str">
            <v>NO</v>
          </cell>
          <cell r="F462" t="str">
            <v>NO</v>
          </cell>
          <cell r="G462" t="str">
            <v>YES</v>
          </cell>
          <cell r="H462" t="str">
            <v>NO</v>
          </cell>
          <cell r="I462" t="str">
            <v>NO</v>
          </cell>
          <cell r="J462" t="str">
            <v>Yes</v>
          </cell>
        </row>
        <row r="463">
          <cell r="B463">
            <v>420329</v>
          </cell>
          <cell r="C463" t="str">
            <v>Clothing accessories; gloves, mittens and mitts, n.e.c. in heading no. 4203, of leather or composition leather, not specially designed for use in sports</v>
          </cell>
          <cell r="D463" t="str">
            <v>Consumables</v>
          </cell>
          <cell r="E463" t="str">
            <v>NO</v>
          </cell>
          <cell r="F463" t="str">
            <v>NO</v>
          </cell>
          <cell r="G463" t="str">
            <v>YES</v>
          </cell>
          <cell r="H463" t="str">
            <v>NO</v>
          </cell>
          <cell r="I463" t="str">
            <v>YES</v>
          </cell>
          <cell r="J463" t="str">
            <v>Yes</v>
          </cell>
        </row>
        <row r="464">
          <cell r="B464">
            <v>481141</v>
          </cell>
          <cell r="C464" t="str">
            <v>Paper and paperboard; self-adhesive, in rolls or sheets, other than goods of heading no. 4803, 4809, or 4810</v>
          </cell>
          <cell r="D464" t="str">
            <v>Consumables - rc</v>
          </cell>
          <cell r="E464" t="str">
            <v>NO</v>
          </cell>
          <cell r="F464" t="str">
            <v>NO</v>
          </cell>
          <cell r="G464" t="str">
            <v>YES</v>
          </cell>
          <cell r="H464" t="str">
            <v>NO</v>
          </cell>
          <cell r="I464" t="str">
            <v>YES</v>
          </cell>
          <cell r="J464" t="str">
            <v>Yes</v>
          </cell>
        </row>
        <row r="465">
          <cell r="B465">
            <v>481149</v>
          </cell>
          <cell r="C465" t="str">
            <v>Paper and paperboard; gummed or adhesive paper and paperboard (excluding self-adhesive), in rolls or sheets, other than goods of heading no. 4803, 4809, or 4810</v>
          </cell>
          <cell r="D465" t="str">
            <v>Consumables - rc</v>
          </cell>
          <cell r="E465" t="str">
            <v>NO</v>
          </cell>
          <cell r="F465" t="str">
            <v>NO</v>
          </cell>
          <cell r="G465" t="str">
            <v>YES</v>
          </cell>
          <cell r="H465" t="str">
            <v>NO</v>
          </cell>
          <cell r="I465" t="str">
            <v>YES</v>
          </cell>
          <cell r="J465" t="str">
            <v>Yes</v>
          </cell>
        </row>
        <row r="466">
          <cell r="B466">
            <v>481890</v>
          </cell>
          <cell r="C466" t="str">
            <v>Paper articles; articles of paper, cellulose wadding or fibres, n.e.c. in heading no. 4818</v>
          </cell>
          <cell r="D466" t="str">
            <v>Consumables - rc</v>
          </cell>
          <cell r="E466" t="str">
            <v>NO</v>
          </cell>
          <cell r="F466" t="str">
            <v>NO</v>
          </cell>
          <cell r="G466" t="str">
            <v>YES</v>
          </cell>
          <cell r="H466" t="str">
            <v>NO</v>
          </cell>
          <cell r="I466" t="str">
            <v>YES</v>
          </cell>
          <cell r="J466" t="str">
            <v>Yes</v>
          </cell>
        </row>
        <row r="467">
          <cell r="B467">
            <v>481950</v>
          </cell>
          <cell r="C467" t="str">
            <v>Paper and paperboard; packing containers, including record sleeves, of paper, paperboard, cellulose wadding or fibres, n.e.c. in heading no. 4819</v>
          </cell>
          <cell r="D467" t="str">
            <v>Consumables - rc</v>
          </cell>
          <cell r="E467" t="str">
            <v>NO</v>
          </cell>
          <cell r="F467" t="str">
            <v>NO</v>
          </cell>
          <cell r="G467" t="str">
            <v>YES</v>
          </cell>
          <cell r="H467" t="str">
            <v>NO</v>
          </cell>
          <cell r="I467" t="str">
            <v>YES</v>
          </cell>
          <cell r="J467" t="str">
            <v>Yes</v>
          </cell>
        </row>
        <row r="468">
          <cell r="B468">
            <v>482320</v>
          </cell>
          <cell r="C468" t="str">
            <v>Paper and paperboard; filter paper and paperboard</v>
          </cell>
          <cell r="D468" t="str">
            <v>Consumables - rc</v>
          </cell>
          <cell r="E468" t="str">
            <v>NO</v>
          </cell>
          <cell r="F468" t="str">
            <v>NO</v>
          </cell>
          <cell r="G468" t="str">
            <v>YES</v>
          </cell>
          <cell r="H468" t="str">
            <v>NO</v>
          </cell>
          <cell r="I468" t="str">
            <v>NO</v>
          </cell>
          <cell r="J468" t="str">
            <v>Yes</v>
          </cell>
        </row>
        <row r="469">
          <cell r="B469">
            <v>490110</v>
          </cell>
          <cell r="C469" t="str">
            <v>Printed matter; in single sheets, whether or not folded</v>
          </cell>
          <cell r="D469" t="str">
            <v>Consumables - rc</v>
          </cell>
          <cell r="E469" t="str">
            <v>NO</v>
          </cell>
          <cell r="F469" t="str">
            <v>NO</v>
          </cell>
          <cell r="G469" t="str">
            <v>YES</v>
          </cell>
          <cell r="H469" t="str">
            <v>NO</v>
          </cell>
          <cell r="I469" t="str">
            <v>YES</v>
          </cell>
          <cell r="J469" t="str">
            <v>Yes</v>
          </cell>
        </row>
        <row r="470">
          <cell r="B470">
            <v>490199</v>
          </cell>
          <cell r="C470" t="str">
            <v>Printed matter; books, brochures, leaflets and similar printed matter n.e.c. in item no. 4901.10 or 4901.91</v>
          </cell>
          <cell r="D470" t="str">
            <v>Others</v>
          </cell>
          <cell r="E470" t="str">
            <v>NO</v>
          </cell>
          <cell r="F470" t="str">
            <v>NO</v>
          </cell>
          <cell r="G470" t="str">
            <v>YES</v>
          </cell>
          <cell r="H470" t="str">
            <v>NO</v>
          </cell>
          <cell r="I470" t="str">
            <v>YES</v>
          </cell>
          <cell r="J470" t="str">
            <v>Yes</v>
          </cell>
        </row>
        <row r="471">
          <cell r="B471">
            <v>560129</v>
          </cell>
          <cell r="C471" t="str">
            <v>Wadding; other articles thereof, other than of cotton or man-made fibres</v>
          </cell>
          <cell r="D471" t="str">
            <v>Consumables - rc</v>
          </cell>
          <cell r="E471" t="str">
            <v>NO</v>
          </cell>
          <cell r="F471" t="str">
            <v>NO</v>
          </cell>
          <cell r="G471" t="str">
            <v>YES</v>
          </cell>
          <cell r="H471" t="str">
            <v>NO</v>
          </cell>
          <cell r="I471" t="str">
            <v>NO</v>
          </cell>
          <cell r="J471" t="str">
            <v>Yes</v>
          </cell>
        </row>
        <row r="472">
          <cell r="B472">
            <v>560290</v>
          </cell>
          <cell r="C472" t="str">
            <v>Felt; impregnated, coated, covered or laminated (excluding needleloom felt and stitch-bonded fibre fabrics)</v>
          </cell>
          <cell r="D472" t="str">
            <v>Consumables - rc</v>
          </cell>
          <cell r="E472" t="str">
            <v>NO</v>
          </cell>
          <cell r="F472" t="str">
            <v>NO</v>
          </cell>
          <cell r="G472" t="str">
            <v>YES</v>
          </cell>
          <cell r="H472" t="str">
            <v>NO</v>
          </cell>
          <cell r="I472" t="str">
            <v>NO</v>
          </cell>
          <cell r="J472" t="str">
            <v>Yes</v>
          </cell>
        </row>
        <row r="473">
          <cell r="B473">
            <v>591000</v>
          </cell>
          <cell r="C473" t="str">
            <v>Textiles; transmission or conveyor belts or belting, of textile material, whether or not impregnated, coated, covered or laminated with plastics, or reinforced with metal or other material</v>
          </cell>
          <cell r="D473" t="str">
            <v>Consumables</v>
          </cell>
          <cell r="E473" t="str">
            <v>NO</v>
          </cell>
          <cell r="F473" t="str">
            <v>NO</v>
          </cell>
          <cell r="G473" t="str">
            <v>YES</v>
          </cell>
          <cell r="H473" t="str">
            <v>NO</v>
          </cell>
          <cell r="I473" t="str">
            <v>YES</v>
          </cell>
          <cell r="J473" t="str">
            <v>Yes</v>
          </cell>
        </row>
        <row r="474">
          <cell r="B474">
            <v>611610</v>
          </cell>
          <cell r="C474" t="str">
            <v>Gloves, mittens and mitts; knitted or crocheted, impregnated, coated, covered or laminated with plastics or rubber</v>
          </cell>
          <cell r="D474" t="str">
            <v>Consumables</v>
          </cell>
          <cell r="E474" t="str">
            <v>NO</v>
          </cell>
          <cell r="F474" t="str">
            <v>NO</v>
          </cell>
          <cell r="G474" t="str">
            <v>YES</v>
          </cell>
          <cell r="H474" t="str">
            <v>NO</v>
          </cell>
          <cell r="I474" t="str">
            <v>NO</v>
          </cell>
          <cell r="J474" t="str">
            <v>Yes</v>
          </cell>
        </row>
        <row r="475">
          <cell r="B475">
            <v>611780</v>
          </cell>
          <cell r="C475" t="str">
            <v>Clothing accessories; knitted or crocheted, n.e.c. in heading no. 6117</v>
          </cell>
          <cell r="D475" t="str">
            <v>Consumables - rc</v>
          </cell>
          <cell r="E475" t="str">
            <v>NO</v>
          </cell>
          <cell r="F475" t="str">
            <v>NO</v>
          </cell>
          <cell r="G475" t="str">
            <v>YES</v>
          </cell>
          <cell r="H475" t="str">
            <v>YES</v>
          </cell>
          <cell r="I475" t="str">
            <v>NO</v>
          </cell>
          <cell r="J475" t="str">
            <v>Yes</v>
          </cell>
        </row>
        <row r="476">
          <cell r="B476">
            <v>621133</v>
          </cell>
          <cell r="C476" t="str">
            <v>Track suits and other garments n.e.c.; men's or boys', of man-made fibres (not knitted or crocheted)</v>
          </cell>
          <cell r="D476" t="str">
            <v>Others</v>
          </cell>
          <cell r="E476" t="str">
            <v>NO</v>
          </cell>
          <cell r="F476" t="str">
            <v>NO</v>
          </cell>
          <cell r="G476" t="str">
            <v>YES</v>
          </cell>
          <cell r="H476" t="str">
            <v>NO</v>
          </cell>
          <cell r="I476" t="str">
            <v>YES</v>
          </cell>
          <cell r="J476" t="str">
            <v>Yes</v>
          </cell>
        </row>
        <row r="477">
          <cell r="B477">
            <v>621139</v>
          </cell>
          <cell r="C477" t="str">
            <v>Track suits and other garments n.e.c.; men's or boys', of textile materials n.e.c. in item no. 6211.3 (not knitted or crocheted)</v>
          </cell>
          <cell r="D477" t="str">
            <v>Consumables - rc</v>
          </cell>
          <cell r="E477" t="str">
            <v>NO</v>
          </cell>
          <cell r="F477" t="str">
            <v>NO</v>
          </cell>
          <cell r="G477" t="str">
            <v>YES</v>
          </cell>
          <cell r="H477" t="str">
            <v>YES</v>
          </cell>
          <cell r="I477" t="str">
            <v>YES</v>
          </cell>
          <cell r="J477" t="str">
            <v>Yes</v>
          </cell>
        </row>
        <row r="478">
          <cell r="B478">
            <v>621600</v>
          </cell>
          <cell r="C478" t="str">
            <v>Gloves, mittens and mitts (not knitted or crocheted)</v>
          </cell>
          <cell r="D478" t="str">
            <v>Consumables</v>
          </cell>
          <cell r="E478" t="str">
            <v>NO</v>
          </cell>
          <cell r="F478" t="str">
            <v>NO</v>
          </cell>
          <cell r="G478" t="str">
            <v>YES</v>
          </cell>
          <cell r="H478" t="str">
            <v>NO</v>
          </cell>
          <cell r="I478" t="str">
            <v>YES</v>
          </cell>
          <cell r="J478" t="str">
            <v>Yes</v>
          </cell>
        </row>
        <row r="479">
          <cell r="B479">
            <v>630790</v>
          </cell>
          <cell r="C479" t="str">
            <v>Textiles; made up articles (including dress patterns), n.e.c. in chapter 63, n.e.c. in heading no. 6307</v>
          </cell>
          <cell r="D479" t="str">
            <v>Consumables - rc</v>
          </cell>
          <cell r="E479" t="str">
            <v>NO</v>
          </cell>
          <cell r="F479" t="str">
            <v>NO</v>
          </cell>
          <cell r="G479" t="str">
            <v>YES</v>
          </cell>
          <cell r="H479" t="str">
            <v>NO</v>
          </cell>
          <cell r="I479" t="str">
            <v>YES</v>
          </cell>
          <cell r="J479" t="str">
            <v>Yes</v>
          </cell>
        </row>
        <row r="480">
          <cell r="B480">
            <v>630800</v>
          </cell>
          <cell r="C480" t="str">
            <v>Fabrics, woven and yarn; in sets, whether or not with accessories, for making up into rugs, tapestries, embroidered table cloths or serviettes or similar textile articles, packaged for retail sale</v>
          </cell>
          <cell r="D480" t="str">
            <v>Consumables - rc</v>
          </cell>
          <cell r="E480" t="str">
            <v>NO</v>
          </cell>
          <cell r="F480" t="str">
            <v>NO</v>
          </cell>
          <cell r="G480" t="str">
            <v>YES</v>
          </cell>
          <cell r="H480" t="str">
            <v>NO</v>
          </cell>
          <cell r="I480" t="str">
            <v>NO</v>
          </cell>
          <cell r="J480" t="str">
            <v>Yes</v>
          </cell>
        </row>
        <row r="481">
          <cell r="B481">
            <v>640199</v>
          </cell>
          <cell r="C481" t="str">
            <v>Footwear; waterproof, n.e.c. in heading no. 6401, rubber or plastic outer soles and uppers (not assembled by stitch, rivet, nail, screw, plug or similar)</v>
          </cell>
          <cell r="D481" t="str">
            <v>Consumables - rc</v>
          </cell>
          <cell r="E481" t="str">
            <v>NO</v>
          </cell>
          <cell r="F481" t="str">
            <v>NO</v>
          </cell>
          <cell r="G481" t="str">
            <v>YES</v>
          </cell>
          <cell r="H481" t="str">
            <v>NO</v>
          </cell>
          <cell r="I481" t="str">
            <v>NO</v>
          </cell>
          <cell r="J481" t="str">
            <v>Yes</v>
          </cell>
        </row>
        <row r="482">
          <cell r="B482">
            <v>640299</v>
          </cell>
          <cell r="C482" t="str">
            <v>Footwear; n.e.c. in heading no. 6402, (other than just covering the ankle), with outer soles and uppers of rubber or plastics</v>
          </cell>
          <cell r="D482" t="str">
            <v>Consumables - rc</v>
          </cell>
          <cell r="E482" t="str">
            <v>NO</v>
          </cell>
          <cell r="F482" t="str">
            <v>NO</v>
          </cell>
          <cell r="G482" t="str">
            <v>YES</v>
          </cell>
          <cell r="H482" t="str">
            <v>NO</v>
          </cell>
          <cell r="I482" t="str">
            <v>YES</v>
          </cell>
          <cell r="J482" t="str">
            <v>Yes</v>
          </cell>
        </row>
        <row r="483">
          <cell r="B483">
            <v>640320</v>
          </cell>
          <cell r="C483" t="str">
            <v>Footwear; with outer soles of leather, uppers consisting of leather straps across instep and around the big toe</v>
          </cell>
          <cell r="D483" t="str">
            <v>Consumables - rc</v>
          </cell>
          <cell r="E483" t="str">
            <v>NO</v>
          </cell>
          <cell r="F483" t="str">
            <v>NO</v>
          </cell>
          <cell r="G483" t="str">
            <v>YES</v>
          </cell>
          <cell r="H483" t="str">
            <v>NO</v>
          </cell>
          <cell r="I483" t="str">
            <v>NO</v>
          </cell>
          <cell r="J483" t="str">
            <v>Yes</v>
          </cell>
        </row>
        <row r="484">
          <cell r="B484">
            <v>640340</v>
          </cell>
          <cell r="C484" t="str">
            <v>Footwear; with metal toe-cap, outer soles of rubber, plastics, leather or composition leather, uppers of leather</v>
          </cell>
          <cell r="D484" t="str">
            <v>Consumables</v>
          </cell>
          <cell r="E484" t="str">
            <v>NO</v>
          </cell>
          <cell r="F484" t="str">
            <v>NO</v>
          </cell>
          <cell r="G484" t="str">
            <v>YES</v>
          </cell>
          <cell r="H484" t="str">
            <v>NO</v>
          </cell>
          <cell r="I484" t="str">
            <v>NO</v>
          </cell>
          <cell r="J484" t="str">
            <v>Yes</v>
          </cell>
        </row>
        <row r="485">
          <cell r="B485">
            <v>650500</v>
          </cell>
          <cell r="C485" t="str">
            <v>Hats and other headgear; knitted or crocheted, or made up from lace, felt or other textile fabric, in the piece (but not in strips), whether or not lined or trimmed; hair-nets of any material, whether or not lined or trimmed</v>
          </cell>
          <cell r="D485" t="str">
            <v>Consumables</v>
          </cell>
          <cell r="E485" t="str">
            <v>NO</v>
          </cell>
          <cell r="F485" t="str">
            <v>NO</v>
          </cell>
          <cell r="G485" t="str">
            <v>YES</v>
          </cell>
          <cell r="H485" t="str">
            <v>NO</v>
          </cell>
          <cell r="I485" t="str">
            <v>YES</v>
          </cell>
          <cell r="J485" t="str">
            <v>Yes</v>
          </cell>
        </row>
        <row r="486">
          <cell r="B486">
            <v>650699</v>
          </cell>
          <cell r="C486" t="str">
            <v>Headgear; (other than safety headgear), (of materials other than rubber or plastic), whether or not lined or trimmed</v>
          </cell>
          <cell r="D486" t="str">
            <v>Consumables</v>
          </cell>
          <cell r="E486" t="str">
            <v>NO</v>
          </cell>
          <cell r="F486" t="str">
            <v>NO</v>
          </cell>
          <cell r="G486" t="str">
            <v>YES</v>
          </cell>
          <cell r="H486" t="str">
            <v>YES</v>
          </cell>
          <cell r="I486" t="str">
            <v>YES</v>
          </cell>
          <cell r="J486" t="str">
            <v>Yes</v>
          </cell>
        </row>
        <row r="487">
          <cell r="B487">
            <v>680423</v>
          </cell>
          <cell r="C487" t="str">
            <v>Millstones, grindstones, grinding wheels and the like; of natural stone</v>
          </cell>
          <cell r="D487" t="str">
            <v>Consumables - rc</v>
          </cell>
          <cell r="E487" t="str">
            <v>NO</v>
          </cell>
          <cell r="F487" t="str">
            <v>NO</v>
          </cell>
          <cell r="G487" t="str">
            <v>YES</v>
          </cell>
          <cell r="H487" t="str">
            <v>NO</v>
          </cell>
          <cell r="I487" t="str">
            <v>NO</v>
          </cell>
          <cell r="J487" t="str">
            <v>Yes</v>
          </cell>
        </row>
        <row r="488">
          <cell r="B488">
            <v>700420</v>
          </cell>
          <cell r="C488" t="str">
            <v>Glass; drawn and blown, in sheets, coloured throughout the mass (body tinted), opacified, flashed or having an absorbent, reflecting or non-reflecting layer, but not otherwise worked</v>
          </cell>
          <cell r="D488" t="str">
            <v>Capital Goods - rc</v>
          </cell>
          <cell r="E488" t="str">
            <v>NO</v>
          </cell>
          <cell r="F488" t="str">
            <v>NO</v>
          </cell>
          <cell r="G488" t="str">
            <v>YES</v>
          </cell>
          <cell r="H488" t="str">
            <v>NO</v>
          </cell>
          <cell r="I488" t="str">
            <v>NO</v>
          </cell>
          <cell r="J488" t="str">
            <v>Yes</v>
          </cell>
        </row>
        <row r="489">
          <cell r="B489">
            <v>700729</v>
          </cell>
          <cell r="C489" t="str">
            <v>Glass; safety glass, laminated, (not of a size and shape suitable for incorporation in vehicles, aircraft, spacecraft or vessels)</v>
          </cell>
          <cell r="D489" t="str">
            <v>Consumables</v>
          </cell>
          <cell r="E489" t="str">
            <v>NO</v>
          </cell>
          <cell r="F489" t="str">
            <v>NO</v>
          </cell>
          <cell r="G489" t="str">
            <v>YES</v>
          </cell>
          <cell r="H489" t="str">
            <v>NO</v>
          </cell>
          <cell r="I489" t="str">
            <v>NO</v>
          </cell>
          <cell r="J489" t="str">
            <v>Yes</v>
          </cell>
        </row>
        <row r="490">
          <cell r="B490">
            <v>700992</v>
          </cell>
          <cell r="C490" t="str">
            <v>Glass mirrors; framed, excluding rear-view mirrors for vehicles</v>
          </cell>
          <cell r="D490" t="str">
            <v>Consumables - rc</v>
          </cell>
          <cell r="E490" t="str">
            <v>NO</v>
          </cell>
          <cell r="F490" t="str">
            <v>NO</v>
          </cell>
          <cell r="G490" t="str">
            <v>YES</v>
          </cell>
          <cell r="H490" t="str">
            <v>NO</v>
          </cell>
          <cell r="I490" t="str">
            <v>YES</v>
          </cell>
          <cell r="J490" t="str">
            <v>Yes</v>
          </cell>
        </row>
        <row r="491">
          <cell r="B491">
            <v>701810</v>
          </cell>
          <cell r="C491" t="str">
            <v>Glass; beads, imitation pearls, imitation precious or semi-precious stones and similar glass smallwares</v>
          </cell>
          <cell r="D491" t="str">
            <v>Consumables - rc</v>
          </cell>
          <cell r="E491" t="str">
            <v>NO</v>
          </cell>
          <cell r="F491" t="str">
            <v>NO</v>
          </cell>
          <cell r="G491" t="str">
            <v>YES</v>
          </cell>
          <cell r="H491" t="str">
            <v>NO</v>
          </cell>
          <cell r="I491" t="str">
            <v>NO</v>
          </cell>
          <cell r="J491" t="str">
            <v>Yes</v>
          </cell>
        </row>
        <row r="492">
          <cell r="B492">
            <v>721590</v>
          </cell>
          <cell r="C492" t="str">
            <v>Iron or non-alloy steel; bars and rods, n.e.c. in chapter 72, n.e.c. in heading no. 7215</v>
          </cell>
          <cell r="D492" t="str">
            <v>Consumables - rc</v>
          </cell>
          <cell r="E492" t="str">
            <v>NO</v>
          </cell>
          <cell r="F492" t="str">
            <v>NO</v>
          </cell>
          <cell r="G492" t="str">
            <v>YES</v>
          </cell>
          <cell r="H492" t="str">
            <v>NO</v>
          </cell>
          <cell r="I492" t="str">
            <v>NO</v>
          </cell>
          <cell r="J492" t="str">
            <v>Yes</v>
          </cell>
        </row>
        <row r="493">
          <cell r="B493">
            <v>722300</v>
          </cell>
          <cell r="C493" t="str">
            <v>Steel, stainless; wire</v>
          </cell>
          <cell r="D493" t="str">
            <v>Consumables - rc</v>
          </cell>
          <cell r="E493" t="str">
            <v>NO</v>
          </cell>
          <cell r="F493" t="str">
            <v>NO</v>
          </cell>
          <cell r="G493" t="str">
            <v>YES</v>
          </cell>
          <cell r="H493" t="str">
            <v>NO</v>
          </cell>
          <cell r="I493" t="str">
            <v>YES</v>
          </cell>
          <cell r="J493" t="str">
            <v>Yes</v>
          </cell>
        </row>
        <row r="494">
          <cell r="B494">
            <v>731010</v>
          </cell>
          <cell r="C494" t="str">
            <v>Tanks, casks, drums, cans, boxes and similar containers, for any material (excluding compressed or liquefied gas), 50l or more capacity but not exceeding 300l</v>
          </cell>
          <cell r="D494" t="str">
            <v>Capital Goods</v>
          </cell>
          <cell r="E494" t="str">
            <v>NO</v>
          </cell>
          <cell r="F494" t="str">
            <v>NO</v>
          </cell>
          <cell r="G494" t="str">
            <v>YES</v>
          </cell>
          <cell r="H494" t="str">
            <v>NO</v>
          </cell>
          <cell r="I494" t="str">
            <v>YES</v>
          </cell>
          <cell r="J494" t="str">
            <v>Yes</v>
          </cell>
        </row>
        <row r="495">
          <cell r="B495">
            <v>731519</v>
          </cell>
          <cell r="C495" t="str">
            <v>Chain; articulated link parts, of iron or steel</v>
          </cell>
          <cell r="D495" t="str">
            <v>Parts &amp; Accessories</v>
          </cell>
          <cell r="E495" t="str">
            <v>NO</v>
          </cell>
          <cell r="F495" t="str">
            <v>NO</v>
          </cell>
          <cell r="G495" t="str">
            <v>YES</v>
          </cell>
          <cell r="H495" t="str">
            <v>NO</v>
          </cell>
          <cell r="I495" t="str">
            <v>YES</v>
          </cell>
          <cell r="J495" t="str">
            <v>Yes</v>
          </cell>
        </row>
        <row r="496">
          <cell r="B496">
            <v>731700</v>
          </cell>
          <cell r="C496" t="str">
            <v>Iron or steel; nails, tacks, drawing pins, corrugated nails, staples (not those of heading no. 8305) and the like, with heads of other material or not, but excluding articles with heads of copper</v>
          </cell>
          <cell r="D496" t="str">
            <v>Consumables</v>
          </cell>
          <cell r="E496" t="str">
            <v>NO</v>
          </cell>
          <cell r="F496" t="str">
            <v>NO</v>
          </cell>
          <cell r="G496" t="str">
            <v>YES</v>
          </cell>
          <cell r="H496" t="str">
            <v>NO</v>
          </cell>
          <cell r="I496" t="str">
            <v>NO</v>
          </cell>
          <cell r="J496" t="str">
            <v>Yes</v>
          </cell>
        </row>
        <row r="497">
          <cell r="B497">
            <v>731813</v>
          </cell>
          <cell r="C497" t="str">
            <v>Iron or steel; threaded screw hooks and screw rings</v>
          </cell>
          <cell r="D497" t="str">
            <v>Consumables</v>
          </cell>
          <cell r="E497" t="str">
            <v>NO</v>
          </cell>
          <cell r="F497" t="str">
            <v>NO</v>
          </cell>
          <cell r="G497" t="str">
            <v>YES</v>
          </cell>
          <cell r="H497" t="str">
            <v>NO</v>
          </cell>
          <cell r="I497" t="str">
            <v>NO</v>
          </cell>
          <cell r="J497" t="str">
            <v>Yes</v>
          </cell>
        </row>
        <row r="498">
          <cell r="B498">
            <v>731821</v>
          </cell>
          <cell r="C498" t="str">
            <v>Iron or steel; non-threaded spring washers and other lock washers</v>
          </cell>
          <cell r="D498" t="str">
            <v>Consumables</v>
          </cell>
          <cell r="E498" t="str">
            <v>NO</v>
          </cell>
          <cell r="F498" t="str">
            <v>NO</v>
          </cell>
          <cell r="G498" t="str">
            <v>YES</v>
          </cell>
          <cell r="H498" t="str">
            <v>NO</v>
          </cell>
          <cell r="I498" t="str">
            <v>YES</v>
          </cell>
          <cell r="J498" t="str">
            <v>Yes</v>
          </cell>
        </row>
        <row r="499">
          <cell r="B499">
            <v>732391</v>
          </cell>
          <cell r="C499" t="str">
            <v>Cast iron; table, kitchen and other household articles and parts thereof, of cast iron, not enamelled</v>
          </cell>
          <cell r="D499" t="str">
            <v>Others</v>
          </cell>
          <cell r="E499" t="str">
            <v>NO</v>
          </cell>
          <cell r="F499" t="str">
            <v>NO</v>
          </cell>
          <cell r="G499" t="str">
            <v>YES</v>
          </cell>
          <cell r="H499" t="str">
            <v>NO</v>
          </cell>
          <cell r="I499" t="str">
            <v>NO</v>
          </cell>
          <cell r="J499" t="str">
            <v>Yes</v>
          </cell>
        </row>
        <row r="500">
          <cell r="B500">
            <v>741021</v>
          </cell>
          <cell r="C500" t="str">
            <v>Copper; foil, backed with paper, paperboard, plastics or similar backing material, of a thickness (excluding any backing) not exceeding 0.15mm, of refined copper</v>
          </cell>
          <cell r="D500" t="str">
            <v>Consumables - rc</v>
          </cell>
          <cell r="E500" t="str">
            <v>NO</v>
          </cell>
          <cell r="F500" t="str">
            <v>NO</v>
          </cell>
          <cell r="G500" t="str">
            <v>YES</v>
          </cell>
          <cell r="H500" t="str">
            <v>NO</v>
          </cell>
          <cell r="I500" t="str">
            <v>YES</v>
          </cell>
          <cell r="J500" t="str">
            <v>Yes</v>
          </cell>
        </row>
        <row r="501">
          <cell r="B501">
            <v>760410</v>
          </cell>
          <cell r="C501" t="str">
            <v>Aluminium; (not alloyed), bars, rods and profiles</v>
          </cell>
          <cell r="D501" t="str">
            <v>Consumables - rc</v>
          </cell>
          <cell r="E501" t="str">
            <v>NO</v>
          </cell>
          <cell r="F501" t="str">
            <v>NO</v>
          </cell>
          <cell r="G501" t="str">
            <v>YES</v>
          </cell>
          <cell r="H501" t="str">
            <v>NO</v>
          </cell>
          <cell r="I501" t="str">
            <v>NO</v>
          </cell>
          <cell r="J501" t="str">
            <v>Yes</v>
          </cell>
        </row>
        <row r="502">
          <cell r="B502">
            <v>761090</v>
          </cell>
          <cell r="C502" t="str">
            <v>Aluminium; structures (excluding prefabricated buildings of heading no. 9406) and parts of structures, n.e.c. in heading no. 7610, plates, rods, profiles, tubes and the like</v>
          </cell>
          <cell r="D502" t="str">
            <v>Capital Goods - rc</v>
          </cell>
          <cell r="E502" t="str">
            <v>NO</v>
          </cell>
          <cell r="F502" t="str">
            <v>NO</v>
          </cell>
          <cell r="G502" t="str">
            <v>YES</v>
          </cell>
          <cell r="H502" t="str">
            <v>YES</v>
          </cell>
          <cell r="I502" t="str">
            <v>YES</v>
          </cell>
          <cell r="J502" t="str">
            <v>Yes</v>
          </cell>
        </row>
        <row r="503">
          <cell r="B503">
            <v>800700</v>
          </cell>
          <cell r="C503" t="str">
            <v>Tin; articles n.e.c. in chapter 80</v>
          </cell>
          <cell r="D503" t="str">
            <v>Consumables - rc</v>
          </cell>
          <cell r="E503" t="str">
            <v>NO</v>
          </cell>
          <cell r="F503" t="str">
            <v>NO</v>
          </cell>
          <cell r="G503" t="str">
            <v>YES</v>
          </cell>
          <cell r="H503" t="str">
            <v>NO</v>
          </cell>
          <cell r="I503" t="str">
            <v>YES</v>
          </cell>
          <cell r="J503" t="str">
            <v>Yes</v>
          </cell>
        </row>
        <row r="504">
          <cell r="B504">
            <v>820210</v>
          </cell>
          <cell r="C504" t="str">
            <v>Tools, hand; hand saws</v>
          </cell>
          <cell r="D504" t="str">
            <v>Capital Goods</v>
          </cell>
          <cell r="E504" t="str">
            <v>NO</v>
          </cell>
          <cell r="F504" t="str">
            <v>NO</v>
          </cell>
          <cell r="G504" t="str">
            <v>YES</v>
          </cell>
          <cell r="H504" t="str">
            <v>YES</v>
          </cell>
          <cell r="I504" t="str">
            <v>NO</v>
          </cell>
          <cell r="J504" t="str">
            <v>Yes</v>
          </cell>
        </row>
        <row r="505">
          <cell r="B505">
            <v>820240</v>
          </cell>
          <cell r="C505" t="str">
            <v>Tools, hand; chain saw blades</v>
          </cell>
          <cell r="D505" t="str">
            <v>Capital Goods</v>
          </cell>
          <cell r="E505" t="str">
            <v>NO</v>
          </cell>
          <cell r="F505" t="str">
            <v>NO</v>
          </cell>
          <cell r="G505" t="str">
            <v>YES</v>
          </cell>
          <cell r="H505" t="str">
            <v>NO</v>
          </cell>
          <cell r="I505" t="str">
            <v>NO</v>
          </cell>
          <cell r="J505" t="str">
            <v>Yes</v>
          </cell>
        </row>
        <row r="506">
          <cell r="B506">
            <v>820310</v>
          </cell>
          <cell r="C506" t="str">
            <v>Tools, hand; files, rasps and similar tools</v>
          </cell>
          <cell r="D506" t="str">
            <v>Capital Goods</v>
          </cell>
          <cell r="E506" t="str">
            <v>NO</v>
          </cell>
          <cell r="F506" t="str">
            <v>NO</v>
          </cell>
          <cell r="G506" t="str">
            <v>YES</v>
          </cell>
          <cell r="H506" t="str">
            <v>YES</v>
          </cell>
          <cell r="I506" t="str">
            <v>NO</v>
          </cell>
          <cell r="J506" t="str">
            <v>Yes</v>
          </cell>
        </row>
        <row r="507">
          <cell r="B507">
            <v>820330</v>
          </cell>
          <cell r="C507" t="str">
            <v>Tools, hand; metal cutting shears and similar tools</v>
          </cell>
          <cell r="D507" t="str">
            <v>Capital Goods</v>
          </cell>
          <cell r="E507" t="str">
            <v>NO</v>
          </cell>
          <cell r="F507" t="str">
            <v>NO</v>
          </cell>
          <cell r="G507" t="str">
            <v>YES</v>
          </cell>
          <cell r="H507" t="str">
            <v>NO</v>
          </cell>
          <cell r="I507" t="str">
            <v>YES</v>
          </cell>
          <cell r="J507" t="str">
            <v>Yes</v>
          </cell>
        </row>
        <row r="508">
          <cell r="B508">
            <v>820520</v>
          </cell>
          <cell r="C508" t="str">
            <v>Tools, hand; hammers and sledge hammers</v>
          </cell>
          <cell r="D508" t="str">
            <v>Capital Goods</v>
          </cell>
          <cell r="E508" t="str">
            <v>NO</v>
          </cell>
          <cell r="F508" t="str">
            <v>NO</v>
          </cell>
          <cell r="G508" t="str">
            <v>YES</v>
          </cell>
          <cell r="H508" t="str">
            <v>YES</v>
          </cell>
          <cell r="I508" t="str">
            <v>NO</v>
          </cell>
          <cell r="J508" t="str">
            <v>Yes</v>
          </cell>
        </row>
        <row r="509">
          <cell r="B509">
            <v>820559</v>
          </cell>
          <cell r="C509" t="str">
            <v>Tools, hand; other hand tools (including glaziers diamonds), excluding household tools, drilling, threading or tapping tools, hammers and sledge hammers, planes, chisels, gouges and similar cutting tools for working wood, and screwdrivers</v>
          </cell>
          <cell r="D509" t="str">
            <v>Capital Goods</v>
          </cell>
          <cell r="E509" t="str">
            <v>NO</v>
          </cell>
          <cell r="F509" t="str">
            <v>NO</v>
          </cell>
          <cell r="G509" t="str">
            <v>YES</v>
          </cell>
          <cell r="H509" t="str">
            <v>YES</v>
          </cell>
          <cell r="I509" t="str">
            <v>YES</v>
          </cell>
          <cell r="J509" t="str">
            <v>Yes</v>
          </cell>
        </row>
        <row r="510">
          <cell r="B510">
            <v>820600</v>
          </cell>
          <cell r="C510" t="str">
            <v>Tools, hand; two or more of heading no. 8202 to 8205, put up in sets for retail sale</v>
          </cell>
          <cell r="D510" t="str">
            <v>Capital Goods</v>
          </cell>
          <cell r="E510" t="str">
            <v>NO</v>
          </cell>
          <cell r="F510" t="str">
            <v>NO</v>
          </cell>
          <cell r="G510" t="str">
            <v>YES</v>
          </cell>
          <cell r="H510" t="str">
            <v>YES</v>
          </cell>
          <cell r="I510" t="str">
            <v>NO</v>
          </cell>
          <cell r="J510" t="str">
            <v>Yes</v>
          </cell>
        </row>
        <row r="511">
          <cell r="B511">
            <v>820720</v>
          </cell>
          <cell r="C511" t="str">
            <v>Tools, interchangeable; (for machine or hand tools, whether or not power-operated), dies for drawing or extruding metal</v>
          </cell>
          <cell r="D511" t="str">
            <v>Capital Goods</v>
          </cell>
          <cell r="E511" t="str">
            <v>NO</v>
          </cell>
          <cell r="F511" t="str">
            <v>NO</v>
          </cell>
          <cell r="G511" t="str">
            <v>YES</v>
          </cell>
          <cell r="H511" t="str">
            <v>NO</v>
          </cell>
          <cell r="I511" t="str">
            <v>YES</v>
          </cell>
          <cell r="J511" t="str">
            <v>Yes</v>
          </cell>
        </row>
        <row r="512">
          <cell r="B512">
            <v>820740</v>
          </cell>
          <cell r="C512" t="str">
            <v>Tools, interchangeable; (for machine or hand tools, whether or not power-operated), tools for tapping or threading</v>
          </cell>
          <cell r="D512" t="str">
            <v>Capital Goods</v>
          </cell>
          <cell r="E512" t="str">
            <v>NO</v>
          </cell>
          <cell r="F512" t="str">
            <v>NO</v>
          </cell>
          <cell r="G512" t="str">
            <v>YES</v>
          </cell>
          <cell r="H512" t="str">
            <v>NO</v>
          </cell>
          <cell r="I512" t="str">
            <v>YES</v>
          </cell>
          <cell r="J512" t="str">
            <v>Yes</v>
          </cell>
        </row>
        <row r="513">
          <cell r="B513">
            <v>821192</v>
          </cell>
          <cell r="C513" t="str">
            <v>Knives; having fixed cutting blades, (other than table knives), serrated or not, excluding knives and blades of heading no. 8208</v>
          </cell>
          <cell r="D513" t="str">
            <v>Capital Goods</v>
          </cell>
          <cell r="E513" t="str">
            <v>NO</v>
          </cell>
          <cell r="F513" t="str">
            <v>NO</v>
          </cell>
          <cell r="G513" t="str">
            <v>YES</v>
          </cell>
          <cell r="H513" t="str">
            <v>NO</v>
          </cell>
          <cell r="I513" t="str">
            <v>NO</v>
          </cell>
          <cell r="J513" t="str">
            <v>Yes</v>
          </cell>
        </row>
        <row r="514">
          <cell r="B514">
            <v>821193</v>
          </cell>
          <cell r="C514" t="str">
            <v>Knives; with cutting blades, (having other than fixed blades), serrated or not, excluding knives and blades of heading no. 8208</v>
          </cell>
          <cell r="D514" t="str">
            <v>Capital Goods</v>
          </cell>
          <cell r="E514" t="str">
            <v>NO</v>
          </cell>
          <cell r="F514" t="str">
            <v>NO</v>
          </cell>
          <cell r="G514" t="str">
            <v>YES</v>
          </cell>
          <cell r="H514" t="str">
            <v>YES</v>
          </cell>
          <cell r="I514" t="str">
            <v>YES</v>
          </cell>
          <cell r="J514" t="str">
            <v>Yes</v>
          </cell>
        </row>
        <row r="515">
          <cell r="B515">
            <v>821194</v>
          </cell>
          <cell r="C515" t="str">
            <v>Blades; cutting, serrated or not, excluding those of heading no. 8208</v>
          </cell>
          <cell r="D515" t="str">
            <v>Capital Goods</v>
          </cell>
          <cell r="E515" t="str">
            <v>NO</v>
          </cell>
          <cell r="F515" t="str">
            <v>NO</v>
          </cell>
          <cell r="G515" t="str">
            <v>YES</v>
          </cell>
          <cell r="H515" t="str">
            <v>NO</v>
          </cell>
          <cell r="I515" t="str">
            <v>YES</v>
          </cell>
          <cell r="J515" t="str">
            <v>Yes</v>
          </cell>
        </row>
        <row r="516">
          <cell r="B516">
            <v>821420</v>
          </cell>
          <cell r="C516" t="str">
            <v>Manicure or pedicure sets and instruments; (including nail files)</v>
          </cell>
          <cell r="D516" t="str">
            <v>Others</v>
          </cell>
          <cell r="E516" t="str">
            <v>NO</v>
          </cell>
          <cell r="F516" t="str">
            <v>NO</v>
          </cell>
          <cell r="G516" t="str">
            <v>YES</v>
          </cell>
          <cell r="H516" t="str">
            <v>NO</v>
          </cell>
          <cell r="I516" t="str">
            <v>NO</v>
          </cell>
          <cell r="J516" t="str">
            <v>Yes</v>
          </cell>
        </row>
        <row r="517">
          <cell r="B517">
            <v>830170</v>
          </cell>
          <cell r="C517" t="str">
            <v>Keys; presented separately, of base metal</v>
          </cell>
          <cell r="D517" t="str">
            <v>Capital Goods - rc</v>
          </cell>
          <cell r="E517" t="str">
            <v>NO</v>
          </cell>
          <cell r="F517" t="str">
            <v>NO</v>
          </cell>
          <cell r="G517" t="str">
            <v>YES</v>
          </cell>
          <cell r="H517" t="str">
            <v>YES</v>
          </cell>
          <cell r="I517" t="str">
            <v>YES</v>
          </cell>
          <cell r="J517" t="str">
            <v>Yes</v>
          </cell>
        </row>
        <row r="518">
          <cell r="B518">
            <v>830230</v>
          </cell>
          <cell r="C518" t="str">
            <v>Mountings, fittings and similar articles; for motor vehicles, of base metal</v>
          </cell>
          <cell r="D518" t="str">
            <v>Parts &amp; Accessories - rc</v>
          </cell>
          <cell r="E518" t="str">
            <v>NO</v>
          </cell>
          <cell r="F518" t="str">
            <v>NO</v>
          </cell>
          <cell r="G518" t="str">
            <v>YES</v>
          </cell>
          <cell r="H518" t="str">
            <v>NO</v>
          </cell>
          <cell r="I518" t="str">
            <v>YES</v>
          </cell>
          <cell r="J518" t="str">
            <v>Yes</v>
          </cell>
        </row>
        <row r="519">
          <cell r="B519">
            <v>830790</v>
          </cell>
          <cell r="C519" t="str">
            <v>Tubing; flexible, with or without fittings of base metal, other than those of iron or steel</v>
          </cell>
          <cell r="D519" t="str">
            <v>Capital Goods</v>
          </cell>
          <cell r="E519" t="str">
            <v>NO</v>
          </cell>
          <cell r="F519" t="str">
            <v>NO</v>
          </cell>
          <cell r="G519" t="str">
            <v>YES</v>
          </cell>
          <cell r="H519" t="str">
            <v>NO</v>
          </cell>
          <cell r="I519" t="str">
            <v>YES</v>
          </cell>
          <cell r="J519" t="str">
            <v>Yes</v>
          </cell>
        </row>
        <row r="520">
          <cell r="B520">
            <v>830890</v>
          </cell>
          <cell r="C520" t="str">
            <v>Clasps, frames with clasps, buckles, buckle clasps; of base metal, of a kind used for clothing &amp; accessories, footwear, jewellery, wrist-watches, books, awnings, leather goods, travel goods, saddlery etc, including parts</v>
          </cell>
          <cell r="D520" t="str">
            <v>Consumables - rc</v>
          </cell>
          <cell r="E520" t="str">
            <v>NO</v>
          </cell>
          <cell r="F520" t="str">
            <v>NO</v>
          </cell>
          <cell r="G520" t="str">
            <v>YES</v>
          </cell>
          <cell r="H520" t="str">
            <v>NO</v>
          </cell>
          <cell r="I520" t="str">
            <v>YES</v>
          </cell>
          <cell r="J520" t="str">
            <v>Yes</v>
          </cell>
        </row>
        <row r="521">
          <cell r="B521">
            <v>830990</v>
          </cell>
          <cell r="C521" t="str">
            <v>Stoppers; caps and lids, of base metal</v>
          </cell>
          <cell r="D521" t="str">
            <v>Others</v>
          </cell>
          <cell r="E521" t="str">
            <v>NO</v>
          </cell>
          <cell r="F521" t="str">
            <v>NO</v>
          </cell>
          <cell r="G521" t="str">
            <v>YES</v>
          </cell>
          <cell r="H521" t="str">
            <v>NO</v>
          </cell>
          <cell r="I521" t="str">
            <v>YES</v>
          </cell>
          <cell r="J521" t="str">
            <v>Yes</v>
          </cell>
        </row>
        <row r="522">
          <cell r="B522">
            <v>841381</v>
          </cell>
          <cell r="C522" t="str">
            <v>Pumps and liquid elevators; n.e.c. in heading no. 8413</v>
          </cell>
          <cell r="D522" t="str">
            <v>Capital Goods</v>
          </cell>
          <cell r="E522" t="str">
            <v>NO</v>
          </cell>
          <cell r="F522" t="str">
            <v>NO</v>
          </cell>
          <cell r="G522" t="str">
            <v>YES</v>
          </cell>
          <cell r="H522" t="str">
            <v>NO</v>
          </cell>
          <cell r="I522" t="str">
            <v>YES</v>
          </cell>
          <cell r="J522" t="str">
            <v>Yes</v>
          </cell>
        </row>
        <row r="523">
          <cell r="B523">
            <v>841420</v>
          </cell>
          <cell r="C523" t="str">
            <v>Pumps; hand or foot-operated air pumps</v>
          </cell>
          <cell r="D523" t="str">
            <v>Parts &amp; Accessories</v>
          </cell>
          <cell r="E523" t="str">
            <v>NO</v>
          </cell>
          <cell r="F523" t="str">
            <v>NO</v>
          </cell>
          <cell r="G523" t="str">
            <v>YES</v>
          </cell>
          <cell r="H523" t="str">
            <v>NO</v>
          </cell>
          <cell r="I523" t="str">
            <v>YES</v>
          </cell>
          <cell r="J523" t="str">
            <v>Yes</v>
          </cell>
        </row>
        <row r="524">
          <cell r="B524">
            <v>841510</v>
          </cell>
          <cell r="C524" t="str">
            <v>Air conditioning machines; comprising a motor-driven fan and elements for changing the temperature and humidity, of a kind designed to be fixed to a window, wall, ceiling or floor, self-contained or "split-system"</v>
          </cell>
          <cell r="D524" t="str">
            <v>Durable</v>
          </cell>
          <cell r="E524" t="str">
            <v>NO</v>
          </cell>
          <cell r="F524" t="str">
            <v>NO</v>
          </cell>
          <cell r="G524" t="str">
            <v>YES</v>
          </cell>
          <cell r="H524" t="str">
            <v>NO</v>
          </cell>
          <cell r="I524" t="str">
            <v>NO</v>
          </cell>
          <cell r="J524" t="str">
            <v>Yes</v>
          </cell>
        </row>
        <row r="525">
          <cell r="B525">
            <v>841582</v>
          </cell>
          <cell r="C525" t="str">
            <v>Air conditioning machines; containing a motor driven fan, other than window or wall types, incorporating a refrigerating unit</v>
          </cell>
          <cell r="D525" t="str">
            <v>Durable</v>
          </cell>
          <cell r="E525" t="str">
            <v>NO</v>
          </cell>
          <cell r="F525" t="str">
            <v>NO</v>
          </cell>
          <cell r="G525" t="str">
            <v>YES</v>
          </cell>
          <cell r="H525" t="str">
            <v>NO</v>
          </cell>
          <cell r="I525" t="str">
            <v>NO</v>
          </cell>
          <cell r="J525" t="str">
            <v>Yes</v>
          </cell>
        </row>
        <row r="526">
          <cell r="B526">
            <v>841583</v>
          </cell>
          <cell r="C526" t="str">
            <v>Air conditioning machines; containing a motor driven fan, other than window or wall types, not incorporating a refrigerating unit</v>
          </cell>
          <cell r="D526" t="str">
            <v>Durable</v>
          </cell>
          <cell r="E526" t="str">
            <v>NO</v>
          </cell>
          <cell r="F526" t="str">
            <v>NO</v>
          </cell>
          <cell r="G526" t="str">
            <v>YES</v>
          </cell>
          <cell r="H526" t="str">
            <v>NO</v>
          </cell>
          <cell r="I526" t="str">
            <v>NO</v>
          </cell>
          <cell r="J526" t="str">
            <v>Yes</v>
          </cell>
        </row>
        <row r="527">
          <cell r="B527">
            <v>841981</v>
          </cell>
          <cell r="C527" t="str">
            <v>Machinery, plant and equipment; for making hot drinks, for cooking or heating food</v>
          </cell>
          <cell r="D527" t="str">
            <v>Capital Goods - rc</v>
          </cell>
          <cell r="E527" t="str">
            <v>NO</v>
          </cell>
          <cell r="F527" t="str">
            <v>NO</v>
          </cell>
          <cell r="G527" t="str">
            <v>YES</v>
          </cell>
          <cell r="H527" t="str">
            <v>NO</v>
          </cell>
          <cell r="I527" t="str">
            <v>NO</v>
          </cell>
          <cell r="J527" t="str">
            <v>Yes</v>
          </cell>
        </row>
        <row r="528">
          <cell r="B528">
            <v>842119</v>
          </cell>
          <cell r="C528" t="str">
            <v>Centrifuges; n.e.c. in heading no. 8421, including centrifugal dryers (but not clothes-dryers)</v>
          </cell>
          <cell r="D528" t="str">
            <v>Capital Goods</v>
          </cell>
          <cell r="E528" t="str">
            <v>NO</v>
          </cell>
          <cell r="F528" t="str">
            <v>NO</v>
          </cell>
          <cell r="G528" t="str">
            <v>YES</v>
          </cell>
          <cell r="H528" t="str">
            <v>NO</v>
          </cell>
          <cell r="I528" t="str">
            <v>NO</v>
          </cell>
          <cell r="J528" t="str">
            <v>Yes</v>
          </cell>
        </row>
        <row r="529">
          <cell r="B529">
            <v>842420</v>
          </cell>
          <cell r="C529" t="str">
            <v>Spray guns and similar appliances</v>
          </cell>
          <cell r="D529" t="str">
            <v>Capital Goods</v>
          </cell>
          <cell r="E529" t="str">
            <v>NO</v>
          </cell>
          <cell r="F529" t="str">
            <v>NO</v>
          </cell>
          <cell r="G529" t="str">
            <v>YES</v>
          </cell>
          <cell r="H529" t="str">
            <v>YES</v>
          </cell>
          <cell r="I529" t="str">
            <v>YES</v>
          </cell>
          <cell r="J529" t="str">
            <v>Yes</v>
          </cell>
        </row>
        <row r="530">
          <cell r="B530">
            <v>842449</v>
          </cell>
          <cell r="C530" t="str">
            <v>Mechanical appliances; agricultural or horticultural sprayers; other than portable sprayers</v>
          </cell>
          <cell r="D530" t="str">
            <v>Capital Goods</v>
          </cell>
          <cell r="E530" t="str">
            <v>NO</v>
          </cell>
          <cell r="F530" t="str">
            <v>NO</v>
          </cell>
          <cell r="G530" t="str">
            <v>YES</v>
          </cell>
          <cell r="H530" t="str">
            <v>NO</v>
          </cell>
          <cell r="I530" t="str">
            <v>NO</v>
          </cell>
          <cell r="J530" t="str">
            <v>Yes</v>
          </cell>
        </row>
        <row r="531">
          <cell r="B531">
            <v>842542</v>
          </cell>
          <cell r="C531" t="str">
            <v>Jacks and hoists; hydraulic, of a kind used for raising vehicles</v>
          </cell>
          <cell r="D531" t="str">
            <v>Capital Goods - rc</v>
          </cell>
          <cell r="E531" t="str">
            <v>NO</v>
          </cell>
          <cell r="F531" t="str">
            <v>NO</v>
          </cell>
          <cell r="G531" t="str">
            <v>YES</v>
          </cell>
          <cell r="H531" t="str">
            <v>NO</v>
          </cell>
          <cell r="I531" t="str">
            <v>NO</v>
          </cell>
          <cell r="J531" t="str">
            <v>Yes</v>
          </cell>
        </row>
        <row r="532">
          <cell r="B532">
            <v>842549</v>
          </cell>
          <cell r="C532" t="str">
            <v>Jacks and hoists; (other than hydraulic), of a kind used for raising vehicles</v>
          </cell>
          <cell r="D532" t="str">
            <v>Capital Goods - rc</v>
          </cell>
          <cell r="E532" t="str">
            <v>NO</v>
          </cell>
          <cell r="F532" t="str">
            <v>NO</v>
          </cell>
          <cell r="G532" t="str">
            <v>YES</v>
          </cell>
          <cell r="H532" t="str">
            <v>YES</v>
          </cell>
          <cell r="I532" t="str">
            <v>YES</v>
          </cell>
          <cell r="J532" t="str">
            <v>Yes</v>
          </cell>
        </row>
        <row r="533">
          <cell r="B533">
            <v>842833</v>
          </cell>
          <cell r="C533" t="str">
            <v>Elevators and conveyors; continuous-action, for goods or materials, belt type, n.e.c. in item no. 8428.20 or 8428.31</v>
          </cell>
          <cell r="D533" t="str">
            <v>Capital Goods</v>
          </cell>
          <cell r="E533" t="str">
            <v>NO</v>
          </cell>
          <cell r="F533" t="str">
            <v>NO</v>
          </cell>
          <cell r="G533" t="str">
            <v>YES</v>
          </cell>
          <cell r="H533" t="str">
            <v>YES</v>
          </cell>
          <cell r="I533" t="str">
            <v>YES</v>
          </cell>
          <cell r="J533" t="str">
            <v>Yes</v>
          </cell>
        </row>
        <row r="534">
          <cell r="B534">
            <v>842870</v>
          </cell>
          <cell r="C534" t="str">
            <v>Industrial robots</v>
          </cell>
          <cell r="D534" t="str">
            <v>Capital Goods</v>
          </cell>
          <cell r="E534" t="str">
            <v>NO</v>
          </cell>
          <cell r="F534" t="str">
            <v>NO</v>
          </cell>
          <cell r="G534" t="str">
            <v>YES</v>
          </cell>
          <cell r="H534" t="str">
            <v>NO</v>
          </cell>
          <cell r="I534" t="str">
            <v>YES</v>
          </cell>
          <cell r="J534" t="str">
            <v>Yes</v>
          </cell>
        </row>
        <row r="535">
          <cell r="B535">
            <v>842890</v>
          </cell>
          <cell r="C535" t="str">
            <v>Lifting, handling, loading or unloading machinery; n.e.c. in heading no. 8425, 8426, 8427 or 8428</v>
          </cell>
          <cell r="D535" t="str">
            <v>Capital Goods</v>
          </cell>
          <cell r="E535" t="str">
            <v>NO</v>
          </cell>
          <cell r="F535" t="str">
            <v>NO</v>
          </cell>
          <cell r="G535" t="str">
            <v>YES</v>
          </cell>
          <cell r="H535" t="str">
            <v>YES</v>
          </cell>
          <cell r="I535" t="str">
            <v>YES</v>
          </cell>
          <cell r="J535" t="str">
            <v>Yes</v>
          </cell>
        </row>
        <row r="536">
          <cell r="B536">
            <v>843131</v>
          </cell>
          <cell r="C536" t="str">
            <v>Lifts, skip hoists or escalators; parts thereof</v>
          </cell>
          <cell r="D536" t="str">
            <v>Parts &amp; Accessories - rc</v>
          </cell>
          <cell r="E536" t="str">
            <v>NO</v>
          </cell>
          <cell r="F536" t="str">
            <v>NO</v>
          </cell>
          <cell r="G536" t="str">
            <v>YES</v>
          </cell>
          <cell r="H536" t="str">
            <v>NO</v>
          </cell>
          <cell r="I536" t="str">
            <v>YES</v>
          </cell>
          <cell r="J536" t="str">
            <v>Yes</v>
          </cell>
        </row>
        <row r="537">
          <cell r="B537">
            <v>843149</v>
          </cell>
          <cell r="C537" t="str">
            <v>Machinery; parts of machines handling earth, minerals or ores and n.e.c. in heading no. 8431</v>
          </cell>
          <cell r="D537" t="str">
            <v>Parts &amp; Accessories</v>
          </cell>
          <cell r="E537" t="str">
            <v>NO</v>
          </cell>
          <cell r="F537" t="str">
            <v>NO</v>
          </cell>
          <cell r="G537" t="str">
            <v>YES</v>
          </cell>
          <cell r="H537" t="str">
            <v>YES</v>
          </cell>
          <cell r="I537" t="str">
            <v>YES</v>
          </cell>
          <cell r="J537" t="str">
            <v>Yes</v>
          </cell>
        </row>
        <row r="538">
          <cell r="B538">
            <v>843590</v>
          </cell>
          <cell r="C538" t="str">
            <v>Presses, crushers and similar machinery; parts, used in the manufacture of wine, cider, fruit juices or similar beverages</v>
          </cell>
          <cell r="D538" t="str">
            <v>Parts &amp; Accessories</v>
          </cell>
          <cell r="E538" t="str">
            <v>NO</v>
          </cell>
          <cell r="F538" t="str">
            <v>NO</v>
          </cell>
          <cell r="G538" t="str">
            <v>YES</v>
          </cell>
          <cell r="H538" t="str">
            <v>NO</v>
          </cell>
          <cell r="I538" t="str">
            <v>NO</v>
          </cell>
          <cell r="J538" t="str">
            <v>Yes</v>
          </cell>
        </row>
        <row r="539">
          <cell r="B539">
            <v>843699</v>
          </cell>
          <cell r="C539" t="str">
            <v>Machinery; parts of that machinery for agricultural, horticultural or forestry use n.e.c. in heading no. 8436</v>
          </cell>
          <cell r="D539" t="str">
            <v>Parts &amp; Accessories - rc</v>
          </cell>
          <cell r="E539" t="str">
            <v>NO</v>
          </cell>
          <cell r="F539" t="str">
            <v>NO</v>
          </cell>
          <cell r="G539" t="str">
            <v>YES</v>
          </cell>
          <cell r="H539" t="str">
            <v>NO</v>
          </cell>
          <cell r="I539" t="str">
            <v>NO</v>
          </cell>
          <cell r="J539" t="str">
            <v>Yes</v>
          </cell>
        </row>
        <row r="540">
          <cell r="B540">
            <v>844190</v>
          </cell>
          <cell r="C540" t="str">
            <v>Machinery; parts of machinery for making up paper pulp, paper or paperboard, including cutting machines of all kinds</v>
          </cell>
          <cell r="D540" t="str">
            <v>Parts &amp; Accessories</v>
          </cell>
          <cell r="E540" t="str">
            <v>NO</v>
          </cell>
          <cell r="F540" t="str">
            <v>NO</v>
          </cell>
          <cell r="G540" t="str">
            <v>YES</v>
          </cell>
          <cell r="H540" t="str">
            <v>NO</v>
          </cell>
          <cell r="I540" t="str">
            <v>NO</v>
          </cell>
          <cell r="J540" t="str">
            <v>Yes</v>
          </cell>
        </row>
        <row r="541">
          <cell r="B541">
            <v>844332</v>
          </cell>
          <cell r="C541" t="str">
            <v>Printing, copying, and facsimile machines; single-function printing, copying or facsimile machines, capable of connecting to an automatic data processing machine or to a network</v>
          </cell>
          <cell r="D541" t="str">
            <v>Durable</v>
          </cell>
          <cell r="E541" t="str">
            <v>NO</v>
          </cell>
          <cell r="F541" t="str">
            <v>NO</v>
          </cell>
          <cell r="G541" t="str">
            <v>YES</v>
          </cell>
          <cell r="H541" t="str">
            <v>YES</v>
          </cell>
          <cell r="I541" t="str">
            <v>YES</v>
          </cell>
          <cell r="J541" t="str">
            <v>Yes</v>
          </cell>
        </row>
        <row r="542">
          <cell r="B542">
            <v>844339</v>
          </cell>
          <cell r="C542" t="str">
            <v>Printing, copying, and facsimile machines; single-function printing, copying or facsimile machines, not capable of connecting to an automatic data processing machine or to a network</v>
          </cell>
          <cell r="D542" t="str">
            <v>Capital Goods</v>
          </cell>
          <cell r="E542" t="str">
            <v>NO</v>
          </cell>
          <cell r="F542" t="str">
            <v>NO</v>
          </cell>
          <cell r="G542" t="str">
            <v>YES</v>
          </cell>
          <cell r="H542" t="str">
            <v>YES</v>
          </cell>
          <cell r="I542" t="str">
            <v>YES</v>
          </cell>
          <cell r="J542" t="str">
            <v>Yes</v>
          </cell>
        </row>
        <row r="543">
          <cell r="B543">
            <v>845019</v>
          </cell>
          <cell r="C543" t="str">
            <v>Washing machines; household or laundry-type, not fully-automatic, without built-in centrifugal drier, of a dry linen capacity not exceeding 10kg</v>
          </cell>
          <cell r="D543" t="str">
            <v>Durable</v>
          </cell>
          <cell r="E543" t="str">
            <v>NO</v>
          </cell>
          <cell r="F543" t="str">
            <v>NO</v>
          </cell>
          <cell r="G543" t="str">
            <v>YES</v>
          </cell>
          <cell r="H543" t="str">
            <v>NO</v>
          </cell>
          <cell r="I543" t="str">
            <v>NO</v>
          </cell>
          <cell r="J543" t="str">
            <v>Yes</v>
          </cell>
        </row>
        <row r="544">
          <cell r="B544">
            <v>845121</v>
          </cell>
          <cell r="C544" t="str">
            <v>Drying machines; of a dry linen capacity not exceeding 10kg</v>
          </cell>
          <cell r="D544" t="str">
            <v>Durable</v>
          </cell>
          <cell r="E544" t="str">
            <v>NO</v>
          </cell>
          <cell r="F544" t="str">
            <v>NO</v>
          </cell>
          <cell r="G544" t="str">
            <v>YES</v>
          </cell>
          <cell r="H544" t="str">
            <v>NO</v>
          </cell>
          <cell r="I544" t="str">
            <v>NO</v>
          </cell>
          <cell r="J544" t="str">
            <v>Yes</v>
          </cell>
        </row>
        <row r="545">
          <cell r="B545">
            <v>845130</v>
          </cell>
          <cell r="C545" t="str">
            <v>Ironing machines and presses (including fusing presses)</v>
          </cell>
          <cell r="D545" t="str">
            <v>Capital Goods</v>
          </cell>
          <cell r="E545" t="str">
            <v>NO</v>
          </cell>
          <cell r="F545" t="str">
            <v>NO</v>
          </cell>
          <cell r="G545" t="str">
            <v>YES</v>
          </cell>
          <cell r="H545" t="str">
            <v>NO</v>
          </cell>
          <cell r="I545" t="str">
            <v>NO</v>
          </cell>
          <cell r="J545" t="str">
            <v>Yes</v>
          </cell>
        </row>
        <row r="546">
          <cell r="B546">
            <v>845929</v>
          </cell>
          <cell r="C546" t="str">
            <v>Machine-tools; for drilling by removing metal, other than numerically controlled</v>
          </cell>
          <cell r="D546" t="str">
            <v>Capital Goods</v>
          </cell>
          <cell r="E546" t="str">
            <v>NO</v>
          </cell>
          <cell r="F546" t="str">
            <v>NO</v>
          </cell>
          <cell r="G546" t="str">
            <v>YES</v>
          </cell>
          <cell r="H546" t="str">
            <v>NO</v>
          </cell>
          <cell r="I546" t="str">
            <v>YES</v>
          </cell>
          <cell r="J546" t="str">
            <v>Yes</v>
          </cell>
        </row>
        <row r="547">
          <cell r="B547">
            <v>846229</v>
          </cell>
          <cell r="C547" t="str">
            <v>Machine-tools; bending, folding, straightening or flattening machines (including press brakes), for working metal, numerically controlled n.e.c. in item 84.62.2</v>
          </cell>
          <cell r="D547" t="str">
            <v>Capital Goods</v>
          </cell>
          <cell r="E547" t="str">
            <v>NO</v>
          </cell>
          <cell r="F547" t="str">
            <v>NO</v>
          </cell>
          <cell r="G547" t="str">
            <v>YES</v>
          </cell>
          <cell r="H547" t="str">
            <v>NO</v>
          </cell>
          <cell r="I547" t="str">
            <v>YES</v>
          </cell>
          <cell r="J547" t="str">
            <v>Yes</v>
          </cell>
        </row>
        <row r="548">
          <cell r="B548">
            <v>846420</v>
          </cell>
          <cell r="C548" t="str">
            <v>Machine-tools; grinding or polishing machines, for working stone, ceramics, concrete, asbestos-cement or like mineral materials or for cold working glass</v>
          </cell>
          <cell r="D548" t="str">
            <v>Capital Goods</v>
          </cell>
          <cell r="E548" t="str">
            <v>NO</v>
          </cell>
          <cell r="F548" t="str">
            <v>NO</v>
          </cell>
          <cell r="G548" t="str">
            <v>YES</v>
          </cell>
          <cell r="H548" t="str">
            <v>NO</v>
          </cell>
          <cell r="I548" t="str">
            <v>YES</v>
          </cell>
          <cell r="J548" t="str">
            <v>Yes</v>
          </cell>
        </row>
        <row r="549">
          <cell r="B549">
            <v>846711</v>
          </cell>
          <cell r="C549" t="str">
            <v>Tools; for working in the hand, pneumatic, rotary type (including combined rotary-percussion)</v>
          </cell>
          <cell r="D549" t="str">
            <v>Capital Goods</v>
          </cell>
          <cell r="E549" t="str">
            <v>NO</v>
          </cell>
          <cell r="F549" t="str">
            <v>NO</v>
          </cell>
          <cell r="G549" t="str">
            <v>YES</v>
          </cell>
          <cell r="H549" t="str">
            <v>NO</v>
          </cell>
          <cell r="I549" t="str">
            <v>YES</v>
          </cell>
          <cell r="J549" t="str">
            <v>Yes</v>
          </cell>
        </row>
        <row r="550">
          <cell r="B550">
            <v>846721</v>
          </cell>
          <cell r="C550" t="str">
            <v>Tools; for working in the hand, with self-contained electric motor; drills of all kinds</v>
          </cell>
          <cell r="D550" t="str">
            <v>Capital Goods</v>
          </cell>
          <cell r="E550" t="str">
            <v>NO</v>
          </cell>
          <cell r="F550" t="str">
            <v>NO</v>
          </cell>
          <cell r="G550" t="str">
            <v>YES</v>
          </cell>
          <cell r="H550" t="str">
            <v>NO</v>
          </cell>
          <cell r="I550" t="str">
            <v>NO</v>
          </cell>
          <cell r="J550" t="str">
            <v>Yes</v>
          </cell>
        </row>
        <row r="551">
          <cell r="B551">
            <v>846820</v>
          </cell>
          <cell r="C551" t="str">
            <v>Machinery and apparatus; gas operated machinery and apparatus n.e.c. in item no. 8468.10, for soldering, brazing or welding, whether or not capable of cutting</v>
          </cell>
          <cell r="D551" t="str">
            <v>Capital Goods</v>
          </cell>
          <cell r="E551" t="str">
            <v>NO</v>
          </cell>
          <cell r="F551" t="str">
            <v>NO</v>
          </cell>
          <cell r="G551" t="str">
            <v>YES</v>
          </cell>
          <cell r="H551" t="str">
            <v>NO</v>
          </cell>
          <cell r="I551" t="str">
            <v>NO</v>
          </cell>
          <cell r="J551" t="str">
            <v>Yes</v>
          </cell>
        </row>
        <row r="552">
          <cell r="B552">
            <v>847050</v>
          </cell>
          <cell r="C552" t="str">
            <v>Cash registers</v>
          </cell>
          <cell r="D552" t="str">
            <v>Capital Goods - rc</v>
          </cell>
          <cell r="E552" t="str">
            <v>NO</v>
          </cell>
          <cell r="F552" t="str">
            <v>NO</v>
          </cell>
          <cell r="G552" t="str">
            <v>YES</v>
          </cell>
          <cell r="H552" t="str">
            <v>NO</v>
          </cell>
          <cell r="I552" t="str">
            <v>NO</v>
          </cell>
          <cell r="J552" t="str">
            <v>Yes</v>
          </cell>
        </row>
        <row r="553">
          <cell r="B553">
            <v>847290</v>
          </cell>
          <cell r="C553" t="str">
            <v>Office machines; not elsewhere classified</v>
          </cell>
          <cell r="D553" t="str">
            <v>Capital Goods - rc</v>
          </cell>
          <cell r="E553" t="str">
            <v>NO</v>
          </cell>
          <cell r="F553" t="str">
            <v>NO</v>
          </cell>
          <cell r="G553" t="str">
            <v>YES</v>
          </cell>
          <cell r="H553" t="str">
            <v>NO</v>
          </cell>
          <cell r="I553" t="str">
            <v>YES</v>
          </cell>
          <cell r="J553" t="str">
            <v>Yes</v>
          </cell>
        </row>
        <row r="554">
          <cell r="B554">
            <v>847329</v>
          </cell>
          <cell r="C554" t="str">
            <v>Machinery; parts and accessories of the machines of item no. 8470.30. 8470.50 or 8470.90 (other than covers, carrying cases and the like)</v>
          </cell>
          <cell r="D554" t="str">
            <v>Parts &amp; Accessories</v>
          </cell>
          <cell r="E554" t="str">
            <v>NO</v>
          </cell>
          <cell r="F554" t="str">
            <v>NO</v>
          </cell>
          <cell r="G554" t="str">
            <v>YES</v>
          </cell>
          <cell r="H554" t="str">
            <v>NO</v>
          </cell>
          <cell r="I554" t="str">
            <v>NO</v>
          </cell>
          <cell r="J554" t="str">
            <v>Yes</v>
          </cell>
        </row>
        <row r="555">
          <cell r="B555">
            <v>847340</v>
          </cell>
          <cell r="C555" t="str">
            <v>Machinery; parts and accessories (other than covers, carrying cases and the like) of the machines of heading no. 8472</v>
          </cell>
          <cell r="D555" t="str">
            <v>Parts &amp; Accessories</v>
          </cell>
          <cell r="E555" t="str">
            <v>NO</v>
          </cell>
          <cell r="F555" t="str">
            <v>NO</v>
          </cell>
          <cell r="G555" t="str">
            <v>YES</v>
          </cell>
          <cell r="H555" t="str">
            <v>NO</v>
          </cell>
          <cell r="I555" t="str">
            <v>YES</v>
          </cell>
          <cell r="J555" t="str">
            <v>Yes</v>
          </cell>
        </row>
        <row r="556">
          <cell r="B556">
            <v>847439</v>
          </cell>
          <cell r="C556" t="str">
            <v>Machines; for mixing or kneading mineral substances, excluding concrete mixers and machines for mixing mineral substances with bitumen</v>
          </cell>
          <cell r="D556" t="str">
            <v>Capital Goods</v>
          </cell>
          <cell r="E556" t="str">
            <v>NO</v>
          </cell>
          <cell r="F556" t="str">
            <v>NO</v>
          </cell>
          <cell r="G556" t="str">
            <v>YES</v>
          </cell>
          <cell r="H556" t="str">
            <v>NO</v>
          </cell>
          <cell r="I556" t="str">
            <v>NO</v>
          </cell>
          <cell r="J556" t="str">
            <v>Yes</v>
          </cell>
        </row>
        <row r="557">
          <cell r="B557">
            <v>848240</v>
          </cell>
          <cell r="C557" t="str">
            <v>Bearings; needle roller bearings, including cage and needle roller assemblies</v>
          </cell>
          <cell r="D557" t="str">
            <v>Parts &amp; Accessories</v>
          </cell>
          <cell r="E557" t="str">
            <v>NO</v>
          </cell>
          <cell r="F557" t="str">
            <v>NO</v>
          </cell>
          <cell r="G557" t="str">
            <v>YES</v>
          </cell>
          <cell r="H557" t="str">
            <v>NO</v>
          </cell>
          <cell r="I557" t="str">
            <v>YES</v>
          </cell>
          <cell r="J557" t="str">
            <v>Yes</v>
          </cell>
        </row>
        <row r="558">
          <cell r="B558">
            <v>848320</v>
          </cell>
          <cell r="C558" t="str">
            <v>Bearing housings, incorporating ball or roller bearings</v>
          </cell>
          <cell r="D558" t="str">
            <v>Parts &amp; Accessories</v>
          </cell>
          <cell r="E558" t="str">
            <v>NO</v>
          </cell>
          <cell r="F558" t="str">
            <v>NO</v>
          </cell>
          <cell r="G558" t="str">
            <v>YES</v>
          </cell>
          <cell r="H558" t="str">
            <v>NO</v>
          </cell>
          <cell r="I558" t="str">
            <v>YES</v>
          </cell>
          <cell r="J558" t="str">
            <v>Yes</v>
          </cell>
        </row>
        <row r="559">
          <cell r="B559">
            <v>848690</v>
          </cell>
          <cell r="C559" t="str">
            <v>Machines and apparatus of heading 8486; parts and accessories</v>
          </cell>
          <cell r="D559" t="str">
            <v>Parts &amp; Accessories</v>
          </cell>
          <cell r="E559" t="str">
            <v>NO</v>
          </cell>
          <cell r="F559" t="str">
            <v>NO</v>
          </cell>
          <cell r="G559" t="str">
            <v>YES</v>
          </cell>
          <cell r="H559" t="str">
            <v>NO</v>
          </cell>
          <cell r="I559" t="str">
            <v>YES</v>
          </cell>
          <cell r="J559" t="str">
            <v>Yes</v>
          </cell>
        </row>
        <row r="560">
          <cell r="B560">
            <v>848790</v>
          </cell>
          <cell r="C560" t="str">
            <v>Machinery parts; not containing electrical connectors, insulators, coils, contacts or other electrical features, n.e.c. in chapter 84, other than ships' or boats' propellers and blades therefor</v>
          </cell>
          <cell r="D560" t="str">
            <v>Parts &amp; Accessories</v>
          </cell>
          <cell r="E560" t="str">
            <v>NO</v>
          </cell>
          <cell r="F560" t="str">
            <v>NO</v>
          </cell>
          <cell r="G560" t="str">
            <v>YES</v>
          </cell>
          <cell r="H560" t="str">
            <v>YES</v>
          </cell>
          <cell r="I560" t="str">
            <v>YES</v>
          </cell>
          <cell r="J560" t="str">
            <v>Yes</v>
          </cell>
        </row>
        <row r="561">
          <cell r="B561">
            <v>850172</v>
          </cell>
          <cell r="C561" t="str">
            <v>Electric generators; photovoltaic DC generators, of an output exceeding 50W</v>
          </cell>
          <cell r="D561" t="str">
            <v>Capital Goods</v>
          </cell>
          <cell r="E561" t="str">
            <v>NO</v>
          </cell>
          <cell r="F561" t="str">
            <v>NO</v>
          </cell>
          <cell r="G561" t="str">
            <v>YES</v>
          </cell>
          <cell r="H561" t="str">
            <v>NO</v>
          </cell>
          <cell r="I561" t="str">
            <v>NO</v>
          </cell>
          <cell r="J561" t="str">
            <v>Yes</v>
          </cell>
        </row>
        <row r="562">
          <cell r="B562">
            <v>850410</v>
          </cell>
          <cell r="C562" t="str">
            <v>Discharge lamps or tubes; ballasts therefor</v>
          </cell>
          <cell r="D562" t="str">
            <v>Parts &amp; Accessories</v>
          </cell>
          <cell r="E562" t="str">
            <v>NO</v>
          </cell>
          <cell r="F562" t="str">
            <v>NO</v>
          </cell>
          <cell r="G562" t="str">
            <v>YES</v>
          </cell>
          <cell r="H562" t="str">
            <v>NO</v>
          </cell>
          <cell r="I562" t="str">
            <v>YES</v>
          </cell>
          <cell r="J562" t="str">
            <v>Yes</v>
          </cell>
        </row>
        <row r="563">
          <cell r="B563">
            <v>850434</v>
          </cell>
          <cell r="C563" t="str">
            <v>Transformers; n.e.c. in item no. 8504.2, having a power handling capacity exceeding 500kVA</v>
          </cell>
          <cell r="D563" t="str">
            <v>Capital Goods</v>
          </cell>
          <cell r="E563" t="str">
            <v>NO</v>
          </cell>
          <cell r="F563" t="str">
            <v>NO</v>
          </cell>
          <cell r="G563" t="str">
            <v>YES</v>
          </cell>
          <cell r="H563" t="str">
            <v>NO</v>
          </cell>
          <cell r="I563" t="str">
            <v>NO</v>
          </cell>
          <cell r="J563" t="str">
            <v>Yes</v>
          </cell>
        </row>
        <row r="564">
          <cell r="B564">
            <v>850819</v>
          </cell>
          <cell r="C564" t="str">
            <v>Vacuum cleaners, with self-contained electric motor, n.e.c. in item no. 8508.1</v>
          </cell>
          <cell r="D564" t="str">
            <v>Capital Goods</v>
          </cell>
          <cell r="E564" t="str">
            <v>NO</v>
          </cell>
          <cell r="F564" t="str">
            <v>NO</v>
          </cell>
          <cell r="G564" t="str">
            <v>YES</v>
          </cell>
          <cell r="H564" t="str">
            <v>NO</v>
          </cell>
          <cell r="I564" t="str">
            <v>NO</v>
          </cell>
          <cell r="J564" t="str">
            <v>Yes</v>
          </cell>
        </row>
        <row r="565">
          <cell r="B565">
            <v>851230</v>
          </cell>
          <cell r="C565" t="str">
            <v>Sound signalling equipment; electrical, used on cycles or motor vehicles (excluding articles of heading no. 8539)</v>
          </cell>
          <cell r="D565" t="str">
            <v>Capital Goods - rc</v>
          </cell>
          <cell r="E565" t="str">
            <v>NO</v>
          </cell>
          <cell r="F565" t="str">
            <v>NO</v>
          </cell>
          <cell r="G565" t="str">
            <v>YES</v>
          </cell>
          <cell r="H565" t="str">
            <v>NO</v>
          </cell>
          <cell r="I565" t="str">
            <v>NO</v>
          </cell>
          <cell r="J565" t="str">
            <v>Yes</v>
          </cell>
        </row>
        <row r="566">
          <cell r="B566">
            <v>851439</v>
          </cell>
          <cell r="C566" t="str">
            <v>Furnaces and ovens; electric, for industrial or laboratory use, other than those functioning by induction, dielectric loss or resistance heated, other than electron beam, plasma or vacuum arc furnaces</v>
          </cell>
          <cell r="D566" t="str">
            <v>Capital Goods</v>
          </cell>
          <cell r="E566" t="str">
            <v>NO</v>
          </cell>
          <cell r="F566" t="str">
            <v>NO</v>
          </cell>
          <cell r="G566" t="str">
            <v>YES</v>
          </cell>
          <cell r="H566" t="str">
            <v>YES</v>
          </cell>
          <cell r="I566" t="str">
            <v>YES</v>
          </cell>
          <cell r="J566" t="str">
            <v>Yes</v>
          </cell>
        </row>
        <row r="567">
          <cell r="B567">
            <v>851519</v>
          </cell>
          <cell r="C567" t="str">
            <v>Brazing or soldering machines and apparatus; other than soldering irons and guns, whether or not capable of cutting</v>
          </cell>
          <cell r="D567" t="str">
            <v>Capital Goods</v>
          </cell>
          <cell r="E567" t="str">
            <v>NO</v>
          </cell>
          <cell r="F567" t="str">
            <v>NO</v>
          </cell>
          <cell r="G567" t="str">
            <v>YES</v>
          </cell>
          <cell r="H567" t="str">
            <v>YES</v>
          </cell>
          <cell r="I567" t="str">
            <v>YES</v>
          </cell>
          <cell r="J567" t="str">
            <v>Yes</v>
          </cell>
        </row>
        <row r="568">
          <cell r="B568">
            <v>851769</v>
          </cell>
          <cell r="C568" t="str">
            <v>Communication apparatus (excluding telephone sets or base stations); machines for the transmission or reception of voice, images or other data (including wired/wireless networks), n.e.c. in item no. 8517.6</v>
          </cell>
          <cell r="D568" t="str">
            <v>Capital Goods - rc</v>
          </cell>
          <cell r="E568" t="str">
            <v>NO</v>
          </cell>
          <cell r="F568" t="str">
            <v>NO</v>
          </cell>
          <cell r="G568" t="str">
            <v>YES</v>
          </cell>
          <cell r="H568" t="str">
            <v>NO</v>
          </cell>
          <cell r="I568" t="str">
            <v>YES</v>
          </cell>
          <cell r="J568" t="str">
            <v>Yes</v>
          </cell>
        </row>
        <row r="569">
          <cell r="B569">
            <v>852321</v>
          </cell>
          <cell r="C569" t="str">
            <v>Magnetic media; cards incorporating a magnetic stripe, whether or not recorded, excluding products of Chapter 37</v>
          </cell>
          <cell r="D569" t="str">
            <v>Capital Goods - rc</v>
          </cell>
          <cell r="E569" t="str">
            <v>NO</v>
          </cell>
          <cell r="F569" t="str">
            <v>NO</v>
          </cell>
          <cell r="G569" t="str">
            <v>YES</v>
          </cell>
          <cell r="H569" t="str">
            <v>NO</v>
          </cell>
          <cell r="I569" t="str">
            <v>NO</v>
          </cell>
          <cell r="J569" t="str">
            <v>Yes</v>
          </cell>
        </row>
        <row r="570">
          <cell r="B570">
            <v>852849</v>
          </cell>
          <cell r="C570" t="str">
            <v>Monitors; cathode-ray tube, n.e.c. in subheading 8528.42, whether or not colour</v>
          </cell>
          <cell r="D570" t="str">
            <v>Capital Goods - rc</v>
          </cell>
          <cell r="E570" t="str">
            <v>NO</v>
          </cell>
          <cell r="F570" t="str">
            <v>NO</v>
          </cell>
          <cell r="G570" t="str">
            <v>YES</v>
          </cell>
          <cell r="H570" t="str">
            <v>NO</v>
          </cell>
          <cell r="I570" t="str">
            <v>NO</v>
          </cell>
          <cell r="J570" t="str">
            <v>Yes</v>
          </cell>
        </row>
        <row r="571">
          <cell r="B571">
            <v>852869</v>
          </cell>
          <cell r="C571" t="str">
            <v>Projectors; n.e.c. in subheading 8528.62, whether or not colour</v>
          </cell>
          <cell r="D571" t="str">
            <v>Durable</v>
          </cell>
          <cell r="E571" t="str">
            <v>NO</v>
          </cell>
          <cell r="F571" t="str">
            <v>NO</v>
          </cell>
          <cell r="G571" t="str">
            <v>YES</v>
          </cell>
          <cell r="H571" t="str">
            <v>NO</v>
          </cell>
          <cell r="I571" t="str">
            <v>NO</v>
          </cell>
          <cell r="J571" t="str">
            <v>Yes</v>
          </cell>
        </row>
        <row r="572">
          <cell r="B572">
            <v>853110</v>
          </cell>
          <cell r="C572" t="str">
            <v>Signalling apparatus; electric, sound or visual, burglar or fire alarms and similar, other than those of heading no. 8512 or 8530</v>
          </cell>
          <cell r="D572" t="str">
            <v>Parts &amp; Accessories</v>
          </cell>
          <cell r="E572" t="str">
            <v>NO</v>
          </cell>
          <cell r="F572" t="str">
            <v>NO</v>
          </cell>
          <cell r="G572" t="str">
            <v>YES</v>
          </cell>
          <cell r="H572" t="str">
            <v>YES</v>
          </cell>
          <cell r="I572" t="str">
            <v>YES</v>
          </cell>
          <cell r="J572" t="str">
            <v>Yes</v>
          </cell>
        </row>
        <row r="573">
          <cell r="B573">
            <v>853510</v>
          </cell>
          <cell r="C573" t="str">
            <v>Electrical apparatus; fuses, for a voltage exceeding 1000 volts</v>
          </cell>
          <cell r="D573" t="str">
            <v>Parts &amp; Accessories</v>
          </cell>
          <cell r="E573" t="str">
            <v>NO</v>
          </cell>
          <cell r="F573" t="str">
            <v>NO</v>
          </cell>
          <cell r="G573" t="str">
            <v>YES</v>
          </cell>
          <cell r="H573" t="str">
            <v>NO</v>
          </cell>
          <cell r="I573" t="str">
            <v>YES</v>
          </cell>
          <cell r="J573" t="str">
            <v>Yes</v>
          </cell>
        </row>
        <row r="574">
          <cell r="B574">
            <v>853530</v>
          </cell>
          <cell r="C574" t="str">
            <v>Electrical apparatus; isolating and make-and-break switches, for a voltage exceeding 1000 volts</v>
          </cell>
          <cell r="D574" t="str">
            <v>Capital Goods</v>
          </cell>
          <cell r="E574" t="str">
            <v>NO</v>
          </cell>
          <cell r="F574" t="str">
            <v>NO</v>
          </cell>
          <cell r="G574" t="str">
            <v>YES</v>
          </cell>
          <cell r="H574" t="str">
            <v>NO</v>
          </cell>
          <cell r="I574" t="str">
            <v>NO</v>
          </cell>
          <cell r="J574" t="str">
            <v>Yes</v>
          </cell>
        </row>
        <row r="575">
          <cell r="B575">
            <v>853590</v>
          </cell>
          <cell r="C575" t="str">
            <v>Electrical apparatus; n.e.c. in heading no. 8535, for switching or protecting electrical circuits, for a voltage exceeding 1000 volts</v>
          </cell>
          <cell r="D575" t="str">
            <v>Capital Goods</v>
          </cell>
          <cell r="E575" t="str">
            <v>NO</v>
          </cell>
          <cell r="F575" t="str">
            <v>NO</v>
          </cell>
          <cell r="G575" t="str">
            <v>YES</v>
          </cell>
          <cell r="H575" t="str">
            <v>NO</v>
          </cell>
          <cell r="I575" t="str">
            <v>YES</v>
          </cell>
          <cell r="J575" t="str">
            <v>Yes</v>
          </cell>
        </row>
        <row r="576">
          <cell r="B576">
            <v>853661</v>
          </cell>
          <cell r="C576" t="str">
            <v>Electrical apparatus; lamp-holders, for a voltage not exceeding 1000 volts</v>
          </cell>
          <cell r="D576" t="str">
            <v>Parts &amp; Accessories - rc</v>
          </cell>
          <cell r="E576" t="str">
            <v>NO</v>
          </cell>
          <cell r="F576" t="str">
            <v>NO</v>
          </cell>
          <cell r="G576" t="str">
            <v>YES</v>
          </cell>
          <cell r="H576" t="str">
            <v>NO</v>
          </cell>
          <cell r="I576" t="str">
            <v>YES</v>
          </cell>
          <cell r="J576" t="str">
            <v>Yes</v>
          </cell>
        </row>
        <row r="577">
          <cell r="B577">
            <v>854320</v>
          </cell>
          <cell r="C577" t="str">
            <v>Electrical machines and apparatus; signal generators</v>
          </cell>
          <cell r="D577" t="str">
            <v>Capital Goods</v>
          </cell>
          <cell r="E577" t="str">
            <v>NO</v>
          </cell>
          <cell r="F577" t="str">
            <v>NO</v>
          </cell>
          <cell r="G577" t="str">
            <v>YES</v>
          </cell>
          <cell r="H577" t="str">
            <v>YES</v>
          </cell>
          <cell r="I577" t="str">
            <v>YES</v>
          </cell>
          <cell r="J577" t="str">
            <v>Yes</v>
          </cell>
        </row>
        <row r="578">
          <cell r="B578">
            <v>854411</v>
          </cell>
          <cell r="C578" t="str">
            <v>Insulated electric conductors; winding wire, of copper</v>
          </cell>
          <cell r="D578" t="str">
            <v>Parts &amp; Accessories</v>
          </cell>
          <cell r="E578" t="str">
            <v>NO</v>
          </cell>
          <cell r="F578" t="str">
            <v>NO</v>
          </cell>
          <cell r="G578" t="str">
            <v>YES</v>
          </cell>
          <cell r="H578" t="str">
            <v>NO</v>
          </cell>
          <cell r="I578" t="str">
            <v>YES</v>
          </cell>
          <cell r="J578" t="str">
            <v>Yes</v>
          </cell>
        </row>
        <row r="579">
          <cell r="B579">
            <v>854790</v>
          </cell>
          <cell r="C579" t="str">
            <v>Insulating fittings; (other than of ceramics or plastics), for electrical machines, appliances and equipment, excluding insulators of heading no. 8546</v>
          </cell>
          <cell r="D579" t="str">
            <v>Parts &amp; Accessories</v>
          </cell>
          <cell r="E579" t="str">
            <v>NO</v>
          </cell>
          <cell r="F579" t="str">
            <v>NO</v>
          </cell>
          <cell r="G579" t="str">
            <v>YES</v>
          </cell>
          <cell r="H579" t="str">
            <v>NO</v>
          </cell>
          <cell r="I579" t="str">
            <v>YES</v>
          </cell>
          <cell r="J579" t="str">
            <v>Yes</v>
          </cell>
        </row>
        <row r="580">
          <cell r="B580">
            <v>871680</v>
          </cell>
          <cell r="C580" t="str">
            <v>Vehicles; n.e.c. in heading no. 8716</v>
          </cell>
          <cell r="D580" t="str">
            <v>Capital Goods - rc</v>
          </cell>
          <cell r="E580" t="str">
            <v>NO</v>
          </cell>
          <cell r="F580" t="str">
            <v>NO</v>
          </cell>
          <cell r="G580" t="str">
            <v>YES</v>
          </cell>
          <cell r="H580" t="str">
            <v>YES</v>
          </cell>
          <cell r="I580" t="str">
            <v>YES</v>
          </cell>
          <cell r="J580" t="str">
            <v>Yes</v>
          </cell>
        </row>
        <row r="581">
          <cell r="B581">
            <v>900699</v>
          </cell>
          <cell r="C581" t="str">
            <v>Photographic flashlight apparatus; parts and accessories, for other than cameras</v>
          </cell>
          <cell r="D581" t="str">
            <v>Others</v>
          </cell>
          <cell r="E581" t="str">
            <v>NO</v>
          </cell>
          <cell r="F581" t="str">
            <v>NO</v>
          </cell>
          <cell r="G581" t="str">
            <v>YES</v>
          </cell>
          <cell r="H581" t="str">
            <v>NO</v>
          </cell>
          <cell r="I581" t="str">
            <v>YES</v>
          </cell>
          <cell r="J581" t="str">
            <v>Yes</v>
          </cell>
        </row>
        <row r="582">
          <cell r="B582">
            <v>901530</v>
          </cell>
          <cell r="C582" t="str">
            <v>Surveying equipment; levels</v>
          </cell>
          <cell r="D582" t="str">
            <v>Capital Goods</v>
          </cell>
          <cell r="E582" t="str">
            <v>NO</v>
          </cell>
          <cell r="F582" t="str">
            <v>NO</v>
          </cell>
          <cell r="G582" t="str">
            <v>YES</v>
          </cell>
          <cell r="H582" t="str">
            <v>NO</v>
          </cell>
          <cell r="I582" t="str">
            <v>YES</v>
          </cell>
          <cell r="J582" t="str">
            <v>Yes</v>
          </cell>
        </row>
        <row r="583">
          <cell r="B583">
            <v>902000</v>
          </cell>
          <cell r="C583" t="str">
            <v>Breathing appliances and gas masks; excluding protective masks having neither mechanical parts nor replaceable filters and excluding apparatus of item no. 9019.20</v>
          </cell>
          <cell r="D583" t="str">
            <v>Capital Goods</v>
          </cell>
          <cell r="E583" t="str">
            <v>NO</v>
          </cell>
          <cell r="F583" t="str">
            <v>NO</v>
          </cell>
          <cell r="G583" t="str">
            <v>YES</v>
          </cell>
          <cell r="H583" t="str">
            <v>NO</v>
          </cell>
          <cell r="I583" t="str">
            <v>NO</v>
          </cell>
          <cell r="J583" t="str">
            <v>Yes</v>
          </cell>
        </row>
        <row r="584">
          <cell r="B584">
            <v>903020</v>
          </cell>
          <cell r="C584" t="str">
            <v>Oscilloscopes and oscillographs</v>
          </cell>
          <cell r="D584" t="str">
            <v>Capital Goods</v>
          </cell>
          <cell r="E584" t="str">
            <v>NO</v>
          </cell>
          <cell r="F584" t="str">
            <v>NO</v>
          </cell>
          <cell r="G584" t="str">
            <v>YES</v>
          </cell>
          <cell r="H584" t="str">
            <v>NO</v>
          </cell>
          <cell r="I584" t="str">
            <v>YES</v>
          </cell>
          <cell r="J584" t="str">
            <v>Yes</v>
          </cell>
        </row>
        <row r="585">
          <cell r="B585">
            <v>903039</v>
          </cell>
          <cell r="C585" t="str">
            <v>Instruments and apparatus; for measuring or checking voltage, current, resistance or power, with a recording device (excluding multimeters)</v>
          </cell>
          <cell r="D585" t="str">
            <v>Capital Goods</v>
          </cell>
          <cell r="E585" t="str">
            <v>NO</v>
          </cell>
          <cell r="F585" t="str">
            <v>NO</v>
          </cell>
          <cell r="G585" t="str">
            <v>YES</v>
          </cell>
          <cell r="H585" t="str">
            <v>NO</v>
          </cell>
          <cell r="I585" t="str">
            <v>YES</v>
          </cell>
          <cell r="J585" t="str">
            <v>Yes</v>
          </cell>
        </row>
        <row r="586">
          <cell r="B586">
            <v>910690</v>
          </cell>
          <cell r="C586" t="str">
            <v>Time recording apparatus; with clock or watch movement or with synchronous motor, n.e.c. in heading no. 9106</v>
          </cell>
          <cell r="D586" t="str">
            <v>Capital Goods</v>
          </cell>
          <cell r="E586" t="str">
            <v>NO</v>
          </cell>
          <cell r="F586" t="str">
            <v>NO</v>
          </cell>
          <cell r="G586" t="str">
            <v>YES</v>
          </cell>
          <cell r="H586" t="str">
            <v>NO</v>
          </cell>
          <cell r="I586" t="str">
            <v>YES</v>
          </cell>
          <cell r="J586" t="str">
            <v>Yes</v>
          </cell>
        </row>
        <row r="587">
          <cell r="B587">
            <v>940179</v>
          </cell>
          <cell r="C587" t="str">
            <v>Seats; with metal frames, not upholstered, (excluding medical, surgical, dental, veterinary or barber furniture)</v>
          </cell>
          <cell r="D587" t="str">
            <v>Durable</v>
          </cell>
          <cell r="E587" t="str">
            <v>NO</v>
          </cell>
          <cell r="F587" t="str">
            <v>NO</v>
          </cell>
          <cell r="G587" t="str">
            <v>YES</v>
          </cell>
          <cell r="H587" t="str">
            <v>NO</v>
          </cell>
          <cell r="I587" t="str">
            <v>YES</v>
          </cell>
          <cell r="J587" t="str">
            <v>Yes</v>
          </cell>
        </row>
        <row r="588">
          <cell r="B588">
            <v>940350</v>
          </cell>
          <cell r="C588" t="str">
            <v>Furniture; wooden, for bedroom use</v>
          </cell>
          <cell r="D588" t="str">
            <v>Durable</v>
          </cell>
          <cell r="E588" t="str">
            <v>NO</v>
          </cell>
          <cell r="F588" t="str">
            <v>NO</v>
          </cell>
          <cell r="G588" t="str">
            <v>YES</v>
          </cell>
          <cell r="H588" t="str">
            <v>NO</v>
          </cell>
          <cell r="I588" t="str">
            <v>NO</v>
          </cell>
          <cell r="J588" t="str">
            <v>Yes</v>
          </cell>
        </row>
        <row r="589">
          <cell r="B589">
            <v>940370</v>
          </cell>
          <cell r="C589" t="str">
            <v>Furniture; plastic</v>
          </cell>
          <cell r="D589" t="str">
            <v>Durable</v>
          </cell>
          <cell r="E589" t="str">
            <v>NO</v>
          </cell>
          <cell r="F589" t="str">
            <v>NO</v>
          </cell>
          <cell r="G589" t="str">
            <v>YES</v>
          </cell>
          <cell r="H589" t="str">
            <v>NO</v>
          </cell>
          <cell r="I589" t="str">
            <v>NO</v>
          </cell>
          <cell r="J589" t="str">
            <v>Yes</v>
          </cell>
        </row>
        <row r="590">
          <cell r="B590">
            <v>940389</v>
          </cell>
          <cell r="C590" t="str">
            <v>Furniture; of cane, osier, or similar materials (other than bamboo or rattan)</v>
          </cell>
          <cell r="D590" t="str">
            <v>Capital Goods - rc</v>
          </cell>
          <cell r="E590" t="str">
            <v>NO</v>
          </cell>
          <cell r="F590" t="str">
            <v>NO</v>
          </cell>
          <cell r="G590" t="str">
            <v>YES</v>
          </cell>
          <cell r="H590" t="str">
            <v>NO</v>
          </cell>
          <cell r="I590" t="str">
            <v>YES</v>
          </cell>
          <cell r="J590" t="str">
            <v>Yes</v>
          </cell>
        </row>
        <row r="591">
          <cell r="B591">
            <v>940399</v>
          </cell>
          <cell r="C591" t="str">
            <v>Furniture; parts, of other than wood</v>
          </cell>
          <cell r="D591" t="str">
            <v>Durable</v>
          </cell>
          <cell r="E591" t="str">
            <v>NO</v>
          </cell>
          <cell r="F591" t="str">
            <v>NO</v>
          </cell>
          <cell r="G591" t="str">
            <v>YES</v>
          </cell>
          <cell r="H591" t="str">
            <v>NO</v>
          </cell>
          <cell r="I591" t="str">
            <v>YES</v>
          </cell>
          <cell r="J591" t="str">
            <v>Yes</v>
          </cell>
        </row>
        <row r="592">
          <cell r="B592">
            <v>940519</v>
          </cell>
          <cell r="C592" t="str">
            <v>Chandeliers and electric ceiling or wall light fittings; (excluding those used for lighting public open spaces or thoroughfares), for use other than with light-emitting diode (LED) light sources</v>
          </cell>
          <cell r="D592" t="str">
            <v>Others</v>
          </cell>
          <cell r="E592" t="str">
            <v>NO</v>
          </cell>
          <cell r="F592" t="str">
            <v>NO</v>
          </cell>
          <cell r="G592" t="str">
            <v>YES</v>
          </cell>
          <cell r="H592" t="str">
            <v>NO</v>
          </cell>
          <cell r="I592" t="str">
            <v>NO</v>
          </cell>
          <cell r="J592" t="str">
            <v>Yes</v>
          </cell>
        </row>
        <row r="593">
          <cell r="B593">
            <v>960321</v>
          </cell>
          <cell r="C593" t="str">
            <v>Brushes; toothbrushes</v>
          </cell>
          <cell r="D593" t="str">
            <v>Consumables - rc</v>
          </cell>
          <cell r="E593" t="str">
            <v>NO</v>
          </cell>
          <cell r="F593" t="str">
            <v>NO</v>
          </cell>
          <cell r="G593" t="str">
            <v>YES</v>
          </cell>
          <cell r="H593" t="str">
            <v>NO</v>
          </cell>
          <cell r="I593" t="str">
            <v>NO</v>
          </cell>
          <cell r="J593" t="str">
            <v>Yes</v>
          </cell>
        </row>
        <row r="594">
          <cell r="B594">
            <v>960820</v>
          </cell>
          <cell r="C594" t="str">
            <v>Pens; felt tipped and other porous-tipped pens and markers</v>
          </cell>
          <cell r="D594" t="str">
            <v>Consumables - rc</v>
          </cell>
          <cell r="E594" t="str">
            <v>NO</v>
          </cell>
          <cell r="F594" t="str">
            <v>NO</v>
          </cell>
          <cell r="G594" t="str">
            <v>YES</v>
          </cell>
          <cell r="H594" t="str">
            <v>NO</v>
          </cell>
          <cell r="I594" t="str">
            <v>YES</v>
          </cell>
          <cell r="J594" t="str">
            <v>Yes</v>
          </cell>
        </row>
        <row r="595">
          <cell r="B595">
            <v>961210</v>
          </cell>
          <cell r="C595" t="str">
            <v>Ribbons; for typewriters and the like, inked or otherwise prepared, for giving impressions, whether or not on spools or in cartridges</v>
          </cell>
          <cell r="D595" t="str">
            <v>Consumables - rc</v>
          </cell>
          <cell r="E595" t="str">
            <v>NO</v>
          </cell>
          <cell r="F595" t="str">
            <v>NO</v>
          </cell>
          <cell r="G595" t="str">
            <v>YES</v>
          </cell>
          <cell r="H595" t="str">
            <v>YES</v>
          </cell>
          <cell r="I595" t="str">
            <v>YES</v>
          </cell>
          <cell r="J595" t="str">
            <v>Yes</v>
          </cell>
        </row>
        <row r="596">
          <cell r="B596">
            <v>961511</v>
          </cell>
          <cell r="C596" t="str">
            <v>Combs, hair slides and the like; of hard rubber or plastics</v>
          </cell>
          <cell r="D596" t="str">
            <v>Consumables - rc</v>
          </cell>
          <cell r="E596" t="str">
            <v>NO</v>
          </cell>
          <cell r="F596" t="str">
            <v>NO</v>
          </cell>
          <cell r="G596" t="str">
            <v>YES</v>
          </cell>
          <cell r="H596" t="str">
            <v>NO</v>
          </cell>
          <cell r="I596" t="str">
            <v>NO</v>
          </cell>
          <cell r="J596" t="str">
            <v>Yes</v>
          </cell>
        </row>
        <row r="597">
          <cell r="B597">
            <v>962000</v>
          </cell>
          <cell r="C597" t="str">
            <v>Monopods, bipods, tripods and similar articles</v>
          </cell>
          <cell r="D597" t="str">
            <v>Capital Goods</v>
          </cell>
          <cell r="E597" t="str">
            <v>NO</v>
          </cell>
          <cell r="F597" t="str">
            <v>NO</v>
          </cell>
          <cell r="G597" t="str">
            <v>YES</v>
          </cell>
          <cell r="H597" t="str">
            <v>NO</v>
          </cell>
          <cell r="I597" t="str">
            <v>YES</v>
          </cell>
          <cell r="J597" t="str">
            <v>Yes</v>
          </cell>
        </row>
        <row r="598">
          <cell r="B598">
            <v>320910</v>
          </cell>
          <cell r="C598" t="str">
            <v>Paints and varnishes; based on acrylic or vinyl polymers, dispersed or dissolved in an aqueous medium</v>
          </cell>
          <cell r="D598" t="str">
            <v>Consumables - rc</v>
          </cell>
          <cell r="E598" t="str">
            <v>NO</v>
          </cell>
          <cell r="F598" t="str">
            <v>NO</v>
          </cell>
          <cell r="G598" t="str">
            <v>YES</v>
          </cell>
          <cell r="H598" t="str">
            <v>NO</v>
          </cell>
          <cell r="I598" t="str">
            <v>NO</v>
          </cell>
          <cell r="J598" t="str">
            <v>Yes</v>
          </cell>
        </row>
        <row r="599">
          <cell r="B599">
            <v>401700</v>
          </cell>
          <cell r="C599" t="str">
            <v>Rubber; ebonite and other hard rubbers in all forms, including waste and scrap, and articles of hard rubber</v>
          </cell>
          <cell r="D599" t="str">
            <v>Consumables - rc</v>
          </cell>
          <cell r="E599" t="str">
            <v>NO</v>
          </cell>
          <cell r="F599" t="str">
            <v>NO</v>
          </cell>
          <cell r="G599" t="str">
            <v>YES</v>
          </cell>
          <cell r="H599" t="str">
            <v>YES</v>
          </cell>
          <cell r="I599" t="str">
            <v>YES</v>
          </cell>
          <cell r="J599" t="str">
            <v>Yes</v>
          </cell>
        </row>
        <row r="600">
          <cell r="B600">
            <v>730411</v>
          </cell>
          <cell r="C600" t="str">
            <v>Iron or steel (excluding cast iron); seamless, line pipe of a kind used for oil or gas pipelines, of stainless steel</v>
          </cell>
          <cell r="D600" t="str">
            <v>Parts &amp; Accessories</v>
          </cell>
          <cell r="E600" t="str">
            <v>NO</v>
          </cell>
          <cell r="F600" t="str">
            <v>NO</v>
          </cell>
          <cell r="G600" t="str">
            <v>YES</v>
          </cell>
          <cell r="H600" t="str">
            <v>YES</v>
          </cell>
          <cell r="I600" t="str">
            <v>NO</v>
          </cell>
          <cell r="J600" t="str">
            <v>Yes</v>
          </cell>
        </row>
        <row r="601">
          <cell r="B601">
            <v>731512</v>
          </cell>
          <cell r="C601" t="str">
            <v>Chain; articulated link, (other than roller), of iron or steel</v>
          </cell>
          <cell r="D601" t="str">
            <v>Parts &amp; Accessories</v>
          </cell>
          <cell r="E601" t="str">
            <v>NO</v>
          </cell>
          <cell r="F601" t="str">
            <v>NO</v>
          </cell>
          <cell r="G601" t="str">
            <v>YES</v>
          </cell>
          <cell r="H601" t="str">
            <v>NO</v>
          </cell>
          <cell r="I601" t="str">
            <v>YES</v>
          </cell>
          <cell r="J601" t="str">
            <v>Yes</v>
          </cell>
        </row>
        <row r="602">
          <cell r="B602">
            <v>732290</v>
          </cell>
          <cell r="C602" t="str">
            <v>Air heaters and hot air distributors, (not electrically heated), incorporating a motor-driven fan or blower and parts thereof, of iron or steel</v>
          </cell>
          <cell r="D602" t="str">
            <v>Durable</v>
          </cell>
          <cell r="E602" t="str">
            <v>NO</v>
          </cell>
          <cell r="F602" t="str">
            <v>NO</v>
          </cell>
          <cell r="G602" t="str">
            <v>YES</v>
          </cell>
          <cell r="H602" t="str">
            <v>NO</v>
          </cell>
          <cell r="I602" t="str">
            <v>NO</v>
          </cell>
          <cell r="J602" t="str">
            <v>Yes</v>
          </cell>
        </row>
        <row r="603">
          <cell r="B603">
            <v>732399</v>
          </cell>
          <cell r="C603" t="str">
            <v>Iron or steel; table, kitchen and other household articles and parts thereof, of iron or steel n.e.c. in heading no. 7323</v>
          </cell>
          <cell r="D603" t="str">
            <v>Capital Goods - rc</v>
          </cell>
          <cell r="E603" t="str">
            <v>NO</v>
          </cell>
          <cell r="F603" t="str">
            <v>NO</v>
          </cell>
          <cell r="G603" t="str">
            <v>YES</v>
          </cell>
          <cell r="H603" t="str">
            <v>NO</v>
          </cell>
          <cell r="I603" t="str">
            <v>NO</v>
          </cell>
          <cell r="J603" t="str">
            <v>Yes</v>
          </cell>
        </row>
        <row r="604">
          <cell r="B604">
            <v>760429</v>
          </cell>
          <cell r="C604" t="str">
            <v>Aluminium; alloys, bars, rods and profiles, other than hollow</v>
          </cell>
          <cell r="D604" t="str">
            <v>Consumables - rc</v>
          </cell>
          <cell r="E604" t="str">
            <v>NO</v>
          </cell>
          <cell r="F604" t="str">
            <v>NO</v>
          </cell>
          <cell r="G604" t="str">
            <v>YES</v>
          </cell>
          <cell r="H604" t="str">
            <v>NO</v>
          </cell>
          <cell r="I604" t="str">
            <v>NO</v>
          </cell>
          <cell r="J604" t="str">
            <v>Yes</v>
          </cell>
        </row>
        <row r="605">
          <cell r="B605">
            <v>820510</v>
          </cell>
          <cell r="C605" t="str">
            <v>Tools, hand; drilling, threading or tapping tools</v>
          </cell>
          <cell r="D605" t="str">
            <v>Capital Goods</v>
          </cell>
          <cell r="E605" t="str">
            <v>NO</v>
          </cell>
          <cell r="F605" t="str">
            <v>NO</v>
          </cell>
          <cell r="G605" t="str">
            <v>YES</v>
          </cell>
          <cell r="H605" t="str">
            <v>NO</v>
          </cell>
          <cell r="I605" t="str">
            <v>YES</v>
          </cell>
          <cell r="J605" t="str">
            <v>Yes</v>
          </cell>
        </row>
        <row r="606">
          <cell r="B606">
            <v>820780</v>
          </cell>
          <cell r="C606" t="str">
            <v>Tools, interchangeable; (for machine or hand tools, whether or not power-operated), for turning</v>
          </cell>
          <cell r="D606" t="str">
            <v>Capital Goods</v>
          </cell>
          <cell r="E606" t="str">
            <v>NO</v>
          </cell>
          <cell r="F606" t="str">
            <v>NO</v>
          </cell>
          <cell r="G606" t="str">
            <v>YES</v>
          </cell>
          <cell r="H606" t="str">
            <v>NO</v>
          </cell>
          <cell r="I606" t="str">
            <v>NO</v>
          </cell>
          <cell r="J606" t="str">
            <v>Yes</v>
          </cell>
        </row>
        <row r="607">
          <cell r="B607">
            <v>820820</v>
          </cell>
          <cell r="C607" t="str">
            <v>Tools; knives and cutting blades, for wood working machines or mechanical appliances</v>
          </cell>
          <cell r="D607" t="str">
            <v>Capital Goods</v>
          </cell>
          <cell r="E607" t="str">
            <v>NO</v>
          </cell>
          <cell r="F607" t="str">
            <v>NO</v>
          </cell>
          <cell r="G607" t="str">
            <v>YES</v>
          </cell>
          <cell r="H607" t="str">
            <v>NO</v>
          </cell>
          <cell r="I607" t="str">
            <v>NO</v>
          </cell>
          <cell r="J607" t="str">
            <v>Yes</v>
          </cell>
        </row>
        <row r="608">
          <cell r="B608">
            <v>830629</v>
          </cell>
          <cell r="C608" t="str">
            <v>Statuettes and other ornaments; of base metal other than plated with precious metal</v>
          </cell>
          <cell r="D608" t="str">
            <v>Others</v>
          </cell>
          <cell r="E608" t="str">
            <v>NO</v>
          </cell>
          <cell r="F608" t="str">
            <v>NO</v>
          </cell>
          <cell r="G608" t="str">
            <v>YES</v>
          </cell>
          <cell r="H608" t="str">
            <v>NO</v>
          </cell>
          <cell r="I608" t="str">
            <v>YES</v>
          </cell>
          <cell r="J608" t="str">
            <v>Yes</v>
          </cell>
        </row>
        <row r="609">
          <cell r="B609">
            <v>841319</v>
          </cell>
          <cell r="C609" t="str">
            <v>Pumps; for liquids, fitted or designed to be fitted with a measuring device, other than pumps for dispensing fuel or lubricants</v>
          </cell>
          <cell r="D609" t="str">
            <v>Capital Goods</v>
          </cell>
          <cell r="E609" t="str">
            <v>NO</v>
          </cell>
          <cell r="F609" t="str">
            <v>NO</v>
          </cell>
          <cell r="G609" t="str">
            <v>YES</v>
          </cell>
          <cell r="H609" t="str">
            <v>NO</v>
          </cell>
          <cell r="I609" t="str">
            <v>YES</v>
          </cell>
          <cell r="J609" t="str">
            <v>Yes</v>
          </cell>
        </row>
        <row r="610">
          <cell r="B610">
            <v>841950</v>
          </cell>
          <cell r="C610" t="str">
            <v>Heat exchange units; not used for domestic purposes</v>
          </cell>
          <cell r="D610" t="str">
            <v>Parts &amp; Accessories</v>
          </cell>
          <cell r="E610" t="str">
            <v>NO</v>
          </cell>
          <cell r="F610" t="str">
            <v>NO</v>
          </cell>
          <cell r="G610" t="str">
            <v>YES</v>
          </cell>
          <cell r="H610" t="str">
            <v>NO</v>
          </cell>
          <cell r="I610" t="str">
            <v>YES</v>
          </cell>
          <cell r="J610" t="str">
            <v>Yes</v>
          </cell>
        </row>
        <row r="611">
          <cell r="B611">
            <v>842111</v>
          </cell>
          <cell r="C611" t="str">
            <v>Centrifuges; cream separators</v>
          </cell>
          <cell r="D611" t="str">
            <v>Capital Goods</v>
          </cell>
          <cell r="E611" t="str">
            <v>NO</v>
          </cell>
          <cell r="F611" t="str">
            <v>NO</v>
          </cell>
          <cell r="G611" t="str">
            <v>YES</v>
          </cell>
          <cell r="H611" t="str">
            <v>NO</v>
          </cell>
          <cell r="I611" t="str">
            <v>NO</v>
          </cell>
          <cell r="J611" t="str">
            <v>Yes</v>
          </cell>
        </row>
        <row r="612">
          <cell r="B612">
            <v>842810</v>
          </cell>
          <cell r="C612" t="str">
            <v>Lifts and skip hoists</v>
          </cell>
          <cell r="D612" t="str">
            <v>Capital Goods</v>
          </cell>
          <cell r="E612" t="str">
            <v>NO</v>
          </cell>
          <cell r="F612" t="str">
            <v>NO</v>
          </cell>
          <cell r="G612" t="str">
            <v>YES</v>
          </cell>
          <cell r="H612" t="str">
            <v>NO</v>
          </cell>
          <cell r="I612" t="str">
            <v>NO</v>
          </cell>
          <cell r="J612" t="str">
            <v>Yes</v>
          </cell>
        </row>
        <row r="613">
          <cell r="B613">
            <v>847982</v>
          </cell>
          <cell r="C613" t="str">
            <v>Machines; for mixing, kneading, crushing, grinding, screening, sifting, homogenising, emulsifying or stirring</v>
          </cell>
          <cell r="D613" t="str">
            <v>Capital Goods</v>
          </cell>
          <cell r="E613" t="str">
            <v>NO</v>
          </cell>
          <cell r="F613" t="str">
            <v>NO</v>
          </cell>
          <cell r="G613" t="str">
            <v>YES</v>
          </cell>
          <cell r="H613" t="str">
            <v>NO</v>
          </cell>
          <cell r="I613" t="str">
            <v>YES</v>
          </cell>
          <cell r="J613" t="str">
            <v>Yes</v>
          </cell>
        </row>
        <row r="614">
          <cell r="B614">
            <v>848049</v>
          </cell>
          <cell r="C614" t="str">
            <v>Moulds; for metal or metal carbides, other than injection or compression types</v>
          </cell>
          <cell r="D614" t="str">
            <v>Parts &amp; Accessories</v>
          </cell>
          <cell r="E614" t="str">
            <v>NO</v>
          </cell>
          <cell r="F614" t="str">
            <v>NO</v>
          </cell>
          <cell r="G614" t="str">
            <v>YES</v>
          </cell>
          <cell r="H614" t="str">
            <v>NO</v>
          </cell>
          <cell r="I614" t="str">
            <v>YES</v>
          </cell>
          <cell r="J614" t="str">
            <v>Yes</v>
          </cell>
        </row>
        <row r="615">
          <cell r="B615">
            <v>848130</v>
          </cell>
          <cell r="C615" t="str">
            <v>Valves; check (nonreturn) valves, for pipes, boiler shells, tanks, vats or the like</v>
          </cell>
          <cell r="D615" t="str">
            <v>Parts &amp; Accessories</v>
          </cell>
          <cell r="E615" t="str">
            <v>NO</v>
          </cell>
          <cell r="F615" t="str">
            <v>NO</v>
          </cell>
          <cell r="G615" t="str">
            <v>YES</v>
          </cell>
          <cell r="H615" t="str">
            <v>NO</v>
          </cell>
          <cell r="I615" t="str">
            <v>YES</v>
          </cell>
          <cell r="J615" t="str">
            <v>Yes</v>
          </cell>
        </row>
        <row r="616">
          <cell r="B616">
            <v>848420</v>
          </cell>
          <cell r="C616" t="str">
            <v>Seals; mechanical</v>
          </cell>
          <cell r="D616" t="str">
            <v>Parts &amp; Accessories - rc</v>
          </cell>
          <cell r="E616" t="str">
            <v>NO</v>
          </cell>
          <cell r="F616" t="str">
            <v>NO</v>
          </cell>
          <cell r="G616" t="str">
            <v>YES</v>
          </cell>
          <cell r="H616" t="str">
            <v>NO</v>
          </cell>
          <cell r="I616" t="str">
            <v>NO</v>
          </cell>
          <cell r="J616" t="str">
            <v>Yes</v>
          </cell>
        </row>
        <row r="617">
          <cell r="B617">
            <v>851220</v>
          </cell>
          <cell r="C617" t="str">
            <v>Lighting or visual signalling equipment; electrical, of a kind used on motor vehicles (excluding articles of heading no. 8539)</v>
          </cell>
          <cell r="D617" t="str">
            <v>Capital Goods - rc</v>
          </cell>
          <cell r="E617" t="str">
            <v>NO</v>
          </cell>
          <cell r="F617" t="str">
            <v>NO</v>
          </cell>
          <cell r="G617" t="str">
            <v>YES</v>
          </cell>
          <cell r="H617" t="str">
            <v>NO</v>
          </cell>
          <cell r="I617" t="str">
            <v>YES</v>
          </cell>
          <cell r="J617" t="str">
            <v>Yes</v>
          </cell>
        </row>
        <row r="618">
          <cell r="B618">
            <v>854130</v>
          </cell>
          <cell r="C618" t="str">
            <v>Electrical apparatus; thyristors, diacs and triacs, other than photosensitive devices</v>
          </cell>
          <cell r="D618" t="str">
            <v>Parts &amp; Accessories</v>
          </cell>
          <cell r="E618" t="str">
            <v>NO</v>
          </cell>
          <cell r="F618" t="str">
            <v>NO</v>
          </cell>
          <cell r="G618" t="str">
            <v>YES</v>
          </cell>
          <cell r="H618" t="str">
            <v>NO</v>
          </cell>
          <cell r="I618" t="str">
            <v>YES</v>
          </cell>
          <cell r="J618" t="str">
            <v>Yes</v>
          </cell>
        </row>
        <row r="619">
          <cell r="B619">
            <v>902219</v>
          </cell>
          <cell r="C619" t="str">
            <v>Apparatus based on the use of x-rays, including radiography or radiotherapy apparatus; for other than medical, surgical, dental or veterinary uses</v>
          </cell>
          <cell r="D619" t="str">
            <v>Capital Goods</v>
          </cell>
          <cell r="E619" t="str">
            <v>NO</v>
          </cell>
          <cell r="F619" t="str">
            <v>NO</v>
          </cell>
          <cell r="G619" t="str">
            <v>YES</v>
          </cell>
          <cell r="H619" t="str">
            <v>NO</v>
          </cell>
          <cell r="I619" t="str">
            <v>YES</v>
          </cell>
          <cell r="J619" t="str">
            <v>Yes</v>
          </cell>
        </row>
        <row r="620">
          <cell r="B620">
            <v>902511</v>
          </cell>
          <cell r="C620" t="str">
            <v>Thermometers and pyrometers; liquid filled, for direct reading, not combined with other instruments</v>
          </cell>
          <cell r="D620" t="str">
            <v>Capital Goods</v>
          </cell>
          <cell r="E620" t="str">
            <v>NO</v>
          </cell>
          <cell r="F620" t="str">
            <v>NO</v>
          </cell>
          <cell r="G620" t="str">
            <v>YES</v>
          </cell>
          <cell r="H620" t="str">
            <v>NO</v>
          </cell>
          <cell r="I620" t="str">
            <v>NO</v>
          </cell>
          <cell r="J620" t="str">
            <v>Yes</v>
          </cell>
        </row>
        <row r="621">
          <cell r="B621">
            <v>903082</v>
          </cell>
          <cell r="C621" t="str">
            <v>Instruments and apparatus; for measuring or checking semiconductor wafers or devices (including integrated circuits)</v>
          </cell>
          <cell r="D621" t="str">
            <v>Capital Goods</v>
          </cell>
          <cell r="E621" t="str">
            <v>NO</v>
          </cell>
          <cell r="F621" t="str">
            <v>NO</v>
          </cell>
          <cell r="G621" t="str">
            <v>YES</v>
          </cell>
          <cell r="H621" t="str">
            <v>NO</v>
          </cell>
          <cell r="I621" t="str">
            <v>YES</v>
          </cell>
          <cell r="J621" t="str">
            <v>Yes</v>
          </cell>
        </row>
        <row r="622">
          <cell r="B622">
            <v>911320</v>
          </cell>
          <cell r="C622" t="str">
            <v>Watch straps, watch bands, watch bracelets, and parts thereof; of base metal, whether or not gold- or silver-plated</v>
          </cell>
          <cell r="D622" t="str">
            <v>Consumables - rc</v>
          </cell>
          <cell r="E622" t="str">
            <v>NO</v>
          </cell>
          <cell r="F622" t="str">
            <v>NO</v>
          </cell>
          <cell r="G622" t="str">
            <v>YES</v>
          </cell>
          <cell r="H622" t="str">
            <v>NO</v>
          </cell>
          <cell r="I622" t="str">
            <v>NO</v>
          </cell>
          <cell r="J622" t="str">
            <v>Yes</v>
          </cell>
        </row>
        <row r="623">
          <cell r="B623">
            <v>940330</v>
          </cell>
          <cell r="C623" t="str">
            <v>Furniture; wooden, for office use</v>
          </cell>
          <cell r="D623" t="str">
            <v>Capital Goods - rc</v>
          </cell>
          <cell r="E623" t="str">
            <v>NO</v>
          </cell>
          <cell r="F623" t="str">
            <v>NO</v>
          </cell>
          <cell r="G623" t="str">
            <v>YES</v>
          </cell>
          <cell r="H623" t="str">
            <v>NO</v>
          </cell>
          <cell r="I623" t="str">
            <v>NO</v>
          </cell>
          <cell r="J623" t="str">
            <v>Yes</v>
          </cell>
        </row>
        <row r="624">
          <cell r="B624">
            <v>940561</v>
          </cell>
          <cell r="C624" t="str">
            <v>Luminaires; illuminated signs, illuminated name-plates and the like, designed for use solely with light-emitting diode (LED) light sources</v>
          </cell>
          <cell r="D624" t="str">
            <v>Capital Goods - rc</v>
          </cell>
          <cell r="E624" t="str">
            <v>NO</v>
          </cell>
          <cell r="F624" t="str">
            <v>NO</v>
          </cell>
          <cell r="G624" t="str">
            <v>YES</v>
          </cell>
          <cell r="H624" t="str">
            <v>NO</v>
          </cell>
          <cell r="I624" t="str">
            <v>NO</v>
          </cell>
          <cell r="J624" t="str">
            <v>Yes</v>
          </cell>
        </row>
        <row r="625">
          <cell r="B625">
            <v>940569</v>
          </cell>
          <cell r="C625" t="str">
            <v>Luminaires; illuminated signs, illuminated name-plates and the like, designed for other than use solely with light-emitting diode (LED) light sources</v>
          </cell>
          <cell r="D625" t="str">
            <v>Capital Goods - rc</v>
          </cell>
          <cell r="E625" t="str">
            <v>NO</v>
          </cell>
          <cell r="F625" t="str">
            <v>NO</v>
          </cell>
          <cell r="G625" t="str">
            <v>YES</v>
          </cell>
          <cell r="H625" t="str">
            <v>NO</v>
          </cell>
          <cell r="I625" t="str">
            <v>YES</v>
          </cell>
          <cell r="J625" t="str">
            <v>Yes</v>
          </cell>
        </row>
        <row r="626">
          <cell r="B626">
            <v>950669</v>
          </cell>
          <cell r="C626" t="str">
            <v>Balls; (other than inflatable or for lawn-tennis, golf or table-tennis)</v>
          </cell>
          <cell r="D626" t="str">
            <v>Consumables - rc</v>
          </cell>
          <cell r="E626" t="str">
            <v>NO</v>
          </cell>
          <cell r="F626" t="str">
            <v>NO</v>
          </cell>
          <cell r="G626" t="str">
            <v>YES</v>
          </cell>
          <cell r="H626" t="str">
            <v>NO</v>
          </cell>
          <cell r="I626" t="str">
            <v>NO</v>
          </cell>
          <cell r="J626" t="str">
            <v>Yes</v>
          </cell>
        </row>
        <row r="627">
          <cell r="B627">
            <v>251200</v>
          </cell>
          <cell r="C627" t="str">
            <v>Siliceous fossil meals (e.g. kieselguhr, tripolite and diatomite) and similar siliceous earths; whether or not calcined, of an apparent specific gravity of 1 or less</v>
          </cell>
          <cell r="D627" t="str">
            <v>Others</v>
          </cell>
          <cell r="E627" t="str">
            <v>NO</v>
          </cell>
          <cell r="F627" t="str">
            <v>NO</v>
          </cell>
          <cell r="G627" t="str">
            <v>YES</v>
          </cell>
          <cell r="H627" t="str">
            <v>NO</v>
          </cell>
          <cell r="I627" t="str">
            <v>NO</v>
          </cell>
          <cell r="J627" t="str">
            <v>Yes</v>
          </cell>
        </row>
        <row r="628">
          <cell r="B628">
            <v>290919</v>
          </cell>
          <cell r="C628" t="str">
            <v>Ethers; acyclic, and their halogenated, sulphonated, nitrated or nitrosated derivatives, other than diethyl ether</v>
          </cell>
          <cell r="D628" t="str">
            <v>Consumables</v>
          </cell>
          <cell r="E628" t="str">
            <v>NO</v>
          </cell>
          <cell r="F628" t="str">
            <v>NO</v>
          </cell>
          <cell r="G628" t="str">
            <v>YES</v>
          </cell>
          <cell r="H628" t="str">
            <v>NO</v>
          </cell>
          <cell r="I628" t="str">
            <v>NO</v>
          </cell>
          <cell r="J628" t="str">
            <v>Yes</v>
          </cell>
        </row>
        <row r="629">
          <cell r="B629">
            <v>321490</v>
          </cell>
          <cell r="C629" t="str">
            <v>Mastics; n.e.c. in heading no. 3214</v>
          </cell>
          <cell r="D629" t="str">
            <v>Others</v>
          </cell>
          <cell r="E629" t="str">
            <v>NO</v>
          </cell>
          <cell r="F629" t="str">
            <v>NO</v>
          </cell>
          <cell r="G629" t="str">
            <v>YES</v>
          </cell>
          <cell r="H629" t="str">
            <v>NO</v>
          </cell>
          <cell r="I629" t="str">
            <v>YES</v>
          </cell>
          <cell r="J629" t="str">
            <v>Yes</v>
          </cell>
        </row>
        <row r="630">
          <cell r="B630">
            <v>390330</v>
          </cell>
          <cell r="C630" t="str">
            <v>Styrene polymers; acrylonitrile-butadiene-styrene (ABS) copolymers, in primary forms</v>
          </cell>
          <cell r="D630" t="str">
            <v>Consumables</v>
          </cell>
          <cell r="E630" t="str">
            <v>NO</v>
          </cell>
          <cell r="F630" t="str">
            <v>NO</v>
          </cell>
          <cell r="G630" t="str">
            <v>YES</v>
          </cell>
          <cell r="H630" t="str">
            <v>NO</v>
          </cell>
          <cell r="I630" t="str">
            <v>NO</v>
          </cell>
          <cell r="J630" t="str">
            <v>Yes</v>
          </cell>
        </row>
        <row r="631">
          <cell r="B631">
            <v>420229</v>
          </cell>
          <cell r="C631" t="str">
            <v>Cases and containers; handbags (whether or not with shoulder strap and including those without handle), of vulcanised fibre or of paperboard, or wholly or mainly covered with such materials or with paper</v>
          </cell>
          <cell r="D631" t="str">
            <v>Capital Goods - rc</v>
          </cell>
          <cell r="E631" t="str">
            <v>NO</v>
          </cell>
          <cell r="F631" t="str">
            <v>NO</v>
          </cell>
          <cell r="G631" t="str">
            <v>YES</v>
          </cell>
          <cell r="H631" t="str">
            <v>NO</v>
          </cell>
          <cell r="I631" t="str">
            <v>NO</v>
          </cell>
          <cell r="J631" t="str">
            <v>Yes</v>
          </cell>
        </row>
        <row r="632">
          <cell r="B632">
            <v>441113</v>
          </cell>
          <cell r="C632" t="str">
            <v>Medium density fibreboard (MDF), of a thickness exceeding 5 mm but not exceeding 9 mm</v>
          </cell>
          <cell r="D632" t="str">
            <v>Consumables - rc</v>
          </cell>
          <cell r="E632" t="str">
            <v>NO</v>
          </cell>
          <cell r="F632" t="str">
            <v>NO</v>
          </cell>
          <cell r="G632" t="str">
            <v>YES</v>
          </cell>
          <cell r="H632" t="str">
            <v>NO</v>
          </cell>
          <cell r="I632" t="str">
            <v>NO</v>
          </cell>
          <cell r="J632" t="str">
            <v>Yes</v>
          </cell>
        </row>
        <row r="633">
          <cell r="B633">
            <v>441114</v>
          </cell>
          <cell r="C633" t="str">
            <v>Medium density fibreboard (MDF), of a thickness exceeding 9 mm</v>
          </cell>
          <cell r="D633" t="str">
            <v>Consumables - rc</v>
          </cell>
          <cell r="E633" t="str">
            <v>NO</v>
          </cell>
          <cell r="F633" t="str">
            <v>NO</v>
          </cell>
          <cell r="G633" t="str">
            <v>YES</v>
          </cell>
          <cell r="H633" t="str">
            <v>NO</v>
          </cell>
          <cell r="I633" t="str">
            <v>NO</v>
          </cell>
          <cell r="J633" t="str">
            <v>Yes</v>
          </cell>
        </row>
        <row r="634">
          <cell r="B634">
            <v>481099</v>
          </cell>
          <cell r="C634" t="str">
            <v>Paper and paperboard; coated with inorganic substances only, whether or not surface-coloured, surface-decorated or printed, n.e.c. in heading no. 4810, in rolls or sheets</v>
          </cell>
          <cell r="D634" t="str">
            <v>Consumables - rc</v>
          </cell>
          <cell r="E634" t="str">
            <v>NO</v>
          </cell>
          <cell r="F634" t="str">
            <v>NO</v>
          </cell>
          <cell r="G634" t="str">
            <v>YES</v>
          </cell>
          <cell r="H634" t="str">
            <v>NO</v>
          </cell>
          <cell r="I634" t="str">
            <v>NO</v>
          </cell>
          <cell r="J634" t="str">
            <v>Yes</v>
          </cell>
        </row>
        <row r="635">
          <cell r="B635">
            <v>491000</v>
          </cell>
          <cell r="C635" t="str">
            <v>Calendars; printed, of any kind, including calendar blocks</v>
          </cell>
          <cell r="D635" t="str">
            <v>Consumables - rc</v>
          </cell>
          <cell r="E635" t="str">
            <v>NO</v>
          </cell>
          <cell r="F635" t="str">
            <v>NO</v>
          </cell>
          <cell r="G635" t="str">
            <v>YES</v>
          </cell>
          <cell r="H635" t="str">
            <v>NO</v>
          </cell>
          <cell r="I635" t="str">
            <v>NO</v>
          </cell>
          <cell r="J635" t="str">
            <v>Yes</v>
          </cell>
        </row>
        <row r="636">
          <cell r="B636">
            <v>640690</v>
          </cell>
          <cell r="C636" t="str">
            <v>Footwear; parts, n.e.c. in heading 6406</v>
          </cell>
          <cell r="D636" t="str">
            <v>Consumables - rc</v>
          </cell>
          <cell r="E636" t="str">
            <v>NO</v>
          </cell>
          <cell r="F636" t="str">
            <v>NO</v>
          </cell>
          <cell r="G636" t="str">
            <v>YES</v>
          </cell>
          <cell r="H636" t="str">
            <v>NO</v>
          </cell>
          <cell r="I636" t="str">
            <v>NO</v>
          </cell>
          <cell r="J636" t="str">
            <v>Yes</v>
          </cell>
        </row>
        <row r="637">
          <cell r="B637">
            <v>650691</v>
          </cell>
          <cell r="C637" t="str">
            <v>Headgear; (other than safety headgear), of rubber or plastics, whether or not lined or trimmed</v>
          </cell>
          <cell r="D637" t="str">
            <v>Consumables</v>
          </cell>
          <cell r="E637" t="str">
            <v>NO</v>
          </cell>
          <cell r="F637" t="str">
            <v>NO</v>
          </cell>
          <cell r="G637" t="str">
            <v>YES</v>
          </cell>
          <cell r="H637" t="str">
            <v>NO</v>
          </cell>
          <cell r="I637" t="str">
            <v>NO</v>
          </cell>
          <cell r="J637" t="str">
            <v>Yes</v>
          </cell>
        </row>
        <row r="638">
          <cell r="B638">
            <v>721240</v>
          </cell>
          <cell r="C638" t="str">
            <v>Iron or non-alloy steel; flat-rolled, width less than 600mm, painted, varnished or coated with plastics</v>
          </cell>
          <cell r="D638" t="str">
            <v>Consumables - rc</v>
          </cell>
          <cell r="E638" t="str">
            <v>NO</v>
          </cell>
          <cell r="F638" t="str">
            <v>NO</v>
          </cell>
          <cell r="G638" t="str">
            <v>YES</v>
          </cell>
          <cell r="H638" t="str">
            <v>NO</v>
          </cell>
          <cell r="I638" t="str">
            <v>NO</v>
          </cell>
          <cell r="J638" t="str">
            <v>Yes</v>
          </cell>
        </row>
        <row r="639">
          <cell r="B639">
            <v>732010</v>
          </cell>
          <cell r="C639" t="str">
            <v>Iron or steel; leaf-springs and leaves therefor</v>
          </cell>
          <cell r="D639" t="str">
            <v>Consumables</v>
          </cell>
          <cell r="E639" t="str">
            <v>NO</v>
          </cell>
          <cell r="F639" t="str">
            <v>NO</v>
          </cell>
          <cell r="G639" t="str">
            <v>YES</v>
          </cell>
          <cell r="H639" t="str">
            <v>NO</v>
          </cell>
          <cell r="I639" t="str">
            <v>YES</v>
          </cell>
          <cell r="J639" t="str">
            <v>Yes</v>
          </cell>
        </row>
        <row r="640">
          <cell r="B640">
            <v>741533</v>
          </cell>
          <cell r="C640" t="str">
            <v>Copper; screws, bolts and nuts, threaded</v>
          </cell>
          <cell r="D640" t="str">
            <v>Consumables</v>
          </cell>
          <cell r="E640" t="str">
            <v>NO</v>
          </cell>
          <cell r="F640" t="str">
            <v>NO</v>
          </cell>
          <cell r="G640" t="str">
            <v>YES</v>
          </cell>
          <cell r="H640" t="str">
            <v>YES</v>
          </cell>
          <cell r="I640" t="str">
            <v>YES</v>
          </cell>
          <cell r="J640" t="str">
            <v>Yes</v>
          </cell>
        </row>
        <row r="641">
          <cell r="B641">
            <v>820810</v>
          </cell>
          <cell r="C641" t="str">
            <v>Tools; knives and cutting blades, for machines or for mechanical appliances, for metal working</v>
          </cell>
          <cell r="D641" t="str">
            <v>Capital Goods</v>
          </cell>
          <cell r="E641" t="str">
            <v>NO</v>
          </cell>
          <cell r="F641" t="str">
            <v>NO</v>
          </cell>
          <cell r="G641" t="str">
            <v>YES</v>
          </cell>
          <cell r="H641" t="str">
            <v>NO</v>
          </cell>
          <cell r="I641" t="str">
            <v>YES</v>
          </cell>
          <cell r="J641" t="str">
            <v>Yes</v>
          </cell>
        </row>
        <row r="642">
          <cell r="B642">
            <v>841320</v>
          </cell>
          <cell r="C642" t="str">
            <v>Pumps; hand, fitted or designed to be fitted with a measuring device, for liquids, other than those of item no. 8413.11 or 8413.19</v>
          </cell>
          <cell r="D642" t="str">
            <v>Capital Goods</v>
          </cell>
          <cell r="E642" t="str">
            <v>NO</v>
          </cell>
          <cell r="F642" t="str">
            <v>NO</v>
          </cell>
          <cell r="G642" t="str">
            <v>YES</v>
          </cell>
          <cell r="H642" t="str">
            <v>NO</v>
          </cell>
          <cell r="I642" t="str">
            <v>NO</v>
          </cell>
          <cell r="J642" t="str">
            <v>Yes</v>
          </cell>
        </row>
        <row r="643">
          <cell r="B643">
            <v>841920</v>
          </cell>
          <cell r="C643" t="str">
            <v>Sterilizers; for medical, surgical or laboratory use, not used for domestic purposes</v>
          </cell>
          <cell r="D643" t="str">
            <v>Capital Goods</v>
          </cell>
          <cell r="E643" t="str">
            <v>NO</v>
          </cell>
          <cell r="F643" t="str">
            <v>NO</v>
          </cell>
          <cell r="G643" t="str">
            <v>YES</v>
          </cell>
          <cell r="H643" t="str">
            <v>NO</v>
          </cell>
          <cell r="I643" t="str">
            <v>NO</v>
          </cell>
          <cell r="J643" t="str">
            <v>Yes</v>
          </cell>
        </row>
        <row r="644">
          <cell r="B644">
            <v>842132</v>
          </cell>
          <cell r="C644" t="str">
            <v>Machinery; catalytic converters or particulate filters, whether or not combined, for purifying or filtering exhaust gases from internal combustion engines</v>
          </cell>
          <cell r="D644" t="str">
            <v>Parts &amp; Accessories - rc</v>
          </cell>
          <cell r="E644" t="str">
            <v>NO</v>
          </cell>
          <cell r="F644" t="str">
            <v>NO</v>
          </cell>
          <cell r="G644" t="str">
            <v>YES</v>
          </cell>
          <cell r="H644" t="str">
            <v>NO</v>
          </cell>
          <cell r="I644" t="str">
            <v>NO</v>
          </cell>
          <cell r="J644" t="str">
            <v>Yes</v>
          </cell>
        </row>
        <row r="645">
          <cell r="B645">
            <v>846722</v>
          </cell>
          <cell r="C645" t="str">
            <v>Tools; for working in the hand, with self-contained electric motor; saws</v>
          </cell>
          <cell r="D645" t="str">
            <v>Capital Goods</v>
          </cell>
          <cell r="E645" t="str">
            <v>NO</v>
          </cell>
          <cell r="F645" t="str">
            <v>NO</v>
          </cell>
          <cell r="G645" t="str">
            <v>YES</v>
          </cell>
          <cell r="H645" t="str">
            <v>NO</v>
          </cell>
          <cell r="I645" t="str">
            <v>NO</v>
          </cell>
          <cell r="J645" t="str">
            <v>Yes</v>
          </cell>
        </row>
        <row r="646">
          <cell r="B646">
            <v>847780</v>
          </cell>
          <cell r="C646" t="str">
            <v>Machinery; for working rubber or plastics or for the manufacture of products from these materials, n.e.c. in this chapter</v>
          </cell>
          <cell r="D646" t="str">
            <v>Capital Goods</v>
          </cell>
          <cell r="E646" t="str">
            <v>NO</v>
          </cell>
          <cell r="F646" t="str">
            <v>NO</v>
          </cell>
          <cell r="G646" t="str">
            <v>YES</v>
          </cell>
          <cell r="H646" t="str">
            <v>NO</v>
          </cell>
          <cell r="I646" t="str">
            <v>YES</v>
          </cell>
          <cell r="J646" t="str">
            <v>Yes</v>
          </cell>
        </row>
        <row r="647">
          <cell r="B647">
            <v>848291</v>
          </cell>
          <cell r="C647" t="str">
            <v>Bearings; parts, balls, needles and rollers</v>
          </cell>
          <cell r="D647" t="str">
            <v>Parts &amp; Accessories</v>
          </cell>
          <cell r="E647" t="str">
            <v>NO</v>
          </cell>
          <cell r="F647" t="str">
            <v>NO</v>
          </cell>
          <cell r="G647" t="str">
            <v>YES</v>
          </cell>
          <cell r="H647" t="str">
            <v>YES</v>
          </cell>
          <cell r="I647" t="str">
            <v>YES</v>
          </cell>
          <cell r="J647" t="str">
            <v>Yes</v>
          </cell>
        </row>
        <row r="648">
          <cell r="B648">
            <v>850650</v>
          </cell>
          <cell r="C648" t="str">
            <v>Cells and batteries; primary, lithium</v>
          </cell>
          <cell r="D648" t="str">
            <v>Consumables</v>
          </cell>
          <cell r="E648" t="str">
            <v>NO</v>
          </cell>
          <cell r="F648" t="str">
            <v>NO</v>
          </cell>
          <cell r="G648" t="str">
            <v>YES</v>
          </cell>
          <cell r="H648" t="str">
            <v>NO</v>
          </cell>
          <cell r="I648" t="str">
            <v>YES</v>
          </cell>
          <cell r="J648" t="str">
            <v>Yes</v>
          </cell>
        </row>
        <row r="649">
          <cell r="B649">
            <v>852692</v>
          </cell>
          <cell r="C649" t="str">
            <v>Radio remote control apparatus</v>
          </cell>
          <cell r="D649" t="str">
            <v>Capital Goods - rc</v>
          </cell>
          <cell r="E649" t="str">
            <v>NO</v>
          </cell>
          <cell r="F649" t="str">
            <v>NO</v>
          </cell>
          <cell r="G649" t="str">
            <v>YES</v>
          </cell>
          <cell r="H649" t="str">
            <v>NO</v>
          </cell>
          <cell r="I649" t="str">
            <v>YES</v>
          </cell>
          <cell r="J649" t="str">
            <v>Yes</v>
          </cell>
        </row>
        <row r="650">
          <cell r="B650">
            <v>852871</v>
          </cell>
          <cell r="C650" t="str">
            <v>Reception apparatus for television, whether or not incorporating radio-broadcast receivers or sound or video recording or reproducing apparatus; not designed to incorporate a video display or screen</v>
          </cell>
          <cell r="D650" t="str">
            <v>Capital Goods - rc</v>
          </cell>
          <cell r="E650" t="str">
            <v>NO</v>
          </cell>
          <cell r="F650" t="str">
            <v>NO</v>
          </cell>
          <cell r="G650" t="str">
            <v>YES</v>
          </cell>
          <cell r="H650" t="str">
            <v>NO</v>
          </cell>
          <cell r="I650" t="str">
            <v>NO</v>
          </cell>
          <cell r="J650" t="str">
            <v>Yes</v>
          </cell>
        </row>
        <row r="651">
          <cell r="B651">
            <v>853921</v>
          </cell>
          <cell r="C651" t="str">
            <v>Lamps; filament, (excluding ultra-violet or infra-red), tungsten halogen</v>
          </cell>
          <cell r="D651" t="str">
            <v>Consumables - rc</v>
          </cell>
          <cell r="E651" t="str">
            <v>NO</v>
          </cell>
          <cell r="F651" t="str">
            <v>NO</v>
          </cell>
          <cell r="G651" t="str">
            <v>YES</v>
          </cell>
          <cell r="H651" t="str">
            <v>NO</v>
          </cell>
          <cell r="I651" t="str">
            <v>YES</v>
          </cell>
          <cell r="J651" t="str">
            <v>Yes</v>
          </cell>
        </row>
        <row r="652">
          <cell r="B652">
            <v>910291</v>
          </cell>
          <cell r="C652" t="str">
            <v>Pocket watches and other watches, including stop-watches; (excluding wrist-watches), other than those of heading no. 9101, electrically operated</v>
          </cell>
          <cell r="D652" t="str">
            <v>Others</v>
          </cell>
          <cell r="E652" t="str">
            <v>NO</v>
          </cell>
          <cell r="F652" t="str">
            <v>NO</v>
          </cell>
          <cell r="G652" t="str">
            <v>YES</v>
          </cell>
          <cell r="H652" t="str">
            <v>NO</v>
          </cell>
          <cell r="I652" t="str">
            <v>NO</v>
          </cell>
          <cell r="J652" t="str">
            <v>Yes</v>
          </cell>
        </row>
        <row r="653">
          <cell r="B653">
            <v>400690</v>
          </cell>
          <cell r="C653" t="str">
            <v>Rubber; unvulcanised, other than camel back strips for retreading rubber tyres</v>
          </cell>
          <cell r="D653" t="str">
            <v>Consumables - rc</v>
          </cell>
          <cell r="E653" t="str">
            <v>NO</v>
          </cell>
          <cell r="F653" t="str">
            <v>NO</v>
          </cell>
          <cell r="G653" t="str">
            <v>YES</v>
          </cell>
          <cell r="H653" t="str">
            <v>NO</v>
          </cell>
          <cell r="I653" t="str">
            <v>YES</v>
          </cell>
          <cell r="J653" t="str">
            <v>Yes</v>
          </cell>
        </row>
        <row r="654">
          <cell r="B654">
            <v>480300</v>
          </cell>
          <cell r="C654" t="str">
            <v>Tissue, towel, napkin stock or similar; for household or sanitary use, cellulose, wadding webs of cellulose fibres, in rolls exceeding 36cm in width or rectangular sheets with one side more than 36cm in unfolded state</v>
          </cell>
          <cell r="D654" t="str">
            <v>Consumables - rc</v>
          </cell>
          <cell r="E654" t="str">
            <v>NO</v>
          </cell>
          <cell r="F654" t="str">
            <v>NO</v>
          </cell>
          <cell r="G654" t="str">
            <v>YES</v>
          </cell>
          <cell r="H654" t="str">
            <v>NO</v>
          </cell>
          <cell r="I654" t="str">
            <v>NO</v>
          </cell>
          <cell r="J654" t="str">
            <v>Yes</v>
          </cell>
        </row>
        <row r="655">
          <cell r="B655">
            <v>621790</v>
          </cell>
          <cell r="C655" t="str">
            <v>Clothing; parts of garments or of clothing accessories, other than those of heading no. 6212 (not knitted or crocheted)</v>
          </cell>
          <cell r="D655" t="str">
            <v>Consumables - rc</v>
          </cell>
          <cell r="E655" t="str">
            <v>NO</v>
          </cell>
          <cell r="F655" t="str">
            <v>NO</v>
          </cell>
          <cell r="G655" t="str">
            <v>YES</v>
          </cell>
          <cell r="H655" t="str">
            <v>NO</v>
          </cell>
          <cell r="I655" t="str">
            <v>NO</v>
          </cell>
          <cell r="J655" t="str">
            <v>Yes</v>
          </cell>
        </row>
        <row r="656">
          <cell r="B656">
            <v>630590</v>
          </cell>
          <cell r="C656" t="str">
            <v>Sacks and bags; of a kind used for the packing of goods, of textile materials (other than jute, cotton or man-made textile materials)</v>
          </cell>
          <cell r="D656" t="str">
            <v>Consumables</v>
          </cell>
          <cell r="E656" t="str">
            <v>NO</v>
          </cell>
          <cell r="F656" t="str">
            <v>NO</v>
          </cell>
          <cell r="G656" t="str">
            <v>YES</v>
          </cell>
          <cell r="H656" t="str">
            <v>NO</v>
          </cell>
          <cell r="I656" t="str">
            <v>NO</v>
          </cell>
          <cell r="J656" t="str">
            <v>Yes</v>
          </cell>
        </row>
        <row r="657">
          <cell r="B657">
            <v>681410</v>
          </cell>
          <cell r="C657" t="str">
            <v>Mica; plates, sheets and strips of agglomerated or reconstituted mica, whether or not on a support of paper, paperboard or other materials</v>
          </cell>
          <cell r="D657" t="str">
            <v>Consumables - rc</v>
          </cell>
          <cell r="E657" t="str">
            <v>NO</v>
          </cell>
          <cell r="F657" t="str">
            <v>NO</v>
          </cell>
          <cell r="G657" t="str">
            <v>YES</v>
          </cell>
          <cell r="H657" t="str">
            <v>NO</v>
          </cell>
          <cell r="I657" t="str">
            <v>NO</v>
          </cell>
          <cell r="J657" t="str">
            <v>Yes</v>
          </cell>
        </row>
        <row r="658">
          <cell r="B658">
            <v>681519</v>
          </cell>
          <cell r="C658" t="str">
            <v>Stone or other mineral substances not elsewhere specified or included; non-electrical articles of graphite or carbon n.e.c. in heading 6815</v>
          </cell>
          <cell r="D658" t="str">
            <v>Consumables - rc</v>
          </cell>
          <cell r="E658" t="str">
            <v>NO</v>
          </cell>
          <cell r="F658" t="str">
            <v>NO</v>
          </cell>
          <cell r="G658" t="str">
            <v>YES</v>
          </cell>
          <cell r="H658" t="str">
            <v>NO</v>
          </cell>
          <cell r="I658" t="str">
            <v>YES</v>
          </cell>
          <cell r="J658" t="str">
            <v>Yes</v>
          </cell>
        </row>
        <row r="659">
          <cell r="B659">
            <v>722020</v>
          </cell>
          <cell r="C659" t="str">
            <v>Steel, stainless; flat-rolled, width less than 600mm, cold-rolled</v>
          </cell>
          <cell r="D659" t="str">
            <v>Consumables - rc</v>
          </cell>
          <cell r="E659" t="str">
            <v>NO</v>
          </cell>
          <cell r="F659" t="str">
            <v>NO</v>
          </cell>
          <cell r="G659" t="str">
            <v>YES</v>
          </cell>
          <cell r="H659" t="str">
            <v>NO</v>
          </cell>
          <cell r="I659" t="str">
            <v>YES</v>
          </cell>
          <cell r="J659" t="str">
            <v>Yes</v>
          </cell>
        </row>
        <row r="660">
          <cell r="B660">
            <v>731511</v>
          </cell>
          <cell r="C660" t="str">
            <v>Chain; articulated link, roller, of iron or steel</v>
          </cell>
          <cell r="D660" t="str">
            <v>Parts &amp; Accessories</v>
          </cell>
          <cell r="E660" t="str">
            <v>NO</v>
          </cell>
          <cell r="F660" t="str">
            <v>NO</v>
          </cell>
          <cell r="G660" t="str">
            <v>YES</v>
          </cell>
          <cell r="H660" t="str">
            <v>NO</v>
          </cell>
          <cell r="I660" t="str">
            <v>NO</v>
          </cell>
          <cell r="J660" t="str">
            <v>Yes</v>
          </cell>
        </row>
        <row r="661">
          <cell r="B661">
            <v>741529</v>
          </cell>
          <cell r="C661" t="str">
            <v>Copper; rivets, cotters, cotter-pins and similar articles, not threaded</v>
          </cell>
          <cell r="D661" t="str">
            <v>Consumables</v>
          </cell>
          <cell r="E661" t="str">
            <v>NO</v>
          </cell>
          <cell r="F661" t="str">
            <v>NO</v>
          </cell>
          <cell r="G661" t="str">
            <v>YES</v>
          </cell>
          <cell r="H661" t="str">
            <v>NO</v>
          </cell>
          <cell r="I661" t="str">
            <v>YES</v>
          </cell>
          <cell r="J661" t="str">
            <v>Yes</v>
          </cell>
        </row>
        <row r="662">
          <cell r="B662">
            <v>760612</v>
          </cell>
          <cell r="C662" t="str">
            <v>Aluminium; plates, sheets and strip, thickness exceeding 0.2mm, alloys, rectangular (including square)</v>
          </cell>
          <cell r="D662" t="str">
            <v>Consumables - rc</v>
          </cell>
          <cell r="E662" t="str">
            <v>NO</v>
          </cell>
          <cell r="F662" t="str">
            <v>NO</v>
          </cell>
          <cell r="G662" t="str">
            <v>YES</v>
          </cell>
          <cell r="H662" t="str">
            <v>NO</v>
          </cell>
          <cell r="I662" t="str">
            <v>YES</v>
          </cell>
          <cell r="J662" t="str">
            <v>Yes</v>
          </cell>
        </row>
        <row r="663">
          <cell r="B663">
            <v>841350</v>
          </cell>
          <cell r="C663" t="str">
            <v>Pumps; reciprocating positive displacement pumps, n.e.c. in heading no. 8413, for liquids</v>
          </cell>
          <cell r="D663" t="str">
            <v>Capital Goods</v>
          </cell>
          <cell r="E663" t="str">
            <v>NO</v>
          </cell>
          <cell r="F663" t="str">
            <v>NO</v>
          </cell>
          <cell r="G663" t="str">
            <v>YES</v>
          </cell>
          <cell r="H663" t="str">
            <v>NO</v>
          </cell>
          <cell r="I663" t="str">
            <v>NO</v>
          </cell>
          <cell r="J663" t="str">
            <v>Yes</v>
          </cell>
        </row>
        <row r="664">
          <cell r="B664">
            <v>842112</v>
          </cell>
          <cell r="C664" t="str">
            <v>Centrifuges; clothes-dryers</v>
          </cell>
          <cell r="D664" t="str">
            <v>Capital Goods</v>
          </cell>
          <cell r="E664" t="str">
            <v>NO</v>
          </cell>
          <cell r="F664" t="str">
            <v>NO</v>
          </cell>
          <cell r="G664" t="str">
            <v>YES</v>
          </cell>
          <cell r="H664" t="str">
            <v>NO</v>
          </cell>
          <cell r="I664" t="str">
            <v>NO</v>
          </cell>
          <cell r="J664" t="str">
            <v>Yes</v>
          </cell>
        </row>
        <row r="665">
          <cell r="B665">
            <v>853210</v>
          </cell>
          <cell r="C665" t="str">
            <v>Electrical capacitors; fixed, designed for use in 50/60 Hz circuits and having a reactive power handling capacity of not less than 0.5 kvar (power capacitors)</v>
          </cell>
          <cell r="D665" t="str">
            <v>Parts &amp; Accessories</v>
          </cell>
          <cell r="E665" t="str">
            <v>NO</v>
          </cell>
          <cell r="F665" t="str">
            <v>NO</v>
          </cell>
          <cell r="G665" t="str">
            <v>YES</v>
          </cell>
          <cell r="H665" t="str">
            <v>NO</v>
          </cell>
          <cell r="I665" t="str">
            <v>NO</v>
          </cell>
          <cell r="J665" t="str">
            <v>Yes</v>
          </cell>
        </row>
        <row r="666">
          <cell r="B666">
            <v>853521</v>
          </cell>
          <cell r="C666" t="str">
            <v>Electrical apparatus; automatic circuit breakers, for a voltage exceeding 1000 volts but less than 72.5kV</v>
          </cell>
          <cell r="D666" t="str">
            <v>Parts &amp; Accessories</v>
          </cell>
          <cell r="E666" t="str">
            <v>NO</v>
          </cell>
          <cell r="F666" t="str">
            <v>NO</v>
          </cell>
          <cell r="G666" t="str">
            <v>YES</v>
          </cell>
          <cell r="H666" t="str">
            <v>NO</v>
          </cell>
          <cell r="I666" t="str">
            <v>NO</v>
          </cell>
          <cell r="J666" t="str">
            <v>Yes</v>
          </cell>
        </row>
        <row r="667">
          <cell r="B667">
            <v>870899</v>
          </cell>
          <cell r="C667" t="str">
            <v>Vehicle parts and accessories; n.e.c. in heading no. 8708</v>
          </cell>
          <cell r="D667" t="str">
            <v>Parts &amp; Accessories - rc</v>
          </cell>
          <cell r="E667" t="str">
            <v>NO</v>
          </cell>
          <cell r="F667" t="str">
            <v>NO</v>
          </cell>
          <cell r="G667" t="str">
            <v>YES</v>
          </cell>
          <cell r="H667" t="str">
            <v>NO</v>
          </cell>
          <cell r="I667" t="str">
            <v>YES</v>
          </cell>
          <cell r="J667" t="str">
            <v>Yes</v>
          </cell>
        </row>
        <row r="668">
          <cell r="B668">
            <v>901890</v>
          </cell>
          <cell r="C668" t="str">
            <v>Medical, surgical or dental instruments and appliances; n.e.c. in heading no. 9018</v>
          </cell>
          <cell r="D668" t="str">
            <v>Capital Goods - rc</v>
          </cell>
          <cell r="E668" t="str">
            <v>NO</v>
          </cell>
          <cell r="F668" t="str">
            <v>NO</v>
          </cell>
          <cell r="G668" t="str">
            <v>YES</v>
          </cell>
          <cell r="H668" t="str">
            <v>NO</v>
          </cell>
          <cell r="I668" t="str">
            <v>YES</v>
          </cell>
          <cell r="J668" t="str">
            <v>Yes</v>
          </cell>
        </row>
        <row r="669">
          <cell r="B669">
            <v>970390</v>
          </cell>
          <cell r="C669" t="str">
            <v>Sculptures and statuary; original, in any material, of an age not exceeding 100 years</v>
          </cell>
          <cell r="D669" t="str">
            <v>Others</v>
          </cell>
          <cell r="E669" t="str">
            <v>NO</v>
          </cell>
          <cell r="F669" t="str">
            <v>NO</v>
          </cell>
          <cell r="G669" t="str">
            <v>YES</v>
          </cell>
          <cell r="H669" t="str">
            <v>NO</v>
          </cell>
          <cell r="I669" t="str">
            <v>NO</v>
          </cell>
          <cell r="J669" t="str">
            <v>Yes</v>
          </cell>
        </row>
        <row r="670">
          <cell r="B670">
            <v>330499</v>
          </cell>
          <cell r="C670" t="str">
            <v>Cosmetic and toilet preparations; n.e.c. in heading no. 3304, for the care of the skin (excluding medicaments, including sunscreen or sun tan preparations)</v>
          </cell>
          <cell r="D670" t="str">
            <v>Others</v>
          </cell>
          <cell r="E670" t="str">
            <v>NO</v>
          </cell>
          <cell r="F670" t="str">
            <v>NO</v>
          </cell>
          <cell r="G670" t="str">
            <v>YES</v>
          </cell>
          <cell r="H670" t="str">
            <v>NO</v>
          </cell>
          <cell r="I670" t="str">
            <v>NO</v>
          </cell>
          <cell r="J670" t="str">
            <v>Yes</v>
          </cell>
        </row>
        <row r="671">
          <cell r="B671">
            <v>650610</v>
          </cell>
          <cell r="C671" t="str">
            <v>Headgear; safety, whether or not lined or trimmed</v>
          </cell>
          <cell r="D671" t="str">
            <v>Consumables</v>
          </cell>
          <cell r="E671" t="str">
            <v>NO</v>
          </cell>
          <cell r="F671" t="str">
            <v>NO</v>
          </cell>
          <cell r="G671" t="str">
            <v>YES</v>
          </cell>
          <cell r="H671" t="str">
            <v>NO</v>
          </cell>
          <cell r="I671" t="str">
            <v>NO</v>
          </cell>
          <cell r="J671" t="str">
            <v>Yes</v>
          </cell>
        </row>
        <row r="672">
          <cell r="B672">
            <v>680690</v>
          </cell>
          <cell r="C672" t="str">
            <v>Minerals; mixtures and articles of heat-insulating, sound-insulating or sound-absorbing mineral materials, other than those of heading no. 6811 or 6812 or of chapter 69</v>
          </cell>
          <cell r="D672" t="str">
            <v>Consumables - rc</v>
          </cell>
          <cell r="E672" t="str">
            <v>NO</v>
          </cell>
          <cell r="F672" t="str">
            <v>NO</v>
          </cell>
          <cell r="G672" t="str">
            <v>YES</v>
          </cell>
          <cell r="H672" t="str">
            <v>NO</v>
          </cell>
          <cell r="I672" t="str">
            <v>NO</v>
          </cell>
          <cell r="J672" t="str">
            <v>Yes</v>
          </cell>
        </row>
        <row r="673">
          <cell r="B673">
            <v>760720</v>
          </cell>
          <cell r="C673" t="str">
            <v>Aluminium; foil, backed with paper, paperboard, plastics or similar backing materials, of a thickness (excluding any backing) not exceeding 0.2mm</v>
          </cell>
          <cell r="D673" t="str">
            <v>Consumables - rc</v>
          </cell>
          <cell r="E673" t="str">
            <v>NO</v>
          </cell>
          <cell r="F673" t="str">
            <v>NO</v>
          </cell>
          <cell r="G673" t="str">
            <v>YES</v>
          </cell>
          <cell r="H673" t="str">
            <v>YES</v>
          </cell>
          <cell r="I673" t="str">
            <v>YES</v>
          </cell>
          <cell r="J673" t="str">
            <v>Yes</v>
          </cell>
        </row>
        <row r="674">
          <cell r="B674">
            <v>780600</v>
          </cell>
          <cell r="C674" t="str">
            <v>Lead; articles n.e.c. in chapter 78</v>
          </cell>
          <cell r="D674" t="str">
            <v>Consumables - rc</v>
          </cell>
          <cell r="E674" t="str">
            <v>NO</v>
          </cell>
          <cell r="F674" t="str">
            <v>NO</v>
          </cell>
          <cell r="G674" t="str">
            <v>YES</v>
          </cell>
          <cell r="H674" t="str">
            <v>NO</v>
          </cell>
          <cell r="I674" t="str">
            <v>YES</v>
          </cell>
          <cell r="J674" t="str">
            <v>Yes</v>
          </cell>
        </row>
        <row r="675">
          <cell r="B675">
            <v>850433</v>
          </cell>
          <cell r="C675" t="str">
            <v>Transformers; n.e.c. in item no. 8504.2, having a power handling capacity exceeding 16kVA but not exceeding 500kVA</v>
          </cell>
          <cell r="D675" t="str">
            <v>Capital Goods</v>
          </cell>
          <cell r="E675" t="str">
            <v>NO</v>
          </cell>
          <cell r="F675" t="str">
            <v>NO</v>
          </cell>
          <cell r="G675" t="str">
            <v>YES</v>
          </cell>
          <cell r="H675" t="str">
            <v>NO</v>
          </cell>
          <cell r="I675" t="str">
            <v>YES</v>
          </cell>
          <cell r="J675" t="str">
            <v>Yes</v>
          </cell>
        </row>
        <row r="676">
          <cell r="B676">
            <v>852713</v>
          </cell>
          <cell r="C676" t="str">
            <v>Radio broadcast receivers capable of operating without an external power source; apparatus (other than pocket-size radio cassette-players), combined with sound recording or reproducing apparatus</v>
          </cell>
          <cell r="D676" t="str">
            <v>Durable</v>
          </cell>
          <cell r="E676" t="str">
            <v>NO</v>
          </cell>
          <cell r="F676" t="str">
            <v>NO</v>
          </cell>
          <cell r="G676" t="str">
            <v>YES</v>
          </cell>
          <cell r="H676" t="str">
            <v>NO</v>
          </cell>
          <cell r="I676" t="str">
            <v>NO</v>
          </cell>
          <cell r="J676" t="str">
            <v>Yes</v>
          </cell>
        </row>
        <row r="677">
          <cell r="B677">
            <v>901310</v>
          </cell>
          <cell r="C677" t="str">
            <v>Optical appliances and instruments; telescopic sights for fitting to arms; periscopes; telescopes designed to form parts of machines, appliances, instruments or apparatus of this chapter</v>
          </cell>
          <cell r="D677" t="str">
            <v>Parts &amp; Accessories</v>
          </cell>
          <cell r="E677" t="str">
            <v>NO</v>
          </cell>
          <cell r="F677" t="str">
            <v>NO</v>
          </cell>
          <cell r="G677" t="str">
            <v>YES</v>
          </cell>
          <cell r="H677" t="str">
            <v>NO</v>
          </cell>
          <cell r="I677" t="str">
            <v>NO</v>
          </cell>
          <cell r="J677" t="str">
            <v>Yes</v>
          </cell>
        </row>
        <row r="678">
          <cell r="B678">
            <v>902710</v>
          </cell>
          <cell r="C678" t="str">
            <v>Instruments and apparatus; gas or smoke analysis apparatus, for physical or chemical analysis</v>
          </cell>
          <cell r="D678" t="str">
            <v>Capital Goods</v>
          </cell>
          <cell r="E678" t="str">
            <v>NO</v>
          </cell>
          <cell r="F678" t="str">
            <v>NO</v>
          </cell>
          <cell r="G678" t="str">
            <v>YES</v>
          </cell>
          <cell r="H678" t="str">
            <v>NO</v>
          </cell>
          <cell r="I678" t="str">
            <v>NO</v>
          </cell>
          <cell r="J678" t="str">
            <v>Yes</v>
          </cell>
        </row>
        <row r="679">
          <cell r="B679">
            <v>902910</v>
          </cell>
          <cell r="C679" t="str">
            <v>Meters and counters; revolution counters, production counters, taximeters, mileometers, pedometers and the like</v>
          </cell>
          <cell r="D679" t="str">
            <v>Capital Goods</v>
          </cell>
          <cell r="E679" t="str">
            <v>NO</v>
          </cell>
          <cell r="F679" t="str">
            <v>NO</v>
          </cell>
          <cell r="G679" t="str">
            <v>YES</v>
          </cell>
          <cell r="H679" t="str">
            <v>YES</v>
          </cell>
          <cell r="I679" t="str">
            <v>YES</v>
          </cell>
          <cell r="J679" t="str">
            <v>Yes</v>
          </cell>
        </row>
        <row r="680">
          <cell r="B680">
            <v>950450</v>
          </cell>
          <cell r="C680" t="str">
            <v>Games; video game consoles and machines, other than those of subheading 9504.30</v>
          </cell>
          <cell r="D680" t="str">
            <v>Durable</v>
          </cell>
          <cell r="E680" t="str">
            <v>NO</v>
          </cell>
          <cell r="F680" t="str">
            <v>NO</v>
          </cell>
          <cell r="G680" t="str">
            <v>YES</v>
          </cell>
          <cell r="H680" t="str">
            <v>NO</v>
          </cell>
          <cell r="I680" t="str">
            <v>NO</v>
          </cell>
          <cell r="J680" t="str">
            <v>Yes</v>
          </cell>
        </row>
        <row r="681">
          <cell r="B681">
            <v>340319</v>
          </cell>
          <cell r="C681" t="str">
            <v>Lubricating preparations; (other than for the treatment of textile and similar materials), containing less than 70% (by weight) of petroleum oils or oils obtained from bituminous minerals</v>
          </cell>
          <cell r="D681" t="str">
            <v>Consumables</v>
          </cell>
          <cell r="E681" t="str">
            <v>NO</v>
          </cell>
          <cell r="F681" t="str">
            <v>NO</v>
          </cell>
          <cell r="G681" t="str">
            <v>NO</v>
          </cell>
          <cell r="H681" t="str">
            <v>YES</v>
          </cell>
          <cell r="I681" t="str">
            <v>YES</v>
          </cell>
          <cell r="J681" t="str">
            <v>Yes</v>
          </cell>
        </row>
        <row r="682">
          <cell r="B682">
            <v>350610</v>
          </cell>
          <cell r="C682" t="str">
            <v>Glues or adhesives; prepared, products suitable for use as glues or adhesives, put up for retail sale as glues or adhesives, not exceeding a net weight of 1kg</v>
          </cell>
          <cell r="D682" t="str">
            <v>Others</v>
          </cell>
          <cell r="E682" t="str">
            <v>NO</v>
          </cell>
          <cell r="F682" t="str">
            <v>NO</v>
          </cell>
          <cell r="G682" t="str">
            <v>NO</v>
          </cell>
          <cell r="H682" t="str">
            <v>YES</v>
          </cell>
          <cell r="I682" t="str">
            <v>YES</v>
          </cell>
          <cell r="J682" t="str">
            <v>Yes</v>
          </cell>
        </row>
        <row r="683">
          <cell r="B683">
            <v>370120</v>
          </cell>
          <cell r="C683" t="str">
            <v>Photographic plates and film; instant print film, in the flat, sensitised, unexposed, whether or not in packs</v>
          </cell>
          <cell r="D683" t="str">
            <v>Consumables - rc</v>
          </cell>
          <cell r="E683" t="str">
            <v>NO</v>
          </cell>
          <cell r="F683" t="str">
            <v>NO</v>
          </cell>
          <cell r="G683" t="str">
            <v>NO</v>
          </cell>
          <cell r="H683" t="str">
            <v>YES</v>
          </cell>
          <cell r="I683" t="str">
            <v>NO</v>
          </cell>
          <cell r="J683" t="str">
            <v>Yes</v>
          </cell>
        </row>
        <row r="684">
          <cell r="B684">
            <v>392092</v>
          </cell>
          <cell r="C684" t="str">
            <v>Plastics; plates, sheets, film, foil and strip (not self-adhesive), of polyamides, non-cellular and not reinforced, laminated, supported or similarly combined with other materials</v>
          </cell>
          <cell r="D684" t="str">
            <v>Consumables - rc</v>
          </cell>
          <cell r="E684" t="str">
            <v>NO</v>
          </cell>
          <cell r="F684" t="str">
            <v>NO</v>
          </cell>
          <cell r="G684" t="str">
            <v>NO</v>
          </cell>
          <cell r="H684" t="str">
            <v>YES</v>
          </cell>
          <cell r="I684" t="str">
            <v>YES</v>
          </cell>
          <cell r="J684" t="str">
            <v>Yes</v>
          </cell>
        </row>
        <row r="685">
          <cell r="B685">
            <v>392330</v>
          </cell>
          <cell r="C685" t="str">
            <v>Plastics; carboys, bottles, flasks and similar articles, for the conveyance or packing of goods</v>
          </cell>
          <cell r="D685" t="str">
            <v>Consumables - rc</v>
          </cell>
          <cell r="E685" t="str">
            <v>NO</v>
          </cell>
          <cell r="F685" t="str">
            <v>NO</v>
          </cell>
          <cell r="G685" t="str">
            <v>NO</v>
          </cell>
          <cell r="H685" t="str">
            <v>YES</v>
          </cell>
          <cell r="I685" t="str">
            <v>YES</v>
          </cell>
          <cell r="J685" t="str">
            <v>Yes</v>
          </cell>
        </row>
        <row r="686">
          <cell r="B686">
            <v>401035</v>
          </cell>
          <cell r="C686" t="str">
            <v>Rubber; vulcanised, endless synchronous belts, of an outside circumference exceeding 60 cm but not exceeding 150 cm</v>
          </cell>
          <cell r="D686" t="str">
            <v>Consumables - rc</v>
          </cell>
          <cell r="E686" t="str">
            <v>NO</v>
          </cell>
          <cell r="F686" t="str">
            <v>NO</v>
          </cell>
          <cell r="G686" t="str">
            <v>NO</v>
          </cell>
          <cell r="H686" t="str">
            <v>YES</v>
          </cell>
          <cell r="I686" t="str">
            <v>YES</v>
          </cell>
          <cell r="J686" t="str">
            <v>Yes</v>
          </cell>
        </row>
        <row r="687">
          <cell r="B687">
            <v>401036</v>
          </cell>
          <cell r="C687" t="str">
            <v>Rubber; vulcanised, endless synchronous belts, of an outside circumference exceeding 150 cm but not exceeding 198 cm</v>
          </cell>
          <cell r="D687" t="str">
            <v>Parts &amp; Accessories</v>
          </cell>
          <cell r="E687" t="str">
            <v>NO</v>
          </cell>
          <cell r="F687" t="str">
            <v>NO</v>
          </cell>
          <cell r="G687" t="str">
            <v>NO</v>
          </cell>
          <cell r="H687" t="str">
            <v>YES</v>
          </cell>
          <cell r="I687" t="str">
            <v>YES</v>
          </cell>
          <cell r="J687" t="str">
            <v>Yes</v>
          </cell>
        </row>
        <row r="688">
          <cell r="B688">
            <v>441011</v>
          </cell>
          <cell r="C688" t="str">
            <v>Particle board of wood, whether or not agglomerated with resins or other organic binding substances</v>
          </cell>
          <cell r="D688" t="str">
            <v>Consumables - rc</v>
          </cell>
          <cell r="E688" t="str">
            <v>NO</v>
          </cell>
          <cell r="F688" t="str">
            <v>NO</v>
          </cell>
          <cell r="G688" t="str">
            <v>NO</v>
          </cell>
          <cell r="H688" t="str">
            <v>YES</v>
          </cell>
          <cell r="I688" t="str">
            <v>YES</v>
          </cell>
          <cell r="J688" t="str">
            <v>Yes</v>
          </cell>
        </row>
        <row r="689">
          <cell r="B689">
            <v>560790</v>
          </cell>
          <cell r="C689" t="str">
            <v>Twine, cordage, ropes, cables; of materials n.e.c. in heading no. 5607, whether or not plaited, braided or impregnated, coated, covered, or sheathed with rubber or plastics</v>
          </cell>
          <cell r="D689" t="str">
            <v>Consumables - rc</v>
          </cell>
          <cell r="E689" t="str">
            <v>NO</v>
          </cell>
          <cell r="F689" t="str">
            <v>NO</v>
          </cell>
          <cell r="G689" t="str">
            <v>NO</v>
          </cell>
          <cell r="H689" t="str">
            <v>YES</v>
          </cell>
          <cell r="I689" t="str">
            <v>NO</v>
          </cell>
          <cell r="J689" t="str">
            <v>Yes</v>
          </cell>
        </row>
        <row r="690">
          <cell r="B690">
            <v>700100</v>
          </cell>
          <cell r="C690" t="str">
            <v>Glass; cullet and other waste and scrap of glass, excluding glass from cathode ray tubes or other activated glass of heading 85.49, glass in the mass</v>
          </cell>
          <cell r="D690" t="str">
            <v>Capital Goods - rc</v>
          </cell>
          <cell r="E690" t="str">
            <v>NO</v>
          </cell>
          <cell r="F690" t="str">
            <v>NO</v>
          </cell>
          <cell r="G690" t="str">
            <v>NO</v>
          </cell>
          <cell r="H690" t="str">
            <v>YES</v>
          </cell>
          <cell r="I690" t="str">
            <v>NO</v>
          </cell>
          <cell r="J690" t="str">
            <v>Yes</v>
          </cell>
        </row>
        <row r="691">
          <cell r="B691">
            <v>701090</v>
          </cell>
          <cell r="C691" t="str">
            <v>Glass; carboys, bottles, flasks, jars, pots, phials and other containers of glass, (not ampoules), used for the conveyance or packing of goods</v>
          </cell>
          <cell r="D691" t="str">
            <v>Consumables - rc</v>
          </cell>
          <cell r="E691" t="str">
            <v>NO</v>
          </cell>
          <cell r="F691" t="str">
            <v>NO</v>
          </cell>
          <cell r="G691" t="str">
            <v>NO</v>
          </cell>
          <cell r="H691" t="str">
            <v>YES</v>
          </cell>
          <cell r="I691" t="str">
            <v>NO</v>
          </cell>
          <cell r="J691" t="str">
            <v>Yes</v>
          </cell>
        </row>
        <row r="692">
          <cell r="B692">
            <v>701710</v>
          </cell>
          <cell r="C692" t="str">
            <v>Glassware; laboratory, hygienic or pharmaceutical, whether or not graduated or calibrated, of fused quartz or other fused silica</v>
          </cell>
          <cell r="D692" t="str">
            <v>Consumables - rc</v>
          </cell>
          <cell r="E692" t="str">
            <v>NO</v>
          </cell>
          <cell r="F692" t="str">
            <v>NO</v>
          </cell>
          <cell r="G692" t="str">
            <v>NO</v>
          </cell>
          <cell r="H692" t="str">
            <v>YES</v>
          </cell>
          <cell r="I692" t="str">
            <v>NO</v>
          </cell>
          <cell r="J692" t="str">
            <v>Yes</v>
          </cell>
        </row>
        <row r="693">
          <cell r="B693">
            <v>720690</v>
          </cell>
          <cell r="C693" t="str">
            <v>Iron or non-alloy steel; primary forms (excluding ingots and iron of heading no. 7203)</v>
          </cell>
          <cell r="D693" t="str">
            <v>Consumables - rc</v>
          </cell>
          <cell r="E693" t="str">
            <v>NO</v>
          </cell>
          <cell r="F693" t="str">
            <v>NO</v>
          </cell>
          <cell r="G693" t="str">
            <v>NO</v>
          </cell>
          <cell r="H693" t="str">
            <v>YES</v>
          </cell>
          <cell r="I693" t="str">
            <v>NO</v>
          </cell>
          <cell r="J693" t="str">
            <v>Yes</v>
          </cell>
        </row>
        <row r="694">
          <cell r="B694">
            <v>730719</v>
          </cell>
          <cell r="C694" t="str">
            <v>Iron or steel; cast fittings, other than of non-malleable cast iron</v>
          </cell>
          <cell r="D694" t="str">
            <v>Parts &amp; Accessories</v>
          </cell>
          <cell r="E694" t="str">
            <v>NO</v>
          </cell>
          <cell r="F694" t="str">
            <v>NO</v>
          </cell>
          <cell r="G694" t="str">
            <v>NO</v>
          </cell>
          <cell r="H694" t="str">
            <v>YES</v>
          </cell>
          <cell r="I694" t="str">
            <v>YES</v>
          </cell>
          <cell r="J694" t="str">
            <v>Yes</v>
          </cell>
        </row>
        <row r="695">
          <cell r="B695">
            <v>740710</v>
          </cell>
          <cell r="C695" t="str">
            <v>Copper; bars, rods and profiles, of refined copper</v>
          </cell>
          <cell r="D695" t="str">
            <v>Consumables - rc</v>
          </cell>
          <cell r="E695" t="str">
            <v>NO</v>
          </cell>
          <cell r="F695" t="str">
            <v>NO</v>
          </cell>
          <cell r="G695" t="str">
            <v>NO</v>
          </cell>
          <cell r="H695" t="str">
            <v>YES</v>
          </cell>
          <cell r="I695" t="str">
            <v>NO</v>
          </cell>
          <cell r="J695" t="str">
            <v>Yes</v>
          </cell>
        </row>
        <row r="696">
          <cell r="B696">
            <v>740811</v>
          </cell>
          <cell r="C696" t="str">
            <v>Copper; wire, of refined copper, of which the maximum cross-sectional dimension exceeds 6mm</v>
          </cell>
          <cell r="D696" t="str">
            <v>Consumables - rc</v>
          </cell>
          <cell r="E696" t="str">
            <v>NO</v>
          </cell>
          <cell r="F696" t="str">
            <v>NO</v>
          </cell>
          <cell r="G696" t="str">
            <v>NO</v>
          </cell>
          <cell r="H696" t="str">
            <v>YES</v>
          </cell>
          <cell r="I696" t="str">
            <v>NO</v>
          </cell>
          <cell r="J696" t="str">
            <v>Yes</v>
          </cell>
        </row>
        <row r="697">
          <cell r="B697">
            <v>741521</v>
          </cell>
          <cell r="C697" t="str">
            <v>Copper; washers, (including spring washers), not threaded</v>
          </cell>
          <cell r="D697" t="str">
            <v>Consumables</v>
          </cell>
          <cell r="E697" t="str">
            <v>NO</v>
          </cell>
          <cell r="F697" t="str">
            <v>NO</v>
          </cell>
          <cell r="G697" t="str">
            <v>NO</v>
          </cell>
          <cell r="H697" t="str">
            <v>YES</v>
          </cell>
          <cell r="I697" t="str">
            <v>NO</v>
          </cell>
          <cell r="J697" t="str">
            <v>Yes</v>
          </cell>
        </row>
        <row r="698">
          <cell r="B698">
            <v>741539</v>
          </cell>
          <cell r="C698" t="str">
            <v>Copper; articles n.e.c. in heading no. 7415</v>
          </cell>
          <cell r="D698" t="str">
            <v>Consumables - rc</v>
          </cell>
          <cell r="E698" t="str">
            <v>NO</v>
          </cell>
          <cell r="F698" t="str">
            <v>NO</v>
          </cell>
          <cell r="G698" t="str">
            <v>NO</v>
          </cell>
          <cell r="H698" t="str">
            <v>YES</v>
          </cell>
          <cell r="I698" t="str">
            <v>YES</v>
          </cell>
          <cell r="J698" t="str">
            <v>Yes</v>
          </cell>
        </row>
        <row r="699">
          <cell r="B699">
            <v>761610</v>
          </cell>
          <cell r="C699" t="str">
            <v>Aluminium; nails, tacks, staples (other than those of heading no. 8305), screws, bolts, nuts, screw hooks, rivets, cotters, cotter-pins, washers and similar articles</v>
          </cell>
          <cell r="D699" t="str">
            <v>Consumables</v>
          </cell>
          <cell r="E699" t="str">
            <v>NO</v>
          </cell>
          <cell r="F699" t="str">
            <v>NO</v>
          </cell>
          <cell r="G699" t="str">
            <v>NO</v>
          </cell>
          <cell r="H699" t="str">
            <v>YES</v>
          </cell>
          <cell r="I699" t="str">
            <v>YES</v>
          </cell>
          <cell r="J699" t="str">
            <v>Yes</v>
          </cell>
        </row>
        <row r="700">
          <cell r="B700">
            <v>790700</v>
          </cell>
          <cell r="C700" t="str">
            <v>Zinc; articles n.e.c. in chapter 79</v>
          </cell>
          <cell r="D700" t="str">
            <v>Consumables - rc</v>
          </cell>
          <cell r="E700" t="str">
            <v>NO</v>
          </cell>
          <cell r="F700" t="str">
            <v>NO</v>
          </cell>
          <cell r="G700" t="str">
            <v>NO</v>
          </cell>
          <cell r="H700" t="str">
            <v>YES</v>
          </cell>
          <cell r="I700" t="str">
            <v>NO</v>
          </cell>
          <cell r="J700" t="str">
            <v>Yes</v>
          </cell>
        </row>
        <row r="701">
          <cell r="B701">
            <v>820551</v>
          </cell>
          <cell r="C701" t="str">
            <v>Tools, hand; Other hand tools (including glaziers’ diamonds): household tools</v>
          </cell>
          <cell r="D701" t="str">
            <v>Capital Goods</v>
          </cell>
          <cell r="E701" t="str">
            <v>NO</v>
          </cell>
          <cell r="F701" t="str">
            <v>NO</v>
          </cell>
          <cell r="G701" t="str">
            <v>NO</v>
          </cell>
          <cell r="H701" t="str">
            <v>YES</v>
          </cell>
          <cell r="I701" t="str">
            <v>YES</v>
          </cell>
          <cell r="J701" t="str">
            <v>Yes</v>
          </cell>
        </row>
        <row r="702">
          <cell r="B702">
            <v>842381</v>
          </cell>
          <cell r="C702" t="str">
            <v>Weighing machines; other than personal, conveyor or constant weight scales, having a maximum weighing capacity not exceeding 30kg (excluding balances of a sensitivity of 5cg or better)</v>
          </cell>
          <cell r="D702" t="str">
            <v>Capital Goods</v>
          </cell>
          <cell r="E702" t="str">
            <v>NO</v>
          </cell>
          <cell r="F702" t="str">
            <v>NO</v>
          </cell>
          <cell r="G702" t="str">
            <v>NO</v>
          </cell>
          <cell r="H702" t="str">
            <v>YES</v>
          </cell>
          <cell r="I702" t="str">
            <v>YES</v>
          </cell>
          <cell r="J702" t="str">
            <v>Yes</v>
          </cell>
        </row>
        <row r="703">
          <cell r="B703">
            <v>842390</v>
          </cell>
          <cell r="C703" t="str">
            <v>Weighing machines; weights of all kinds, parts of weighing machinery</v>
          </cell>
          <cell r="D703" t="str">
            <v>Capital Goods</v>
          </cell>
          <cell r="E703" t="str">
            <v>NO</v>
          </cell>
          <cell r="F703" t="str">
            <v>NO</v>
          </cell>
          <cell r="G703" t="str">
            <v>NO</v>
          </cell>
          <cell r="H703" t="str">
            <v>YES</v>
          </cell>
          <cell r="I703" t="str">
            <v>YES</v>
          </cell>
          <cell r="J703" t="str">
            <v>Yes</v>
          </cell>
        </row>
        <row r="704">
          <cell r="B704">
            <v>845690</v>
          </cell>
          <cell r="C704" t="str">
            <v>Machine tools; for working any material by removal of material; operated by other processes n.e.c. in heading 8456</v>
          </cell>
          <cell r="D704" t="str">
            <v>Capital Goods</v>
          </cell>
          <cell r="E704" t="str">
            <v>NO</v>
          </cell>
          <cell r="F704" t="str">
            <v>NO</v>
          </cell>
          <cell r="G704" t="str">
            <v>NO</v>
          </cell>
          <cell r="H704" t="str">
            <v>YES</v>
          </cell>
          <cell r="I704" t="str">
            <v>YES</v>
          </cell>
          <cell r="J704" t="str">
            <v>Yes</v>
          </cell>
        </row>
        <row r="705">
          <cell r="B705">
            <v>846692</v>
          </cell>
          <cell r="C705" t="str">
            <v>Parts &amp; accessories suited for use solely/principally for the machines of heading no. 8465, n.e.c. in heading no. 8466</v>
          </cell>
          <cell r="D705" t="str">
            <v>Parts &amp; Accessories</v>
          </cell>
          <cell r="E705" t="str">
            <v>NO</v>
          </cell>
          <cell r="F705" t="str">
            <v>NO</v>
          </cell>
          <cell r="G705" t="str">
            <v>NO</v>
          </cell>
          <cell r="H705" t="str">
            <v>YES</v>
          </cell>
          <cell r="I705" t="str">
            <v>YES</v>
          </cell>
          <cell r="J705" t="str">
            <v>Yes</v>
          </cell>
        </row>
        <row r="706">
          <cell r="B706">
            <v>847740</v>
          </cell>
          <cell r="C706" t="str">
            <v>Machinery; vacuum moulding machines and other thermoforming machines, for working rubber or plastics or for the manufacture of products from these materials</v>
          </cell>
          <cell r="D706" t="str">
            <v>Capital Goods</v>
          </cell>
          <cell r="E706" t="str">
            <v>NO</v>
          </cell>
          <cell r="F706" t="str">
            <v>NO</v>
          </cell>
          <cell r="G706" t="str">
            <v>NO</v>
          </cell>
          <cell r="H706" t="str">
            <v>YES</v>
          </cell>
          <cell r="I706" t="str">
            <v>NO</v>
          </cell>
          <cell r="J706" t="str">
            <v>Yes</v>
          </cell>
        </row>
        <row r="707">
          <cell r="B707">
            <v>851310</v>
          </cell>
          <cell r="C707" t="str">
            <v>Lamps; portable, electric, designed to function by their own source of energy (excluding lighting equipment of heading no. 8512)</v>
          </cell>
          <cell r="D707" t="str">
            <v>Capital Goods - rc</v>
          </cell>
          <cell r="E707" t="str">
            <v>NO</v>
          </cell>
          <cell r="F707" t="str">
            <v>NO</v>
          </cell>
          <cell r="G707" t="str">
            <v>NO</v>
          </cell>
          <cell r="H707" t="str">
            <v>YES</v>
          </cell>
          <cell r="I707" t="str">
            <v>YES</v>
          </cell>
          <cell r="J707" t="str">
            <v>Yes</v>
          </cell>
        </row>
        <row r="708">
          <cell r="B708">
            <v>851840</v>
          </cell>
          <cell r="C708" t="str">
            <v>Amplifiers; audio-frequency electric</v>
          </cell>
          <cell r="D708" t="str">
            <v>Capital Goods - rc</v>
          </cell>
          <cell r="E708" t="str">
            <v>NO</v>
          </cell>
          <cell r="F708" t="str">
            <v>NO</v>
          </cell>
          <cell r="G708" t="str">
            <v>NO</v>
          </cell>
          <cell r="H708" t="str">
            <v>YES</v>
          </cell>
          <cell r="I708" t="str">
            <v>YES</v>
          </cell>
          <cell r="J708" t="str">
            <v>Yes</v>
          </cell>
        </row>
        <row r="709">
          <cell r="B709">
            <v>852349</v>
          </cell>
          <cell r="C709" t="str">
            <v>Optical media; recorded, excluding products of Chapter 37</v>
          </cell>
          <cell r="D709" t="str">
            <v>Capital Goods - rc</v>
          </cell>
          <cell r="E709" t="str">
            <v>NO</v>
          </cell>
          <cell r="F709" t="str">
            <v>NO</v>
          </cell>
          <cell r="G709" t="str">
            <v>NO</v>
          </cell>
          <cell r="H709" t="str">
            <v>YES</v>
          </cell>
          <cell r="I709" t="str">
            <v>YES</v>
          </cell>
          <cell r="J709" t="str">
            <v>Yes</v>
          </cell>
        </row>
        <row r="710">
          <cell r="B710">
            <v>852412</v>
          </cell>
          <cell r="C710" t="str">
            <v>Flat panel display modules, whether or not incorporating touch-sensitive screens; of organic light-emitting diodes (OLED), without drivers or control circuits</v>
          </cell>
          <cell r="D710" t="str">
            <v>Parts &amp; Accessories - rc</v>
          </cell>
          <cell r="E710" t="str">
            <v>NO</v>
          </cell>
          <cell r="F710" t="str">
            <v>NO</v>
          </cell>
          <cell r="G710" t="str">
            <v>NO</v>
          </cell>
          <cell r="H710" t="str">
            <v>YES</v>
          </cell>
          <cell r="I710" t="str">
            <v>NO</v>
          </cell>
          <cell r="J710" t="str">
            <v>Yes</v>
          </cell>
        </row>
        <row r="711">
          <cell r="B711">
            <v>852550</v>
          </cell>
          <cell r="C711" t="str">
            <v>Transmission apparatus for radio-broadcasting or television, whether or not incorporating sound recording or reproducing apparatus, not incorporating reception apparatus</v>
          </cell>
          <cell r="D711" t="str">
            <v>Capital Goods - rc</v>
          </cell>
          <cell r="E711" t="str">
            <v>NO</v>
          </cell>
          <cell r="F711" t="str">
            <v>NO</v>
          </cell>
          <cell r="G711" t="str">
            <v>NO</v>
          </cell>
          <cell r="H711" t="str">
            <v>YES</v>
          </cell>
          <cell r="I711" t="str">
            <v>YES</v>
          </cell>
          <cell r="J711" t="str">
            <v>Yes</v>
          </cell>
        </row>
        <row r="712">
          <cell r="B712">
            <v>854590</v>
          </cell>
          <cell r="C712" t="str">
            <v>Carbon; lamp carbons, battery carbons and other articles of graphite or other carbon, with or without metal, of a kind used for electrical purposes</v>
          </cell>
          <cell r="D712" t="str">
            <v>Parts &amp; Accessories</v>
          </cell>
          <cell r="E712" t="str">
            <v>NO</v>
          </cell>
          <cell r="F712" t="str">
            <v>NO</v>
          </cell>
          <cell r="G712" t="str">
            <v>NO</v>
          </cell>
          <cell r="H712" t="str">
            <v>YES</v>
          </cell>
          <cell r="I712" t="str">
            <v>NO</v>
          </cell>
          <cell r="J712" t="str">
            <v>Yes</v>
          </cell>
        </row>
        <row r="713">
          <cell r="B713">
            <v>900661</v>
          </cell>
          <cell r="C713" t="str">
            <v>Photographic flashlight apparatus; discharge lamp (electronic)</v>
          </cell>
          <cell r="D713" t="str">
            <v>Capital Goods - rc</v>
          </cell>
          <cell r="E713" t="str">
            <v>NO</v>
          </cell>
          <cell r="F713" t="str">
            <v>NO</v>
          </cell>
          <cell r="G713" t="str">
            <v>NO</v>
          </cell>
          <cell r="H713" t="str">
            <v>YES</v>
          </cell>
          <cell r="I713" t="str">
            <v>NO</v>
          </cell>
          <cell r="J713" t="str">
            <v>Yes</v>
          </cell>
        </row>
        <row r="714">
          <cell r="B714">
            <v>901110</v>
          </cell>
          <cell r="C714" t="str">
            <v>Microscopes, compound optical; stereoscopic microscopes</v>
          </cell>
          <cell r="D714" t="str">
            <v>Capital Goods</v>
          </cell>
          <cell r="E714" t="str">
            <v>NO</v>
          </cell>
          <cell r="F714" t="str">
            <v>NO</v>
          </cell>
          <cell r="G714" t="str">
            <v>NO</v>
          </cell>
          <cell r="H714" t="str">
            <v>YES</v>
          </cell>
          <cell r="I714" t="str">
            <v>YES</v>
          </cell>
          <cell r="J714" t="str">
            <v>Yes</v>
          </cell>
        </row>
        <row r="715">
          <cell r="B715">
            <v>940139</v>
          </cell>
          <cell r="C715" t="str">
            <v>Seats; swivel with variable height adjustment of other than wood, excluding medical, surgical, dental, veterinary or barber furniture</v>
          </cell>
          <cell r="D715" t="str">
            <v>Durable</v>
          </cell>
          <cell r="E715" t="str">
            <v>NO</v>
          </cell>
          <cell r="F715" t="str">
            <v>NO</v>
          </cell>
          <cell r="G715" t="str">
            <v>NO</v>
          </cell>
          <cell r="H715" t="str">
            <v>YES</v>
          </cell>
          <cell r="I715" t="str">
            <v>NO</v>
          </cell>
          <cell r="J715" t="str">
            <v>Yes</v>
          </cell>
        </row>
        <row r="716">
          <cell r="B716">
            <v>940690</v>
          </cell>
          <cell r="C716" t="str">
            <v>Buildings; prefabricated, not of wood</v>
          </cell>
          <cell r="D716" t="str">
            <v>Capital Goods - rc</v>
          </cell>
          <cell r="E716" t="str">
            <v>NO</v>
          </cell>
          <cell r="F716" t="str">
            <v>NO</v>
          </cell>
          <cell r="G716" t="str">
            <v>NO</v>
          </cell>
          <cell r="H716" t="str">
            <v>YES</v>
          </cell>
          <cell r="I716" t="str">
            <v>YES</v>
          </cell>
          <cell r="J716" t="str">
            <v>Yes</v>
          </cell>
        </row>
        <row r="717">
          <cell r="B717">
            <v>960610</v>
          </cell>
          <cell r="C717" t="str">
            <v>Press-fasteners, snap-fasteners, press-studs and parts therefor</v>
          </cell>
          <cell r="D717" t="str">
            <v>Capital Goods</v>
          </cell>
          <cell r="E717" t="str">
            <v>NO</v>
          </cell>
          <cell r="F717" t="str">
            <v>NO</v>
          </cell>
          <cell r="G717" t="str">
            <v>NO</v>
          </cell>
          <cell r="H717" t="str">
            <v>YES</v>
          </cell>
          <cell r="I717" t="str">
            <v>NO</v>
          </cell>
          <cell r="J717" t="str">
            <v>Yes</v>
          </cell>
        </row>
        <row r="718">
          <cell r="B718">
            <v>321511</v>
          </cell>
          <cell r="C718" t="str">
            <v>Ink; for printing, black, whether or not concentrated or solid</v>
          </cell>
          <cell r="D718" t="str">
            <v>Consumables - rc</v>
          </cell>
          <cell r="E718" t="str">
            <v>NO</v>
          </cell>
          <cell r="F718" t="str">
            <v>NO</v>
          </cell>
          <cell r="G718" t="str">
            <v>NO</v>
          </cell>
          <cell r="H718" t="str">
            <v>YES</v>
          </cell>
          <cell r="I718" t="str">
            <v>YES</v>
          </cell>
          <cell r="J718" t="str">
            <v>Yes</v>
          </cell>
        </row>
        <row r="719">
          <cell r="B719">
            <v>392590</v>
          </cell>
          <cell r="C719" t="str">
            <v>Plastics; builders' ware, n.e.c. or included in heading no. 3925</v>
          </cell>
          <cell r="D719" t="str">
            <v>Others</v>
          </cell>
          <cell r="E719" t="str">
            <v>NO</v>
          </cell>
          <cell r="F719" t="str">
            <v>NO</v>
          </cell>
          <cell r="G719" t="str">
            <v>NO</v>
          </cell>
          <cell r="H719" t="str">
            <v>YES</v>
          </cell>
          <cell r="I719" t="str">
            <v>YES</v>
          </cell>
          <cell r="J719" t="str">
            <v>Yes</v>
          </cell>
        </row>
        <row r="720">
          <cell r="B720">
            <v>401031</v>
          </cell>
          <cell r="C720" t="str">
            <v>Rubber; vulcanised, endless transmission belts of trapezoidal cross-section (V-belts), V-ribbed, of an outside circumference exceeding 60cm but not exceeding 180 cm</v>
          </cell>
          <cell r="D720" t="str">
            <v>Consumables</v>
          </cell>
          <cell r="E720" t="str">
            <v>NO</v>
          </cell>
          <cell r="F720" t="str">
            <v>NO</v>
          </cell>
          <cell r="G720" t="str">
            <v>NO</v>
          </cell>
          <cell r="H720" t="str">
            <v>YES</v>
          </cell>
          <cell r="I720" t="str">
            <v>YES</v>
          </cell>
          <cell r="J720" t="str">
            <v>Yes</v>
          </cell>
        </row>
        <row r="721">
          <cell r="B721">
            <v>480262</v>
          </cell>
          <cell r="C721" t="str">
            <v>Uncoated paper and paperboard (not 4801 or 4803); over 10% by weight of mechanical or chemi-mechanical processed fibre, in sheets 435mm or less by 297mm or less (unfolded)</v>
          </cell>
          <cell r="D721" t="str">
            <v>Consumables - rc</v>
          </cell>
          <cell r="E721" t="str">
            <v>NO</v>
          </cell>
          <cell r="F721" t="str">
            <v>NO</v>
          </cell>
          <cell r="G721" t="str">
            <v>NO</v>
          </cell>
          <cell r="H721" t="str">
            <v>YES</v>
          </cell>
          <cell r="I721" t="str">
            <v>YES</v>
          </cell>
          <cell r="J721" t="str">
            <v>Yes</v>
          </cell>
        </row>
        <row r="722">
          <cell r="B722">
            <v>701790</v>
          </cell>
          <cell r="C722" t="str">
            <v>Glassware; laboratory, hygienic or pharmaceutical, whether or not graduated or calibrated, of glass n.e.c. in heading no. 7017</v>
          </cell>
          <cell r="D722" t="str">
            <v>Consumables</v>
          </cell>
          <cell r="E722" t="str">
            <v>NO</v>
          </cell>
          <cell r="F722" t="str">
            <v>NO</v>
          </cell>
          <cell r="G722" t="str">
            <v>NO</v>
          </cell>
          <cell r="H722" t="str">
            <v>YES</v>
          </cell>
          <cell r="I722" t="str">
            <v>YES</v>
          </cell>
          <cell r="J722" t="str">
            <v>Yes</v>
          </cell>
        </row>
        <row r="723">
          <cell r="B723">
            <v>740729</v>
          </cell>
          <cell r="C723" t="str">
            <v>Copper; bars, rods and profiles, of copper alloys (other than copper-zinc base alloys)</v>
          </cell>
          <cell r="D723" t="str">
            <v>Consumables - rc</v>
          </cell>
          <cell r="E723" t="str">
            <v>NO</v>
          </cell>
          <cell r="F723" t="str">
            <v>NO</v>
          </cell>
          <cell r="G723" t="str">
            <v>NO</v>
          </cell>
          <cell r="H723" t="str">
            <v>YES</v>
          </cell>
          <cell r="I723" t="str">
            <v>NO</v>
          </cell>
          <cell r="J723" t="str">
            <v>Yes</v>
          </cell>
        </row>
        <row r="724">
          <cell r="B724">
            <v>840510</v>
          </cell>
          <cell r="C724" t="str">
            <v>Generators; producer gas, water gas, acetylene gas and similar water process gas generators, with or without their purifiers</v>
          </cell>
          <cell r="D724" t="str">
            <v>Capital Goods</v>
          </cell>
          <cell r="E724" t="str">
            <v>NO</v>
          </cell>
          <cell r="F724" t="str">
            <v>NO</v>
          </cell>
          <cell r="G724" t="str">
            <v>NO</v>
          </cell>
          <cell r="H724" t="str">
            <v>YES</v>
          </cell>
          <cell r="I724" t="str">
            <v>NO</v>
          </cell>
          <cell r="J724" t="str">
            <v>Yes</v>
          </cell>
        </row>
        <row r="725">
          <cell r="B725">
            <v>841790</v>
          </cell>
          <cell r="C725" t="str">
            <v>Furnaces and ovens; parts of non-electric furnaces and ovens (including incinerators), of industrial or laboratory use</v>
          </cell>
          <cell r="D725" t="str">
            <v>Parts &amp; Accessories</v>
          </cell>
          <cell r="E725" t="str">
            <v>NO</v>
          </cell>
          <cell r="F725" t="str">
            <v>NO</v>
          </cell>
          <cell r="G725" t="str">
            <v>NO</v>
          </cell>
          <cell r="H725" t="str">
            <v>YES</v>
          </cell>
          <cell r="I725" t="str">
            <v>NO</v>
          </cell>
          <cell r="J725" t="str">
            <v>Yes</v>
          </cell>
        </row>
        <row r="726">
          <cell r="B726">
            <v>842382</v>
          </cell>
          <cell r="C726" t="str">
            <v>Weighing machines; other than personal, conveyor or constant weight scales, having a maximum weighing capacity exceeding 30kg but not exceeding 5000kg</v>
          </cell>
          <cell r="D726" t="str">
            <v>Capital Goods</v>
          </cell>
          <cell r="E726" t="str">
            <v>NO</v>
          </cell>
          <cell r="F726" t="str">
            <v>NO</v>
          </cell>
          <cell r="G726" t="str">
            <v>NO</v>
          </cell>
          <cell r="H726" t="str">
            <v>YES</v>
          </cell>
          <cell r="I726" t="str">
            <v>YES</v>
          </cell>
          <cell r="J726" t="str">
            <v>Yes</v>
          </cell>
        </row>
        <row r="727">
          <cell r="B727">
            <v>846596</v>
          </cell>
          <cell r="C727" t="str">
            <v>Machine-tools; for working wood, cork, bone, hard rubber, hard plastics or similar hard materials; splitting, slicing or paring machines</v>
          </cell>
          <cell r="D727" t="str">
            <v>Capital Goods</v>
          </cell>
          <cell r="E727" t="str">
            <v>NO</v>
          </cell>
          <cell r="F727" t="str">
            <v>NO</v>
          </cell>
          <cell r="G727" t="str">
            <v>NO</v>
          </cell>
          <cell r="H727" t="str">
            <v>YES</v>
          </cell>
          <cell r="I727" t="str">
            <v>NO</v>
          </cell>
          <cell r="J727" t="str">
            <v>Yes</v>
          </cell>
        </row>
        <row r="728">
          <cell r="B728">
            <v>851419</v>
          </cell>
          <cell r="C728" t="str">
            <v>Furnaces and ovens; electric, for industrial or laboratory use, resistance heated; other than hot isostatic presses, for the manufacture of semiconductor devices on semiconductor wafers</v>
          </cell>
          <cell r="D728" t="str">
            <v>Capital Goods</v>
          </cell>
          <cell r="E728" t="str">
            <v>NO</v>
          </cell>
          <cell r="F728" t="str">
            <v>NO</v>
          </cell>
          <cell r="G728" t="str">
            <v>NO</v>
          </cell>
          <cell r="H728" t="str">
            <v>YES</v>
          </cell>
          <cell r="I728" t="str">
            <v>YES</v>
          </cell>
          <cell r="J728" t="str">
            <v>Yes</v>
          </cell>
        </row>
        <row r="729">
          <cell r="B729">
            <v>851521</v>
          </cell>
          <cell r="C729" t="str">
            <v>Welding machines and apparatus; for resistance welding of metal, fully or partly automatic, whether or not capable of cutting</v>
          </cell>
          <cell r="D729" t="str">
            <v>Capital Goods</v>
          </cell>
          <cell r="E729" t="str">
            <v>NO</v>
          </cell>
          <cell r="F729" t="str">
            <v>NO</v>
          </cell>
          <cell r="G729" t="str">
            <v>NO</v>
          </cell>
          <cell r="H729" t="str">
            <v>YES</v>
          </cell>
          <cell r="I729" t="str">
            <v>YES</v>
          </cell>
          <cell r="J729" t="str">
            <v>Yes</v>
          </cell>
        </row>
        <row r="730">
          <cell r="B730">
            <v>851539</v>
          </cell>
          <cell r="C730" t="str">
            <v>Welding machines and apparatus; for arc (including plasma arc) welding of metals, other than fully or partly automatic, whether or not capable of cutting</v>
          </cell>
          <cell r="D730" t="str">
            <v>Capital Goods</v>
          </cell>
          <cell r="E730" t="str">
            <v>NO</v>
          </cell>
          <cell r="F730" t="str">
            <v>NO</v>
          </cell>
          <cell r="G730" t="str">
            <v>NO</v>
          </cell>
          <cell r="H730" t="str">
            <v>YES</v>
          </cell>
          <cell r="I730" t="str">
            <v>NO</v>
          </cell>
          <cell r="J730" t="str">
            <v>Yes</v>
          </cell>
        </row>
        <row r="731">
          <cell r="B731">
            <v>851580</v>
          </cell>
          <cell r="C731" t="str">
            <v>Welding machines and apparatus; n.e.c. in heading no. 8515, whether or not capable of cutting</v>
          </cell>
          <cell r="D731" t="str">
            <v>Capital Goods</v>
          </cell>
          <cell r="E731" t="str">
            <v>NO</v>
          </cell>
          <cell r="F731" t="str">
            <v>NO</v>
          </cell>
          <cell r="G731" t="str">
            <v>NO</v>
          </cell>
          <cell r="H731" t="str">
            <v>YES</v>
          </cell>
          <cell r="I731" t="str">
            <v>YES</v>
          </cell>
          <cell r="J731" t="str">
            <v>Yes</v>
          </cell>
        </row>
        <row r="732">
          <cell r="B732">
            <v>853990</v>
          </cell>
          <cell r="C732" t="str">
            <v>Lamps; parts of the lamps of heading no. 8539</v>
          </cell>
          <cell r="D732" t="str">
            <v>Parts &amp; Accessories - rc</v>
          </cell>
          <cell r="E732" t="str">
            <v>NO</v>
          </cell>
          <cell r="F732" t="str">
            <v>NO</v>
          </cell>
          <cell r="G732" t="str">
            <v>NO</v>
          </cell>
          <cell r="H732" t="str">
            <v>YES</v>
          </cell>
          <cell r="I732" t="str">
            <v>YES</v>
          </cell>
          <cell r="J732" t="str">
            <v>Yes</v>
          </cell>
        </row>
        <row r="733">
          <cell r="B733">
            <v>854520</v>
          </cell>
          <cell r="C733" t="str">
            <v>Carbon brushes; with or without metal, used for electrical purposes</v>
          </cell>
          <cell r="D733" t="str">
            <v>Parts &amp; Accessories</v>
          </cell>
          <cell r="E733" t="str">
            <v>NO</v>
          </cell>
          <cell r="F733" t="str">
            <v>NO</v>
          </cell>
          <cell r="G733" t="str">
            <v>NO</v>
          </cell>
          <cell r="H733" t="str">
            <v>YES</v>
          </cell>
          <cell r="I733" t="str">
            <v>NO</v>
          </cell>
          <cell r="J733" t="str">
            <v>Yes</v>
          </cell>
        </row>
        <row r="734">
          <cell r="B734">
            <v>901480</v>
          </cell>
          <cell r="C734" t="str">
            <v>Navigational instruments and appliances; for navigation other than aeronautical or space navigation (excluding direction finding compasses)</v>
          </cell>
          <cell r="D734" t="str">
            <v>Capital Goods</v>
          </cell>
          <cell r="E734" t="str">
            <v>NO</v>
          </cell>
          <cell r="F734" t="str">
            <v>NO</v>
          </cell>
          <cell r="G734" t="str">
            <v>NO</v>
          </cell>
          <cell r="H734" t="str">
            <v>YES</v>
          </cell>
          <cell r="I734" t="str">
            <v>NO</v>
          </cell>
          <cell r="J734" t="str">
            <v>Yes</v>
          </cell>
        </row>
        <row r="735">
          <cell r="B735">
            <v>901490</v>
          </cell>
          <cell r="C735" t="str">
            <v>Navigational instruments and appliances; parts and accessories</v>
          </cell>
          <cell r="D735" t="str">
            <v>Parts &amp; Accessories - rc</v>
          </cell>
          <cell r="E735" t="str">
            <v>NO</v>
          </cell>
          <cell r="F735" t="str">
            <v>NO</v>
          </cell>
          <cell r="G735" t="str">
            <v>NO</v>
          </cell>
          <cell r="H735" t="str">
            <v>YES</v>
          </cell>
          <cell r="I735" t="str">
            <v>NO</v>
          </cell>
          <cell r="J735" t="str">
            <v>Yes</v>
          </cell>
        </row>
        <row r="736">
          <cell r="B736">
            <v>902410</v>
          </cell>
          <cell r="C736" t="str">
            <v>Machines and appliances; for testing the hardness, strength, compressibility, elasticity or other mechanical properties of metals</v>
          </cell>
          <cell r="D736" t="str">
            <v>Capital Goods</v>
          </cell>
          <cell r="E736" t="str">
            <v>NO</v>
          </cell>
          <cell r="F736" t="str">
            <v>NO</v>
          </cell>
          <cell r="G736" t="str">
            <v>NO</v>
          </cell>
          <cell r="H736" t="str">
            <v>YES</v>
          </cell>
          <cell r="I736" t="str">
            <v>YES</v>
          </cell>
          <cell r="J736" t="str">
            <v>Yes</v>
          </cell>
        </row>
        <row r="737">
          <cell r="B737">
            <v>903010</v>
          </cell>
          <cell r="C737" t="str">
            <v>Instruments and apparatus; for measuring or detecting ionising radiations</v>
          </cell>
          <cell r="D737" t="str">
            <v>Capital Goods</v>
          </cell>
          <cell r="E737" t="str">
            <v>NO</v>
          </cell>
          <cell r="F737" t="str">
            <v>NO</v>
          </cell>
          <cell r="G737" t="str">
            <v>NO</v>
          </cell>
          <cell r="H737" t="str">
            <v>YES</v>
          </cell>
          <cell r="I737" t="str">
            <v>YES</v>
          </cell>
          <cell r="J737" t="str">
            <v>Yes</v>
          </cell>
        </row>
        <row r="738">
          <cell r="B738">
            <v>960720</v>
          </cell>
          <cell r="C738" t="str">
            <v>Slide fasteners; parts</v>
          </cell>
          <cell r="D738" t="str">
            <v>Parts &amp; Accessories</v>
          </cell>
          <cell r="E738" t="str">
            <v>NO</v>
          </cell>
          <cell r="F738" t="str">
            <v>NO</v>
          </cell>
          <cell r="G738" t="str">
            <v>NO</v>
          </cell>
          <cell r="H738" t="str">
            <v>YES</v>
          </cell>
          <cell r="I738" t="str">
            <v>NO</v>
          </cell>
          <cell r="J738" t="str">
            <v>Yes</v>
          </cell>
        </row>
        <row r="739">
          <cell r="B739">
            <v>960891</v>
          </cell>
          <cell r="C739" t="str">
            <v>Pens; nibs and nib points</v>
          </cell>
          <cell r="D739" t="str">
            <v>Consumables - rc</v>
          </cell>
          <cell r="E739" t="str">
            <v>NO</v>
          </cell>
          <cell r="F739" t="str">
            <v>NO</v>
          </cell>
          <cell r="G739" t="str">
            <v>NO</v>
          </cell>
          <cell r="H739" t="str">
            <v>YES</v>
          </cell>
          <cell r="I739" t="str">
            <v>NO</v>
          </cell>
          <cell r="J739" t="str">
            <v>Yes</v>
          </cell>
        </row>
        <row r="740">
          <cell r="B740">
            <v>960899</v>
          </cell>
          <cell r="C740" t="str">
            <v>Pens and pencils; duplicating stylos, pen-holders, pencil-holders, and similar holders, parts of the articles of heading 9608, including caps and clips</v>
          </cell>
          <cell r="D740" t="str">
            <v>Consumables - rc</v>
          </cell>
          <cell r="E740" t="str">
            <v>NO</v>
          </cell>
          <cell r="F740" t="str">
            <v>NO</v>
          </cell>
          <cell r="G740" t="str">
            <v>NO</v>
          </cell>
          <cell r="H740" t="str">
            <v>YES</v>
          </cell>
          <cell r="I740" t="str">
            <v>YES</v>
          </cell>
          <cell r="J740" t="str">
            <v>Yes</v>
          </cell>
        </row>
        <row r="741">
          <cell r="B741">
            <v>320419</v>
          </cell>
          <cell r="C741" t="str">
            <v>Dyes; n.e.c., including mixtures of colouring matter of two or more of those from item no. 3204.11 to 3204.19</v>
          </cell>
          <cell r="D741" t="str">
            <v>Consumables - rc</v>
          </cell>
          <cell r="E741" t="str">
            <v>NO</v>
          </cell>
          <cell r="F741" t="str">
            <v>NO</v>
          </cell>
          <cell r="G741" t="str">
            <v>NO</v>
          </cell>
          <cell r="H741" t="str">
            <v>NO</v>
          </cell>
          <cell r="I741" t="str">
            <v>YES</v>
          </cell>
          <cell r="J741" t="str">
            <v>Yes</v>
          </cell>
        </row>
        <row r="742">
          <cell r="B742">
            <v>340391</v>
          </cell>
          <cell r="C742" t="str">
            <v>Lubricating preparations; for the treatment of textile and similar materials (leather, furskins etc), (not containing petroleum oils or oils obtained from bituminous minerals)</v>
          </cell>
          <cell r="D742" t="str">
            <v>Consumables - rc</v>
          </cell>
          <cell r="E742" t="str">
            <v>NO</v>
          </cell>
          <cell r="F742" t="str">
            <v>NO</v>
          </cell>
          <cell r="G742" t="str">
            <v>NO</v>
          </cell>
          <cell r="H742" t="str">
            <v>NO</v>
          </cell>
          <cell r="I742" t="str">
            <v>YES</v>
          </cell>
          <cell r="J742" t="str">
            <v>Yes</v>
          </cell>
        </row>
        <row r="743">
          <cell r="B743">
            <v>370310</v>
          </cell>
          <cell r="C743" t="str">
            <v>Photographic paper, paperboard and textiles; in rolls, sensitised, unexposed, of a width exceeding 610mm</v>
          </cell>
          <cell r="D743" t="str">
            <v>Consumables - rc</v>
          </cell>
          <cell r="E743" t="str">
            <v>NO</v>
          </cell>
          <cell r="F743" t="str">
            <v>NO</v>
          </cell>
          <cell r="G743" t="str">
            <v>NO</v>
          </cell>
          <cell r="H743" t="str">
            <v>NO</v>
          </cell>
          <cell r="I743" t="str">
            <v>YES</v>
          </cell>
          <cell r="J743" t="str">
            <v>Yes</v>
          </cell>
        </row>
        <row r="744">
          <cell r="B744">
            <v>392071</v>
          </cell>
          <cell r="C744" t="str">
            <v>Plastics; plates, sheets, film, foil and strip (not self-adhesive), of regenerated cellulose; non-cellular and not reinforced, laminated, supported or similarly combined with other materials</v>
          </cell>
          <cell r="D744" t="str">
            <v>Consumables - rc</v>
          </cell>
          <cell r="E744" t="str">
            <v>NO</v>
          </cell>
          <cell r="F744" t="str">
            <v>NO</v>
          </cell>
          <cell r="G744" t="str">
            <v>NO</v>
          </cell>
          <cell r="H744" t="str">
            <v>NO</v>
          </cell>
          <cell r="I744" t="str">
            <v>YES</v>
          </cell>
          <cell r="J744" t="str">
            <v>Yes</v>
          </cell>
        </row>
        <row r="745">
          <cell r="B745">
            <v>401011</v>
          </cell>
          <cell r="C745" t="str">
            <v>Rubber; vulcanised, conveyor belts or belting, reinforced only with metal</v>
          </cell>
          <cell r="D745" t="str">
            <v>Parts &amp; Accessories</v>
          </cell>
          <cell r="E745" t="str">
            <v>NO</v>
          </cell>
          <cell r="F745" t="str">
            <v>NO</v>
          </cell>
          <cell r="G745" t="str">
            <v>NO</v>
          </cell>
          <cell r="H745" t="str">
            <v>NO</v>
          </cell>
          <cell r="I745" t="str">
            <v>YES</v>
          </cell>
          <cell r="J745" t="str">
            <v>Yes</v>
          </cell>
        </row>
        <row r="746">
          <cell r="B746">
            <v>401012</v>
          </cell>
          <cell r="C746" t="str">
            <v>Rubber; vulcanised, conveyor belts or belting, reinforced only with textile materials</v>
          </cell>
          <cell r="D746" t="str">
            <v>Consumables</v>
          </cell>
          <cell r="E746" t="str">
            <v>NO</v>
          </cell>
          <cell r="F746" t="str">
            <v>NO</v>
          </cell>
          <cell r="G746" t="str">
            <v>NO</v>
          </cell>
          <cell r="H746" t="str">
            <v>NO</v>
          </cell>
          <cell r="I746" t="str">
            <v>YES</v>
          </cell>
          <cell r="J746" t="str">
            <v>Yes</v>
          </cell>
        </row>
        <row r="747">
          <cell r="B747">
            <v>480810</v>
          </cell>
          <cell r="C747" t="str">
            <v>Paper and paperboard; corrugated, whether or not perforated, in rolls or sheets, other than paper of heading 4803</v>
          </cell>
          <cell r="D747" t="str">
            <v>Consumables - rc</v>
          </cell>
          <cell r="E747" t="str">
            <v>NO</v>
          </cell>
          <cell r="F747" t="str">
            <v>NO</v>
          </cell>
          <cell r="G747" t="str">
            <v>NO</v>
          </cell>
          <cell r="H747" t="str">
            <v>NO</v>
          </cell>
          <cell r="I747" t="str">
            <v>YES</v>
          </cell>
          <cell r="J747" t="str">
            <v>Yes</v>
          </cell>
        </row>
        <row r="748">
          <cell r="B748">
            <v>710692</v>
          </cell>
          <cell r="C748" t="str">
            <v>Metals; silver, semi-manufactured</v>
          </cell>
          <cell r="D748" t="str">
            <v>Consumables - rc</v>
          </cell>
          <cell r="E748" t="str">
            <v>NO</v>
          </cell>
          <cell r="F748" t="str">
            <v>NO</v>
          </cell>
          <cell r="G748" t="str">
            <v>NO</v>
          </cell>
          <cell r="H748" t="str">
            <v>NO</v>
          </cell>
          <cell r="I748" t="str">
            <v>YES</v>
          </cell>
          <cell r="J748" t="str">
            <v>Yes</v>
          </cell>
        </row>
        <row r="749">
          <cell r="B749">
            <v>720917</v>
          </cell>
          <cell r="C749" t="str">
            <v>Iron or non-alloy steel; in coils, flat-rolled, width 600mm or more, cold-rolled, of a thickness of 0.5mm or more but not exceeding 1mm</v>
          </cell>
          <cell r="D749" t="str">
            <v>Consumables - rc</v>
          </cell>
          <cell r="E749" t="str">
            <v>NO</v>
          </cell>
          <cell r="F749" t="str">
            <v>NO</v>
          </cell>
          <cell r="G749" t="str">
            <v>NO</v>
          </cell>
          <cell r="H749" t="str">
            <v>NO</v>
          </cell>
          <cell r="I749" t="str">
            <v>YES</v>
          </cell>
          <cell r="J749" t="str">
            <v>Yes</v>
          </cell>
        </row>
        <row r="750">
          <cell r="B750">
            <v>721049</v>
          </cell>
          <cell r="C750" t="str">
            <v>Iron or non-alloy steel; flat-rolled, width 600mm or more, (not corrugated), plated or coated with zinc (not electrolytically)</v>
          </cell>
          <cell r="D750" t="str">
            <v>Consumables - rc</v>
          </cell>
          <cell r="E750" t="str">
            <v>NO</v>
          </cell>
          <cell r="F750" t="str">
            <v>NO</v>
          </cell>
          <cell r="G750" t="str">
            <v>NO</v>
          </cell>
          <cell r="H750" t="str">
            <v>NO</v>
          </cell>
          <cell r="I750" t="str">
            <v>YES</v>
          </cell>
          <cell r="J750" t="str">
            <v>Yes</v>
          </cell>
        </row>
        <row r="751">
          <cell r="B751">
            <v>721061</v>
          </cell>
          <cell r="C751" t="str">
            <v>Iron or non-alloy steel; flat-rolled, width 600mm or more, plated or coated with aluminium zinc-alloys</v>
          </cell>
          <cell r="D751" t="str">
            <v>Consumables - rc</v>
          </cell>
          <cell r="E751" t="str">
            <v>NO</v>
          </cell>
          <cell r="F751" t="str">
            <v>NO</v>
          </cell>
          <cell r="G751" t="str">
            <v>NO</v>
          </cell>
          <cell r="H751" t="str">
            <v>NO</v>
          </cell>
          <cell r="I751" t="str">
            <v>YES</v>
          </cell>
          <cell r="J751" t="str">
            <v>Yes</v>
          </cell>
        </row>
        <row r="752">
          <cell r="B752">
            <v>721090</v>
          </cell>
          <cell r="C752" t="str">
            <v>Iron or non-alloy steel; flat-rolled, width 600mm or more, plated or coated with materials n.e.c. in heading no. 7210</v>
          </cell>
          <cell r="D752" t="str">
            <v>Consumables - rc</v>
          </cell>
          <cell r="E752" t="str">
            <v>NO</v>
          </cell>
          <cell r="F752" t="str">
            <v>NO</v>
          </cell>
          <cell r="G752" t="str">
            <v>NO</v>
          </cell>
          <cell r="H752" t="str">
            <v>NO</v>
          </cell>
          <cell r="I752" t="str">
            <v>YES</v>
          </cell>
          <cell r="J752" t="str">
            <v>Yes</v>
          </cell>
        </row>
        <row r="753">
          <cell r="B753">
            <v>721911</v>
          </cell>
          <cell r="C753" t="str">
            <v>Steel, stainless; flat-rolled, width 600mm or more, hot-rolled, in coils, of a thickness exceeding 10mm</v>
          </cell>
          <cell r="D753" t="str">
            <v>Consumables - rc</v>
          </cell>
          <cell r="E753" t="str">
            <v>NO</v>
          </cell>
          <cell r="F753" t="str">
            <v>NO</v>
          </cell>
          <cell r="G753" t="str">
            <v>NO</v>
          </cell>
          <cell r="H753" t="str">
            <v>NO</v>
          </cell>
          <cell r="I753" t="str">
            <v>YES</v>
          </cell>
          <cell r="J753" t="str">
            <v>Yes</v>
          </cell>
        </row>
        <row r="754">
          <cell r="B754">
            <v>722090</v>
          </cell>
          <cell r="C754" t="str">
            <v>Steel, stainless; flat-rolled, width less than 600mm, n.e.c. in heading no 7220</v>
          </cell>
          <cell r="D754" t="str">
            <v>Consumables - rc</v>
          </cell>
          <cell r="E754" t="str">
            <v>NO</v>
          </cell>
          <cell r="F754" t="str">
            <v>NO</v>
          </cell>
          <cell r="G754" t="str">
            <v>NO</v>
          </cell>
          <cell r="H754" t="str">
            <v>NO</v>
          </cell>
          <cell r="I754" t="str">
            <v>YES</v>
          </cell>
          <cell r="J754" t="str">
            <v>Yes</v>
          </cell>
        </row>
        <row r="755">
          <cell r="B755">
            <v>722990</v>
          </cell>
          <cell r="C755" t="str">
            <v>Steel, alloy; wire, of materials other than silico-manganese steel</v>
          </cell>
          <cell r="D755" t="str">
            <v>Consumables - rc</v>
          </cell>
          <cell r="E755" t="str">
            <v>NO</v>
          </cell>
          <cell r="F755" t="str">
            <v>NO</v>
          </cell>
          <cell r="G755" t="str">
            <v>NO</v>
          </cell>
          <cell r="H755" t="str">
            <v>NO</v>
          </cell>
          <cell r="I755" t="str">
            <v>YES</v>
          </cell>
          <cell r="J755" t="str">
            <v>Yes</v>
          </cell>
        </row>
        <row r="756">
          <cell r="B756">
            <v>730792</v>
          </cell>
          <cell r="C756" t="str">
            <v>Iron or steel; tube or pipe fittings, threaded elbows, bends and sleeves, other than stainless steel</v>
          </cell>
          <cell r="D756" t="str">
            <v>Parts &amp; Accessories</v>
          </cell>
          <cell r="E756" t="str">
            <v>NO</v>
          </cell>
          <cell r="F756" t="str">
            <v>NO</v>
          </cell>
          <cell r="G756" t="str">
            <v>NO</v>
          </cell>
          <cell r="H756" t="str">
            <v>NO</v>
          </cell>
          <cell r="I756" t="str">
            <v>YES</v>
          </cell>
          <cell r="J756" t="str">
            <v>Yes</v>
          </cell>
        </row>
        <row r="757">
          <cell r="B757">
            <v>731589</v>
          </cell>
          <cell r="C757" t="str">
            <v>Chain; n.e.c. in heading no. 7315, of iron or steel</v>
          </cell>
          <cell r="D757" t="str">
            <v>Parts &amp; Accessories</v>
          </cell>
          <cell r="E757" t="str">
            <v>NO</v>
          </cell>
          <cell r="F757" t="str">
            <v>NO</v>
          </cell>
          <cell r="G757" t="str">
            <v>NO</v>
          </cell>
          <cell r="H757" t="str">
            <v>NO</v>
          </cell>
          <cell r="I757" t="str">
            <v>YES</v>
          </cell>
          <cell r="J757" t="str">
            <v>Yes</v>
          </cell>
        </row>
        <row r="758">
          <cell r="B758">
            <v>731600</v>
          </cell>
          <cell r="C758" t="str">
            <v>Iron or steel; anchors, grapnels and parts thereof</v>
          </cell>
          <cell r="D758" t="str">
            <v>Parts &amp; Accessories</v>
          </cell>
          <cell r="E758" t="str">
            <v>NO</v>
          </cell>
          <cell r="F758" t="str">
            <v>NO</v>
          </cell>
          <cell r="G758" t="str">
            <v>NO</v>
          </cell>
          <cell r="H758" t="str">
            <v>NO</v>
          </cell>
          <cell r="I758" t="str">
            <v>YES</v>
          </cell>
          <cell r="J758" t="str">
            <v>Yes</v>
          </cell>
        </row>
        <row r="759">
          <cell r="B759">
            <v>732190</v>
          </cell>
          <cell r="C759" t="str">
            <v>Domestic appliances; non-electric, parts thereof, of iron or steel</v>
          </cell>
          <cell r="D759" t="str">
            <v>Capital Goods - rc</v>
          </cell>
          <cell r="E759" t="str">
            <v>NO</v>
          </cell>
          <cell r="F759" t="str">
            <v>NO</v>
          </cell>
          <cell r="G759" t="str">
            <v>NO</v>
          </cell>
          <cell r="H759" t="str">
            <v>NO</v>
          </cell>
          <cell r="I759" t="str">
            <v>YES</v>
          </cell>
          <cell r="J759" t="str">
            <v>Yes</v>
          </cell>
        </row>
        <row r="760">
          <cell r="B760">
            <v>741999</v>
          </cell>
          <cell r="C760" t="str">
            <v>OTHER ARTICLES OF COPPER</v>
          </cell>
          <cell r="D760" t="str">
            <v>Others</v>
          </cell>
          <cell r="E760" t="str">
            <v>NO</v>
          </cell>
          <cell r="F760" t="str">
            <v>NO</v>
          </cell>
          <cell r="G760" t="str">
            <v>NO</v>
          </cell>
          <cell r="H760" t="str">
            <v>NO</v>
          </cell>
          <cell r="I760" t="str">
            <v>YES</v>
          </cell>
          <cell r="J760" t="str">
            <v>Yes</v>
          </cell>
        </row>
        <row r="761">
          <cell r="B761">
            <v>760692</v>
          </cell>
          <cell r="C761" t="str">
            <v>Aluminium; plates, sheets and strip, thickness exceeding 0.2mm, alloys, (not rectangular or square)</v>
          </cell>
          <cell r="D761" t="str">
            <v>Consumables - rc</v>
          </cell>
          <cell r="E761" t="str">
            <v>NO</v>
          </cell>
          <cell r="F761" t="str">
            <v>NO</v>
          </cell>
          <cell r="G761" t="str">
            <v>NO</v>
          </cell>
          <cell r="H761" t="str">
            <v>NO</v>
          </cell>
          <cell r="I761" t="str">
            <v>YES</v>
          </cell>
          <cell r="J761" t="str">
            <v>Yes</v>
          </cell>
        </row>
        <row r="762">
          <cell r="B762">
            <v>830150</v>
          </cell>
          <cell r="C762" t="str">
            <v>Clasps and frames with clasps; incorporating locks, of base metal</v>
          </cell>
          <cell r="D762" t="str">
            <v>Capital Goods - rc</v>
          </cell>
          <cell r="E762" t="str">
            <v>NO</v>
          </cell>
          <cell r="F762" t="str">
            <v>NO</v>
          </cell>
          <cell r="G762" t="str">
            <v>NO</v>
          </cell>
          <cell r="H762" t="str">
            <v>NO</v>
          </cell>
          <cell r="I762" t="str">
            <v>YES</v>
          </cell>
          <cell r="J762" t="str">
            <v>Yes</v>
          </cell>
        </row>
        <row r="763">
          <cell r="B763">
            <v>830260</v>
          </cell>
          <cell r="C763" t="str">
            <v>Automatic door closures; of base metal</v>
          </cell>
          <cell r="D763" t="str">
            <v>Capital Goods - rc</v>
          </cell>
          <cell r="E763" t="str">
            <v>NO</v>
          </cell>
          <cell r="F763" t="str">
            <v>NO</v>
          </cell>
          <cell r="G763" t="str">
            <v>NO</v>
          </cell>
          <cell r="H763" t="str">
            <v>NO</v>
          </cell>
          <cell r="I763" t="str">
            <v>YES</v>
          </cell>
          <cell r="J763" t="str">
            <v>Yes</v>
          </cell>
        </row>
        <row r="764">
          <cell r="B764">
            <v>840790</v>
          </cell>
          <cell r="C764" t="str">
            <v>Engines; rotary internal combustion piston engines, for other than aircraft or marine propulsion</v>
          </cell>
          <cell r="D764" t="str">
            <v>Parts &amp; Accessories - rc</v>
          </cell>
          <cell r="E764" t="str">
            <v>NO</v>
          </cell>
          <cell r="F764" t="str">
            <v>NO</v>
          </cell>
          <cell r="G764" t="str">
            <v>NO</v>
          </cell>
          <cell r="H764" t="str">
            <v>NO</v>
          </cell>
          <cell r="I764" t="str">
            <v>YES</v>
          </cell>
          <cell r="J764" t="str">
            <v>Yes</v>
          </cell>
        </row>
        <row r="765">
          <cell r="B765">
            <v>840999</v>
          </cell>
          <cell r="C765" t="str">
            <v>Engines; parts for internal combustion piston engines (excluding spark-ignition)</v>
          </cell>
          <cell r="D765" t="str">
            <v>Parts &amp; Accessories - rc</v>
          </cell>
          <cell r="E765" t="str">
            <v>NO</v>
          </cell>
          <cell r="F765" t="str">
            <v>NO</v>
          </cell>
          <cell r="G765" t="str">
            <v>NO</v>
          </cell>
          <cell r="H765" t="str">
            <v>NO</v>
          </cell>
          <cell r="I765" t="str">
            <v>YES</v>
          </cell>
          <cell r="J765" t="str">
            <v>Yes</v>
          </cell>
        </row>
        <row r="766">
          <cell r="B766">
            <v>841280</v>
          </cell>
          <cell r="C766" t="str">
            <v>Engines; pneumatic power engines and motors, n.e.c. in heading no. 8412</v>
          </cell>
          <cell r="D766" t="str">
            <v>Capital Goods</v>
          </cell>
          <cell r="E766" t="str">
            <v>NO</v>
          </cell>
          <cell r="F766" t="str">
            <v>NO</v>
          </cell>
          <cell r="G766" t="str">
            <v>NO</v>
          </cell>
          <cell r="H766" t="str">
            <v>NO</v>
          </cell>
          <cell r="I766" t="str">
            <v>YES</v>
          </cell>
          <cell r="J766" t="str">
            <v>Yes</v>
          </cell>
        </row>
        <row r="767">
          <cell r="B767">
            <v>842220</v>
          </cell>
          <cell r="C767" t="str">
            <v>Machinery; for cleaning or drying bottles or other containers</v>
          </cell>
          <cell r="D767" t="str">
            <v>Capital Goods</v>
          </cell>
          <cell r="E767" t="str">
            <v>NO</v>
          </cell>
          <cell r="F767" t="str">
            <v>NO</v>
          </cell>
          <cell r="G767" t="str">
            <v>NO</v>
          </cell>
          <cell r="H767" t="str">
            <v>NO</v>
          </cell>
          <cell r="I767" t="str">
            <v>YES</v>
          </cell>
          <cell r="J767" t="str">
            <v>Yes</v>
          </cell>
        </row>
        <row r="768">
          <cell r="B768">
            <v>843290</v>
          </cell>
          <cell r="C768" t="str">
            <v>Machinery; parts of machinery for soil preparation or cultivation or for rollers for lawns or sports-grounds</v>
          </cell>
          <cell r="D768" t="str">
            <v>Parts &amp; Accessories - rc</v>
          </cell>
          <cell r="E768" t="str">
            <v>NO</v>
          </cell>
          <cell r="F768" t="str">
            <v>NO</v>
          </cell>
          <cell r="G768" t="str">
            <v>NO</v>
          </cell>
          <cell r="H768" t="str">
            <v>NO</v>
          </cell>
          <cell r="I768" t="str">
            <v>YES</v>
          </cell>
          <cell r="J768" t="str">
            <v>Yes</v>
          </cell>
        </row>
        <row r="769">
          <cell r="B769">
            <v>843999</v>
          </cell>
          <cell r="C769" t="str">
            <v>Machinery; parts of machinery for making or finishing paper or paperboard</v>
          </cell>
          <cell r="D769" t="str">
            <v>Parts &amp; Accessories</v>
          </cell>
          <cell r="E769" t="str">
            <v>NO</v>
          </cell>
          <cell r="F769" t="str">
            <v>NO</v>
          </cell>
          <cell r="G769" t="str">
            <v>NO</v>
          </cell>
          <cell r="H769" t="str">
            <v>NO</v>
          </cell>
          <cell r="I769" t="str">
            <v>YES</v>
          </cell>
          <cell r="J769" t="str">
            <v>Yes</v>
          </cell>
        </row>
        <row r="770">
          <cell r="B770">
            <v>844859</v>
          </cell>
          <cell r="C770" t="str">
            <v>Machines; parts and accessories of machines or auxiliary machinery of heading no. 8447, other than sinkers, needles and other articles used in forming stitches</v>
          </cell>
          <cell r="D770" t="str">
            <v>Parts &amp; Accessories</v>
          </cell>
          <cell r="E770" t="str">
            <v>NO</v>
          </cell>
          <cell r="F770" t="str">
            <v>NO</v>
          </cell>
          <cell r="G770" t="str">
            <v>NO</v>
          </cell>
          <cell r="H770" t="str">
            <v>NO</v>
          </cell>
          <cell r="I770" t="str">
            <v>YES</v>
          </cell>
          <cell r="J770" t="str">
            <v>Yes</v>
          </cell>
        </row>
        <row r="771">
          <cell r="B771">
            <v>845229</v>
          </cell>
          <cell r="C771" t="str">
            <v>Sewing machines; not household or automatic unit type</v>
          </cell>
          <cell r="D771" t="str">
            <v>Capital Goods</v>
          </cell>
          <cell r="E771" t="str">
            <v>NO</v>
          </cell>
          <cell r="F771" t="str">
            <v>NO</v>
          </cell>
          <cell r="G771" t="str">
            <v>NO</v>
          </cell>
          <cell r="H771" t="str">
            <v>NO</v>
          </cell>
          <cell r="I771" t="str">
            <v>YES</v>
          </cell>
          <cell r="J771" t="str">
            <v>Yes</v>
          </cell>
        </row>
        <row r="772">
          <cell r="B772">
            <v>845970</v>
          </cell>
          <cell r="C772" t="str">
            <v>Machine-tools; for threading or tapping by removing metal</v>
          </cell>
          <cell r="D772" t="str">
            <v>Capital Goods</v>
          </cell>
          <cell r="E772" t="str">
            <v>NO</v>
          </cell>
          <cell r="F772" t="str">
            <v>NO</v>
          </cell>
          <cell r="G772" t="str">
            <v>NO</v>
          </cell>
          <cell r="H772" t="str">
            <v>NO</v>
          </cell>
          <cell r="I772" t="str">
            <v>YES</v>
          </cell>
          <cell r="J772" t="str">
            <v>Yes</v>
          </cell>
        </row>
        <row r="773">
          <cell r="B773">
            <v>846190</v>
          </cell>
          <cell r="C773" t="str">
            <v>Machine-tools; planing machines, and other machine-tools n.e.c. in heading no. 8461; working by removing metal, sinistered metal carbides or cerments.</v>
          </cell>
          <cell r="D773" t="str">
            <v>Capital Goods</v>
          </cell>
          <cell r="E773" t="str">
            <v>NO</v>
          </cell>
          <cell r="F773" t="str">
            <v>NO</v>
          </cell>
          <cell r="G773" t="str">
            <v>NO</v>
          </cell>
          <cell r="H773" t="str">
            <v>NO</v>
          </cell>
          <cell r="I773" t="str">
            <v>YES</v>
          </cell>
          <cell r="J773" t="str">
            <v>Yes</v>
          </cell>
        </row>
        <row r="774">
          <cell r="B774">
            <v>850153</v>
          </cell>
          <cell r="C774" t="str">
            <v>Electric motors; AC motors, multi-phase, of an output exceeding 75kW</v>
          </cell>
          <cell r="D774" t="str">
            <v>Capital Goods</v>
          </cell>
          <cell r="E774" t="str">
            <v>NO</v>
          </cell>
          <cell r="F774" t="str">
            <v>NO</v>
          </cell>
          <cell r="G774" t="str">
            <v>NO</v>
          </cell>
          <cell r="H774" t="str">
            <v>NO</v>
          </cell>
          <cell r="I774" t="str">
            <v>YES</v>
          </cell>
          <cell r="J774" t="str">
            <v>Yes</v>
          </cell>
        </row>
        <row r="775">
          <cell r="B775">
            <v>850161</v>
          </cell>
          <cell r="C775" t="str">
            <v>Generators; AC generators, (alternators), other than photovoltaic generators, of an output not exceeding 75kVA</v>
          </cell>
          <cell r="D775" t="str">
            <v>Capital Goods</v>
          </cell>
          <cell r="E775" t="str">
            <v>NO</v>
          </cell>
          <cell r="F775" t="str">
            <v>NO</v>
          </cell>
          <cell r="G775" t="str">
            <v>NO</v>
          </cell>
          <cell r="H775" t="str">
            <v>NO</v>
          </cell>
          <cell r="I775" t="str">
            <v>YES</v>
          </cell>
          <cell r="J775" t="str">
            <v>Yes</v>
          </cell>
        </row>
        <row r="776">
          <cell r="B776">
            <v>851711</v>
          </cell>
          <cell r="C776" t="str">
            <v>Line telephone sets with cordless handsets</v>
          </cell>
          <cell r="D776" t="str">
            <v>Capital Goods - rc</v>
          </cell>
          <cell r="E776" t="str">
            <v>NO</v>
          </cell>
          <cell r="F776" t="str">
            <v>NO</v>
          </cell>
          <cell r="G776" t="str">
            <v>NO</v>
          </cell>
          <cell r="H776" t="str">
            <v>NO</v>
          </cell>
          <cell r="I776" t="str">
            <v>YES</v>
          </cell>
          <cell r="J776" t="str">
            <v>Yes</v>
          </cell>
        </row>
        <row r="777">
          <cell r="B777">
            <v>851712</v>
          </cell>
          <cell r="C777" t="e">
            <v>#VALUE!</v>
          </cell>
          <cell r="D777" t="str">
            <v>Others</v>
          </cell>
          <cell r="E777" t="str">
            <v>NO</v>
          </cell>
          <cell r="F777" t="str">
            <v>NO</v>
          </cell>
          <cell r="G777" t="str">
            <v>NO</v>
          </cell>
          <cell r="H777" t="str">
            <v>NO</v>
          </cell>
          <cell r="I777" t="str">
            <v>YES</v>
          </cell>
          <cell r="J777" t="str">
            <v>Yes</v>
          </cell>
        </row>
        <row r="778">
          <cell r="B778">
            <v>851770</v>
          </cell>
          <cell r="C778" t="e">
            <v>#VALUE!</v>
          </cell>
          <cell r="D778" t="str">
            <v>Parts &amp; Accessories - rc</v>
          </cell>
          <cell r="E778" t="str">
            <v>NO</v>
          </cell>
          <cell r="F778" t="str">
            <v>NO</v>
          </cell>
          <cell r="G778" t="str">
            <v>NO</v>
          </cell>
          <cell r="H778" t="str">
            <v>NO</v>
          </cell>
          <cell r="I778" t="str">
            <v>YES</v>
          </cell>
          <cell r="J778" t="str">
            <v>Yes</v>
          </cell>
        </row>
        <row r="779">
          <cell r="B779">
            <v>852580</v>
          </cell>
          <cell r="C779" t="e">
            <v>#VALUE!</v>
          </cell>
          <cell r="D779" t="str">
            <v>Capital Goods - rc</v>
          </cell>
          <cell r="E779" t="str">
            <v>NO</v>
          </cell>
          <cell r="F779" t="str">
            <v>NO</v>
          </cell>
          <cell r="G779" t="str">
            <v>NO</v>
          </cell>
          <cell r="H779" t="str">
            <v>NO</v>
          </cell>
          <cell r="I779" t="str">
            <v>YES</v>
          </cell>
          <cell r="J779" t="str">
            <v>Yes</v>
          </cell>
        </row>
        <row r="780">
          <cell r="B780">
            <v>853329</v>
          </cell>
          <cell r="C780" t="str">
            <v>Electrical resistors; fixed, for a power handling capacity exceeding 20W (including rheostats and potentiometers but excluding heating resistors and carbon resistors)</v>
          </cell>
          <cell r="D780" t="str">
            <v>Parts &amp; Accessories</v>
          </cell>
          <cell r="E780" t="str">
            <v>NO</v>
          </cell>
          <cell r="F780" t="str">
            <v>NO</v>
          </cell>
          <cell r="G780" t="str">
            <v>NO</v>
          </cell>
          <cell r="H780" t="str">
            <v>NO</v>
          </cell>
          <cell r="I780" t="str">
            <v>YES</v>
          </cell>
          <cell r="J780" t="str">
            <v>Yes</v>
          </cell>
        </row>
        <row r="781">
          <cell r="B781">
            <v>853390</v>
          </cell>
          <cell r="C781" t="str">
            <v>Resistors; parts of the resistors of heading no. 8533</v>
          </cell>
          <cell r="D781" t="str">
            <v>Parts &amp; Accessories</v>
          </cell>
          <cell r="E781" t="str">
            <v>NO</v>
          </cell>
          <cell r="F781" t="str">
            <v>NO</v>
          </cell>
          <cell r="G781" t="str">
            <v>NO</v>
          </cell>
          <cell r="H781" t="str">
            <v>NO</v>
          </cell>
          <cell r="I781" t="str">
            <v>YES</v>
          </cell>
          <cell r="J781" t="str">
            <v>Yes</v>
          </cell>
        </row>
        <row r="782">
          <cell r="B782">
            <v>853939</v>
          </cell>
          <cell r="C782" t="str">
            <v>Lamps; discharge, (excluding ultra-violet, excluding fluorescent, hot cathode)</v>
          </cell>
          <cell r="D782" t="str">
            <v>Capital Goods - No data</v>
          </cell>
          <cell r="E782" t="str">
            <v>NO</v>
          </cell>
          <cell r="F782" t="str">
            <v>NO</v>
          </cell>
          <cell r="G782" t="str">
            <v>NO</v>
          </cell>
          <cell r="H782" t="str">
            <v>NO</v>
          </cell>
          <cell r="I782" t="str">
            <v>YES</v>
          </cell>
          <cell r="J782" t="str">
            <v>Yes</v>
          </cell>
        </row>
        <row r="783">
          <cell r="B783">
            <v>853950</v>
          </cell>
          <cell r="C783" t="e">
            <v>#VALUE!</v>
          </cell>
          <cell r="D783" t="str">
            <v>Capital Goods - rc</v>
          </cell>
          <cell r="E783" t="str">
            <v>NO</v>
          </cell>
          <cell r="F783" t="str">
            <v>NO</v>
          </cell>
          <cell r="G783" t="str">
            <v>NO</v>
          </cell>
          <cell r="H783" t="str">
            <v>NO</v>
          </cell>
          <cell r="I783" t="str">
            <v>YES</v>
          </cell>
          <cell r="J783" t="str">
            <v>Yes</v>
          </cell>
        </row>
        <row r="784">
          <cell r="B784">
            <v>854150</v>
          </cell>
          <cell r="C784" t="e">
            <v>#VALUE!</v>
          </cell>
          <cell r="D784" t="str">
            <v>Consumables</v>
          </cell>
          <cell r="E784" t="str">
            <v>NO</v>
          </cell>
          <cell r="F784" t="str">
            <v>NO</v>
          </cell>
          <cell r="G784" t="str">
            <v>NO</v>
          </cell>
          <cell r="H784" t="str">
            <v>NO</v>
          </cell>
          <cell r="I784" t="str">
            <v>YES</v>
          </cell>
          <cell r="J784" t="str">
            <v>Yes</v>
          </cell>
        </row>
        <row r="785">
          <cell r="B785">
            <v>854190</v>
          </cell>
          <cell r="C785" t="str">
            <v>Electrical apparatus; parts for diodes, transistors and similar semiconductor devices and photosensitive semiconductor devices</v>
          </cell>
          <cell r="D785" t="str">
            <v>Parts &amp; Accessories</v>
          </cell>
          <cell r="E785" t="str">
            <v>NO</v>
          </cell>
          <cell r="F785" t="str">
            <v>NO</v>
          </cell>
          <cell r="G785" t="str">
            <v>NO</v>
          </cell>
          <cell r="H785" t="str">
            <v>NO</v>
          </cell>
          <cell r="I785" t="str">
            <v>YES</v>
          </cell>
          <cell r="J785" t="str">
            <v>Yes</v>
          </cell>
        </row>
        <row r="786">
          <cell r="B786">
            <v>854690</v>
          </cell>
          <cell r="C786" t="str">
            <v>Electrical insulators; other than of glass and ceramics</v>
          </cell>
          <cell r="D786" t="str">
            <v>Parts &amp; Accessories</v>
          </cell>
          <cell r="E786" t="str">
            <v>NO</v>
          </cell>
          <cell r="F786" t="str">
            <v>NO</v>
          </cell>
          <cell r="G786" t="str">
            <v>NO</v>
          </cell>
          <cell r="H786" t="str">
            <v>NO</v>
          </cell>
          <cell r="I786" t="str">
            <v>YES</v>
          </cell>
          <cell r="J786" t="str">
            <v>Yes</v>
          </cell>
        </row>
        <row r="787">
          <cell r="B787">
            <v>870829</v>
          </cell>
          <cell r="C787" t="str">
            <v>Vehicles; parts and accessories, of bodies, other than safety seat belts</v>
          </cell>
          <cell r="D787" t="str">
            <v>Parts &amp; Accessories - rc</v>
          </cell>
          <cell r="E787" t="str">
            <v>NO</v>
          </cell>
          <cell r="F787" t="str">
            <v>NO</v>
          </cell>
          <cell r="G787" t="str">
            <v>NO</v>
          </cell>
          <cell r="H787" t="str">
            <v>NO</v>
          </cell>
          <cell r="I787" t="str">
            <v>YES</v>
          </cell>
          <cell r="J787" t="str">
            <v>Yes</v>
          </cell>
        </row>
        <row r="788">
          <cell r="B788">
            <v>900220</v>
          </cell>
          <cell r="C788" t="str">
            <v>Filters; mounted as parts or fittings for instruments or apparatus, of any material (excluding elements of glass not optically worked)</v>
          </cell>
          <cell r="D788" t="str">
            <v>Consumables</v>
          </cell>
          <cell r="E788" t="str">
            <v>NO</v>
          </cell>
          <cell r="F788" t="str">
            <v>NO</v>
          </cell>
          <cell r="G788" t="str">
            <v>NO</v>
          </cell>
          <cell r="H788" t="str">
            <v>NO</v>
          </cell>
          <cell r="I788" t="str">
            <v>YES</v>
          </cell>
          <cell r="J788" t="str">
            <v>Yes</v>
          </cell>
        </row>
        <row r="789">
          <cell r="B789">
            <v>900390</v>
          </cell>
          <cell r="C789" t="str">
            <v>Frames and mountings; parts for spectacles, goggles or the like</v>
          </cell>
          <cell r="D789" t="str">
            <v>Capital Goods - rc</v>
          </cell>
          <cell r="E789" t="str">
            <v>NO</v>
          </cell>
          <cell r="F789" t="str">
            <v>NO</v>
          </cell>
          <cell r="G789" t="str">
            <v>NO</v>
          </cell>
          <cell r="H789" t="str">
            <v>NO</v>
          </cell>
          <cell r="I789" t="str">
            <v>YES</v>
          </cell>
          <cell r="J789" t="str">
            <v>Yes</v>
          </cell>
        </row>
        <row r="790">
          <cell r="B790">
            <v>900590</v>
          </cell>
          <cell r="C790" t="str">
            <v>Binoculars, monoculars, other optical telescopes, astronomical instruments (excluding those of radio-astronomy); parts and accessories (including mountings)</v>
          </cell>
          <cell r="D790" t="str">
            <v>Parts &amp; Accessories - rc</v>
          </cell>
          <cell r="E790" t="str">
            <v>NO</v>
          </cell>
          <cell r="F790" t="str">
            <v>NO</v>
          </cell>
          <cell r="G790" t="str">
            <v>NO</v>
          </cell>
          <cell r="H790" t="str">
            <v>NO</v>
          </cell>
          <cell r="I790" t="str">
            <v>YES</v>
          </cell>
          <cell r="J790" t="str">
            <v>Yes</v>
          </cell>
        </row>
        <row r="791">
          <cell r="B791">
            <v>902780</v>
          </cell>
          <cell r="C791" t="e">
            <v>#VALUE!</v>
          </cell>
          <cell r="D791" t="str">
            <v>Capital Goods</v>
          </cell>
          <cell r="E791" t="str">
            <v>NO</v>
          </cell>
          <cell r="F791" t="str">
            <v>NO</v>
          </cell>
          <cell r="G791" t="str">
            <v>NO</v>
          </cell>
          <cell r="H791" t="str">
            <v>NO</v>
          </cell>
          <cell r="I791" t="str">
            <v>YES</v>
          </cell>
          <cell r="J791" t="str">
            <v>Yes</v>
          </cell>
        </row>
        <row r="792">
          <cell r="B792">
            <v>903084</v>
          </cell>
          <cell r="C792" t="str">
            <v>Instruments and apparatus; n.e.c. in heading no. 9030, with a recording device</v>
          </cell>
          <cell r="D792" t="str">
            <v>Capital Goods</v>
          </cell>
          <cell r="E792" t="str">
            <v>NO</v>
          </cell>
          <cell r="F792" t="str">
            <v>NO</v>
          </cell>
          <cell r="G792" t="str">
            <v>NO</v>
          </cell>
          <cell r="H792" t="str">
            <v>NO</v>
          </cell>
          <cell r="I792" t="str">
            <v>YES</v>
          </cell>
          <cell r="J792" t="str">
            <v>Yes</v>
          </cell>
        </row>
        <row r="793">
          <cell r="B793">
            <v>940190</v>
          </cell>
          <cell r="C793" t="str">
            <v>Parts of seats</v>
          </cell>
          <cell r="D793" t="str">
            <v>Parts &amp; Accessories</v>
          </cell>
          <cell r="E793" t="str">
            <v>NO</v>
          </cell>
          <cell r="F793" t="str">
            <v>NO</v>
          </cell>
          <cell r="G793" t="str">
            <v>NO</v>
          </cell>
          <cell r="H793" t="str">
            <v>NO</v>
          </cell>
          <cell r="I793" t="str">
            <v>YES</v>
          </cell>
          <cell r="J793" t="str">
            <v>Yes</v>
          </cell>
        </row>
        <row r="794">
          <cell r="B794">
            <v>940360</v>
          </cell>
          <cell r="C794" t="str">
            <v>Furniture; wooden, other than for office, kitchen or bedroom use</v>
          </cell>
          <cell r="D794" t="str">
            <v>Durable</v>
          </cell>
          <cell r="E794" t="str">
            <v>NO</v>
          </cell>
          <cell r="F794" t="str">
            <v>NO</v>
          </cell>
          <cell r="G794" t="str">
            <v>NO</v>
          </cell>
          <cell r="H794" t="str">
            <v>NO</v>
          </cell>
          <cell r="I794" t="str">
            <v>YES</v>
          </cell>
          <cell r="J794" t="str">
            <v>Yes</v>
          </cell>
        </row>
        <row r="795">
          <cell r="B795">
            <v>940390</v>
          </cell>
          <cell r="C795" t="str">
            <v xml:space="preserve">OTHER FURNITURE AND PARTS THEREOF  OTHER FURNITURE AND PARTS THEREOF </v>
          </cell>
          <cell r="D795" t="str">
            <v>Parts &amp; Accessories</v>
          </cell>
          <cell r="E795" t="str">
            <v>NO</v>
          </cell>
          <cell r="F795" t="str">
            <v>NO</v>
          </cell>
          <cell r="G795" t="str">
            <v>NO</v>
          </cell>
          <cell r="H795" t="str">
            <v>NO</v>
          </cell>
          <cell r="I795" t="str">
            <v>YES</v>
          </cell>
          <cell r="J795" t="str">
            <v>Yes</v>
          </cell>
        </row>
        <row r="796">
          <cell r="B796">
            <v>940510</v>
          </cell>
          <cell r="C796" t="e">
            <v>#VALUE!</v>
          </cell>
          <cell r="D796" t="str">
            <v>Capital Goods - rc</v>
          </cell>
          <cell r="E796" t="str">
            <v>NO</v>
          </cell>
          <cell r="F796" t="str">
            <v>NO</v>
          </cell>
          <cell r="G796" t="str">
            <v>NO</v>
          </cell>
          <cell r="H796" t="str">
            <v>NO</v>
          </cell>
          <cell r="I796" t="str">
            <v>YES</v>
          </cell>
          <cell r="J796" t="str">
            <v>Yes</v>
          </cell>
        </row>
        <row r="797">
          <cell r="B797">
            <v>940540</v>
          </cell>
          <cell r="C797" t="str">
            <v>Electric lighting sets of a kind used for Christmas trees</v>
          </cell>
          <cell r="D797" t="str">
            <v>Others</v>
          </cell>
          <cell r="E797" t="str">
            <v>NO</v>
          </cell>
          <cell r="F797" t="str">
            <v>NO</v>
          </cell>
          <cell r="G797" t="str">
            <v>NO</v>
          </cell>
          <cell r="H797" t="str">
            <v>NO</v>
          </cell>
          <cell r="I797" t="str">
            <v>YES</v>
          </cell>
          <cell r="J797" t="str">
            <v>Yes</v>
          </cell>
        </row>
        <row r="798">
          <cell r="B798">
            <v>950490</v>
          </cell>
          <cell r="C798" t="str">
            <v>Games; articles for funfair, table or parlour games, including pintables, special tables for casino games, automatic bowling alley equipment, n.e.c. in heading 9504</v>
          </cell>
          <cell r="D798" t="str">
            <v>Capital Goods - rc</v>
          </cell>
          <cell r="E798" t="str">
            <v>NO</v>
          </cell>
          <cell r="F798" t="str">
            <v>NO</v>
          </cell>
          <cell r="G798" t="str">
            <v>NO</v>
          </cell>
          <cell r="H798" t="str">
            <v>NO</v>
          </cell>
          <cell r="I798" t="str">
            <v>YES</v>
          </cell>
          <cell r="J798" t="str">
            <v>Yes</v>
          </cell>
        </row>
        <row r="799">
          <cell r="B799">
            <v>960330</v>
          </cell>
          <cell r="C799" t="str">
            <v>Brushes; artists' brushes, writing brushes and similar brushes for the application of cosmetics</v>
          </cell>
          <cell r="D799" t="str">
            <v>Consumables</v>
          </cell>
          <cell r="E799" t="str">
            <v>NO</v>
          </cell>
          <cell r="F799" t="str">
            <v>NO</v>
          </cell>
          <cell r="G799" t="str">
            <v>NO</v>
          </cell>
          <cell r="H799" t="str">
            <v>NO</v>
          </cell>
          <cell r="I799" t="str">
            <v>YES</v>
          </cell>
          <cell r="J799" t="str">
            <v>Yes</v>
          </cell>
        </row>
        <row r="800">
          <cell r="B800">
            <v>960622</v>
          </cell>
          <cell r="C800" t="str">
            <v>Buttons; of base metal, not covered with textile material</v>
          </cell>
          <cell r="D800" t="str">
            <v>Consumables - rc</v>
          </cell>
          <cell r="E800" t="str">
            <v>NO</v>
          </cell>
          <cell r="F800" t="str">
            <v>NO</v>
          </cell>
          <cell r="G800" t="str">
            <v>NO</v>
          </cell>
          <cell r="H800" t="str">
            <v>NO</v>
          </cell>
          <cell r="I800" t="str">
            <v>YES</v>
          </cell>
          <cell r="J800" t="str">
            <v>Yes</v>
          </cell>
        </row>
        <row r="801">
          <cell r="B801">
            <v>960830</v>
          </cell>
          <cell r="C801" t="str">
            <v>Pens; fountain, stylograph and other pens</v>
          </cell>
          <cell r="D801" t="str">
            <v>Consumables - rc</v>
          </cell>
          <cell r="E801" t="str">
            <v>NO</v>
          </cell>
          <cell r="F801" t="str">
            <v>NO</v>
          </cell>
          <cell r="G801" t="str">
            <v>NO</v>
          </cell>
          <cell r="H801" t="str">
            <v>NO</v>
          </cell>
          <cell r="I801" t="str">
            <v>YES</v>
          </cell>
          <cell r="J801" t="str">
            <v>Yes</v>
          </cell>
        </row>
        <row r="802">
          <cell r="B802">
            <v>340119</v>
          </cell>
          <cell r="C802" t="str">
            <v>Soap and organic surface-active products; in the form of bars, cakes, moulded shapes, and paper, wadding, felt and nonwovens, impregnated, coated or covered with soap or detergent, not for toilet use</v>
          </cell>
          <cell r="D802" t="str">
            <v>Others</v>
          </cell>
          <cell r="E802" t="str">
            <v>NO</v>
          </cell>
          <cell r="F802" t="str">
            <v>NO</v>
          </cell>
          <cell r="G802" t="str">
            <v>NO</v>
          </cell>
          <cell r="H802" t="str">
            <v>NO</v>
          </cell>
          <cell r="I802" t="str">
            <v>YES</v>
          </cell>
          <cell r="J802" t="str">
            <v>Yes</v>
          </cell>
        </row>
        <row r="803">
          <cell r="B803">
            <v>382200</v>
          </cell>
          <cell r="C803" t="e">
            <v>#VALUE!</v>
          </cell>
          <cell r="D803" t="str">
            <v>Capital Goods - rc</v>
          </cell>
          <cell r="E803" t="str">
            <v>NO</v>
          </cell>
          <cell r="F803" t="str">
            <v>NO</v>
          </cell>
          <cell r="G803" t="str">
            <v>NO</v>
          </cell>
          <cell r="H803" t="str">
            <v>NO</v>
          </cell>
          <cell r="I803" t="str">
            <v>YES</v>
          </cell>
          <cell r="J803" t="str">
            <v>Yes</v>
          </cell>
        </row>
        <row r="804">
          <cell r="B804">
            <v>390799</v>
          </cell>
          <cell r="C804" t="str">
            <v>Polyesters; n.e.c. in heading no. 3907, saturated, in primary forms</v>
          </cell>
          <cell r="D804" t="str">
            <v>Consumables - rc</v>
          </cell>
          <cell r="E804" t="str">
            <v>NO</v>
          </cell>
          <cell r="F804" t="str">
            <v>NO</v>
          </cell>
          <cell r="G804" t="str">
            <v>NO</v>
          </cell>
          <cell r="H804" t="str">
            <v>NO</v>
          </cell>
          <cell r="I804" t="str">
            <v>YES</v>
          </cell>
          <cell r="J804" t="str">
            <v>Yes</v>
          </cell>
        </row>
        <row r="805">
          <cell r="B805">
            <v>391690</v>
          </cell>
          <cell r="C805" t="str">
            <v>Plastics; monofilament, of plastics n.e.c. in heading no. 3916, cross-sectional dimension exceeds 1mm, rods, sticks and profile shapes, whether or not surface-worked but not otherwise worked</v>
          </cell>
          <cell r="D805" t="str">
            <v>Consumables - rc</v>
          </cell>
          <cell r="E805" t="str">
            <v>NO</v>
          </cell>
          <cell r="F805" t="str">
            <v>NO</v>
          </cell>
          <cell r="G805" t="str">
            <v>NO</v>
          </cell>
          <cell r="H805" t="str">
            <v>NO</v>
          </cell>
          <cell r="I805" t="str">
            <v>YES</v>
          </cell>
          <cell r="J805" t="str">
            <v>Yes</v>
          </cell>
        </row>
        <row r="806">
          <cell r="B806">
            <v>392112</v>
          </cell>
          <cell r="C806" t="str">
            <v>Plastics; plates, sheets, film, foil and strip, of polymers of vinyl chloride, cellular</v>
          </cell>
          <cell r="D806" t="str">
            <v>Consumables - rc</v>
          </cell>
          <cell r="E806" t="str">
            <v>NO</v>
          </cell>
          <cell r="F806" t="str">
            <v>NO</v>
          </cell>
          <cell r="G806" t="str">
            <v>NO</v>
          </cell>
          <cell r="H806" t="str">
            <v>NO</v>
          </cell>
          <cell r="I806" t="str">
            <v>YES</v>
          </cell>
          <cell r="J806" t="str">
            <v>Yes</v>
          </cell>
        </row>
        <row r="807">
          <cell r="B807">
            <v>392113</v>
          </cell>
          <cell r="C807" t="str">
            <v>Plastics; plates, sheets, film, foil and strip, of polyurethanes, cellular</v>
          </cell>
          <cell r="D807" t="str">
            <v>Consumables - rc</v>
          </cell>
          <cell r="E807" t="str">
            <v>NO</v>
          </cell>
          <cell r="F807" t="str">
            <v>NO</v>
          </cell>
          <cell r="G807" t="str">
            <v>NO</v>
          </cell>
          <cell r="H807" t="str">
            <v>NO</v>
          </cell>
          <cell r="I807" t="str">
            <v>YES</v>
          </cell>
          <cell r="J807" t="str">
            <v>Yes</v>
          </cell>
        </row>
        <row r="808">
          <cell r="B808">
            <v>401610</v>
          </cell>
          <cell r="C808" t="str">
            <v>Rubber; vulcanised (other than hard rubber), moulded rubber mats and mats of non-rectangular shape made by cutting from the piece, of cellular rubber</v>
          </cell>
          <cell r="D808" t="str">
            <v>Capital Goods - rc</v>
          </cell>
          <cell r="E808" t="str">
            <v>NO</v>
          </cell>
          <cell r="F808" t="str">
            <v>NO</v>
          </cell>
          <cell r="G808" t="str">
            <v>NO</v>
          </cell>
          <cell r="H808" t="str">
            <v>NO</v>
          </cell>
          <cell r="I808" t="str">
            <v>YES</v>
          </cell>
          <cell r="J808" t="str">
            <v>Yes</v>
          </cell>
        </row>
        <row r="809">
          <cell r="B809">
            <v>420100</v>
          </cell>
          <cell r="C809" t="str">
            <v>Saddlery and harness; for any animal (including traces, leads, knee pads, muzzles, saddle cloths, saddle bags, dog coats and the like), of any materials</v>
          </cell>
          <cell r="D809" t="str">
            <v>Capital Goods - rc</v>
          </cell>
          <cell r="E809" t="str">
            <v>NO</v>
          </cell>
          <cell r="F809" t="str">
            <v>NO</v>
          </cell>
          <cell r="G809" t="str">
            <v>NO</v>
          </cell>
          <cell r="H809" t="str">
            <v>NO</v>
          </cell>
          <cell r="I809" t="str">
            <v>YES</v>
          </cell>
          <cell r="J809" t="str">
            <v>Yes</v>
          </cell>
        </row>
        <row r="810">
          <cell r="B810">
            <v>420330</v>
          </cell>
          <cell r="C810" t="str">
            <v>Clothing accessories; belts and bandoliers, of leather or of composition leather</v>
          </cell>
          <cell r="D810" t="str">
            <v>Consumables - rc</v>
          </cell>
          <cell r="E810" t="str">
            <v>NO</v>
          </cell>
          <cell r="F810" t="str">
            <v>NO</v>
          </cell>
          <cell r="G810" t="str">
            <v>NO</v>
          </cell>
          <cell r="H810" t="str">
            <v>NO</v>
          </cell>
          <cell r="I810" t="str">
            <v>YES</v>
          </cell>
          <cell r="J810" t="str">
            <v>Yes</v>
          </cell>
        </row>
        <row r="811">
          <cell r="B811">
            <v>420340</v>
          </cell>
          <cell r="C811" t="str">
            <v>Clothing accessories; of leather or of composition leather, n.e.c. in heading no. 4203</v>
          </cell>
          <cell r="D811" t="str">
            <v>Consumables - rc</v>
          </cell>
          <cell r="E811" t="str">
            <v>NO</v>
          </cell>
          <cell r="F811" t="str">
            <v>NO</v>
          </cell>
          <cell r="G811" t="str">
            <v>NO</v>
          </cell>
          <cell r="H811" t="str">
            <v>NO</v>
          </cell>
          <cell r="I811" t="str">
            <v>YES</v>
          </cell>
          <cell r="J811" t="str">
            <v>Yes</v>
          </cell>
        </row>
        <row r="812">
          <cell r="B812">
            <v>480640</v>
          </cell>
          <cell r="C812" t="str">
            <v>Paper; glassine and other glazed transparent or translucent papers, in rolls or sheets</v>
          </cell>
          <cell r="D812" t="str">
            <v>Consumables - rc</v>
          </cell>
          <cell r="E812" t="str">
            <v>NO</v>
          </cell>
          <cell r="F812" t="str">
            <v>NO</v>
          </cell>
          <cell r="G812" t="str">
            <v>NO</v>
          </cell>
          <cell r="H812" t="str">
            <v>NO</v>
          </cell>
          <cell r="I812" t="str">
            <v>YES</v>
          </cell>
          <cell r="J812" t="str">
            <v>Yes</v>
          </cell>
        </row>
        <row r="813">
          <cell r="B813">
            <v>480700</v>
          </cell>
          <cell r="C813" t="str">
            <v>Paper and paperboard; composite (made by sticking layers together with an adhesive), not surface-coated or impregnated, whether or not internally reinforced, in rolls or sheets</v>
          </cell>
          <cell r="D813" t="str">
            <v>Consumables - rc</v>
          </cell>
          <cell r="E813" t="str">
            <v>NO</v>
          </cell>
          <cell r="F813" t="str">
            <v>NO</v>
          </cell>
          <cell r="G813" t="str">
            <v>NO</v>
          </cell>
          <cell r="H813" t="str">
            <v>NO</v>
          </cell>
          <cell r="I813" t="str">
            <v>YES</v>
          </cell>
          <cell r="J813" t="str">
            <v>Yes</v>
          </cell>
        </row>
        <row r="814">
          <cell r="B814">
            <v>580631</v>
          </cell>
          <cell r="C814" t="str">
            <v>Fabrics; narrow woven fabrics, n.e.c. in heading no. 5806, of cotton (excluding goods of heading no. 5807)</v>
          </cell>
          <cell r="D814" t="str">
            <v>Consumables - rc</v>
          </cell>
          <cell r="E814" t="str">
            <v>NO</v>
          </cell>
          <cell r="F814" t="str">
            <v>NO</v>
          </cell>
          <cell r="G814" t="str">
            <v>NO</v>
          </cell>
          <cell r="H814" t="str">
            <v>NO</v>
          </cell>
          <cell r="I814" t="str">
            <v>YES</v>
          </cell>
          <cell r="J814" t="str">
            <v>Yes</v>
          </cell>
        </row>
        <row r="815">
          <cell r="B815">
            <v>700490</v>
          </cell>
          <cell r="C815" t="str">
            <v>Glass; drawn and blown, in sheets, (other than glass coloured throughout the mass (body tinted), opacified, flashed or having an absorbent, reflecting or non-reflecting layer)</v>
          </cell>
          <cell r="D815" t="str">
            <v>Capital Goods - rc</v>
          </cell>
          <cell r="E815" t="str">
            <v>NO</v>
          </cell>
          <cell r="F815" t="str">
            <v>NO</v>
          </cell>
          <cell r="G815" t="str">
            <v>NO</v>
          </cell>
          <cell r="H815" t="str">
            <v>NO</v>
          </cell>
          <cell r="I815" t="str">
            <v>YES</v>
          </cell>
          <cell r="J815" t="str">
            <v>Yes</v>
          </cell>
        </row>
        <row r="816">
          <cell r="B816">
            <v>700910</v>
          </cell>
          <cell r="C816" t="str">
            <v>Glass; rear-view mirrors for vehicles</v>
          </cell>
          <cell r="D816" t="str">
            <v>Consumables - rc</v>
          </cell>
          <cell r="E816" t="str">
            <v>NO</v>
          </cell>
          <cell r="F816" t="str">
            <v>NO</v>
          </cell>
          <cell r="G816" t="str">
            <v>NO</v>
          </cell>
          <cell r="H816" t="str">
            <v>NO</v>
          </cell>
          <cell r="I816" t="str">
            <v>YES</v>
          </cell>
          <cell r="J816" t="str">
            <v>Yes</v>
          </cell>
        </row>
        <row r="817">
          <cell r="B817">
            <v>701399</v>
          </cell>
          <cell r="C817" t="str">
            <v>Glassware; n.e.c. in heading no. 7013, other than of lead crystal</v>
          </cell>
          <cell r="D817" t="str">
            <v>Consumables - rc</v>
          </cell>
          <cell r="E817" t="str">
            <v>NO</v>
          </cell>
          <cell r="F817" t="str">
            <v>NO</v>
          </cell>
          <cell r="G817" t="str">
            <v>NO</v>
          </cell>
          <cell r="H817" t="str">
            <v>NO</v>
          </cell>
          <cell r="I817" t="str">
            <v>YES</v>
          </cell>
          <cell r="J817" t="str">
            <v>Yes</v>
          </cell>
        </row>
        <row r="818">
          <cell r="B818">
            <v>720851</v>
          </cell>
          <cell r="C818" t="str">
            <v>Iron or non-alloy steel; (not in coils), flat-rolled, of a width 600mm or more, hot-rolled, without patterns in relief, of a thickness exceeding 10mm</v>
          </cell>
          <cell r="D818" t="str">
            <v>Consumables - rc</v>
          </cell>
          <cell r="E818" t="str">
            <v>NO</v>
          </cell>
          <cell r="F818" t="str">
            <v>NO</v>
          </cell>
          <cell r="G818" t="str">
            <v>NO</v>
          </cell>
          <cell r="H818" t="str">
            <v>NO</v>
          </cell>
          <cell r="I818" t="str">
            <v>YES</v>
          </cell>
          <cell r="J818" t="str">
            <v>Yes</v>
          </cell>
        </row>
        <row r="819">
          <cell r="B819">
            <v>721069</v>
          </cell>
          <cell r="C819" t="str">
            <v>Iron or non-alloy steel; flat-rolled, width 600mm or more, plated or coated with aluminium, other than plated or coated with aluminium zinc-alloys</v>
          </cell>
          <cell r="D819" t="str">
            <v>Consumables - rc</v>
          </cell>
          <cell r="E819" t="str">
            <v>NO</v>
          </cell>
          <cell r="F819" t="str">
            <v>NO</v>
          </cell>
          <cell r="G819" t="str">
            <v>NO</v>
          </cell>
          <cell r="H819" t="str">
            <v>NO</v>
          </cell>
          <cell r="I819" t="str">
            <v>YES</v>
          </cell>
          <cell r="J819" t="str">
            <v>Yes</v>
          </cell>
        </row>
        <row r="820">
          <cell r="B820">
            <v>722100</v>
          </cell>
          <cell r="C820" t="str">
            <v>Steel, stainless; bars and rods, hot-rolled, in irregularly wound coils</v>
          </cell>
          <cell r="D820" t="str">
            <v>Consumables - rc</v>
          </cell>
          <cell r="E820" t="str">
            <v>NO</v>
          </cell>
          <cell r="F820" t="str">
            <v>NO</v>
          </cell>
          <cell r="G820" t="str">
            <v>NO</v>
          </cell>
          <cell r="H820" t="str">
            <v>NO</v>
          </cell>
          <cell r="I820" t="str">
            <v>YES</v>
          </cell>
          <cell r="J820" t="str">
            <v>Yes</v>
          </cell>
        </row>
        <row r="821">
          <cell r="B821">
            <v>732599</v>
          </cell>
          <cell r="C821" t="str">
            <v>Iron or steel; cast articles, excluding grinding balls and similar articles for mills, other than of non-malleable cast iron</v>
          </cell>
          <cell r="D821" t="str">
            <v>Parts &amp; Accessories</v>
          </cell>
          <cell r="E821" t="str">
            <v>NO</v>
          </cell>
          <cell r="F821" t="str">
            <v>NO</v>
          </cell>
          <cell r="G821" t="str">
            <v>NO</v>
          </cell>
          <cell r="H821" t="str">
            <v>NO</v>
          </cell>
          <cell r="I821" t="str">
            <v>YES</v>
          </cell>
          <cell r="J821" t="str">
            <v>Yes</v>
          </cell>
        </row>
        <row r="822">
          <cell r="B822">
            <v>732620</v>
          </cell>
          <cell r="C822" t="str">
            <v>Iron or steel; wire articles</v>
          </cell>
          <cell r="D822" t="str">
            <v>Parts &amp; Accessories - rc</v>
          </cell>
          <cell r="E822" t="str">
            <v>NO</v>
          </cell>
          <cell r="F822" t="str">
            <v>NO</v>
          </cell>
          <cell r="G822" t="str">
            <v>NO</v>
          </cell>
          <cell r="H822" t="str">
            <v>NO</v>
          </cell>
          <cell r="I822" t="str">
            <v>YES</v>
          </cell>
          <cell r="J822" t="str">
            <v>Yes</v>
          </cell>
        </row>
        <row r="823">
          <cell r="B823">
            <v>740721</v>
          </cell>
          <cell r="C823" t="str">
            <v>Copper; bars, rods and profiles, of copper-zinc base alloys (brass)</v>
          </cell>
          <cell r="D823" t="str">
            <v>Consumables - rc</v>
          </cell>
          <cell r="E823" t="str">
            <v>NO</v>
          </cell>
          <cell r="F823" t="str">
            <v>NO</v>
          </cell>
          <cell r="G823" t="str">
            <v>NO</v>
          </cell>
          <cell r="H823" t="str">
            <v>NO</v>
          </cell>
          <cell r="I823" t="str">
            <v>YES</v>
          </cell>
          <cell r="J823" t="str">
            <v>Yes</v>
          </cell>
        </row>
        <row r="824">
          <cell r="B824">
            <v>740829</v>
          </cell>
          <cell r="C824" t="str">
            <v>Copper; wire, of copper alloys (other than copper-zinc base alloys, copper-nickel base alloys or copper-nickel-zinc base alloys)</v>
          </cell>
          <cell r="D824" t="str">
            <v>Consumables - rc</v>
          </cell>
          <cell r="E824" t="str">
            <v>NO</v>
          </cell>
          <cell r="F824" t="str">
            <v>NO</v>
          </cell>
          <cell r="G824" t="str">
            <v>NO</v>
          </cell>
          <cell r="H824" t="str">
            <v>NO</v>
          </cell>
          <cell r="I824" t="str">
            <v>YES</v>
          </cell>
          <cell r="J824" t="str">
            <v>Yes</v>
          </cell>
        </row>
        <row r="825">
          <cell r="B825">
            <v>740919</v>
          </cell>
          <cell r="C825" t="str">
            <v>Copper; plates and sheets, of a thickness exceeding 0.15mm, of refined copper, not in coils</v>
          </cell>
          <cell r="D825" t="str">
            <v>Consumables - rc</v>
          </cell>
          <cell r="E825" t="str">
            <v>NO</v>
          </cell>
          <cell r="F825" t="str">
            <v>NO</v>
          </cell>
          <cell r="G825" t="str">
            <v>NO</v>
          </cell>
          <cell r="H825" t="str">
            <v>NO</v>
          </cell>
          <cell r="I825" t="str">
            <v>YES</v>
          </cell>
          <cell r="J825" t="str">
            <v>Yes</v>
          </cell>
        </row>
        <row r="826">
          <cell r="B826">
            <v>740939</v>
          </cell>
          <cell r="C826" t="str">
            <v>Copper; plates and sheets, of a thickness exceeding 0.15mm, of copper-tin base alloys, not in coils</v>
          </cell>
          <cell r="D826" t="str">
            <v>Consumables - rc</v>
          </cell>
          <cell r="E826" t="str">
            <v>NO</v>
          </cell>
          <cell r="F826" t="str">
            <v>NO</v>
          </cell>
          <cell r="G826" t="str">
            <v>NO</v>
          </cell>
          <cell r="H826" t="str">
            <v>NO</v>
          </cell>
          <cell r="I826" t="str">
            <v>YES</v>
          </cell>
          <cell r="J826" t="str">
            <v>Yes</v>
          </cell>
        </row>
        <row r="827">
          <cell r="B827">
            <v>741820</v>
          </cell>
          <cell r="C827" t="str">
            <v>Copper; sanitary ware and parts thereof</v>
          </cell>
          <cell r="D827" t="str">
            <v>Capital Goods - rc</v>
          </cell>
          <cell r="E827" t="str">
            <v>NO</v>
          </cell>
          <cell r="F827" t="str">
            <v>NO</v>
          </cell>
          <cell r="G827" t="str">
            <v>NO</v>
          </cell>
          <cell r="H827" t="str">
            <v>NO</v>
          </cell>
          <cell r="I827" t="str">
            <v>YES</v>
          </cell>
          <cell r="J827" t="str">
            <v>Yes</v>
          </cell>
        </row>
        <row r="828">
          <cell r="B828">
            <v>741991</v>
          </cell>
          <cell r="C828" t="str">
            <v>Other articles of copper- Cast, moulded, stamped or forged, but not further worked</v>
          </cell>
          <cell r="D828" t="str">
            <v>Consumables - rc</v>
          </cell>
          <cell r="E828" t="str">
            <v>NO</v>
          </cell>
          <cell r="F828" t="str">
            <v>NO</v>
          </cell>
          <cell r="G828" t="str">
            <v>NO</v>
          </cell>
          <cell r="H828" t="str">
            <v>NO</v>
          </cell>
          <cell r="I828" t="str">
            <v>YES</v>
          </cell>
          <cell r="J828" t="str">
            <v>Yes</v>
          </cell>
        </row>
        <row r="829">
          <cell r="B829">
            <v>760691</v>
          </cell>
          <cell r="C829" t="str">
            <v>Aluminium; plates, sheets and strip, thickness exceeding 0.2mm, not alloyed, (not rectangular or square)</v>
          </cell>
          <cell r="D829" t="str">
            <v>Consumables - rc</v>
          </cell>
          <cell r="E829" t="str">
            <v>NO</v>
          </cell>
          <cell r="F829" t="str">
            <v>NO</v>
          </cell>
          <cell r="G829" t="str">
            <v>NO</v>
          </cell>
          <cell r="H829" t="str">
            <v>NO</v>
          </cell>
          <cell r="I829" t="str">
            <v>YES</v>
          </cell>
          <cell r="J829" t="str">
            <v>Yes</v>
          </cell>
        </row>
        <row r="830">
          <cell r="B830">
            <v>760900</v>
          </cell>
          <cell r="C830" t="str">
            <v>Aluminium; tube or pipe fittings (e.g. couplings, elbows, sleeves)</v>
          </cell>
          <cell r="D830" t="str">
            <v>Parts &amp; Accessories</v>
          </cell>
          <cell r="E830" t="str">
            <v>NO</v>
          </cell>
          <cell r="F830" t="str">
            <v>NO</v>
          </cell>
          <cell r="G830" t="str">
            <v>NO</v>
          </cell>
          <cell r="H830" t="str">
            <v>NO</v>
          </cell>
          <cell r="I830" t="str">
            <v>YES</v>
          </cell>
          <cell r="J830" t="str">
            <v>Yes</v>
          </cell>
        </row>
        <row r="831">
          <cell r="B831">
            <v>820719</v>
          </cell>
          <cell r="C831" t="str">
            <v>Tools, interchangeable; rock drilling or earth boring tools, with working part (other than of cermets), whether or not power operated, including parts</v>
          </cell>
          <cell r="D831" t="str">
            <v>Capital Goods</v>
          </cell>
          <cell r="E831" t="str">
            <v>NO</v>
          </cell>
          <cell r="F831" t="str">
            <v>NO</v>
          </cell>
          <cell r="G831" t="str">
            <v>NO</v>
          </cell>
          <cell r="H831" t="str">
            <v>NO</v>
          </cell>
          <cell r="I831" t="str">
            <v>YES</v>
          </cell>
          <cell r="J831" t="str">
            <v>Yes</v>
          </cell>
        </row>
        <row r="832">
          <cell r="B832">
            <v>830820</v>
          </cell>
          <cell r="C832" t="str">
            <v>Rivets; tubular or bifurcated, of base metal</v>
          </cell>
          <cell r="D832" t="str">
            <v>Consumables</v>
          </cell>
          <cell r="E832" t="str">
            <v>NO</v>
          </cell>
          <cell r="F832" t="str">
            <v>NO</v>
          </cell>
          <cell r="G832" t="str">
            <v>NO</v>
          </cell>
          <cell r="H832" t="str">
            <v>NO</v>
          </cell>
          <cell r="I832" t="str">
            <v>YES</v>
          </cell>
          <cell r="J832" t="str">
            <v>Yes</v>
          </cell>
        </row>
        <row r="833">
          <cell r="B833">
            <v>842010</v>
          </cell>
          <cell r="C833" t="str">
            <v>Machines; calendering or other rolling machines, for other than metal or glass</v>
          </cell>
          <cell r="D833" t="str">
            <v>Capital Goods</v>
          </cell>
          <cell r="E833" t="str">
            <v>NO</v>
          </cell>
          <cell r="F833" t="str">
            <v>NO</v>
          </cell>
          <cell r="G833" t="str">
            <v>NO</v>
          </cell>
          <cell r="H833" t="str">
            <v>NO</v>
          </cell>
          <cell r="I833" t="str">
            <v>YES</v>
          </cell>
          <cell r="J833" t="str">
            <v>Yes</v>
          </cell>
        </row>
        <row r="834">
          <cell r="B834">
            <v>842330</v>
          </cell>
          <cell r="C834" t="str">
            <v>Weighing machines; constant weight scales and scales for discharging a predetermined weight of material into a bag or container, including hopper scales</v>
          </cell>
          <cell r="D834" t="str">
            <v>Capital Goods</v>
          </cell>
          <cell r="E834" t="str">
            <v>NO</v>
          </cell>
          <cell r="F834" t="str">
            <v>NO</v>
          </cell>
          <cell r="G834" t="str">
            <v>NO</v>
          </cell>
          <cell r="H834" t="str">
            <v>NO</v>
          </cell>
          <cell r="I834" t="str">
            <v>YES</v>
          </cell>
          <cell r="J834" t="str">
            <v>Yes</v>
          </cell>
        </row>
        <row r="835">
          <cell r="B835">
            <v>843110</v>
          </cell>
          <cell r="C835" t="str">
            <v>Machinery; parts of the machinery of heading no. 8425</v>
          </cell>
          <cell r="D835" t="str">
            <v>Parts &amp; Accessories</v>
          </cell>
          <cell r="E835" t="str">
            <v>NO</v>
          </cell>
          <cell r="F835" t="str">
            <v>NO</v>
          </cell>
          <cell r="G835" t="str">
            <v>NO</v>
          </cell>
          <cell r="H835" t="str">
            <v>NO</v>
          </cell>
          <cell r="I835" t="str">
            <v>YES</v>
          </cell>
          <cell r="J835" t="str">
            <v>Yes</v>
          </cell>
        </row>
        <row r="836">
          <cell r="B836">
            <v>843143</v>
          </cell>
          <cell r="C836" t="str">
            <v>Boring or sinking machinery; parts for boring or sinking machinery of subheading 8430.41 or 8430.49</v>
          </cell>
          <cell r="D836" t="str">
            <v>Parts &amp; Accessories</v>
          </cell>
          <cell r="E836" t="str">
            <v>NO</v>
          </cell>
          <cell r="F836" t="str">
            <v>NO</v>
          </cell>
          <cell r="G836" t="str">
            <v>NO</v>
          </cell>
          <cell r="H836" t="str">
            <v>NO</v>
          </cell>
          <cell r="I836" t="str">
            <v>YES</v>
          </cell>
          <cell r="J836" t="str">
            <v>Yes</v>
          </cell>
        </row>
        <row r="837">
          <cell r="B837">
            <v>843710</v>
          </cell>
          <cell r="C837" t="str">
            <v>Machines; for cleaning, sorting or grading seed, grain or dried leguminous vegetables</v>
          </cell>
          <cell r="D837" t="str">
            <v>Capital Goods</v>
          </cell>
          <cell r="E837" t="str">
            <v>NO</v>
          </cell>
          <cell r="F837" t="str">
            <v>NO</v>
          </cell>
          <cell r="G837" t="str">
            <v>NO</v>
          </cell>
          <cell r="H837" t="str">
            <v>NO</v>
          </cell>
          <cell r="I837" t="str">
            <v>YES</v>
          </cell>
          <cell r="J837" t="str">
            <v>Yes</v>
          </cell>
        </row>
        <row r="838">
          <cell r="B838">
            <v>844400</v>
          </cell>
          <cell r="C838" t="str">
            <v>Textile machinery; for extruding, drawing, texturing or cutting man-made textile materials</v>
          </cell>
          <cell r="D838" t="str">
            <v>Capital Goods</v>
          </cell>
          <cell r="E838" t="str">
            <v>NO</v>
          </cell>
          <cell r="F838" t="str">
            <v>NO</v>
          </cell>
          <cell r="G838" t="str">
            <v>NO</v>
          </cell>
          <cell r="H838" t="str">
            <v>NO</v>
          </cell>
          <cell r="I838" t="str">
            <v>YES</v>
          </cell>
          <cell r="J838" t="str">
            <v>Yes</v>
          </cell>
        </row>
        <row r="839">
          <cell r="B839">
            <v>844811</v>
          </cell>
          <cell r="C839" t="str">
            <v>Machinery, auxiliary; dobbies and jacquards, card reducing, copying, punching or assembling machines for use therewith</v>
          </cell>
          <cell r="D839" t="str">
            <v>Parts &amp; Accessories</v>
          </cell>
          <cell r="E839" t="str">
            <v>NO</v>
          </cell>
          <cell r="F839" t="str">
            <v>NO</v>
          </cell>
          <cell r="G839" t="str">
            <v>NO</v>
          </cell>
          <cell r="H839" t="str">
            <v>NO</v>
          </cell>
          <cell r="I839" t="str">
            <v>YES</v>
          </cell>
          <cell r="J839" t="str">
            <v>Yes</v>
          </cell>
        </row>
        <row r="840">
          <cell r="B840">
            <v>844820</v>
          </cell>
          <cell r="C840" t="str">
            <v>Machines; parts and accessories of machines or auxiliary machinery of heading no. 8444</v>
          </cell>
          <cell r="D840" t="str">
            <v>Parts &amp; Accessories</v>
          </cell>
          <cell r="E840" t="str">
            <v>NO</v>
          </cell>
          <cell r="F840" t="str">
            <v>NO</v>
          </cell>
          <cell r="G840" t="str">
            <v>NO</v>
          </cell>
          <cell r="H840" t="str">
            <v>NO</v>
          </cell>
          <cell r="I840" t="str">
            <v>YES</v>
          </cell>
          <cell r="J840" t="str">
            <v>Yes</v>
          </cell>
        </row>
        <row r="841">
          <cell r="B841">
            <v>844839</v>
          </cell>
          <cell r="C841" t="str">
            <v>Machines; parts and accessories of machines or auxiliary machinery of heading no. 8445, n.e.c. in item no. 8448.3</v>
          </cell>
          <cell r="D841" t="str">
            <v>Parts &amp; Accessories</v>
          </cell>
          <cell r="E841" t="str">
            <v>NO</v>
          </cell>
          <cell r="F841" t="str">
            <v>NO</v>
          </cell>
          <cell r="G841" t="str">
            <v>NO</v>
          </cell>
          <cell r="H841" t="str">
            <v>NO</v>
          </cell>
          <cell r="I841" t="str">
            <v>YES</v>
          </cell>
          <cell r="J841" t="str">
            <v>Yes</v>
          </cell>
        </row>
        <row r="842">
          <cell r="B842">
            <v>846029</v>
          </cell>
          <cell r="C842" t="str">
            <v>Machine-tools; grinding machines (excluding flat-surface), other than numerically controlled</v>
          </cell>
          <cell r="D842" t="str">
            <v>Capital Goods</v>
          </cell>
          <cell r="E842" t="str">
            <v>NO</v>
          </cell>
          <cell r="F842" t="str">
            <v>NO</v>
          </cell>
          <cell r="G842" t="str">
            <v>NO</v>
          </cell>
          <cell r="H842" t="str">
            <v>NO</v>
          </cell>
          <cell r="I842" t="str">
            <v>YES</v>
          </cell>
          <cell r="J842" t="str">
            <v>Yes</v>
          </cell>
        </row>
        <row r="843">
          <cell r="B843">
            <v>846241</v>
          </cell>
          <cell r="C843" t="e">
            <v>#VALUE!</v>
          </cell>
          <cell r="D843" t="str">
            <v>Capital Goods</v>
          </cell>
          <cell r="E843" t="str">
            <v>NO</v>
          </cell>
          <cell r="F843" t="str">
            <v>NO</v>
          </cell>
          <cell r="G843" t="str">
            <v>NO</v>
          </cell>
          <cell r="H843" t="str">
            <v>NO</v>
          </cell>
          <cell r="I843" t="str">
            <v>YES</v>
          </cell>
          <cell r="J843" t="str">
            <v>Yes</v>
          </cell>
        </row>
        <row r="844">
          <cell r="B844">
            <v>846299</v>
          </cell>
          <cell r="C844" t="e">
            <v>#VALUE!</v>
          </cell>
          <cell r="D844" t="str">
            <v>Capital Goods</v>
          </cell>
          <cell r="E844" t="str">
            <v>NO</v>
          </cell>
          <cell r="F844" t="str">
            <v>NO</v>
          </cell>
          <cell r="G844" t="str">
            <v>NO</v>
          </cell>
          <cell r="H844" t="str">
            <v>NO</v>
          </cell>
          <cell r="I844" t="str">
            <v>YES</v>
          </cell>
          <cell r="J844" t="str">
            <v>Yes</v>
          </cell>
        </row>
        <row r="845">
          <cell r="B845">
            <v>846691</v>
          </cell>
          <cell r="C845" t="str">
            <v>Parts &amp; accessories suited for use solely/principally; for the machines of heading no. 8464, n.e.c. in heading no. 8466</v>
          </cell>
          <cell r="D845" t="str">
            <v>Parts &amp; Accessories</v>
          </cell>
          <cell r="E845" t="str">
            <v>NO</v>
          </cell>
          <cell r="F845" t="str">
            <v>NO</v>
          </cell>
          <cell r="G845" t="str">
            <v>NO</v>
          </cell>
          <cell r="H845" t="str">
            <v>NO</v>
          </cell>
          <cell r="I845" t="str">
            <v>YES</v>
          </cell>
          <cell r="J845" t="str">
            <v>Yes</v>
          </cell>
        </row>
        <row r="846">
          <cell r="B846">
            <v>847979</v>
          </cell>
          <cell r="C846" t="str">
            <v>Machinery and mechanical appliances; passenger boarding bridges, other than of a kind used in airports</v>
          </cell>
          <cell r="D846" t="str">
            <v>Capital Goods</v>
          </cell>
          <cell r="E846" t="str">
            <v>NO</v>
          </cell>
          <cell r="F846" t="str">
            <v>NO</v>
          </cell>
          <cell r="G846" t="str">
            <v>NO</v>
          </cell>
          <cell r="H846" t="str">
            <v>NO</v>
          </cell>
          <cell r="I846" t="str">
            <v>YES</v>
          </cell>
          <cell r="J846" t="str">
            <v>Yes</v>
          </cell>
        </row>
        <row r="847">
          <cell r="B847">
            <v>848220</v>
          </cell>
          <cell r="C847" t="str">
            <v>Bearings; tapered roller bearings, including cone and tapered roller assemblies</v>
          </cell>
          <cell r="D847" t="str">
            <v>Parts &amp; Accessories</v>
          </cell>
          <cell r="E847" t="str">
            <v>NO</v>
          </cell>
          <cell r="F847" t="str">
            <v>NO</v>
          </cell>
          <cell r="G847" t="str">
            <v>NO</v>
          </cell>
          <cell r="H847" t="str">
            <v>NO</v>
          </cell>
          <cell r="I847" t="str">
            <v>YES</v>
          </cell>
          <cell r="J847" t="str">
            <v>Yes</v>
          </cell>
        </row>
        <row r="848">
          <cell r="B848">
            <v>848410</v>
          </cell>
          <cell r="C848" t="str">
            <v>Gaskets and similar joints; of metal sheeting combined with other material or two or more layers of metal</v>
          </cell>
          <cell r="D848" t="str">
            <v>Consumables</v>
          </cell>
          <cell r="E848" t="str">
            <v>NO</v>
          </cell>
          <cell r="F848" t="str">
            <v>NO</v>
          </cell>
          <cell r="G848" t="str">
            <v>NO</v>
          </cell>
          <cell r="H848" t="str">
            <v>NO</v>
          </cell>
          <cell r="I848" t="str">
            <v>YES</v>
          </cell>
          <cell r="J848" t="str">
            <v>Yes</v>
          </cell>
        </row>
        <row r="849">
          <cell r="B849">
            <v>850132</v>
          </cell>
          <cell r="C849" t="str">
            <v>Electric motors and generators; DC, of an output exceeding 750W but not exceeding 75kW</v>
          </cell>
          <cell r="D849" t="str">
            <v>Capital Goods</v>
          </cell>
          <cell r="E849" t="str">
            <v>NO</v>
          </cell>
          <cell r="F849" t="str">
            <v>NO</v>
          </cell>
          <cell r="G849" t="str">
            <v>NO</v>
          </cell>
          <cell r="H849" t="str">
            <v>NO</v>
          </cell>
          <cell r="I849" t="str">
            <v>YES</v>
          </cell>
          <cell r="J849" t="str">
            <v>Yes</v>
          </cell>
        </row>
        <row r="850">
          <cell r="B850">
            <v>850421</v>
          </cell>
          <cell r="C850" t="str">
            <v>Electrical transformers; liquid dielectric, having a power handling capacity not exceeding 650kVA</v>
          </cell>
          <cell r="D850" t="str">
            <v>Capital Goods</v>
          </cell>
          <cell r="E850" t="str">
            <v>NO</v>
          </cell>
          <cell r="F850" t="str">
            <v>NO</v>
          </cell>
          <cell r="G850" t="str">
            <v>NO</v>
          </cell>
          <cell r="H850" t="str">
            <v>NO</v>
          </cell>
          <cell r="I850" t="str">
            <v>YES</v>
          </cell>
          <cell r="J850" t="str">
            <v>Yes</v>
          </cell>
        </row>
        <row r="851">
          <cell r="B851">
            <v>851240</v>
          </cell>
          <cell r="C851" t="str">
            <v>Windscreen wipers, defrosters and demisters; electrical, of kinds used for cycles or motor vehicles</v>
          </cell>
          <cell r="D851" t="str">
            <v>Parts &amp; Accessories - rc</v>
          </cell>
          <cell r="E851" t="str">
            <v>NO</v>
          </cell>
          <cell r="F851" t="str">
            <v>NO</v>
          </cell>
          <cell r="G851" t="str">
            <v>NO</v>
          </cell>
          <cell r="H851" t="str">
            <v>NO</v>
          </cell>
          <cell r="I851" t="str">
            <v>YES</v>
          </cell>
          <cell r="J851" t="str">
            <v>Yes</v>
          </cell>
        </row>
        <row r="852">
          <cell r="B852">
            <v>851410</v>
          </cell>
          <cell r="C852" t="str">
            <v>Electric industrial or laboratory furnaces and ovens (excluding resistance heated, induction, dielectric and drying furnaces and ovens)</v>
          </cell>
          <cell r="D852" t="str">
            <v>Capital Goods</v>
          </cell>
          <cell r="E852" t="str">
            <v>NO</v>
          </cell>
          <cell r="F852" t="str">
            <v>NO</v>
          </cell>
          <cell r="G852" t="str">
            <v>NO</v>
          </cell>
          <cell r="H852" t="str">
            <v>NO</v>
          </cell>
          <cell r="I852" t="str">
            <v>YES</v>
          </cell>
          <cell r="J852" t="str">
            <v>Yes</v>
          </cell>
        </row>
        <row r="853">
          <cell r="B853">
            <v>851531</v>
          </cell>
          <cell r="C853" t="str">
            <v>Welding machines and apparatus; for arc (including plasma arc) welding of metals, fully or partly automatic, whether or not capable of cutting</v>
          </cell>
          <cell r="D853" t="str">
            <v>Capital Goods</v>
          </cell>
          <cell r="E853" t="str">
            <v>NO</v>
          </cell>
          <cell r="F853" t="str">
            <v>NO</v>
          </cell>
          <cell r="G853" t="str">
            <v>NO</v>
          </cell>
          <cell r="H853" t="str">
            <v>NO</v>
          </cell>
          <cell r="I853" t="str">
            <v>YES</v>
          </cell>
          <cell r="J853" t="str">
            <v>Yes</v>
          </cell>
        </row>
        <row r="854">
          <cell r="B854">
            <v>851761</v>
          </cell>
          <cell r="C854" t="str">
            <v>Base stations</v>
          </cell>
          <cell r="D854" t="str">
            <v>Capital Goods - rc</v>
          </cell>
          <cell r="E854" t="str">
            <v>NO</v>
          </cell>
          <cell r="F854" t="str">
            <v>NO</v>
          </cell>
          <cell r="G854" t="str">
            <v>NO</v>
          </cell>
          <cell r="H854" t="str">
            <v>NO</v>
          </cell>
          <cell r="I854" t="str">
            <v>YES</v>
          </cell>
          <cell r="J854" t="str">
            <v>Yes</v>
          </cell>
        </row>
        <row r="855">
          <cell r="B855">
            <v>851930</v>
          </cell>
          <cell r="C855" t="str">
            <v>Sound recording or reproducing apparatus; turntables (record-decks)</v>
          </cell>
          <cell r="D855" t="str">
            <v>Durable</v>
          </cell>
          <cell r="E855" t="str">
            <v>NO</v>
          </cell>
          <cell r="F855" t="str">
            <v>NO</v>
          </cell>
          <cell r="G855" t="str">
            <v>NO</v>
          </cell>
          <cell r="H855" t="str">
            <v>NO</v>
          </cell>
          <cell r="I855" t="str">
            <v>YES</v>
          </cell>
          <cell r="J855" t="str">
            <v>Yes</v>
          </cell>
        </row>
        <row r="856">
          <cell r="B856">
            <v>852329</v>
          </cell>
          <cell r="C856" t="str">
            <v>Magnetic media; other than cards incorporating a magnetic stripe, whether or not recorded, excluding products of Chapter 37</v>
          </cell>
          <cell r="D856" t="str">
            <v>Capital Goods - rc</v>
          </cell>
          <cell r="E856" t="str">
            <v>NO</v>
          </cell>
          <cell r="F856" t="str">
            <v>NO</v>
          </cell>
          <cell r="G856" t="str">
            <v>NO</v>
          </cell>
          <cell r="H856" t="str">
            <v>NO</v>
          </cell>
          <cell r="I856" t="str">
            <v>YES</v>
          </cell>
          <cell r="J856" t="str">
            <v>Yes</v>
          </cell>
        </row>
        <row r="857">
          <cell r="B857">
            <v>852691</v>
          </cell>
          <cell r="C857" t="str">
            <v>Radio navigational aid apparatus</v>
          </cell>
          <cell r="D857" t="str">
            <v>Capital Goods - rc</v>
          </cell>
          <cell r="E857" t="str">
            <v>NO</v>
          </cell>
          <cell r="F857" t="str">
            <v>NO</v>
          </cell>
          <cell r="G857" t="str">
            <v>NO</v>
          </cell>
          <cell r="H857" t="str">
            <v>NO</v>
          </cell>
          <cell r="I857" t="str">
            <v>YES</v>
          </cell>
          <cell r="J857" t="str">
            <v>Yes</v>
          </cell>
        </row>
        <row r="858">
          <cell r="B858">
            <v>854140</v>
          </cell>
          <cell r="C858" t="str">
            <v xml:space="preserve">Photosensitive semiconductor devices, including photovoltaic 
cells whether or not assembled in modules or made up into 
panels; light emitting diodes </v>
          </cell>
          <cell r="D858" t="str">
            <v>Others</v>
          </cell>
          <cell r="E858" t="str">
            <v>NO</v>
          </cell>
          <cell r="F858" t="str">
            <v>NO</v>
          </cell>
          <cell r="G858" t="str">
            <v>NO</v>
          </cell>
          <cell r="H858" t="str">
            <v>NO</v>
          </cell>
          <cell r="I858" t="str">
            <v>YES</v>
          </cell>
          <cell r="J858" t="str">
            <v>Yes</v>
          </cell>
        </row>
        <row r="859">
          <cell r="B859">
            <v>854149</v>
          </cell>
          <cell r="C859" t="str">
            <v>Electrical apparatus; photosensitive semiconductor devices, diodes other than light emitting diodes and photovoltaic cells whether or not assembled in modules or made up into panels</v>
          </cell>
          <cell r="D859" t="str">
            <v>Parts &amp; Accessories - rc</v>
          </cell>
          <cell r="E859" t="str">
            <v>NO</v>
          </cell>
          <cell r="F859" t="str">
            <v>NO</v>
          </cell>
          <cell r="G859" t="str">
            <v>NO</v>
          </cell>
          <cell r="H859" t="str">
            <v>NO</v>
          </cell>
          <cell r="I859" t="str">
            <v>YES</v>
          </cell>
          <cell r="J859" t="str">
            <v>Yes</v>
          </cell>
        </row>
        <row r="860">
          <cell r="B860">
            <v>871493</v>
          </cell>
          <cell r="C860" t="str">
            <v>Cycles; parts thereof, hubs (other than coaster braking hubs and hub brakes) and free-wheel sprocket-wheels</v>
          </cell>
          <cell r="D860" t="str">
            <v>Parts &amp; Accessories - rc</v>
          </cell>
          <cell r="E860" t="str">
            <v>NO</v>
          </cell>
          <cell r="F860" t="str">
            <v>NO</v>
          </cell>
          <cell r="G860" t="str">
            <v>NO</v>
          </cell>
          <cell r="H860" t="str">
            <v>NO</v>
          </cell>
          <cell r="I860" t="str">
            <v>YES</v>
          </cell>
          <cell r="J860" t="str">
            <v>Yes</v>
          </cell>
        </row>
        <row r="861">
          <cell r="B861">
            <v>902212</v>
          </cell>
          <cell r="C861" t="str">
            <v>Apparatus based on the use of x-rays; including radiography or radiotherapy apparatus, whether or not for medical, surgical, dental or veterinary uses, computed tomography apparatus</v>
          </cell>
          <cell r="D861" t="str">
            <v>Capital Goods - rc</v>
          </cell>
          <cell r="E861" t="str">
            <v>NO</v>
          </cell>
          <cell r="F861" t="str">
            <v>NO</v>
          </cell>
          <cell r="G861" t="str">
            <v>NO</v>
          </cell>
          <cell r="H861" t="str">
            <v>NO</v>
          </cell>
          <cell r="I861" t="str">
            <v>YES</v>
          </cell>
          <cell r="J861" t="str">
            <v>Yes</v>
          </cell>
        </row>
        <row r="862">
          <cell r="B862">
            <v>940199</v>
          </cell>
          <cell r="C862" t="str">
            <v>Seats; parts, (of other than wood) for use in the assembly of motor vehicles as determined by the minister</v>
          </cell>
          <cell r="D862" t="str">
            <v>Parts &amp; Accessories - rc</v>
          </cell>
          <cell r="E862" t="str">
            <v>NO</v>
          </cell>
          <cell r="F862" t="str">
            <v>NO</v>
          </cell>
          <cell r="G862" t="str">
            <v>NO</v>
          </cell>
          <cell r="H862" t="str">
            <v>NO</v>
          </cell>
          <cell r="I862" t="str">
            <v>YES</v>
          </cell>
          <cell r="J862" t="str">
            <v>Yes</v>
          </cell>
        </row>
        <row r="863">
          <cell r="B863">
            <v>940520</v>
          </cell>
          <cell r="C863" t="str">
            <v>Mattresses, fitted with springs or stuffed or internally filled with any material (excluding cellular rubber or plastics, pneumatic or water mattresses and pillows)</v>
          </cell>
          <cell r="D863" t="str">
            <v>Others</v>
          </cell>
          <cell r="E863" t="str">
            <v>NO</v>
          </cell>
          <cell r="F863" t="str">
            <v>NO</v>
          </cell>
          <cell r="G863" t="str">
            <v>NO</v>
          </cell>
          <cell r="H863" t="str">
            <v>NO</v>
          </cell>
          <cell r="I863" t="str">
            <v>YES</v>
          </cell>
          <cell r="J863" t="str">
            <v>Yes</v>
          </cell>
        </row>
        <row r="864">
          <cell r="B864">
            <v>940550</v>
          </cell>
          <cell r="C864" t="str">
            <v>Luminaires and light fittings; non-electric</v>
          </cell>
          <cell r="D864" t="str">
            <v>Durable</v>
          </cell>
          <cell r="E864" t="str">
            <v>NO</v>
          </cell>
          <cell r="F864" t="str">
            <v>NO</v>
          </cell>
          <cell r="G864" t="str">
            <v>NO</v>
          </cell>
          <cell r="H864" t="str">
            <v>NO</v>
          </cell>
          <cell r="I864" t="str">
            <v>YES</v>
          </cell>
          <cell r="J864" t="str">
            <v>Yes</v>
          </cell>
        </row>
        <row r="865">
          <cell r="B865">
            <v>940592</v>
          </cell>
          <cell r="C865" t="str">
            <v>Lamps and light fittings; parts thereof, of plastics</v>
          </cell>
          <cell r="D865" t="str">
            <v>Parts &amp; Accessories - rc</v>
          </cell>
          <cell r="E865" t="str">
            <v>NO</v>
          </cell>
          <cell r="F865" t="str">
            <v>NO</v>
          </cell>
          <cell r="G865" t="str">
            <v>NO</v>
          </cell>
          <cell r="H865" t="str">
            <v>NO</v>
          </cell>
          <cell r="I865" t="str">
            <v>YES</v>
          </cell>
          <cell r="J865" t="str">
            <v>Yes</v>
          </cell>
        </row>
        <row r="866">
          <cell r="B866">
            <v>961100</v>
          </cell>
          <cell r="C866" t="str">
            <v>Stamps; date, numbering, sealing stamps and the like (including devices for printing or embossing labels), designed for operating by hand; hand operated composing sticks and printing sets</v>
          </cell>
          <cell r="D866" t="str">
            <v>Capital Goods</v>
          </cell>
          <cell r="E866" t="str">
            <v>NO</v>
          </cell>
          <cell r="F866" t="str">
            <v>NO</v>
          </cell>
          <cell r="G866" t="str">
            <v>NO</v>
          </cell>
          <cell r="H866" t="str">
            <v>NO</v>
          </cell>
          <cell r="I866" t="str">
            <v>YES</v>
          </cell>
          <cell r="J866" t="str">
            <v>Yes</v>
          </cell>
        </row>
        <row r="867">
          <cell r="B867">
            <v>271099</v>
          </cell>
          <cell r="C867" t="str">
            <v>Waste Oils; of petroleum or obtained from bituminous minerals, not crude and preparations n.e.c., weight 70% or preparations of the same, not containing polychlorinated biphenyls (PCBs), polychorinated terphenyls (PCTs) or polybrominated biphenyls (PBBs)</v>
          </cell>
          <cell r="D867" t="str">
            <v>Consumables - rc</v>
          </cell>
          <cell r="E867" t="str">
            <v>NO</v>
          </cell>
          <cell r="F867" t="str">
            <v>NO</v>
          </cell>
          <cell r="G867" t="str">
            <v>NO</v>
          </cell>
          <cell r="H867" t="str">
            <v>NO</v>
          </cell>
          <cell r="I867" t="str">
            <v>YES</v>
          </cell>
          <cell r="J867" t="str">
            <v>Yes</v>
          </cell>
        </row>
        <row r="868">
          <cell r="B868">
            <v>320990</v>
          </cell>
          <cell r="C868" t="str">
            <v>Paints and varnishes; (based on polymers other than acrylic or vinyl), dispersed or dissolved in an aqueous medium</v>
          </cell>
          <cell r="D868" t="str">
            <v>Consumables - rc</v>
          </cell>
          <cell r="E868" t="str">
            <v>NO</v>
          </cell>
          <cell r="F868" t="str">
            <v>NO</v>
          </cell>
          <cell r="G868" t="str">
            <v>NO</v>
          </cell>
          <cell r="H868" t="str">
            <v>NO</v>
          </cell>
          <cell r="I868" t="str">
            <v>YES</v>
          </cell>
          <cell r="J868" t="str">
            <v>Yes</v>
          </cell>
        </row>
        <row r="869">
          <cell r="B869">
            <v>370500</v>
          </cell>
          <cell r="C869" t="str">
            <v>Photographic plates and film; exposed and developed, other than cinematographic film</v>
          </cell>
          <cell r="D869" t="str">
            <v>Consumables - rc</v>
          </cell>
          <cell r="E869" t="str">
            <v>NO</v>
          </cell>
          <cell r="F869" t="str">
            <v>NO</v>
          </cell>
          <cell r="G869" t="str">
            <v>NO</v>
          </cell>
          <cell r="H869" t="str">
            <v>NO</v>
          </cell>
          <cell r="I869" t="str">
            <v>YES</v>
          </cell>
          <cell r="J869" t="str">
            <v>Yes</v>
          </cell>
        </row>
        <row r="870">
          <cell r="B870">
            <v>381400</v>
          </cell>
          <cell r="C870" t="str">
            <v>Solvents and thinners; organic composite solvents and thinners, n.e.c. or included, prepared paint or varnish removers</v>
          </cell>
          <cell r="D870" t="str">
            <v>Consumables</v>
          </cell>
          <cell r="E870" t="str">
            <v>NO</v>
          </cell>
          <cell r="F870" t="str">
            <v>NO</v>
          </cell>
          <cell r="G870" t="str">
            <v>NO</v>
          </cell>
          <cell r="H870" t="str">
            <v>NO</v>
          </cell>
          <cell r="I870" t="str">
            <v>YES</v>
          </cell>
          <cell r="J870" t="str">
            <v>Yes</v>
          </cell>
        </row>
        <row r="871">
          <cell r="B871">
            <v>390740</v>
          </cell>
          <cell r="C871" t="str">
            <v>Polycarbonates; in primary forms</v>
          </cell>
          <cell r="D871" t="str">
            <v>Consumables - rc</v>
          </cell>
          <cell r="E871" t="str">
            <v>NO</v>
          </cell>
          <cell r="F871" t="str">
            <v>NO</v>
          </cell>
          <cell r="G871" t="str">
            <v>NO</v>
          </cell>
          <cell r="H871" t="str">
            <v>NO</v>
          </cell>
          <cell r="I871" t="str">
            <v>YES</v>
          </cell>
          <cell r="J871" t="str">
            <v>Yes</v>
          </cell>
        </row>
        <row r="872">
          <cell r="B872">
            <v>392051</v>
          </cell>
          <cell r="C872" t="str">
            <v>Plastics; of acrylic polymers, polymethyl methacrylate, plates, sheets, film, foil and strip (not self-adhesive), non-cellular and not reinforced, laminated, supported or similarly combined with other materials</v>
          </cell>
          <cell r="D872" t="str">
            <v>Consumables - rc</v>
          </cell>
          <cell r="E872" t="str">
            <v>NO</v>
          </cell>
          <cell r="F872" t="str">
            <v>NO</v>
          </cell>
          <cell r="G872" t="str">
            <v>NO</v>
          </cell>
          <cell r="H872" t="str">
            <v>NO</v>
          </cell>
          <cell r="I872" t="str">
            <v>YES</v>
          </cell>
          <cell r="J872" t="str">
            <v>Yes</v>
          </cell>
        </row>
        <row r="873">
          <cell r="B873">
            <v>392094</v>
          </cell>
          <cell r="C873" t="str">
            <v>Plastics; plates, sheets, film, foil and strip (not self-adhesive), of phenolic resins, non-cellular and not reinforced, laminated, supported or similarly combined with other materials</v>
          </cell>
          <cell r="D873" t="str">
            <v>Consumables - rc</v>
          </cell>
          <cell r="E873" t="str">
            <v>NO</v>
          </cell>
          <cell r="F873" t="str">
            <v>NO</v>
          </cell>
          <cell r="G873" t="str">
            <v>NO</v>
          </cell>
          <cell r="H873" t="str">
            <v>NO</v>
          </cell>
          <cell r="I873" t="str">
            <v>YES</v>
          </cell>
          <cell r="J873" t="str">
            <v>Yes</v>
          </cell>
        </row>
        <row r="874">
          <cell r="B874">
            <v>590320</v>
          </cell>
          <cell r="C874" t="str">
            <v>Textile fabrics; impregnated, coated, covered or laminated with polyurethane</v>
          </cell>
          <cell r="D874" t="str">
            <v>Consumables - rc</v>
          </cell>
          <cell r="E874" t="str">
            <v>NO</v>
          </cell>
          <cell r="F874" t="str">
            <v>NO</v>
          </cell>
          <cell r="G874" t="str">
            <v>NO</v>
          </cell>
          <cell r="H874" t="str">
            <v>NO</v>
          </cell>
          <cell r="I874" t="str">
            <v>YES</v>
          </cell>
          <cell r="J874" t="str">
            <v>Yes</v>
          </cell>
        </row>
        <row r="875">
          <cell r="B875">
            <v>591110</v>
          </cell>
          <cell r="C875" t="str">
            <v>Textile fabric, felt &amp; felt-lined woven fabrics, coated/covered/laminated with rubber, leather or other material, for card clothing, similar fabrics used for technical purposes, including rubber impregnated narrow velvet fabrics to cover weaving spindles</v>
          </cell>
          <cell r="D875" t="str">
            <v>Consumables - rc</v>
          </cell>
          <cell r="E875" t="str">
            <v>NO</v>
          </cell>
          <cell r="F875" t="str">
            <v>NO</v>
          </cell>
          <cell r="G875" t="str">
            <v>NO</v>
          </cell>
          <cell r="H875" t="str">
            <v>NO</v>
          </cell>
          <cell r="I875" t="str">
            <v>YES</v>
          </cell>
          <cell r="J875" t="str">
            <v>Yes</v>
          </cell>
        </row>
        <row r="876">
          <cell r="B876">
            <v>681019</v>
          </cell>
          <cell r="C876" t="str">
            <v>Cement, concrete or artificial stone; tiles, flagstones and similar, (excluding building blocks and bricks) whether or not reinforced</v>
          </cell>
          <cell r="D876" t="str">
            <v>Consumables - rc</v>
          </cell>
          <cell r="E876" t="str">
            <v>NO</v>
          </cell>
          <cell r="F876" t="str">
            <v>NO</v>
          </cell>
          <cell r="G876" t="str">
            <v>NO</v>
          </cell>
          <cell r="H876" t="str">
            <v>NO</v>
          </cell>
          <cell r="I876" t="str">
            <v>YES</v>
          </cell>
          <cell r="J876" t="str">
            <v>Yes</v>
          </cell>
        </row>
        <row r="877">
          <cell r="B877">
            <v>681099</v>
          </cell>
          <cell r="C877" t="str">
            <v>Cement, concrete or artificial stone; articles (other than prefabricated structural components for building or civil engineering), whether or not reinforced, n.e.c. in heading no. 6810</v>
          </cell>
          <cell r="D877" t="str">
            <v>Consumables - rc</v>
          </cell>
          <cell r="E877" t="str">
            <v>NO</v>
          </cell>
          <cell r="F877" t="str">
            <v>NO</v>
          </cell>
          <cell r="G877" t="str">
            <v>NO</v>
          </cell>
          <cell r="H877" t="str">
            <v>NO</v>
          </cell>
          <cell r="I877" t="str">
            <v>YES</v>
          </cell>
          <cell r="J877" t="str">
            <v>Yes</v>
          </cell>
        </row>
        <row r="878">
          <cell r="B878">
            <v>700510</v>
          </cell>
          <cell r="C878" t="str">
            <v>Glass; float glass and surface ground or polished glass, in sheets, non-wired, having an absorbent reflecting or non-reflecting layer</v>
          </cell>
          <cell r="D878" t="str">
            <v>Capital Goods - rc</v>
          </cell>
          <cell r="E878" t="str">
            <v>NO</v>
          </cell>
          <cell r="F878" t="str">
            <v>NO</v>
          </cell>
          <cell r="G878" t="str">
            <v>NO</v>
          </cell>
          <cell r="H878" t="str">
            <v>NO</v>
          </cell>
          <cell r="I878" t="str">
            <v>YES</v>
          </cell>
          <cell r="J878" t="str">
            <v>Yes</v>
          </cell>
        </row>
        <row r="879">
          <cell r="B879">
            <v>731419</v>
          </cell>
          <cell r="C879" t="str">
            <v>Iron or steel; woven cloth, other than of stainless steel</v>
          </cell>
          <cell r="D879" t="str">
            <v>Capital Goods - rc</v>
          </cell>
          <cell r="E879" t="str">
            <v>NO</v>
          </cell>
          <cell r="F879" t="str">
            <v>NO</v>
          </cell>
          <cell r="G879" t="str">
            <v>NO</v>
          </cell>
          <cell r="H879" t="str">
            <v>NO</v>
          </cell>
          <cell r="I879" t="str">
            <v>YES</v>
          </cell>
          <cell r="J879" t="str">
            <v>Yes</v>
          </cell>
        </row>
        <row r="880">
          <cell r="B880">
            <v>750890</v>
          </cell>
          <cell r="C880" t="str">
            <v>Nickel; articles thereof n.e.c. in item no. 7508.1</v>
          </cell>
          <cell r="D880" t="str">
            <v>Consumables - rc</v>
          </cell>
          <cell r="E880" t="str">
            <v>NO</v>
          </cell>
          <cell r="F880" t="str">
            <v>NO</v>
          </cell>
          <cell r="G880" t="str">
            <v>NO</v>
          </cell>
          <cell r="H880" t="str">
            <v>NO</v>
          </cell>
          <cell r="I880" t="str">
            <v>YES</v>
          </cell>
          <cell r="J880" t="str">
            <v>Yes</v>
          </cell>
        </row>
        <row r="881">
          <cell r="B881">
            <v>842230</v>
          </cell>
          <cell r="C881" t="str">
            <v>Machinery; for filling, closing, sealing, capsuling or labelling bottles, cans, bags or other containers, machinery for aerating beverages</v>
          </cell>
          <cell r="D881" t="str">
            <v>Capital Goods</v>
          </cell>
          <cell r="E881" t="str">
            <v>NO</v>
          </cell>
          <cell r="F881" t="str">
            <v>NO</v>
          </cell>
          <cell r="G881" t="str">
            <v>NO</v>
          </cell>
          <cell r="H881" t="str">
            <v>NO</v>
          </cell>
          <cell r="I881" t="str">
            <v>YES</v>
          </cell>
          <cell r="J881" t="str">
            <v>Yes</v>
          </cell>
        </row>
        <row r="882">
          <cell r="B882">
            <v>843050</v>
          </cell>
          <cell r="C882" t="str">
            <v>Machinery; for handling earth, minerals or ores, self-propelled, n.e.c. in heading no. 8430</v>
          </cell>
          <cell r="D882" t="str">
            <v>Capital Goods</v>
          </cell>
          <cell r="E882" t="str">
            <v>NO</v>
          </cell>
          <cell r="F882" t="str">
            <v>NO</v>
          </cell>
          <cell r="G882" t="str">
            <v>NO</v>
          </cell>
          <cell r="H882" t="str">
            <v>NO</v>
          </cell>
          <cell r="I882" t="str">
            <v>YES</v>
          </cell>
          <cell r="J882" t="str">
            <v>Yes</v>
          </cell>
        </row>
        <row r="883">
          <cell r="B883">
            <v>843790</v>
          </cell>
          <cell r="C883" t="str">
            <v>Machines; parts of those for cleaning, sorting or grading seed, grain or dried leguminous vegetables or for milling or working cereals or dried leguminous vegetables (not farm-type machinery)</v>
          </cell>
          <cell r="D883" t="str">
            <v>Parts &amp; Accessories</v>
          </cell>
          <cell r="E883" t="str">
            <v>NO</v>
          </cell>
          <cell r="F883" t="str">
            <v>NO</v>
          </cell>
          <cell r="G883" t="str">
            <v>NO</v>
          </cell>
          <cell r="H883" t="str">
            <v>NO</v>
          </cell>
          <cell r="I883" t="str">
            <v>YES</v>
          </cell>
          <cell r="J883" t="str">
            <v>Yes</v>
          </cell>
        </row>
        <row r="884">
          <cell r="B884">
            <v>846249</v>
          </cell>
          <cell r="C884" t="str">
            <v>Machine-tools; punching, notching or nibbling machines (excluding presses) for flat products including combined punching and shearing machines, other than numerically controlled, for working metal</v>
          </cell>
          <cell r="D884" t="str">
            <v>Capital Goods</v>
          </cell>
          <cell r="E884" t="str">
            <v>NO</v>
          </cell>
          <cell r="F884" t="str">
            <v>NO</v>
          </cell>
          <cell r="G884" t="str">
            <v>NO</v>
          </cell>
          <cell r="H884" t="str">
            <v>NO</v>
          </cell>
          <cell r="I884" t="str">
            <v>YES</v>
          </cell>
          <cell r="J884" t="str">
            <v>Yes</v>
          </cell>
        </row>
        <row r="885">
          <cell r="B885">
            <v>847480</v>
          </cell>
          <cell r="C885" t="str">
            <v>Machines; for agglomerating, shaping or moulding solid mineral fuels, ceramic paste, unhardened cements, plastering materials in powder or paste form, machines for forming foundry moulds of sand</v>
          </cell>
          <cell r="D885" t="str">
            <v>Parts &amp; Accessories</v>
          </cell>
          <cell r="E885" t="str">
            <v>NO</v>
          </cell>
          <cell r="F885" t="str">
            <v>NO</v>
          </cell>
          <cell r="G885" t="str">
            <v>NO</v>
          </cell>
          <cell r="H885" t="str">
            <v>NO</v>
          </cell>
          <cell r="I885" t="str">
            <v>YES</v>
          </cell>
          <cell r="J885" t="str">
            <v>Yes</v>
          </cell>
        </row>
        <row r="886">
          <cell r="B886">
            <v>854121</v>
          </cell>
          <cell r="C886" t="str">
            <v>Electrical apparatus; transistors, (other than photosensitive), with a dissipation rate of less than 1W</v>
          </cell>
          <cell r="D886" t="str">
            <v>Parts &amp; Accessories</v>
          </cell>
          <cell r="E886" t="str">
            <v>NO</v>
          </cell>
          <cell r="F886" t="str">
            <v>NO</v>
          </cell>
          <cell r="G886" t="str">
            <v>NO</v>
          </cell>
          <cell r="H886" t="str">
            <v>NO</v>
          </cell>
          <cell r="I886" t="str">
            <v>YES</v>
          </cell>
          <cell r="J886" t="str">
            <v>Yes</v>
          </cell>
        </row>
        <row r="887">
          <cell r="B887">
            <v>854460</v>
          </cell>
          <cell r="C887" t="str">
            <v>Insulated electric conductors; for a voltage exceeding 1000 volts</v>
          </cell>
          <cell r="D887" t="str">
            <v>Parts &amp; Accessories</v>
          </cell>
          <cell r="E887" t="str">
            <v>NO</v>
          </cell>
          <cell r="F887" t="str">
            <v>NO</v>
          </cell>
          <cell r="G887" t="str">
            <v>NO</v>
          </cell>
          <cell r="H887" t="str">
            <v>NO</v>
          </cell>
          <cell r="I887" t="str">
            <v>YES</v>
          </cell>
          <cell r="J887" t="str">
            <v>Yes</v>
          </cell>
        </row>
        <row r="888">
          <cell r="B888">
            <v>854800</v>
          </cell>
          <cell r="C888" t="str">
            <v>Electrical parts of machinery or apparatus; not specified or elsewhere included in this chapter</v>
          </cell>
          <cell r="D888" t="str">
            <v>Parts &amp; Accessories</v>
          </cell>
          <cell r="E888" t="str">
            <v>NO</v>
          </cell>
          <cell r="F888" t="str">
            <v>NO</v>
          </cell>
          <cell r="G888" t="str">
            <v>NO</v>
          </cell>
          <cell r="H888" t="str">
            <v>NO</v>
          </cell>
          <cell r="I888" t="str">
            <v>YES</v>
          </cell>
          <cell r="J888" t="str">
            <v>Yes</v>
          </cell>
        </row>
        <row r="889">
          <cell r="B889">
            <v>860730</v>
          </cell>
          <cell r="C889" t="str">
            <v>Railway or tramway locomotives or rolling stock; parts, hooks and other coupling devices, buffers and parts thereof</v>
          </cell>
          <cell r="D889" t="str">
            <v>Parts &amp; Accessories - rc</v>
          </cell>
          <cell r="E889" t="str">
            <v>NO</v>
          </cell>
          <cell r="F889" t="str">
            <v>NO</v>
          </cell>
          <cell r="G889" t="str">
            <v>NO</v>
          </cell>
          <cell r="H889" t="str">
            <v>NO</v>
          </cell>
          <cell r="I889" t="str">
            <v>YES</v>
          </cell>
          <cell r="J889" t="str">
            <v>Yes</v>
          </cell>
        </row>
        <row r="890">
          <cell r="B890">
            <v>901831</v>
          </cell>
          <cell r="C890" t="str">
            <v>Medical, surgical instruments and appliances; syringes, with or without needles</v>
          </cell>
          <cell r="D890" t="str">
            <v>Consumables - rc</v>
          </cell>
          <cell r="E890" t="str">
            <v>NO</v>
          </cell>
          <cell r="F890" t="str">
            <v>NO</v>
          </cell>
          <cell r="G890" t="str">
            <v>NO</v>
          </cell>
          <cell r="H890" t="str">
            <v>NO</v>
          </cell>
          <cell r="I890" t="str">
            <v>YES</v>
          </cell>
          <cell r="J890" t="str">
            <v>Yes</v>
          </cell>
        </row>
        <row r="891">
          <cell r="B891">
            <v>382499</v>
          </cell>
          <cell r="C891" t="str">
            <v>Chemical products, mixtures and preparations; n.e.c. heading 3824</v>
          </cell>
          <cell r="D891" t="str">
            <v>Consumables</v>
          </cell>
          <cell r="E891" t="str">
            <v>NO</v>
          </cell>
          <cell r="F891" t="str">
            <v>NO</v>
          </cell>
          <cell r="G891" t="str">
            <v>NO</v>
          </cell>
          <cell r="H891" t="str">
            <v>NO</v>
          </cell>
          <cell r="I891" t="str">
            <v>YES</v>
          </cell>
          <cell r="J891" t="str">
            <v>Yes</v>
          </cell>
        </row>
        <row r="892">
          <cell r="B892">
            <v>392010</v>
          </cell>
          <cell r="C892" t="str">
            <v>Plastics; plates, sheets, film, foil and strip (not self-adhesive), of polymers of ethylene, non-cellular and not reinforced, laminated, supported or similarly combined with other materials</v>
          </cell>
          <cell r="D892" t="str">
            <v>Consumables - rc</v>
          </cell>
          <cell r="E892" t="str">
            <v>NO</v>
          </cell>
          <cell r="F892" t="str">
            <v>NO</v>
          </cell>
          <cell r="G892" t="str">
            <v>NO</v>
          </cell>
          <cell r="H892" t="str">
            <v>NO</v>
          </cell>
          <cell r="I892" t="str">
            <v>YES</v>
          </cell>
          <cell r="J892" t="str">
            <v>Yes</v>
          </cell>
        </row>
        <row r="893">
          <cell r="B893">
            <v>540251</v>
          </cell>
          <cell r="C893" t="str">
            <v>Yarn, synthetic; filament, monofilament (less than 67 decitex), of nylon or other polymides (not high tenacity or textured), single, twisted more than 50 turns per metre, not for retail sale, not sewing thread</v>
          </cell>
          <cell r="D893" t="str">
            <v>Consumables - rc</v>
          </cell>
          <cell r="E893" t="str">
            <v>NO</v>
          </cell>
          <cell r="F893" t="str">
            <v>NO</v>
          </cell>
          <cell r="G893" t="str">
            <v>NO</v>
          </cell>
          <cell r="H893" t="str">
            <v>NO</v>
          </cell>
          <cell r="I893" t="str">
            <v>YES</v>
          </cell>
          <cell r="J893" t="str">
            <v>Yes</v>
          </cell>
        </row>
        <row r="894">
          <cell r="B894">
            <v>680291</v>
          </cell>
          <cell r="C894" t="str">
            <v>Marble, travertine and alabaster; articles thereof, (other than simply cut or sawn, with a flat or even surface)</v>
          </cell>
          <cell r="D894" t="str">
            <v>Consumables - rc</v>
          </cell>
          <cell r="E894" t="str">
            <v>NO</v>
          </cell>
          <cell r="F894" t="str">
            <v>NO</v>
          </cell>
          <cell r="G894" t="str">
            <v>NO</v>
          </cell>
          <cell r="H894" t="str">
            <v>NO</v>
          </cell>
          <cell r="I894" t="str">
            <v>YES</v>
          </cell>
          <cell r="J894" t="str">
            <v>Yes</v>
          </cell>
        </row>
        <row r="895">
          <cell r="B895">
            <v>681513</v>
          </cell>
          <cell r="C895" t="str">
            <v>Stone or other mineral substances not elsewhere specified or included; articles of carbon fibres for non-electrical uses</v>
          </cell>
          <cell r="D895" t="str">
            <v>Consumables - rc</v>
          </cell>
          <cell r="E895" t="str">
            <v>NO</v>
          </cell>
          <cell r="F895" t="str">
            <v>NO</v>
          </cell>
          <cell r="G895" t="str">
            <v>NO</v>
          </cell>
          <cell r="H895" t="str">
            <v>NO</v>
          </cell>
          <cell r="I895" t="str">
            <v>YES</v>
          </cell>
          <cell r="J895" t="str">
            <v>Yes</v>
          </cell>
        </row>
        <row r="896">
          <cell r="B896">
            <v>721220</v>
          </cell>
          <cell r="C896" t="str">
            <v>Iron or non-alloy steel; flat-rolled, of a width less than 600mm, electrolytically plated or coated with zinc</v>
          </cell>
          <cell r="D896" t="str">
            <v>Consumables - rc</v>
          </cell>
          <cell r="E896" t="str">
            <v>NO</v>
          </cell>
          <cell r="F896" t="str">
            <v>NO</v>
          </cell>
          <cell r="G896" t="str">
            <v>NO</v>
          </cell>
          <cell r="H896" t="str">
            <v>NO</v>
          </cell>
          <cell r="I896" t="str">
            <v>YES</v>
          </cell>
          <cell r="J896" t="str">
            <v>Yes</v>
          </cell>
        </row>
        <row r="897">
          <cell r="B897">
            <v>740819</v>
          </cell>
          <cell r="C897" t="str">
            <v>Copper; wire, of refined copper, of which the maximum cross-sectional dimension is 6mm or less</v>
          </cell>
          <cell r="D897" t="str">
            <v>Consumables - rc</v>
          </cell>
          <cell r="E897" t="str">
            <v>NO</v>
          </cell>
          <cell r="F897" t="str">
            <v>NO</v>
          </cell>
          <cell r="G897" t="str">
            <v>NO</v>
          </cell>
          <cell r="H897" t="str">
            <v>NO</v>
          </cell>
          <cell r="I897" t="str">
            <v>YES</v>
          </cell>
          <cell r="J897" t="str">
            <v>Yes</v>
          </cell>
        </row>
        <row r="898">
          <cell r="B898">
            <v>790120</v>
          </cell>
          <cell r="C898" t="str">
            <v>Zinc; unwrought, alloys</v>
          </cell>
          <cell r="D898" t="str">
            <v>Consumables - rc</v>
          </cell>
          <cell r="E898" t="str">
            <v>NO</v>
          </cell>
          <cell r="F898" t="str">
            <v>NO</v>
          </cell>
          <cell r="G898" t="str">
            <v>NO</v>
          </cell>
          <cell r="H898" t="str">
            <v>NO</v>
          </cell>
          <cell r="I898" t="str">
            <v>YES</v>
          </cell>
          <cell r="J898" t="str">
            <v>Yes</v>
          </cell>
        </row>
        <row r="899">
          <cell r="B899">
            <v>810690</v>
          </cell>
          <cell r="C899" t="str">
            <v>Bismuth; including articles n.e.c. in heading 8106, including waste and scrap, containing less than or equal to 99.99% of bismuth, by weight</v>
          </cell>
          <cell r="D899" t="str">
            <v>Consumables - rc</v>
          </cell>
          <cell r="E899" t="str">
            <v>NO</v>
          </cell>
          <cell r="F899" t="str">
            <v>NO</v>
          </cell>
          <cell r="G899" t="str">
            <v>NO</v>
          </cell>
          <cell r="H899" t="str">
            <v>NO</v>
          </cell>
          <cell r="I899" t="str">
            <v>YES</v>
          </cell>
          <cell r="J899" t="str">
            <v>Yes</v>
          </cell>
        </row>
        <row r="900">
          <cell r="B900">
            <v>843390</v>
          </cell>
          <cell r="C900" t="str">
            <v>Harvesting machinery; parts, including parts of threshing machinery, straw or fodder balers and grass or hay mowers</v>
          </cell>
          <cell r="D900" t="str">
            <v>Parts &amp; Accessories - rc</v>
          </cell>
          <cell r="E900" t="str">
            <v>NO</v>
          </cell>
          <cell r="F900" t="str">
            <v>NO</v>
          </cell>
          <cell r="G900" t="str">
            <v>NO</v>
          </cell>
          <cell r="H900" t="str">
            <v>NO</v>
          </cell>
          <cell r="I900" t="str">
            <v>YES</v>
          </cell>
          <cell r="J900" t="str">
            <v>Yes</v>
          </cell>
        </row>
        <row r="901">
          <cell r="B901">
            <v>844900</v>
          </cell>
          <cell r="C901" t="str">
            <v>Machinery; for manufacture or finishing felt or non-wovens in the piece or in shapes, including machinery for making felt hats, blocks for making hats</v>
          </cell>
          <cell r="D901" t="str">
            <v>Capital Goods</v>
          </cell>
          <cell r="E901" t="str">
            <v>NO</v>
          </cell>
          <cell r="F901" t="str">
            <v>NO</v>
          </cell>
          <cell r="G901" t="str">
            <v>NO</v>
          </cell>
          <cell r="H901" t="str">
            <v>NO</v>
          </cell>
          <cell r="I901" t="str">
            <v>YES</v>
          </cell>
          <cell r="J901" t="str">
            <v>Yes</v>
          </cell>
        </row>
        <row r="902">
          <cell r="B902">
            <v>852581</v>
          </cell>
          <cell r="C902" t="str">
            <v>Television cameras, digital cameras and video camera recorders; high-speed goods as specified in subheading note 1 to this chapter</v>
          </cell>
          <cell r="D902" t="str">
            <v>Capital Goods - rc</v>
          </cell>
          <cell r="E902" t="str">
            <v>NO</v>
          </cell>
          <cell r="F902" t="str">
            <v>NO</v>
          </cell>
          <cell r="G902" t="str">
            <v>NO</v>
          </cell>
          <cell r="H902" t="str">
            <v>NO</v>
          </cell>
          <cell r="I902" t="str">
            <v>YES</v>
          </cell>
          <cell r="J902" t="str">
            <v>Yes</v>
          </cell>
        </row>
        <row r="903">
          <cell r="B903">
            <v>854710</v>
          </cell>
          <cell r="C903" t="str">
            <v>Insulating fittings; of ceramics, for electrical machines, of insulating material only (except minor assembly parts), excluding those of heading no. 8546</v>
          </cell>
          <cell r="D903" t="str">
            <v>Parts &amp; Accessories</v>
          </cell>
          <cell r="E903" t="str">
            <v>NO</v>
          </cell>
          <cell r="F903" t="str">
            <v>NO</v>
          </cell>
          <cell r="G903" t="str">
            <v>NO</v>
          </cell>
          <cell r="H903" t="str">
            <v>NO</v>
          </cell>
          <cell r="I903" t="str">
            <v>YES</v>
          </cell>
          <cell r="J903" t="str">
            <v>Yes</v>
          </cell>
        </row>
        <row r="904">
          <cell r="B904">
            <v>901540</v>
          </cell>
          <cell r="C904" t="str">
            <v>Surveying equipment; photogrammetrical surveying instruments and appliances</v>
          </cell>
          <cell r="D904" t="str">
            <v>Capital Goods</v>
          </cell>
          <cell r="E904" t="str">
            <v>NO</v>
          </cell>
          <cell r="F904" t="str">
            <v>NO</v>
          </cell>
          <cell r="G904" t="str">
            <v>NO</v>
          </cell>
          <cell r="H904" t="str">
            <v>NO</v>
          </cell>
          <cell r="I904" t="str">
            <v>YES</v>
          </cell>
          <cell r="J904" t="str">
            <v>Yes</v>
          </cell>
        </row>
        <row r="905">
          <cell r="B905">
            <v>903220</v>
          </cell>
          <cell r="C905" t="str">
            <v>Regulating or controlling instruments and apparatus; automatic, manostats</v>
          </cell>
          <cell r="D905" t="str">
            <v>Capital Goods</v>
          </cell>
          <cell r="E905" t="str">
            <v>NO</v>
          </cell>
          <cell r="F905" t="str">
            <v>NO</v>
          </cell>
          <cell r="G905" t="str">
            <v>NO</v>
          </cell>
          <cell r="H905" t="str">
            <v>NO</v>
          </cell>
          <cell r="I905" t="str">
            <v>YES</v>
          </cell>
          <cell r="J905" t="str">
            <v>Yes</v>
          </cell>
        </row>
        <row r="906">
          <cell r="B906">
            <v>903281</v>
          </cell>
          <cell r="C906" t="str">
            <v>Regulating or controlling instruments and apparatus; automatic, hydraulic or pneumatic</v>
          </cell>
          <cell r="D906" t="str">
            <v>Capital Goods</v>
          </cell>
          <cell r="E906" t="str">
            <v>NO</v>
          </cell>
          <cell r="F906" t="str">
            <v>NO</v>
          </cell>
          <cell r="G906" t="str">
            <v>NO</v>
          </cell>
          <cell r="H906" t="str">
            <v>NO</v>
          </cell>
          <cell r="I906" t="str">
            <v>YES</v>
          </cell>
          <cell r="J906" t="str">
            <v>Yes</v>
          </cell>
        </row>
        <row r="907">
          <cell r="B907">
            <v>392111</v>
          </cell>
          <cell r="C907" t="str">
            <v>Plastics; plates, sheets, film, foil and strip, of polymers of styrene, cellular</v>
          </cell>
          <cell r="D907" t="str">
            <v>Consumables - rc</v>
          </cell>
          <cell r="E907" t="str">
            <v>NO</v>
          </cell>
          <cell r="F907" t="str">
            <v>NO</v>
          </cell>
          <cell r="G907" t="str">
            <v>NO</v>
          </cell>
          <cell r="H907" t="str">
            <v>NO</v>
          </cell>
          <cell r="I907" t="str">
            <v>YES</v>
          </cell>
          <cell r="J907" t="str">
            <v>Yes</v>
          </cell>
        </row>
        <row r="908">
          <cell r="B908">
            <v>392340</v>
          </cell>
          <cell r="C908" t="str">
            <v>Plastics; spools, cops, bobbins and similar supports, for the conveyance or packing of goods</v>
          </cell>
          <cell r="D908" t="str">
            <v>Consumables - rc</v>
          </cell>
          <cell r="E908" t="str">
            <v>NO</v>
          </cell>
          <cell r="F908" t="str">
            <v>NO</v>
          </cell>
          <cell r="G908" t="str">
            <v>NO</v>
          </cell>
          <cell r="H908" t="str">
            <v>NO</v>
          </cell>
          <cell r="I908" t="str">
            <v>YES</v>
          </cell>
          <cell r="J908" t="str">
            <v>Yes</v>
          </cell>
        </row>
        <row r="909">
          <cell r="B909">
            <v>580610</v>
          </cell>
          <cell r="C909" t="str">
            <v>Fabrics; woven pile (including terry towelling and similar terry fabrics) and chenille fabrics (excluding goods of heading 5807)</v>
          </cell>
          <cell r="D909" t="str">
            <v>Consumables - rc</v>
          </cell>
          <cell r="E909" t="str">
            <v>NO</v>
          </cell>
          <cell r="F909" t="str">
            <v>NO</v>
          </cell>
          <cell r="G909" t="str">
            <v>NO</v>
          </cell>
          <cell r="H909" t="str">
            <v>NO</v>
          </cell>
          <cell r="I909" t="str">
            <v>YES</v>
          </cell>
          <cell r="J909" t="str">
            <v>Yes</v>
          </cell>
        </row>
        <row r="910">
          <cell r="B910">
            <v>731449</v>
          </cell>
          <cell r="C910" t="str">
            <v>Iron or steel wire; grill, netting and fencing, coated with materials other than zinc or plastic</v>
          </cell>
          <cell r="D910" t="str">
            <v>Capital Goods - rc</v>
          </cell>
          <cell r="E910" t="str">
            <v>NO</v>
          </cell>
          <cell r="F910" t="str">
            <v>NO</v>
          </cell>
          <cell r="G910" t="str">
            <v>NO</v>
          </cell>
          <cell r="H910" t="str">
            <v>NO</v>
          </cell>
          <cell r="I910" t="str">
            <v>YES</v>
          </cell>
          <cell r="J910" t="str">
            <v>Yes</v>
          </cell>
        </row>
        <row r="911">
          <cell r="B911">
            <v>731812</v>
          </cell>
          <cell r="C911" t="str">
            <v>Iron or steel; threaded wood screws other than coach screws</v>
          </cell>
          <cell r="D911" t="str">
            <v>Consumables</v>
          </cell>
          <cell r="E911" t="str">
            <v>NO</v>
          </cell>
          <cell r="F911" t="str">
            <v>NO</v>
          </cell>
          <cell r="G911" t="str">
            <v>NO</v>
          </cell>
          <cell r="H911" t="str">
            <v>NO</v>
          </cell>
          <cell r="I911" t="str">
            <v>YES</v>
          </cell>
          <cell r="J911" t="str">
            <v>Yes</v>
          </cell>
        </row>
        <row r="912">
          <cell r="B912">
            <v>800300</v>
          </cell>
          <cell r="C912" t="str">
            <v>Tin; bars, rods, profiles and wire</v>
          </cell>
          <cell r="D912" t="str">
            <v>Consumables - rc</v>
          </cell>
          <cell r="E912" t="str">
            <v>NO</v>
          </cell>
          <cell r="F912" t="str">
            <v>NO</v>
          </cell>
          <cell r="G912" t="str">
            <v>NO</v>
          </cell>
          <cell r="H912" t="str">
            <v>NO</v>
          </cell>
          <cell r="I912" t="str">
            <v>YES</v>
          </cell>
          <cell r="J912" t="str">
            <v>Yes</v>
          </cell>
        </row>
        <row r="913">
          <cell r="B913">
            <v>843890</v>
          </cell>
          <cell r="C913" t="str">
            <v>Machinery; parts of those machines used in the industrial preparation or manufacture of food or drink</v>
          </cell>
          <cell r="D913" t="str">
            <v>Parts &amp; Accessories</v>
          </cell>
          <cell r="E913" t="str">
            <v>NO</v>
          </cell>
          <cell r="F913" t="str">
            <v>NO</v>
          </cell>
          <cell r="G913" t="str">
            <v>NO</v>
          </cell>
          <cell r="H913" t="str">
            <v>NO</v>
          </cell>
          <cell r="I913" t="str">
            <v>YES</v>
          </cell>
          <cell r="J913" t="str">
            <v>Yes</v>
          </cell>
        </row>
        <row r="914">
          <cell r="B914">
            <v>846592</v>
          </cell>
          <cell r="C914" t="str">
            <v>Machine-tools; for working wood, cork, bone, hard rubber, hard plastics or similar hard materials; planing, milling or moulding (by cutting) machines</v>
          </cell>
          <cell r="D914" t="str">
            <v>Capital Goods</v>
          </cell>
          <cell r="E914" t="str">
            <v>NO</v>
          </cell>
          <cell r="F914" t="str">
            <v>NO</v>
          </cell>
          <cell r="G914" t="str">
            <v>NO</v>
          </cell>
          <cell r="H914" t="str">
            <v>NO</v>
          </cell>
          <cell r="I914" t="str">
            <v>YES</v>
          </cell>
          <cell r="J914" t="str">
            <v>Yes</v>
          </cell>
        </row>
        <row r="915">
          <cell r="B915">
            <v>370243</v>
          </cell>
          <cell r="C915" t="str">
            <v>Photographic film; in rolls, sensitised, unexposed, without sprocket holes, of a width exceeding 610mm and of a length not exceeding 200m (other than of paper, paperboard or textiles)</v>
          </cell>
          <cell r="D915" t="str">
            <v>Consumables - rc</v>
          </cell>
          <cell r="E915" t="str">
            <v>NO</v>
          </cell>
          <cell r="F915" t="str">
            <v>NO</v>
          </cell>
          <cell r="G915" t="str">
            <v>NO</v>
          </cell>
          <cell r="H915" t="str">
            <v>NO</v>
          </cell>
          <cell r="I915" t="str">
            <v>YES</v>
          </cell>
          <cell r="J915" t="str">
            <v>Yes</v>
          </cell>
        </row>
        <row r="916">
          <cell r="B916">
            <v>370320</v>
          </cell>
          <cell r="C916" t="str">
            <v>Photographic paper, paperboard and textiles; for colour photography (polychrome), (other than in rolls of a width exceeding 610mm), sensitised, unexposed</v>
          </cell>
          <cell r="D916" t="str">
            <v>Consumables - rc</v>
          </cell>
          <cell r="E916" t="str">
            <v>NO</v>
          </cell>
          <cell r="F916" t="str">
            <v>NO</v>
          </cell>
          <cell r="G916" t="str">
            <v>NO</v>
          </cell>
          <cell r="H916" t="str">
            <v>NO</v>
          </cell>
          <cell r="I916" t="str">
            <v>YES</v>
          </cell>
          <cell r="J916" t="str">
            <v>Yes</v>
          </cell>
        </row>
        <row r="917">
          <cell r="B917">
            <v>481151</v>
          </cell>
          <cell r="C917" t="str">
            <v>Paper and paperboard; coated, impregnated or covered with plastics (excluding adhesives), bleached, weighing more than 150g/m2, other than goods of heading no. 4803, 4809, or 4810</v>
          </cell>
          <cell r="D917" t="str">
            <v>Consumables - rc</v>
          </cell>
          <cell r="E917" t="str">
            <v>NO</v>
          </cell>
          <cell r="F917" t="str">
            <v>NO</v>
          </cell>
          <cell r="G917" t="str">
            <v>NO</v>
          </cell>
          <cell r="H917" t="str">
            <v>NO</v>
          </cell>
          <cell r="I917" t="str">
            <v>YES</v>
          </cell>
          <cell r="J917" t="str">
            <v>Yes</v>
          </cell>
        </row>
        <row r="918">
          <cell r="B918">
            <v>611430</v>
          </cell>
          <cell r="C918" t="str">
            <v>Garments; of man-made fibres, knitted or crocheted, n.e.c. in chapter 61</v>
          </cell>
          <cell r="D918" t="str">
            <v>Others</v>
          </cell>
          <cell r="E918" t="str">
            <v>NO</v>
          </cell>
          <cell r="F918" t="str">
            <v>NO</v>
          </cell>
          <cell r="G918" t="str">
            <v>NO</v>
          </cell>
          <cell r="H918" t="str">
            <v>NO</v>
          </cell>
          <cell r="I918" t="str">
            <v>YES</v>
          </cell>
          <cell r="J918" t="str">
            <v>Yes</v>
          </cell>
        </row>
        <row r="919">
          <cell r="B919">
            <v>700991</v>
          </cell>
          <cell r="C919" t="str">
            <v>Glass mirrors; unframed, excluding rear-view mirrors for vehicles</v>
          </cell>
          <cell r="D919" t="str">
            <v>Consumables - rc</v>
          </cell>
          <cell r="E919" t="str">
            <v>NO</v>
          </cell>
          <cell r="F919" t="str">
            <v>NO</v>
          </cell>
          <cell r="G919" t="str">
            <v>NO</v>
          </cell>
          <cell r="H919" t="str">
            <v>NO</v>
          </cell>
          <cell r="I919" t="str">
            <v>YES</v>
          </cell>
          <cell r="J919" t="str">
            <v>Yes</v>
          </cell>
        </row>
        <row r="920">
          <cell r="B920">
            <v>730900</v>
          </cell>
          <cell r="C920" t="str">
            <v>Reservoirs, tanks, vats and similar containers; for any material (excluding compressed or liquefied gas), of iron or steel, capacity exceeding 300l, whether or not lined or heat insulated</v>
          </cell>
          <cell r="D920" t="str">
            <v>Capital Goods</v>
          </cell>
          <cell r="E920" t="str">
            <v>NO</v>
          </cell>
          <cell r="F920" t="str">
            <v>NO</v>
          </cell>
          <cell r="G920" t="str">
            <v>NO</v>
          </cell>
          <cell r="H920" t="str">
            <v>NO</v>
          </cell>
          <cell r="I920" t="str">
            <v>YES</v>
          </cell>
          <cell r="J920" t="str">
            <v>Yes</v>
          </cell>
        </row>
        <row r="921">
          <cell r="B921">
            <v>732510</v>
          </cell>
          <cell r="C921" t="str">
            <v>Iron; articles of non-malleable cast iron</v>
          </cell>
          <cell r="D921" t="str">
            <v>Capital Goods - rc</v>
          </cell>
          <cell r="E921" t="str">
            <v>NO</v>
          </cell>
          <cell r="F921" t="str">
            <v>NO</v>
          </cell>
          <cell r="G921" t="str">
            <v>NO</v>
          </cell>
          <cell r="H921" t="str">
            <v>NO</v>
          </cell>
          <cell r="I921" t="str">
            <v>YES</v>
          </cell>
          <cell r="J921" t="str">
            <v>Yes</v>
          </cell>
        </row>
        <row r="922">
          <cell r="B922">
            <v>740929</v>
          </cell>
          <cell r="C922" t="str">
            <v>Copper; plates and sheets, of a thickness exceeding 0.15mm, of copper-zinc base alloys (brass), not in coils</v>
          </cell>
          <cell r="D922" t="str">
            <v>Consumables - rc</v>
          </cell>
          <cell r="E922" t="str">
            <v>NO</v>
          </cell>
          <cell r="F922" t="str">
            <v>NO</v>
          </cell>
          <cell r="G922" t="str">
            <v>NO</v>
          </cell>
          <cell r="H922" t="str">
            <v>NO</v>
          </cell>
          <cell r="I922" t="str">
            <v>YES</v>
          </cell>
          <cell r="J922" t="str">
            <v>Yes</v>
          </cell>
        </row>
        <row r="923">
          <cell r="B923">
            <v>761010</v>
          </cell>
          <cell r="C923" t="str">
            <v>Aluminium; structures (excluding prefabricated buildings of heading no. 9406) and parts of structures, doors, windows and their frames and thresholds for doors</v>
          </cell>
          <cell r="D923" t="str">
            <v>Capital Goods - rc</v>
          </cell>
          <cell r="E923" t="str">
            <v>NO</v>
          </cell>
          <cell r="F923" t="str">
            <v>NO</v>
          </cell>
          <cell r="G923" t="str">
            <v>NO</v>
          </cell>
          <cell r="H923" t="str">
            <v>NO</v>
          </cell>
          <cell r="I923" t="str">
            <v>YES</v>
          </cell>
          <cell r="J923" t="str">
            <v>Yes</v>
          </cell>
        </row>
        <row r="924">
          <cell r="B924">
            <v>830130</v>
          </cell>
          <cell r="C924" t="str">
            <v>Locks; of a kind used for furniture (key, combination or electrically operated), of base metal</v>
          </cell>
          <cell r="D924" t="str">
            <v>Capital Goods - rc</v>
          </cell>
          <cell r="E924" t="str">
            <v>NO</v>
          </cell>
          <cell r="F924" t="str">
            <v>NO</v>
          </cell>
          <cell r="G924" t="str">
            <v>NO</v>
          </cell>
          <cell r="H924" t="str">
            <v>NO</v>
          </cell>
          <cell r="I924" t="str">
            <v>YES</v>
          </cell>
          <cell r="J924" t="str">
            <v>Yes</v>
          </cell>
        </row>
        <row r="925">
          <cell r="B925">
            <v>840991</v>
          </cell>
          <cell r="C925" t="str">
            <v>Engines; parts, suitable for use solely or principally with spark-ignition internal combustion piston engines (for other than aircraft)</v>
          </cell>
          <cell r="D925" t="str">
            <v>Parts &amp; Accessories - rc</v>
          </cell>
          <cell r="E925" t="str">
            <v>NO</v>
          </cell>
          <cell r="F925" t="str">
            <v>NO</v>
          </cell>
          <cell r="G925" t="str">
            <v>NO</v>
          </cell>
          <cell r="H925" t="str">
            <v>NO</v>
          </cell>
          <cell r="I925" t="str">
            <v>YES</v>
          </cell>
          <cell r="J925" t="str">
            <v>Yes</v>
          </cell>
        </row>
        <row r="926">
          <cell r="B926">
            <v>848250</v>
          </cell>
          <cell r="C926" t="str">
            <v>Bearings; cylindrical roller bearings, including cage and roller assemblies n.e.c. in heading no. 8482</v>
          </cell>
          <cell r="D926" t="str">
            <v>Parts &amp; Accessories</v>
          </cell>
          <cell r="E926" t="str">
            <v>NO</v>
          </cell>
          <cell r="F926" t="str">
            <v>NO</v>
          </cell>
          <cell r="G926" t="str">
            <v>NO</v>
          </cell>
          <cell r="H926" t="str">
            <v>NO</v>
          </cell>
          <cell r="I926" t="str">
            <v>YES</v>
          </cell>
          <cell r="J926" t="str">
            <v>Yes</v>
          </cell>
        </row>
        <row r="927">
          <cell r="B927">
            <v>854099</v>
          </cell>
          <cell r="C927" t="str">
            <v>Valves and tubes; parts of the valves and tubes of heading no. 8540, excluding parts of cathode-ray tubes</v>
          </cell>
          <cell r="D927" t="str">
            <v>Parts &amp; Accessories</v>
          </cell>
          <cell r="E927" t="str">
            <v>NO</v>
          </cell>
          <cell r="F927" t="str">
            <v>NO</v>
          </cell>
          <cell r="G927" t="str">
            <v>NO</v>
          </cell>
          <cell r="H927" t="str">
            <v>NO</v>
          </cell>
          <cell r="I927" t="str">
            <v>YES</v>
          </cell>
          <cell r="J927" t="str">
            <v>Yes</v>
          </cell>
        </row>
        <row r="928">
          <cell r="B928">
            <v>854151</v>
          </cell>
          <cell r="C928" t="str">
            <v>Electrical apparatus; photosensitive semiconductor devices, semiconductor-based transducers</v>
          </cell>
          <cell r="D928" t="str">
            <v>Capital Goods</v>
          </cell>
          <cell r="E928" t="str">
            <v>NO</v>
          </cell>
          <cell r="F928" t="str">
            <v>NO</v>
          </cell>
          <cell r="G928" t="str">
            <v>NO</v>
          </cell>
          <cell r="H928" t="str">
            <v>NO</v>
          </cell>
          <cell r="I928" t="str">
            <v>YES</v>
          </cell>
          <cell r="J928" t="str">
            <v>Yes</v>
          </cell>
        </row>
        <row r="929">
          <cell r="B929">
            <v>901720</v>
          </cell>
          <cell r="C929" t="str">
            <v>Drawing, marking-out or mathematical calculating instruments</v>
          </cell>
          <cell r="D929" t="str">
            <v>Capital Goods</v>
          </cell>
          <cell r="E929" t="str">
            <v>NO</v>
          </cell>
          <cell r="F929" t="str">
            <v>NO</v>
          </cell>
          <cell r="G929" t="str">
            <v>NO</v>
          </cell>
          <cell r="H929" t="str">
            <v>NO</v>
          </cell>
          <cell r="I929" t="str">
            <v>YES</v>
          </cell>
          <cell r="J929" t="str">
            <v>Yes</v>
          </cell>
        </row>
        <row r="930">
          <cell r="B930">
            <v>902990</v>
          </cell>
          <cell r="C930" t="str">
            <v>Meters and counters; parts and accessories for revolution and production counters, taximeters, mileometers, pedometers and the like; speed indicators, tachometers (excluding heading no. 9015), stroboscopes</v>
          </cell>
          <cell r="D930" t="str">
            <v>Parts &amp; Accessories</v>
          </cell>
          <cell r="E930" t="str">
            <v>NO</v>
          </cell>
          <cell r="F930" t="str">
            <v>NO</v>
          </cell>
          <cell r="G930" t="str">
            <v>NO</v>
          </cell>
          <cell r="H930" t="str">
            <v>NO</v>
          </cell>
          <cell r="I930" t="str">
            <v>YES</v>
          </cell>
          <cell r="J930" t="str">
            <v>Yes</v>
          </cell>
        </row>
        <row r="931">
          <cell r="B931">
            <v>940529</v>
          </cell>
          <cell r="C931" t="str">
            <v>Luminaires and light fittings; electric, table, desk, bedside or floor-standing, for other than use solely with light-emitting diode (LED) light sources</v>
          </cell>
          <cell r="D931" t="str">
            <v>Capital Goods - rc</v>
          </cell>
          <cell r="E931" t="str">
            <v>NO</v>
          </cell>
          <cell r="F931" t="str">
            <v>NO</v>
          </cell>
          <cell r="G931" t="str">
            <v>NO</v>
          </cell>
          <cell r="H931" t="str">
            <v>NO</v>
          </cell>
          <cell r="I931" t="str">
            <v>YES</v>
          </cell>
          <cell r="J931" t="str">
            <v>Yes</v>
          </cell>
        </row>
        <row r="932">
          <cell r="B932">
            <v>400821</v>
          </cell>
          <cell r="C932" t="str">
            <v>Rubber; vulcanised (other than hard rubber), in plates, sheets and strip, of non-cellular rubber</v>
          </cell>
          <cell r="D932" t="str">
            <v>Consumables - rc</v>
          </cell>
          <cell r="E932" t="str">
            <v>NO</v>
          </cell>
          <cell r="F932" t="str">
            <v>NO</v>
          </cell>
          <cell r="G932" t="str">
            <v>NO</v>
          </cell>
          <cell r="H932" t="str">
            <v>NO</v>
          </cell>
          <cell r="I932" t="str">
            <v>YES</v>
          </cell>
          <cell r="J932" t="str">
            <v>Yes</v>
          </cell>
        </row>
        <row r="933">
          <cell r="B933">
            <v>481190</v>
          </cell>
          <cell r="C933" t="str">
            <v>Paper, paperboard, cellulose wadding and webs of soft cellulose fibres; coated, impregnated, covered, surface-decorated or surface-coloured, n.e.c. in heading no. 4811, in rolls or sheets</v>
          </cell>
          <cell r="D933" t="str">
            <v>Consumables - rc</v>
          </cell>
          <cell r="E933" t="str">
            <v>NO</v>
          </cell>
          <cell r="F933" t="str">
            <v>NO</v>
          </cell>
          <cell r="G933" t="str">
            <v>NO</v>
          </cell>
          <cell r="H933" t="str">
            <v>NO</v>
          </cell>
          <cell r="I933" t="str">
            <v>YES</v>
          </cell>
          <cell r="J933" t="str">
            <v>Yes</v>
          </cell>
        </row>
        <row r="934">
          <cell r="B934">
            <v>560122</v>
          </cell>
          <cell r="C934" t="str">
            <v>Wadding; other articles thereof, of man-made fibres</v>
          </cell>
          <cell r="D934" t="str">
            <v>Consumables - rc</v>
          </cell>
          <cell r="E934" t="str">
            <v>NO</v>
          </cell>
          <cell r="F934" t="str">
            <v>NO</v>
          </cell>
          <cell r="G934" t="str">
            <v>NO</v>
          </cell>
          <cell r="H934" t="str">
            <v>NO</v>
          </cell>
          <cell r="I934" t="str">
            <v>YES</v>
          </cell>
          <cell r="J934" t="str">
            <v>Yes</v>
          </cell>
        </row>
        <row r="935">
          <cell r="B935">
            <v>841940</v>
          </cell>
          <cell r="C935" t="str">
            <v>Distilling or rectifying plant; not used for domestic purposes</v>
          </cell>
          <cell r="D935" t="str">
            <v>Capital Goods</v>
          </cell>
          <cell r="E935" t="str">
            <v>NO</v>
          </cell>
          <cell r="F935" t="str">
            <v>NO</v>
          </cell>
          <cell r="G935" t="str">
            <v>NO</v>
          </cell>
          <cell r="H935" t="str">
            <v>NO</v>
          </cell>
          <cell r="I935" t="str">
            <v>YES</v>
          </cell>
          <cell r="J935" t="str">
            <v>Yes</v>
          </cell>
        </row>
        <row r="936">
          <cell r="B936">
            <v>846880</v>
          </cell>
          <cell r="C936" t="str">
            <v>Machinery and apparatus; for soldering, brazing or welding, whether or not capable of cutting, n.e.c. in heading no. 8468</v>
          </cell>
          <cell r="D936" t="str">
            <v>Capital Goods</v>
          </cell>
          <cell r="E936" t="str">
            <v>NO</v>
          </cell>
          <cell r="F936" t="str">
            <v>NO</v>
          </cell>
          <cell r="G936" t="str">
            <v>NO</v>
          </cell>
          <cell r="H936" t="str">
            <v>NO</v>
          </cell>
          <cell r="I936" t="str">
            <v>YES</v>
          </cell>
          <cell r="J936" t="str">
            <v>Yes</v>
          </cell>
        </row>
        <row r="937">
          <cell r="B937">
            <v>848640</v>
          </cell>
          <cell r="C937" t="str">
            <v>Machines and apparatus of a kind used solely or principally for the manufacture or repair of masks and reticles, assembling semiconductor devices or electronic integrated circuits, or for lifting, handling, loading or unloading items of heading 8486</v>
          </cell>
          <cell r="D937" t="str">
            <v>Capital Goods</v>
          </cell>
          <cell r="E937" t="str">
            <v>NO</v>
          </cell>
          <cell r="F937" t="str">
            <v>NO</v>
          </cell>
          <cell r="G937" t="str">
            <v>NO</v>
          </cell>
          <cell r="H937" t="str">
            <v>NO</v>
          </cell>
          <cell r="I937" t="str">
            <v>YES</v>
          </cell>
          <cell r="J937" t="str">
            <v>Yes</v>
          </cell>
        </row>
        <row r="938">
          <cell r="B938">
            <v>851529</v>
          </cell>
          <cell r="C938" t="str">
            <v>Welding machines and apparatus; for resistance welding of metal, other than fully or partly automatic, whether or not capable of cutting</v>
          </cell>
          <cell r="D938" t="str">
            <v>Capital Goods</v>
          </cell>
          <cell r="E938" t="str">
            <v>NO</v>
          </cell>
          <cell r="F938" t="str">
            <v>NO</v>
          </cell>
          <cell r="G938" t="str">
            <v>NO</v>
          </cell>
          <cell r="H938" t="str">
            <v>NO</v>
          </cell>
          <cell r="I938" t="str">
            <v>YES</v>
          </cell>
          <cell r="J938" t="str">
            <v>Yes</v>
          </cell>
        </row>
        <row r="939">
          <cell r="B939">
            <v>870840</v>
          </cell>
          <cell r="C939" t="str">
            <v>Vehicle parts; gear boxes and parts thereof</v>
          </cell>
          <cell r="D939" t="str">
            <v>Parts &amp; Accessories - rc</v>
          </cell>
          <cell r="E939" t="str">
            <v>NO</v>
          </cell>
          <cell r="F939" t="str">
            <v>NO</v>
          </cell>
          <cell r="G939" t="str">
            <v>NO</v>
          </cell>
          <cell r="H939" t="str">
            <v>NO</v>
          </cell>
          <cell r="I939" t="str">
            <v>YES</v>
          </cell>
          <cell r="J939" t="str">
            <v>Yes</v>
          </cell>
        </row>
        <row r="940">
          <cell r="B940">
            <v>903032</v>
          </cell>
          <cell r="C940" t="str">
            <v>Multimeters; for measuring or checking voltage, current, resistance or power, with a recording device</v>
          </cell>
          <cell r="D940" t="str">
            <v>Capital Goods</v>
          </cell>
          <cell r="E940" t="str">
            <v>NO</v>
          </cell>
          <cell r="F940" t="str">
            <v>NO</v>
          </cell>
          <cell r="G940" t="str">
            <v>NO</v>
          </cell>
          <cell r="H940" t="str">
            <v>NO</v>
          </cell>
          <cell r="I940" t="str">
            <v>YES</v>
          </cell>
          <cell r="J940" t="str">
            <v>Yes</v>
          </cell>
        </row>
        <row r="941">
          <cell r="B941">
            <v>441510</v>
          </cell>
          <cell r="C941" t="str">
            <v>Wood; cases, boxes, crates, drums, similar packings and cable-drums</v>
          </cell>
          <cell r="D941" t="str">
            <v>Consumables - rc</v>
          </cell>
          <cell r="E941" t="str">
            <v>NO</v>
          </cell>
          <cell r="F941" t="str">
            <v>NO</v>
          </cell>
          <cell r="G941" t="str">
            <v>NO</v>
          </cell>
          <cell r="H941" t="str">
            <v>NO</v>
          </cell>
          <cell r="I941" t="str">
            <v>YES</v>
          </cell>
          <cell r="J941" t="str">
            <v>Yes</v>
          </cell>
        </row>
        <row r="942">
          <cell r="B942">
            <v>480890</v>
          </cell>
          <cell r="C942" t="str">
            <v>Paper and paperboard; other than corrugated (with or without glued flat surface sheets) or kraft paper, creped or crinkled, whether or not embossed or perforated, in rolls or sheets, other than paper of heading 4803</v>
          </cell>
          <cell r="D942" t="str">
            <v>Consumables - rc</v>
          </cell>
          <cell r="E942" t="str">
            <v>NO</v>
          </cell>
          <cell r="F942" t="str">
            <v>NO</v>
          </cell>
          <cell r="G942" t="str">
            <v>NO</v>
          </cell>
          <cell r="H942" t="str">
            <v>NO</v>
          </cell>
          <cell r="I942" t="str">
            <v>YES</v>
          </cell>
          <cell r="J942" t="str">
            <v>Yes</v>
          </cell>
        </row>
        <row r="943">
          <cell r="B943">
            <v>520939</v>
          </cell>
          <cell r="C943" t="str">
            <v>Fabrics, woven; containing 85% or more by weight of cotton, dyed, of weaves n.e.c. in item no. 5209.3, weighing more than 200g/m2</v>
          </cell>
          <cell r="D943" t="str">
            <v>Consumables - rc</v>
          </cell>
          <cell r="E943" t="str">
            <v>NO</v>
          </cell>
          <cell r="F943" t="str">
            <v>NO</v>
          </cell>
          <cell r="G943" t="str">
            <v>NO</v>
          </cell>
          <cell r="H943" t="str">
            <v>NO</v>
          </cell>
          <cell r="I943" t="str">
            <v>YES</v>
          </cell>
          <cell r="J943" t="str">
            <v>Yes</v>
          </cell>
        </row>
        <row r="944">
          <cell r="B944">
            <v>560394</v>
          </cell>
          <cell r="C944" t="str">
            <v>Nonwovens; whether or not impregnated, coated, covered or laminated, not of man-made filaments, (weighing more than 150g/m2)</v>
          </cell>
          <cell r="D944" t="str">
            <v>Consumables - rc</v>
          </cell>
          <cell r="E944" t="str">
            <v>NO</v>
          </cell>
          <cell r="F944" t="str">
            <v>NO</v>
          </cell>
          <cell r="G944" t="str">
            <v>NO</v>
          </cell>
          <cell r="H944" t="str">
            <v>NO</v>
          </cell>
          <cell r="I944" t="str">
            <v>YES</v>
          </cell>
          <cell r="J944" t="str">
            <v>Yes</v>
          </cell>
        </row>
        <row r="945">
          <cell r="B945">
            <v>741300</v>
          </cell>
          <cell r="C945" t="str">
            <v>Copper; stranded wire, cables, plaited bands and the like, not electrically insulated</v>
          </cell>
          <cell r="D945" t="str">
            <v>Parts &amp; Accessories</v>
          </cell>
          <cell r="E945" t="str">
            <v>NO</v>
          </cell>
          <cell r="F945" t="str">
            <v>NO</v>
          </cell>
          <cell r="G945" t="str">
            <v>NO</v>
          </cell>
          <cell r="H945" t="str">
            <v>NO</v>
          </cell>
          <cell r="I945" t="str">
            <v>YES</v>
          </cell>
          <cell r="J945" t="str">
            <v>Yes</v>
          </cell>
        </row>
        <row r="946">
          <cell r="B946">
            <v>760719</v>
          </cell>
          <cell r="C946" t="str">
            <v>Aluminium; foil, (not backed), of a thickness not exceeding 0.2mm, not rolled</v>
          </cell>
          <cell r="D946" t="str">
            <v>Consumables - rc</v>
          </cell>
          <cell r="E946" t="str">
            <v>NO</v>
          </cell>
          <cell r="F946" t="str">
            <v>NO</v>
          </cell>
          <cell r="G946" t="str">
            <v>NO</v>
          </cell>
          <cell r="H946" t="str">
            <v>NO</v>
          </cell>
          <cell r="I946" t="str">
            <v>YES</v>
          </cell>
          <cell r="J946" t="str">
            <v>Yes</v>
          </cell>
        </row>
        <row r="947">
          <cell r="B947">
            <v>846593</v>
          </cell>
          <cell r="C947" t="str">
            <v>Machine-tools; for working wood, cork, bone, hard rubber, hard plastics or similar hard materials; grinding, sanding or polishing machines</v>
          </cell>
          <cell r="D947" t="str">
            <v>Capital Goods</v>
          </cell>
          <cell r="E947" t="str">
            <v>NO</v>
          </cell>
          <cell r="F947" t="str">
            <v>NO</v>
          </cell>
          <cell r="G947" t="str">
            <v>NO</v>
          </cell>
          <cell r="H947" t="str">
            <v>NO</v>
          </cell>
          <cell r="I947" t="str">
            <v>YES</v>
          </cell>
          <cell r="J947" t="str">
            <v>Yes</v>
          </cell>
        </row>
        <row r="948">
          <cell r="B948">
            <v>420299</v>
          </cell>
          <cell r="C948" t="str">
            <v>Cases and containers; n.e.c. in heading 4202, of vulcanised fibre or of paperboard, or wholly or mainly covered with such materials or with paper</v>
          </cell>
          <cell r="D948" t="str">
            <v>Capital Goods - rc</v>
          </cell>
          <cell r="E948" t="str">
            <v>NO</v>
          </cell>
          <cell r="F948" t="str">
            <v>NO</v>
          </cell>
          <cell r="G948" t="str">
            <v>NO</v>
          </cell>
          <cell r="H948" t="str">
            <v>NO</v>
          </cell>
          <cell r="I948" t="str">
            <v>YES</v>
          </cell>
          <cell r="J948" t="str">
            <v>Yes</v>
          </cell>
        </row>
        <row r="949">
          <cell r="B949">
            <v>442199</v>
          </cell>
          <cell r="C949" t="str">
            <v>Wood; not of bamboo, articles n.e.c. in heading no. 4414 to 4420 (excluding clothes hangers)</v>
          </cell>
          <cell r="D949" t="str">
            <v>Consumables - rc</v>
          </cell>
          <cell r="E949" t="str">
            <v>NO</v>
          </cell>
          <cell r="F949" t="str">
            <v>NO</v>
          </cell>
          <cell r="G949" t="str">
            <v>NO</v>
          </cell>
          <cell r="H949" t="str">
            <v>NO</v>
          </cell>
          <cell r="I949" t="str">
            <v>YES</v>
          </cell>
          <cell r="J949" t="str">
            <v>Yes</v>
          </cell>
        </row>
        <row r="950">
          <cell r="B950">
            <v>560749</v>
          </cell>
          <cell r="C950" t="str">
            <v>Twine, cordage, ropes, cables; of polyethylene or polypropylene (excluding binder or baler twine), whether or not plaited, braided or rubber or plastic impregnated, coated, covered or sheathed</v>
          </cell>
          <cell r="D950" t="str">
            <v>Consumables - rc</v>
          </cell>
          <cell r="E950" t="str">
            <v>NO</v>
          </cell>
          <cell r="F950" t="str">
            <v>NO</v>
          </cell>
          <cell r="G950" t="str">
            <v>NO</v>
          </cell>
          <cell r="H950" t="str">
            <v>NO</v>
          </cell>
          <cell r="I950" t="str">
            <v>YES</v>
          </cell>
          <cell r="J950" t="str">
            <v>Yes</v>
          </cell>
        </row>
        <row r="951">
          <cell r="B951">
            <v>590390</v>
          </cell>
          <cell r="C951" t="str">
            <v>Textile fabrics; impregnated, coated, covered or laminated with plastics, (excluding polyvinyl chloride, polyurethane and those of heading no. 5902)</v>
          </cell>
          <cell r="D951" t="str">
            <v>Consumables - rc</v>
          </cell>
          <cell r="E951" t="str">
            <v>NO</v>
          </cell>
          <cell r="F951" t="str">
            <v>NO</v>
          </cell>
          <cell r="G951" t="str">
            <v>NO</v>
          </cell>
          <cell r="H951" t="str">
            <v>NO</v>
          </cell>
          <cell r="I951" t="str">
            <v>YES</v>
          </cell>
          <cell r="J951" t="str">
            <v>Yes</v>
          </cell>
        </row>
        <row r="952">
          <cell r="B952">
            <v>611693</v>
          </cell>
          <cell r="C952" t="str">
            <v>Gloves, mittens and mitts; of synthetic fibres, knitted or crocheted, (other than impregnated, coated, covered or laminated with plastics or rubber)</v>
          </cell>
          <cell r="D952" t="str">
            <v>Consumables</v>
          </cell>
          <cell r="E952" t="str">
            <v>NO</v>
          </cell>
          <cell r="F952" t="str">
            <v>NO</v>
          </cell>
          <cell r="G952" t="str">
            <v>NO</v>
          </cell>
          <cell r="H952" t="str">
            <v>NO</v>
          </cell>
          <cell r="I952" t="str">
            <v>YES</v>
          </cell>
          <cell r="J952" t="str">
            <v>Yes</v>
          </cell>
        </row>
        <row r="953">
          <cell r="B953">
            <v>630190</v>
          </cell>
          <cell r="C953" t="str">
            <v>Blankets and travelling rugs; n.e.c. in heading no. 6301</v>
          </cell>
          <cell r="D953" t="str">
            <v>Consumables - rc</v>
          </cell>
          <cell r="E953" t="str">
            <v>NO</v>
          </cell>
          <cell r="F953" t="str">
            <v>NO</v>
          </cell>
          <cell r="G953" t="str">
            <v>NO</v>
          </cell>
          <cell r="H953" t="str">
            <v>NO</v>
          </cell>
          <cell r="I953" t="str">
            <v>YES</v>
          </cell>
          <cell r="J953" t="str">
            <v>Yes</v>
          </cell>
        </row>
        <row r="954">
          <cell r="B954">
            <v>630399</v>
          </cell>
          <cell r="C954" t="str">
            <v>Curtains (including drapes) and interior blinds, curtain or bed valances; of textile materials other than cotton or synthetic fibres, not knitted or crocheted</v>
          </cell>
          <cell r="D954" t="str">
            <v>Consumables - rc</v>
          </cell>
          <cell r="E954" t="str">
            <v>NO</v>
          </cell>
          <cell r="F954" t="str">
            <v>NO</v>
          </cell>
          <cell r="G954" t="str">
            <v>NO</v>
          </cell>
          <cell r="H954" t="str">
            <v>NO</v>
          </cell>
          <cell r="I954" t="str">
            <v>YES</v>
          </cell>
          <cell r="J954" t="str">
            <v>Yes</v>
          </cell>
        </row>
        <row r="955">
          <cell r="B955">
            <v>640520</v>
          </cell>
          <cell r="C955" t="str">
            <v>Footwear; with uppers of textile materials, n.e.c. in chapter 64</v>
          </cell>
          <cell r="D955" t="str">
            <v>Consumables - rc</v>
          </cell>
          <cell r="E955" t="str">
            <v>NO</v>
          </cell>
          <cell r="F955" t="str">
            <v>NO</v>
          </cell>
          <cell r="G955" t="str">
            <v>NO</v>
          </cell>
          <cell r="H955" t="str">
            <v>NO</v>
          </cell>
          <cell r="I955" t="str">
            <v>YES</v>
          </cell>
          <cell r="J955" t="str">
            <v>Yes</v>
          </cell>
        </row>
        <row r="956">
          <cell r="B956">
            <v>690919</v>
          </cell>
          <cell r="C956" t="str">
            <v>Ceramic wares; for laboratory, chemical or other technical uses, other than articles having a hardness equivalent to 9 or more on the Mohs scale or of porcelain or china</v>
          </cell>
          <cell r="D956" t="str">
            <v>Parts &amp; Accessories</v>
          </cell>
          <cell r="E956" t="str">
            <v>NO</v>
          </cell>
          <cell r="F956" t="str">
            <v>NO</v>
          </cell>
          <cell r="G956" t="str">
            <v>NO</v>
          </cell>
          <cell r="H956" t="str">
            <v>NO</v>
          </cell>
          <cell r="I956" t="str">
            <v>YES</v>
          </cell>
          <cell r="J956" t="str">
            <v>Yes</v>
          </cell>
        </row>
        <row r="957">
          <cell r="B957">
            <v>691490</v>
          </cell>
          <cell r="C957" t="str">
            <v>Ceramic articles n.e.c. in chapter 69; other than of porcelain or china</v>
          </cell>
          <cell r="D957" t="str">
            <v>Capital Goods - rc</v>
          </cell>
          <cell r="E957" t="str">
            <v>NO</v>
          </cell>
          <cell r="F957" t="str">
            <v>NO</v>
          </cell>
          <cell r="G957" t="str">
            <v>NO</v>
          </cell>
          <cell r="H957" t="str">
            <v>NO</v>
          </cell>
          <cell r="I957" t="str">
            <v>YES</v>
          </cell>
          <cell r="J957" t="str">
            <v>Yes</v>
          </cell>
        </row>
        <row r="958">
          <cell r="B958">
            <v>722840</v>
          </cell>
          <cell r="C958" t="str">
            <v>Steel, alloy; bars and rods, forged</v>
          </cell>
          <cell r="D958" t="str">
            <v>Consumables - rc</v>
          </cell>
          <cell r="E958" t="str">
            <v>NO</v>
          </cell>
          <cell r="F958" t="str">
            <v>NO</v>
          </cell>
          <cell r="G958" t="str">
            <v>NO</v>
          </cell>
          <cell r="H958" t="str">
            <v>NO</v>
          </cell>
          <cell r="I958" t="str">
            <v>YES</v>
          </cell>
          <cell r="J958" t="str">
            <v>Yes</v>
          </cell>
        </row>
        <row r="959">
          <cell r="B959">
            <v>731441</v>
          </cell>
          <cell r="C959" t="str">
            <v>Iron or steel wire; grill, netting and fencing, plated or coated with zinc</v>
          </cell>
          <cell r="D959" t="str">
            <v>Capital Goods - rc</v>
          </cell>
          <cell r="E959" t="str">
            <v>NO</v>
          </cell>
          <cell r="F959" t="str">
            <v>NO</v>
          </cell>
          <cell r="G959" t="str">
            <v>NO</v>
          </cell>
          <cell r="H959" t="str">
            <v>NO</v>
          </cell>
          <cell r="I959" t="str">
            <v>YES</v>
          </cell>
          <cell r="J959" t="str">
            <v>Yes</v>
          </cell>
        </row>
        <row r="960">
          <cell r="B960">
            <v>740911</v>
          </cell>
          <cell r="C960" t="str">
            <v>Copper; strip, of a thickness exceeding 0.15mm, of refined copper, in coils</v>
          </cell>
          <cell r="D960" t="str">
            <v>Consumables - rc</v>
          </cell>
          <cell r="E960" t="str">
            <v>NO</v>
          </cell>
          <cell r="F960" t="str">
            <v>NO</v>
          </cell>
          <cell r="G960" t="str">
            <v>NO</v>
          </cell>
          <cell r="H960" t="str">
            <v>NO</v>
          </cell>
          <cell r="I960" t="str">
            <v>YES</v>
          </cell>
          <cell r="J960" t="str">
            <v>Yes</v>
          </cell>
        </row>
        <row r="961">
          <cell r="B961">
            <v>750620</v>
          </cell>
          <cell r="C961" t="str">
            <v>Nickel; plates, sheets, strip and foil, of nickel alloys</v>
          </cell>
          <cell r="D961" t="str">
            <v>Consumables - rc</v>
          </cell>
          <cell r="E961" t="str">
            <v>NO</v>
          </cell>
          <cell r="F961" t="str">
            <v>NO</v>
          </cell>
          <cell r="G961" t="str">
            <v>NO</v>
          </cell>
          <cell r="H961" t="str">
            <v>NO</v>
          </cell>
          <cell r="I961" t="str">
            <v>YES</v>
          </cell>
          <cell r="J961" t="str">
            <v>Yes</v>
          </cell>
        </row>
        <row r="962">
          <cell r="B962">
            <v>821191</v>
          </cell>
          <cell r="C962" t="str">
            <v>Knives; table knives, having fixed cutting blades, serrated or not, excluding knives and blades of heading no. 8208</v>
          </cell>
          <cell r="D962" t="str">
            <v>Others</v>
          </cell>
          <cell r="E962" t="str">
            <v>NO</v>
          </cell>
          <cell r="F962" t="str">
            <v>NO</v>
          </cell>
          <cell r="G962" t="str">
            <v>NO</v>
          </cell>
          <cell r="H962" t="str">
            <v>NO</v>
          </cell>
          <cell r="I962" t="str">
            <v>YES</v>
          </cell>
          <cell r="J962" t="str">
            <v>Yes</v>
          </cell>
        </row>
        <row r="963">
          <cell r="B963">
            <v>843229</v>
          </cell>
          <cell r="C963" t="str">
            <v>Harrows; (excluding disc), scarifiers, cultivators, weeders and hoes</v>
          </cell>
          <cell r="D963" t="str">
            <v>Capital Goods</v>
          </cell>
          <cell r="E963" t="str">
            <v>NO</v>
          </cell>
          <cell r="F963" t="str">
            <v>NO</v>
          </cell>
          <cell r="G963" t="str">
            <v>NO</v>
          </cell>
          <cell r="H963" t="str">
            <v>NO</v>
          </cell>
          <cell r="I963" t="str">
            <v>YES</v>
          </cell>
          <cell r="J963" t="str">
            <v>Yes</v>
          </cell>
        </row>
        <row r="964">
          <cell r="B964">
            <v>844391</v>
          </cell>
          <cell r="C964" t="str">
            <v>Printing machinery used for printing by means of plates, cylinders and other printing components of heading 8442; parts and accessories</v>
          </cell>
          <cell r="D964" t="str">
            <v>Capital Goods</v>
          </cell>
          <cell r="E964" t="str">
            <v>NO</v>
          </cell>
          <cell r="F964" t="str">
            <v>NO</v>
          </cell>
          <cell r="G964" t="str">
            <v>NO</v>
          </cell>
          <cell r="H964" t="str">
            <v>NO</v>
          </cell>
          <cell r="I964" t="str">
            <v>YES</v>
          </cell>
          <cell r="J964" t="str">
            <v>Yes</v>
          </cell>
        </row>
        <row r="965">
          <cell r="B965">
            <v>847490</v>
          </cell>
          <cell r="C965" t="str">
            <v>Machines, for sorting, screening, separating, washing, crushing etc mineral substances, for agglomerating, shaping or moulding solid fuels, ceramic pastes etc, for forming foundry moulds of sand; parts</v>
          </cell>
          <cell r="D965" t="str">
            <v>Parts &amp; Accessories - rc</v>
          </cell>
          <cell r="E965" t="str">
            <v>NO</v>
          </cell>
          <cell r="F965" t="str">
            <v>NO</v>
          </cell>
          <cell r="G965" t="str">
            <v>NO</v>
          </cell>
          <cell r="H965" t="str">
            <v>NO</v>
          </cell>
          <cell r="I965" t="str">
            <v>YES</v>
          </cell>
          <cell r="J965" t="str">
            <v>Yes</v>
          </cell>
        </row>
        <row r="966">
          <cell r="B966">
            <v>854290</v>
          </cell>
          <cell r="C966" t="str">
            <v>Parts of electronic integrated circuits</v>
          </cell>
          <cell r="D966" t="str">
            <v>Parts &amp; Accessories - rc</v>
          </cell>
          <cell r="E966" t="str">
            <v>NO</v>
          </cell>
          <cell r="F966" t="str">
            <v>NO</v>
          </cell>
          <cell r="G966" t="str">
            <v>NO</v>
          </cell>
          <cell r="H966" t="str">
            <v>NO</v>
          </cell>
          <cell r="I966" t="str">
            <v>YES</v>
          </cell>
          <cell r="J966" t="str">
            <v>Yes</v>
          </cell>
        </row>
        <row r="967">
          <cell r="B967">
            <v>854430</v>
          </cell>
          <cell r="C967" t="str">
            <v>Insulated electric conductors; ignition wiring sets and other wiring sets of a kind used in vehicles, aircraft or ships</v>
          </cell>
          <cell r="D967" t="str">
            <v>Parts &amp; Accessories - rc</v>
          </cell>
          <cell r="E967" t="str">
            <v>NO</v>
          </cell>
          <cell r="F967" t="str">
            <v>NO</v>
          </cell>
          <cell r="G967" t="str">
            <v>NO</v>
          </cell>
          <cell r="H967" t="str">
            <v>NO</v>
          </cell>
          <cell r="I967" t="str">
            <v>YES</v>
          </cell>
          <cell r="J967" t="str">
            <v>Yes</v>
          </cell>
        </row>
        <row r="968">
          <cell r="B968">
            <v>901820</v>
          </cell>
          <cell r="C968" t="str">
            <v>Medical, surgical instruments and appliances; ultra-violet or infra-red ray apparatus</v>
          </cell>
          <cell r="D968" t="str">
            <v>Capital Goods</v>
          </cell>
          <cell r="E968" t="str">
            <v>NO</v>
          </cell>
          <cell r="F968" t="str">
            <v>NO</v>
          </cell>
          <cell r="G968" t="str">
            <v>NO</v>
          </cell>
          <cell r="H968" t="str">
            <v>NO</v>
          </cell>
          <cell r="I968" t="str">
            <v>YES</v>
          </cell>
          <cell r="J968" t="str">
            <v>Yes</v>
          </cell>
        </row>
        <row r="969">
          <cell r="B969">
            <v>903141</v>
          </cell>
          <cell r="C969" t="str">
            <v>Optical instruments and appliances; for inspecting semiconductor wafers or devices or for inspecting photomasks or reticles used in manufacturing semiconductor devices, n.e.c. in chapter 90</v>
          </cell>
          <cell r="D969" t="str">
            <v>Capital Goods</v>
          </cell>
          <cell r="E969" t="str">
            <v>NO</v>
          </cell>
          <cell r="F969" t="str">
            <v>NO</v>
          </cell>
          <cell r="G969" t="str">
            <v>NO</v>
          </cell>
          <cell r="H969" t="str">
            <v>NO</v>
          </cell>
          <cell r="I969" t="str">
            <v>YES</v>
          </cell>
          <cell r="J969" t="str">
            <v>Yes</v>
          </cell>
        </row>
        <row r="970">
          <cell r="B970">
            <v>940391</v>
          </cell>
          <cell r="C970" t="str">
            <v>Furniture; parts, of wood</v>
          </cell>
          <cell r="D970" t="str">
            <v>Durable</v>
          </cell>
          <cell r="E970" t="str">
            <v>NO</v>
          </cell>
          <cell r="F970" t="str">
            <v>NO</v>
          </cell>
          <cell r="G970" t="str">
            <v>NO</v>
          </cell>
          <cell r="H970" t="str">
            <v>NO</v>
          </cell>
          <cell r="I970" t="str">
            <v>YES</v>
          </cell>
          <cell r="J970" t="str">
            <v>Yes</v>
          </cell>
        </row>
        <row r="971">
          <cell r="B971">
            <v>940541</v>
          </cell>
          <cell r="C971" t="str">
            <v>Luminaires and light fittings; electric, photovoltaic, designed for use solely with light-emitting diode (LED) light sources</v>
          </cell>
          <cell r="D971" t="str">
            <v>Capital Goods - rc</v>
          </cell>
          <cell r="E971" t="str">
            <v>NO</v>
          </cell>
          <cell r="F971" t="str">
            <v>NO</v>
          </cell>
          <cell r="G971" t="str">
            <v>NO</v>
          </cell>
          <cell r="H971" t="str">
            <v>NO</v>
          </cell>
          <cell r="I971" t="str">
            <v>YES</v>
          </cell>
          <cell r="J971" t="str">
            <v>Yes</v>
          </cell>
        </row>
        <row r="972">
          <cell r="B972">
            <v>340700</v>
          </cell>
          <cell r="C972" t="str">
            <v>Modelling pastes; preparations known as dental wax, put up in sets, in packings for retail sale or in plates, horseshoe shapes, sticks or similar forms, other preparations for use in dentistry</v>
          </cell>
          <cell r="D972" t="str">
            <v>Consumables - rc</v>
          </cell>
          <cell r="E972" t="str">
            <v>NO</v>
          </cell>
          <cell r="F972" t="str">
            <v>NO</v>
          </cell>
          <cell r="G972" t="str">
            <v>NO</v>
          </cell>
          <cell r="H972" t="str">
            <v>NO</v>
          </cell>
          <cell r="I972" t="str">
            <v>YES</v>
          </cell>
          <cell r="J972" t="str">
            <v>Yes</v>
          </cell>
        </row>
        <row r="973">
          <cell r="B973">
            <v>392020</v>
          </cell>
          <cell r="C973" t="str">
            <v>Plastics; of polymers of propylene, plates, sheets, film, foil and strip (not self-adhesive), non-cellular and not reinforced, laminated, supported or similarly combined with other materials</v>
          </cell>
          <cell r="D973" t="str">
            <v>Consumables - rc</v>
          </cell>
          <cell r="E973" t="str">
            <v>NO</v>
          </cell>
          <cell r="F973" t="str">
            <v>NO</v>
          </cell>
          <cell r="G973" t="str">
            <v>NO</v>
          </cell>
          <cell r="H973" t="str">
            <v>NO</v>
          </cell>
          <cell r="I973" t="str">
            <v>YES</v>
          </cell>
          <cell r="J973" t="str">
            <v>Yes</v>
          </cell>
        </row>
        <row r="974">
          <cell r="B974">
            <v>392630</v>
          </cell>
          <cell r="C974" t="str">
            <v>Plastics; fittings for furniture, coachwork or the like</v>
          </cell>
          <cell r="D974" t="str">
            <v>Consumables - rc</v>
          </cell>
          <cell r="E974" t="str">
            <v>NO</v>
          </cell>
          <cell r="F974" t="str">
            <v>NO</v>
          </cell>
          <cell r="G974" t="str">
            <v>NO</v>
          </cell>
          <cell r="H974" t="str">
            <v>NO</v>
          </cell>
          <cell r="I974" t="str">
            <v>YES</v>
          </cell>
          <cell r="J974" t="str">
            <v>Yes</v>
          </cell>
        </row>
        <row r="975">
          <cell r="B975">
            <v>560392</v>
          </cell>
          <cell r="C975" t="str">
            <v>Nonwovens; whether or not impregnated, coated, covered or laminated, not of man-made filaments, (weighing more than 25g/m2 but not more than 70g/m2)</v>
          </cell>
          <cell r="D975" t="str">
            <v>Consumables - rc</v>
          </cell>
          <cell r="E975" t="str">
            <v>NO</v>
          </cell>
          <cell r="F975" t="str">
            <v>NO</v>
          </cell>
          <cell r="G975" t="str">
            <v>NO</v>
          </cell>
          <cell r="H975" t="str">
            <v>NO</v>
          </cell>
          <cell r="I975" t="str">
            <v>YES</v>
          </cell>
          <cell r="J975" t="str">
            <v>Yes</v>
          </cell>
        </row>
        <row r="976">
          <cell r="B976">
            <v>621149</v>
          </cell>
          <cell r="C976" t="str">
            <v>Track suits and other garments n.e.c.; women's or girls', of textile materials n.e.c. in item no. 6211.4 (not knitted or crocheted)</v>
          </cell>
          <cell r="D976" t="str">
            <v>Consumables - rc</v>
          </cell>
          <cell r="E976" t="str">
            <v>NO</v>
          </cell>
          <cell r="F976" t="str">
            <v>NO</v>
          </cell>
          <cell r="G976" t="str">
            <v>NO</v>
          </cell>
          <cell r="H976" t="str">
            <v>NO</v>
          </cell>
          <cell r="I976" t="str">
            <v>YES</v>
          </cell>
          <cell r="J976" t="str">
            <v>Yes</v>
          </cell>
        </row>
        <row r="977">
          <cell r="B977">
            <v>680293</v>
          </cell>
          <cell r="C977" t="str">
            <v>Granite; articles thereof, (other than simply cut or sawn, with a flat or even surface)</v>
          </cell>
          <cell r="D977" t="str">
            <v>Consumables - rc</v>
          </cell>
          <cell r="E977" t="str">
            <v>NO</v>
          </cell>
          <cell r="F977" t="str">
            <v>NO</v>
          </cell>
          <cell r="G977" t="str">
            <v>NO</v>
          </cell>
          <cell r="H977" t="str">
            <v>NO</v>
          </cell>
          <cell r="I977" t="str">
            <v>YES</v>
          </cell>
          <cell r="J977" t="str">
            <v>Yes</v>
          </cell>
        </row>
        <row r="978">
          <cell r="B978">
            <v>701969</v>
          </cell>
          <cell r="C978" t="str">
            <v>Glass fibres; fabrics n.e.c. in item no. 7019.6</v>
          </cell>
          <cell r="D978" t="str">
            <v>Consumables - rc</v>
          </cell>
          <cell r="E978" t="str">
            <v>NO</v>
          </cell>
          <cell r="F978" t="str">
            <v>NO</v>
          </cell>
          <cell r="G978" t="str">
            <v>NO</v>
          </cell>
          <cell r="H978" t="str">
            <v>NO</v>
          </cell>
          <cell r="I978" t="str">
            <v>YES</v>
          </cell>
          <cell r="J978" t="str">
            <v>Yes</v>
          </cell>
        </row>
        <row r="979">
          <cell r="B979">
            <v>820239</v>
          </cell>
          <cell r="C979" t="str">
            <v>Tools, hand; circular saw blades (including slitting or slotting saw blades), with working part of materials (other than steel)</v>
          </cell>
          <cell r="D979" t="str">
            <v>Capital Goods</v>
          </cell>
          <cell r="E979" t="str">
            <v>NO</v>
          </cell>
          <cell r="F979" t="str">
            <v>NO</v>
          </cell>
          <cell r="G979" t="str">
            <v>NO</v>
          </cell>
          <cell r="H979" t="str">
            <v>NO</v>
          </cell>
          <cell r="I979" t="str">
            <v>YES</v>
          </cell>
          <cell r="J979" t="str">
            <v>Yes</v>
          </cell>
        </row>
        <row r="980">
          <cell r="B980">
            <v>821110</v>
          </cell>
          <cell r="C980" t="str">
            <v>Knives; with cutting blades, serrated or not (including pruning knives), sets of assorted articles, excluding knives and blades of heading no. 8208</v>
          </cell>
          <cell r="D980" t="str">
            <v>Capital Goods</v>
          </cell>
          <cell r="E980" t="str">
            <v>NO</v>
          </cell>
          <cell r="F980" t="str">
            <v>NO</v>
          </cell>
          <cell r="G980" t="str">
            <v>NO</v>
          </cell>
          <cell r="H980" t="str">
            <v>NO</v>
          </cell>
          <cell r="I980" t="str">
            <v>YES</v>
          </cell>
          <cell r="J980" t="str">
            <v>Yes</v>
          </cell>
        </row>
        <row r="981">
          <cell r="B981">
            <v>846290</v>
          </cell>
          <cell r="C981" t="str">
            <v>Machine-tools; (including presses) for working metal by forging, hammering or die-forging, for bending, folding, straightening, flattening, shearing, punching, notching or nibbling metal, n.e.c. in heading 8462</v>
          </cell>
          <cell r="D981" t="str">
            <v>Capital Goods</v>
          </cell>
          <cell r="E981" t="str">
            <v>NO</v>
          </cell>
          <cell r="F981" t="str">
            <v>NO</v>
          </cell>
          <cell r="G981" t="str">
            <v>NO</v>
          </cell>
          <cell r="H981" t="str">
            <v>NO</v>
          </cell>
          <cell r="I981" t="str">
            <v>YES</v>
          </cell>
          <cell r="J981" t="str">
            <v>Yes</v>
          </cell>
        </row>
        <row r="982">
          <cell r="B982">
            <v>854310</v>
          </cell>
          <cell r="C982" t="str">
            <v>Electrical machines and apparatus; particle accelerators</v>
          </cell>
          <cell r="D982" t="str">
            <v>Capital Goods</v>
          </cell>
          <cell r="E982" t="str">
            <v>NO</v>
          </cell>
          <cell r="F982" t="str">
            <v>NO</v>
          </cell>
          <cell r="G982" t="str">
            <v>NO</v>
          </cell>
          <cell r="H982" t="str">
            <v>NO</v>
          </cell>
          <cell r="I982" t="str">
            <v>YES</v>
          </cell>
          <cell r="J982" t="str">
            <v>Yes</v>
          </cell>
        </row>
        <row r="983">
          <cell r="B983">
            <v>880692</v>
          </cell>
          <cell r="C983" t="str">
            <v>Unmanned aircraft; for other than remote-controlled flight and other than for carriage of passengers with a maximum take-off weight more than 250g but not more than 7kg</v>
          </cell>
          <cell r="D983" t="str">
            <v>Durable</v>
          </cell>
          <cell r="E983" t="str">
            <v>NO</v>
          </cell>
          <cell r="F983" t="str">
            <v>NO</v>
          </cell>
          <cell r="G983" t="str">
            <v>NO</v>
          </cell>
          <cell r="H983" t="str">
            <v>NO</v>
          </cell>
          <cell r="I983" t="str">
            <v>YES</v>
          </cell>
          <cell r="J983" t="str">
            <v>Yes</v>
          </cell>
        </row>
        <row r="984">
          <cell r="B984">
            <v>901120</v>
          </cell>
          <cell r="C984" t="str">
            <v>Microscopes, compound optical; for photomicrography, cinephotomicrography or microprojection</v>
          </cell>
          <cell r="D984" t="str">
            <v>Capital Goods</v>
          </cell>
          <cell r="E984" t="str">
            <v>NO</v>
          </cell>
          <cell r="F984" t="str">
            <v>NO</v>
          </cell>
          <cell r="G984" t="str">
            <v>NO</v>
          </cell>
          <cell r="H984" t="str">
            <v>NO</v>
          </cell>
          <cell r="I984" t="str">
            <v>YES</v>
          </cell>
          <cell r="J984" t="str">
            <v>Yes</v>
          </cell>
        </row>
        <row r="985">
          <cell r="B985">
            <v>901590</v>
          </cell>
          <cell r="C985" t="str">
            <v>Surveying equipment; parts and accessories for articles of heading no. 9015</v>
          </cell>
          <cell r="D985" t="str">
            <v>Parts &amp; Accessories - rc</v>
          </cell>
          <cell r="E985" t="str">
            <v>NO</v>
          </cell>
          <cell r="F985" t="str">
            <v>NO</v>
          </cell>
          <cell r="G985" t="str">
            <v>NO</v>
          </cell>
          <cell r="H985" t="str">
            <v>NO</v>
          </cell>
          <cell r="I985" t="str">
            <v>YES</v>
          </cell>
          <cell r="J985" t="str">
            <v>Yes</v>
          </cell>
        </row>
        <row r="986">
          <cell r="B986">
            <v>321390</v>
          </cell>
          <cell r="C986" t="str">
            <v>Colours; (other than in sets), of a kind used by artists, students or signboard painters</v>
          </cell>
          <cell r="D986" t="str">
            <v>Consumables - rc</v>
          </cell>
          <cell r="E986" t="str">
            <v>NO</v>
          </cell>
          <cell r="F986" t="str">
            <v>NO</v>
          </cell>
          <cell r="G986" t="str">
            <v>NO</v>
          </cell>
          <cell r="H986" t="str">
            <v>NO</v>
          </cell>
          <cell r="I986" t="str">
            <v>YES</v>
          </cell>
          <cell r="J986" t="str">
            <v>Yes</v>
          </cell>
        </row>
        <row r="987">
          <cell r="B987">
            <v>350691</v>
          </cell>
          <cell r="C987" t="str">
            <v>Adhesives; prepared, based on polymers of heading 3901 to 3913 or on rubber</v>
          </cell>
          <cell r="D987" t="str">
            <v>Consumables</v>
          </cell>
          <cell r="E987" t="str">
            <v>NO</v>
          </cell>
          <cell r="F987" t="str">
            <v>NO</v>
          </cell>
          <cell r="G987" t="str">
            <v>NO</v>
          </cell>
          <cell r="H987" t="str">
            <v>NO</v>
          </cell>
          <cell r="I987" t="str">
            <v>YES</v>
          </cell>
          <cell r="J987" t="str">
            <v>Yes</v>
          </cell>
        </row>
        <row r="988">
          <cell r="B988">
            <v>370390</v>
          </cell>
          <cell r="C988" t="str">
            <v>Photographic paper, paperboard and textiles; (for other than colour photography, other than in rolls of a width exceeding 610mm), sensitised, unexposed</v>
          </cell>
          <cell r="D988" t="str">
            <v>Consumables - rc</v>
          </cell>
          <cell r="E988" t="str">
            <v>NO</v>
          </cell>
          <cell r="F988" t="str">
            <v>NO</v>
          </cell>
          <cell r="G988" t="str">
            <v>NO</v>
          </cell>
          <cell r="H988" t="str">
            <v>NO</v>
          </cell>
          <cell r="I988" t="str">
            <v>YES</v>
          </cell>
          <cell r="J988" t="str">
            <v>Yes</v>
          </cell>
        </row>
        <row r="989">
          <cell r="B989">
            <v>380190</v>
          </cell>
          <cell r="C989" t="str">
            <v>Graphite or other carbon based preparations; in the form of pastes, blocks, plates or other semi-manufactures</v>
          </cell>
          <cell r="D989" t="str">
            <v>Others</v>
          </cell>
          <cell r="E989" t="str">
            <v>NO</v>
          </cell>
          <cell r="F989" t="str">
            <v>NO</v>
          </cell>
          <cell r="G989" t="str">
            <v>NO</v>
          </cell>
          <cell r="H989" t="str">
            <v>NO</v>
          </cell>
          <cell r="I989" t="str">
            <v>YES</v>
          </cell>
          <cell r="J989" t="str">
            <v>Yes</v>
          </cell>
        </row>
        <row r="990">
          <cell r="B990">
            <v>390421</v>
          </cell>
          <cell r="C990" t="str">
            <v>Vinyl chloride, other halogenated olefin polymers; non-plasticised poly(vinyl chloride), in primary forms, mixed with other substances</v>
          </cell>
          <cell r="D990" t="str">
            <v>Consumables - rc</v>
          </cell>
          <cell r="E990" t="str">
            <v>NO</v>
          </cell>
          <cell r="F990" t="str">
            <v>NO</v>
          </cell>
          <cell r="G990" t="str">
            <v>NO</v>
          </cell>
          <cell r="H990" t="str">
            <v>NO</v>
          </cell>
          <cell r="I990" t="str">
            <v>YES</v>
          </cell>
          <cell r="J990" t="str">
            <v>Yes</v>
          </cell>
        </row>
        <row r="991">
          <cell r="B991">
            <v>480256</v>
          </cell>
          <cell r="C991" t="str">
            <v>Uncoated paper and paperboard (not 4801 or 4803); printing, writing or graphic, 10% or less by weight of mechanical or chemi-mechanical processed fibre, weight 40-150g/m2, in sheets 435mm or less by 297mm or less (unfolded)</v>
          </cell>
          <cell r="D991" t="str">
            <v>Consumables - rc</v>
          </cell>
          <cell r="E991" t="str">
            <v>NO</v>
          </cell>
          <cell r="F991" t="str">
            <v>NO</v>
          </cell>
          <cell r="G991" t="str">
            <v>NO</v>
          </cell>
          <cell r="H991" t="str">
            <v>NO</v>
          </cell>
          <cell r="I991" t="str">
            <v>YES</v>
          </cell>
          <cell r="J991" t="str">
            <v>Yes</v>
          </cell>
        </row>
        <row r="992">
          <cell r="B992">
            <v>580710</v>
          </cell>
          <cell r="C992" t="str">
            <v>Labels, badges and similar articles; woven, of textile materials, in the piece, in strips or cut to shape or size, not embroidered</v>
          </cell>
          <cell r="D992" t="str">
            <v>Consumables - rc</v>
          </cell>
          <cell r="E992" t="str">
            <v>NO</v>
          </cell>
          <cell r="F992" t="str">
            <v>NO</v>
          </cell>
          <cell r="G992" t="str">
            <v>NO</v>
          </cell>
          <cell r="H992" t="str">
            <v>NO</v>
          </cell>
          <cell r="I992" t="str">
            <v>YES</v>
          </cell>
          <cell r="J992" t="str">
            <v>Yes</v>
          </cell>
        </row>
        <row r="993">
          <cell r="B993">
            <v>640590</v>
          </cell>
          <cell r="C993" t="str">
            <v>Footwear; n.e.c. in chapter 64</v>
          </cell>
          <cell r="D993" t="str">
            <v>Consumables - rc</v>
          </cell>
          <cell r="E993" t="str">
            <v>NO</v>
          </cell>
          <cell r="F993" t="str">
            <v>NO</v>
          </cell>
          <cell r="G993" t="str">
            <v>NO</v>
          </cell>
          <cell r="H993" t="str">
            <v>NO</v>
          </cell>
          <cell r="I993" t="str">
            <v>YES</v>
          </cell>
          <cell r="J993" t="str">
            <v>Yes</v>
          </cell>
        </row>
        <row r="994">
          <cell r="B994">
            <v>690911</v>
          </cell>
          <cell r="C994" t="str">
            <v>Ceramic wares; for laboratory, chemical or other technical uses, of porcelain or china</v>
          </cell>
          <cell r="D994" t="str">
            <v>Parts &amp; Accessories</v>
          </cell>
          <cell r="E994" t="str">
            <v>NO</v>
          </cell>
          <cell r="F994" t="str">
            <v>NO</v>
          </cell>
          <cell r="G994" t="str">
            <v>NO</v>
          </cell>
          <cell r="H994" t="str">
            <v>NO</v>
          </cell>
          <cell r="I994" t="str">
            <v>YES</v>
          </cell>
          <cell r="J994" t="str">
            <v>Yes</v>
          </cell>
        </row>
        <row r="995">
          <cell r="B995">
            <v>720916</v>
          </cell>
          <cell r="C995" t="str">
            <v>Iron or non-alloy steel; in coils, flat-rolled, width 600mm or more, cold-rolled, of a thickness exceeding 1mm but less than 3mm</v>
          </cell>
          <cell r="D995" t="str">
            <v>Consumables - rc</v>
          </cell>
          <cell r="E995" t="str">
            <v>NO</v>
          </cell>
          <cell r="F995" t="str">
            <v>NO</v>
          </cell>
          <cell r="G995" t="str">
            <v>NO</v>
          </cell>
          <cell r="H995" t="str">
            <v>NO</v>
          </cell>
          <cell r="I995" t="str">
            <v>YES</v>
          </cell>
          <cell r="J995" t="str">
            <v>Yes</v>
          </cell>
        </row>
        <row r="996">
          <cell r="B996">
            <v>722011</v>
          </cell>
          <cell r="C996" t="str">
            <v>Steel, stainless; flat-rolled, width less than 600mm, hot-rolled, of a thickness of 4.75mm or more</v>
          </cell>
          <cell r="D996" t="str">
            <v>Consumables - rc</v>
          </cell>
          <cell r="E996" t="str">
            <v>NO</v>
          </cell>
          <cell r="F996" t="str">
            <v>NO</v>
          </cell>
          <cell r="G996" t="str">
            <v>NO</v>
          </cell>
          <cell r="H996" t="str">
            <v>NO</v>
          </cell>
          <cell r="I996" t="str">
            <v>YES</v>
          </cell>
          <cell r="J996" t="str">
            <v>Yes</v>
          </cell>
        </row>
        <row r="997">
          <cell r="B997">
            <v>910299</v>
          </cell>
          <cell r="C997" t="str">
            <v>Pocket watches and other watches, including stop-watches; (excluding wrist-watches), other than those of heading no. 9101, other than electrically operated</v>
          </cell>
          <cell r="D997" t="str">
            <v>Others</v>
          </cell>
          <cell r="E997" t="str">
            <v>NO</v>
          </cell>
          <cell r="F997" t="str">
            <v>NO</v>
          </cell>
          <cell r="G997" t="str">
            <v>NO</v>
          </cell>
          <cell r="H997" t="str">
            <v>NO</v>
          </cell>
          <cell r="I997" t="str">
            <v>YES</v>
          </cell>
          <cell r="J997" t="str">
            <v>Yes</v>
          </cell>
        </row>
        <row r="998">
          <cell r="B998">
            <v>741011</v>
          </cell>
          <cell r="C998" t="str">
            <v>Copper; foil, not backed, of a thickness not exceeding 0.15mm, of refined copper</v>
          </cell>
          <cell r="D998" t="str">
            <v>Consumables - rc</v>
          </cell>
          <cell r="E998" t="str">
            <v>NO</v>
          </cell>
          <cell r="F998" t="str">
            <v>NO</v>
          </cell>
          <cell r="G998" t="str">
            <v>NO</v>
          </cell>
          <cell r="H998" t="str">
            <v>NO</v>
          </cell>
          <cell r="I998" t="str">
            <v>YES</v>
          </cell>
          <cell r="J998" t="str">
            <v>Yes</v>
          </cell>
        </row>
        <row r="999">
          <cell r="B999">
            <v>853221</v>
          </cell>
          <cell r="C999" t="str">
            <v>Electrical capacitors; fixed, tantalum</v>
          </cell>
          <cell r="D999" t="str">
            <v>Parts &amp; Accessories</v>
          </cell>
          <cell r="E999" t="str">
            <v>NO</v>
          </cell>
          <cell r="F999" t="str">
            <v>NO</v>
          </cell>
          <cell r="G999" t="str">
            <v>NO</v>
          </cell>
          <cell r="H999" t="str">
            <v>NO</v>
          </cell>
          <cell r="I999" t="str">
            <v>YES</v>
          </cell>
          <cell r="J999" t="str">
            <v>Yes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6B34C-1026-46E8-942B-E003C60A9A92}">
  <sheetPr filterMode="1"/>
  <dimension ref="A2:AA579"/>
  <sheetViews>
    <sheetView zoomScale="56" zoomScaleNormal="67" workbookViewId="0">
      <selection activeCell="E4" sqref="E4"/>
    </sheetView>
  </sheetViews>
  <sheetFormatPr defaultColWidth="8.7109375" defaultRowHeight="14.1" outlineLevelCol="1"/>
  <cols>
    <col min="1" max="1" width="8.7109375" style="1"/>
    <col min="2" max="2" width="11.85546875" style="1" customWidth="1"/>
    <col min="3" max="3" width="10.85546875" style="2" customWidth="1"/>
    <col min="4" max="4" width="49.140625" style="3" customWidth="1"/>
    <col min="5" max="5" width="18" style="3" customWidth="1"/>
    <col min="6" max="7" width="46.140625" style="3" customWidth="1" outlineLevel="1"/>
    <col min="8" max="8" width="19.85546875" style="3" customWidth="1"/>
    <col min="9" max="9" width="35.28515625" style="3" hidden="1" customWidth="1"/>
    <col min="10" max="10" width="13.85546875" style="3" customWidth="1"/>
    <col min="11" max="12" width="21" style="3" hidden="1" customWidth="1"/>
    <col min="13" max="13" width="17" style="1" hidden="1" customWidth="1" outlineLevel="1"/>
    <col min="14" max="14" width="49.5703125" style="1" hidden="1" customWidth="1" outlineLevel="1"/>
    <col min="15" max="15" width="46" style="1" hidden="1" customWidth="1" outlineLevel="1"/>
    <col min="16" max="16" width="18.5703125" style="1" hidden="1" customWidth="1" outlineLevel="1"/>
    <col min="17" max="17" width="18.5703125" style="1" hidden="1" customWidth="1" collapsed="1"/>
    <col min="18" max="16384" width="8.7109375" style="1"/>
  </cols>
  <sheetData>
    <row r="2" spans="2:21" hidden="1"/>
    <row r="3" spans="2:21" hidden="1"/>
    <row r="4" spans="2:21" s="5" customFormat="1" ht="27.95">
      <c r="B4" s="4" t="s">
        <v>0</v>
      </c>
      <c r="C4" s="4" t="s">
        <v>1</v>
      </c>
      <c r="D4" s="4" t="s">
        <v>2</v>
      </c>
      <c r="E4" s="20" t="s">
        <v>3</v>
      </c>
      <c r="F4" s="4" t="s">
        <v>4</v>
      </c>
      <c r="G4" s="4" t="s">
        <v>5</v>
      </c>
      <c r="H4" s="4" t="s">
        <v>6</v>
      </c>
      <c r="I4" s="4" t="s">
        <v>7</v>
      </c>
      <c r="J4" s="4" t="s">
        <v>8</v>
      </c>
      <c r="K4" s="4" t="s">
        <v>9</v>
      </c>
      <c r="L4" s="4" t="s">
        <v>10</v>
      </c>
      <c r="M4" s="4" t="s">
        <v>11</v>
      </c>
      <c r="N4" s="4" t="s">
        <v>12</v>
      </c>
      <c r="O4" s="4" t="s">
        <v>13</v>
      </c>
      <c r="P4" s="4" t="s">
        <v>14</v>
      </c>
      <c r="Q4" s="4" t="s">
        <v>15</v>
      </c>
      <c r="S4" s="5" t="s">
        <v>16</v>
      </c>
      <c r="U4" s="5" t="s">
        <v>17</v>
      </c>
    </row>
    <row r="5" spans="2:21" ht="42" hidden="1">
      <c r="B5" s="6" t="str">
        <f>VLOOKUP(C5, [1]Definition!$D$5:$K$5665, 8, FALSE)</f>
        <v>Capital Goods</v>
      </c>
      <c r="C5" s="7">
        <v>847989</v>
      </c>
      <c r="D5" s="8" t="s">
        <v>18</v>
      </c>
      <c r="E5" s="17" t="s">
        <v>19</v>
      </c>
      <c r="F5" s="8" t="s">
        <v>20</v>
      </c>
      <c r="G5" s="8" t="s">
        <v>21</v>
      </c>
      <c r="H5" s="9" t="s">
        <v>22</v>
      </c>
      <c r="I5" s="9" t="s">
        <v>23</v>
      </c>
      <c r="J5" s="17" t="str">
        <f>_xlfn.IFNA(VLOOKUP(C5, '[2]Unique HS'!$B$4:$J$999, 9, FALSE), "No")</f>
        <v>Yes</v>
      </c>
      <c r="K5" s="18">
        <f>VLOOKUP(C5, '[1]India EXIM'!$B$6:$C$580, 2, FALSE)</f>
        <v>1.9808730359019999</v>
      </c>
      <c r="L5" s="11">
        <f>VLOOKUP(C5, '[1]China EXIM'!$B$6:$D$580, 3, FALSE)</f>
        <v>51.47486507112</v>
      </c>
      <c r="M5" s="6"/>
      <c r="N5" s="6"/>
      <c r="O5" s="6"/>
      <c r="P5" s="10" t="s">
        <v>24</v>
      </c>
      <c r="Q5" s="9" t="s">
        <v>22</v>
      </c>
      <c r="U5" s="1" t="s">
        <v>25</v>
      </c>
    </row>
    <row r="6" spans="2:21" ht="27.95" hidden="1">
      <c r="B6" s="6" t="str">
        <f>VLOOKUP(C6, [1]Definition!$D$5:$K$5665, 8, FALSE)</f>
        <v>Capital Goods</v>
      </c>
      <c r="C6" s="7">
        <v>850440</v>
      </c>
      <c r="D6" s="8" t="s">
        <v>26</v>
      </c>
      <c r="E6" s="17" t="s">
        <v>27</v>
      </c>
      <c r="F6" s="8" t="s">
        <v>28</v>
      </c>
      <c r="G6" s="8" t="s">
        <v>29</v>
      </c>
      <c r="H6" s="9" t="s">
        <v>30</v>
      </c>
      <c r="I6" s="9" t="s">
        <v>31</v>
      </c>
      <c r="J6" s="17" t="str">
        <f>_xlfn.IFNA(VLOOKUP(C6, '[2]Unique HS'!$B$4:$J$999, 9, FALSE), "No")</f>
        <v>Yes</v>
      </c>
      <c r="K6" s="22">
        <f>VLOOKUP(C6, '[1]India EXIM'!$B$6:$C$580, 2, FALSE)</f>
        <v>1.8930651773940002</v>
      </c>
      <c r="L6" s="11">
        <f>VLOOKUP(C6, '[1]China EXIM'!$B$6:$D$580, 3, FALSE)</f>
        <v>103.79885451238499</v>
      </c>
      <c r="M6" s="6" t="s">
        <v>32</v>
      </c>
      <c r="N6" s="6"/>
      <c r="O6" s="6"/>
      <c r="P6" s="10" t="s">
        <v>24</v>
      </c>
      <c r="Q6" s="9" t="s">
        <v>30</v>
      </c>
      <c r="S6" s="1" t="s">
        <v>33</v>
      </c>
      <c r="U6" s="1" t="s">
        <v>34</v>
      </c>
    </row>
    <row r="7" spans="2:21" ht="42" hidden="1">
      <c r="B7" s="6" t="str">
        <f>VLOOKUP(C7, [1]Definition!$D$5:$K$5665, 8, FALSE)</f>
        <v>Capital Goods</v>
      </c>
      <c r="C7" s="7">
        <v>903180</v>
      </c>
      <c r="D7" s="8" t="s">
        <v>35</v>
      </c>
      <c r="E7" s="17" t="s">
        <v>19</v>
      </c>
      <c r="F7" s="8" t="s">
        <v>36</v>
      </c>
      <c r="G7" s="8" t="s">
        <v>37</v>
      </c>
      <c r="H7" s="9" t="s">
        <v>22</v>
      </c>
      <c r="I7" s="9" t="s">
        <v>38</v>
      </c>
      <c r="J7" s="17" t="str">
        <f>_xlfn.IFNA(VLOOKUP(C7, '[2]Unique HS'!$B$4:$J$999, 9, FALSE), "No")</f>
        <v>Yes</v>
      </c>
      <c r="K7" s="18">
        <f>VLOOKUP(C7, '[1]India EXIM'!$B$6:$C$580, 2, FALSE)</f>
        <v>1.146300878221</v>
      </c>
      <c r="L7" s="11">
        <f>VLOOKUP(C7, '[1]China EXIM'!$B$6:$D$580, 3, FALSE)</f>
        <v>25.85984848184</v>
      </c>
      <c r="M7" s="6"/>
      <c r="N7" s="6"/>
      <c r="O7" s="6"/>
      <c r="P7" s="10" t="s">
        <v>24</v>
      </c>
      <c r="Q7" s="11" t="s">
        <v>39</v>
      </c>
      <c r="U7" s="1" t="s">
        <v>25</v>
      </c>
    </row>
    <row r="8" spans="2:21" ht="27.95" hidden="1">
      <c r="B8" s="6" t="str">
        <f>VLOOKUP(C8, [1]Definition!$D$5:$K$5665, 8, FALSE)</f>
        <v>Capital Goods</v>
      </c>
      <c r="C8" s="7">
        <v>903289</v>
      </c>
      <c r="D8" s="8" t="s">
        <v>40</v>
      </c>
      <c r="E8" s="17" t="s">
        <v>27</v>
      </c>
      <c r="F8" s="8" t="s">
        <v>41</v>
      </c>
      <c r="G8" s="8"/>
      <c r="H8" s="9" t="s">
        <v>30</v>
      </c>
      <c r="I8" s="9" t="s">
        <v>42</v>
      </c>
      <c r="J8" s="17" t="str">
        <f>_xlfn.IFNA(VLOOKUP(C8, '[2]Unique HS'!$B$4:$J$999, 9, FALSE), "No")</f>
        <v>Yes</v>
      </c>
      <c r="K8" s="22">
        <f>VLOOKUP(C8, '[1]India EXIM'!$B$6:$C$580, 2, FALSE)</f>
        <v>0.74567344929400003</v>
      </c>
      <c r="L8" s="11">
        <f>VLOOKUP(C8, '[1]China EXIM'!$B$6:$D$580, 3, FALSE)</f>
        <v>22.277140284986</v>
      </c>
      <c r="M8" s="6"/>
      <c r="N8" s="6"/>
      <c r="O8" s="6"/>
      <c r="P8" s="10" t="s">
        <v>24</v>
      </c>
      <c r="Q8" s="9" t="s">
        <v>30</v>
      </c>
      <c r="S8" s="1" t="s">
        <v>43</v>
      </c>
      <c r="U8" s="1" t="s">
        <v>25</v>
      </c>
    </row>
    <row r="9" spans="2:21" ht="42" hidden="1">
      <c r="B9" s="6" t="str">
        <f>VLOOKUP(C9, [1]Definition!$D$5:$K$5665, 8, FALSE)</f>
        <v>Capital Goods</v>
      </c>
      <c r="C9" s="7">
        <v>848620</v>
      </c>
      <c r="D9" s="8" t="s">
        <v>44</v>
      </c>
      <c r="E9" s="17" t="s">
        <v>19</v>
      </c>
      <c r="F9" s="8"/>
      <c r="G9" s="8" t="s">
        <v>45</v>
      </c>
      <c r="H9" s="9" t="s">
        <v>46</v>
      </c>
      <c r="I9" s="9" t="s">
        <v>31</v>
      </c>
      <c r="J9" s="17" t="str">
        <f>_xlfn.IFNA(VLOOKUP(C9, '[2]Unique HS'!$B$4:$J$999, 9, FALSE), "No")</f>
        <v>No</v>
      </c>
      <c r="K9" s="18">
        <f>VLOOKUP(C9, '[1]India EXIM'!$B$6:$C$580, 2, FALSE)</f>
        <v>0.68006153052400009</v>
      </c>
      <c r="L9" s="11">
        <f>VLOOKUP(C9, '[1]China EXIM'!$B$6:$D$580, 3, FALSE)</f>
        <v>74.076201135755994</v>
      </c>
      <c r="M9" s="6"/>
      <c r="N9" s="6"/>
      <c r="O9" s="6"/>
      <c r="P9" s="10" t="s">
        <v>24</v>
      </c>
      <c r="Q9" s="9" t="s">
        <v>46</v>
      </c>
      <c r="U9" s="1" t="s">
        <v>25</v>
      </c>
    </row>
    <row r="10" spans="2:21" ht="42" hidden="1">
      <c r="B10" s="6" t="str">
        <f>VLOOKUP(C10, [1]Definition!$D$5:$K$5665, 8, FALSE)</f>
        <v>Capital Goods</v>
      </c>
      <c r="C10" s="7">
        <v>854370</v>
      </c>
      <c r="D10" s="8" t="s">
        <v>47</v>
      </c>
      <c r="E10" s="17" t="s">
        <v>19</v>
      </c>
      <c r="F10" s="8" t="s">
        <v>48</v>
      </c>
      <c r="G10" s="8" t="s">
        <v>49</v>
      </c>
      <c r="H10" s="9" t="s">
        <v>46</v>
      </c>
      <c r="I10" s="9" t="s">
        <v>50</v>
      </c>
      <c r="J10" s="17" t="str">
        <f>_xlfn.IFNA(VLOOKUP(C10, '[2]Unique HS'!$B$4:$J$999, 9, FALSE), "No")</f>
        <v>Yes</v>
      </c>
      <c r="K10" s="18">
        <f>VLOOKUP(C10, '[1]India EXIM'!$B$6:$C$580, 2, FALSE)</f>
        <v>0.65699839974800001</v>
      </c>
      <c r="L10" s="11">
        <f>VLOOKUP(C10, '[1]China EXIM'!$B$6:$D$580, 3, FALSE)</f>
        <v>40.813646289444002</v>
      </c>
      <c r="M10" s="6"/>
      <c r="N10" s="6"/>
      <c r="O10" s="6"/>
      <c r="P10" s="10" t="s">
        <v>24</v>
      </c>
      <c r="Q10" s="9" t="s">
        <v>46</v>
      </c>
      <c r="U10" s="1" t="s">
        <v>25</v>
      </c>
    </row>
    <row r="11" spans="2:21" ht="42" hidden="1">
      <c r="B11" s="6" t="str">
        <f>VLOOKUP(C11, [1]Definition!$D$5:$K$5665, 8, FALSE)</f>
        <v>Capital Goods</v>
      </c>
      <c r="C11" s="7">
        <v>847780</v>
      </c>
      <c r="D11" s="8" t="s">
        <v>51</v>
      </c>
      <c r="E11" s="17" t="s">
        <v>19</v>
      </c>
      <c r="F11" s="8"/>
      <c r="G11" s="8"/>
      <c r="H11" s="9" t="s">
        <v>52</v>
      </c>
      <c r="I11" s="9" t="s">
        <v>53</v>
      </c>
      <c r="J11" s="17" t="str">
        <f>_xlfn.IFNA(VLOOKUP(C11, '[2]Unique HS'!$B$4:$J$999, 9, FALSE), "No")</f>
        <v>Yes</v>
      </c>
      <c r="K11" s="18">
        <f>VLOOKUP(C11, '[1]India EXIM'!$B$6:$C$580, 2, FALSE)</f>
        <v>0.61494400498099999</v>
      </c>
      <c r="L11" s="11">
        <f>VLOOKUP(C11, '[1]China EXIM'!$B$6:$D$580, 3, FALSE)</f>
        <v>8.2904160641849991</v>
      </c>
      <c r="M11" s="6"/>
      <c r="N11" s="6"/>
      <c r="O11" s="6"/>
      <c r="P11" s="10" t="s">
        <v>24</v>
      </c>
      <c r="Q11" s="9" t="s">
        <v>52</v>
      </c>
      <c r="U11" s="1" t="s">
        <v>25</v>
      </c>
    </row>
    <row r="12" spans="2:21" ht="27.95" hidden="1">
      <c r="B12" s="6" t="str">
        <f>VLOOKUP(C12, [1]Definition!$D$5:$K$5665, 8, FALSE)</f>
        <v>Capital Goods</v>
      </c>
      <c r="C12" s="7">
        <v>844630</v>
      </c>
      <c r="D12" s="8" t="s">
        <v>54</v>
      </c>
      <c r="E12" s="17" t="s">
        <v>19</v>
      </c>
      <c r="F12" s="8"/>
      <c r="G12" s="8"/>
      <c r="H12" s="9" t="s">
        <v>55</v>
      </c>
      <c r="I12" s="9" t="s">
        <v>56</v>
      </c>
      <c r="J12" s="17" t="str">
        <f>_xlfn.IFNA(VLOOKUP(C12, '[2]Unique HS'!$B$4:$J$999, 9, FALSE), "No")</f>
        <v>No</v>
      </c>
      <c r="K12" s="18">
        <f>VLOOKUP(C12, '[1]India EXIM'!$B$6:$C$580, 2, FALSE)</f>
        <v>0.54152698235899999</v>
      </c>
      <c r="L12" s="11">
        <f>VLOOKUP(C12, '[1]China EXIM'!$B$6:$D$580, 3, FALSE)</f>
        <v>1.7074984034949998</v>
      </c>
      <c r="M12" s="6"/>
      <c r="N12" s="6"/>
      <c r="O12" s="6"/>
      <c r="P12" s="10" t="s">
        <v>24</v>
      </c>
      <c r="Q12" s="9" t="s">
        <v>55</v>
      </c>
      <c r="U12" s="1" t="s">
        <v>25</v>
      </c>
    </row>
    <row r="13" spans="2:21" ht="27.95" hidden="1">
      <c r="B13" s="6" t="str">
        <f>VLOOKUP(C13, [1]Definition!$D$5:$K$5665, 8, FALSE)</f>
        <v>Capital Goods</v>
      </c>
      <c r="C13" s="7">
        <v>842890</v>
      </c>
      <c r="D13" s="8" t="s">
        <v>57</v>
      </c>
      <c r="E13" s="17" t="s">
        <v>19</v>
      </c>
      <c r="F13" s="8"/>
      <c r="G13" s="8"/>
      <c r="H13" s="9" t="s">
        <v>58</v>
      </c>
      <c r="I13" s="9" t="s">
        <v>31</v>
      </c>
      <c r="J13" s="17" t="str">
        <f>_xlfn.IFNA(VLOOKUP(C13, '[2]Unique HS'!$B$4:$J$999, 9, FALSE), "No")</f>
        <v>Yes</v>
      </c>
      <c r="K13" s="18">
        <f>VLOOKUP(C13, '[1]India EXIM'!$B$6:$C$580, 2, FALSE)</f>
        <v>0.42001375728500001</v>
      </c>
      <c r="L13" s="11">
        <f>VLOOKUP(C13, '[1]China EXIM'!$B$6:$D$580, 3, FALSE)</f>
        <v>14.754161157035</v>
      </c>
      <c r="M13" s="9" t="s">
        <v>59</v>
      </c>
      <c r="N13" s="9"/>
      <c r="O13" s="6"/>
      <c r="P13" s="10" t="s">
        <v>24</v>
      </c>
      <c r="Q13" s="9" t="s">
        <v>58</v>
      </c>
      <c r="U13" s="1" t="s">
        <v>25</v>
      </c>
    </row>
    <row r="14" spans="2:21" ht="42" hidden="1">
      <c r="B14" s="6" t="str">
        <f>VLOOKUP(C14, [1]Definition!$D$5:$K$5665, 8, FALSE)</f>
        <v>Capital Goods</v>
      </c>
      <c r="C14" s="7">
        <v>842230</v>
      </c>
      <c r="D14" s="8" t="s">
        <v>60</v>
      </c>
      <c r="E14" s="17" t="s">
        <v>19</v>
      </c>
      <c r="F14" s="8"/>
      <c r="G14" s="8"/>
      <c r="H14" s="9" t="s">
        <v>61</v>
      </c>
      <c r="I14" s="9" t="s">
        <v>62</v>
      </c>
      <c r="J14" s="17" t="str">
        <f>_xlfn.IFNA(VLOOKUP(C14, '[2]Unique HS'!$B$4:$J$999, 9, FALSE), "No")</f>
        <v>Yes</v>
      </c>
      <c r="K14" s="18">
        <f>VLOOKUP(C14, '[1]India EXIM'!$B$6:$C$580, 2, FALSE)</f>
        <v>0.409757480728</v>
      </c>
      <c r="L14" s="11">
        <f>VLOOKUP(C14, '[1]China EXIM'!$B$6:$D$580, 3, FALSE)</f>
        <v>10.293694743608999</v>
      </c>
      <c r="M14" s="6" t="s">
        <v>63</v>
      </c>
      <c r="N14" s="6"/>
      <c r="O14" s="6"/>
      <c r="P14" s="10" t="s">
        <v>24</v>
      </c>
      <c r="Q14" s="9" t="s">
        <v>61</v>
      </c>
      <c r="U14" s="1" t="s">
        <v>25</v>
      </c>
    </row>
    <row r="15" spans="2:21" hidden="1">
      <c r="B15" s="6" t="str">
        <f>VLOOKUP(C15, [1]Definition!$D$5:$K$5665, 8, FALSE)</f>
        <v>Capital Goods</v>
      </c>
      <c r="C15" s="7">
        <v>845710</v>
      </c>
      <c r="D15" s="8" t="s">
        <v>64</v>
      </c>
      <c r="E15" s="17" t="s">
        <v>19</v>
      </c>
      <c r="F15" s="8"/>
      <c r="G15" s="8"/>
      <c r="H15" s="9" t="s">
        <v>65</v>
      </c>
      <c r="I15" s="9" t="s">
        <v>31</v>
      </c>
      <c r="J15" s="17" t="str">
        <f>_xlfn.IFNA(VLOOKUP(C15, '[2]Unique HS'!$B$4:$J$999, 9, FALSE), "No")</f>
        <v>Yes</v>
      </c>
      <c r="K15" s="18">
        <f>VLOOKUP(C15, '[1]India EXIM'!$B$6:$C$580, 2, FALSE)</f>
        <v>0.38486758777399999</v>
      </c>
      <c r="L15" s="11">
        <f>VLOOKUP(C15, '[1]China EXIM'!$B$6:$D$580, 3, FALSE)</f>
        <v>9.2044345320240009</v>
      </c>
      <c r="M15" s="6"/>
      <c r="N15" s="6"/>
      <c r="O15" s="6"/>
      <c r="P15" s="10" t="s">
        <v>24</v>
      </c>
      <c r="Q15" s="9" t="s">
        <v>65</v>
      </c>
      <c r="U15" s="1" t="s">
        <v>25</v>
      </c>
    </row>
    <row r="16" spans="2:21" ht="27.95" hidden="1">
      <c r="B16" s="6" t="str">
        <f>VLOOKUP(C16, [1]Definition!$D$5:$K$5665, 8, FALSE)</f>
        <v>Capital Goods</v>
      </c>
      <c r="C16" s="7">
        <v>844790</v>
      </c>
      <c r="D16" s="8" t="s">
        <v>66</v>
      </c>
      <c r="E16" s="17" t="s">
        <v>19</v>
      </c>
      <c r="F16" s="8"/>
      <c r="G16" s="8"/>
      <c r="H16" s="9" t="s">
        <v>55</v>
      </c>
      <c r="I16" s="9" t="s">
        <v>56</v>
      </c>
      <c r="J16" s="17" t="str">
        <f>_xlfn.IFNA(VLOOKUP(C16, '[2]Unique HS'!$B$4:$J$999, 9, FALSE), "No")</f>
        <v>No</v>
      </c>
      <c r="K16" s="18">
        <f>VLOOKUP(C16, '[1]India EXIM'!$B$6:$C$580, 2, FALSE)</f>
        <v>0.37993592745499999</v>
      </c>
      <c r="L16" s="11">
        <f>VLOOKUP(C16, '[1]China EXIM'!$B$6:$D$580, 3, FALSE)</f>
        <v>0.99697570118800005</v>
      </c>
      <c r="M16" s="6"/>
      <c r="N16" s="6"/>
      <c r="O16" s="6"/>
      <c r="P16" s="10" t="s">
        <v>24</v>
      </c>
      <c r="Q16" s="9" t="s">
        <v>55</v>
      </c>
      <c r="U16" s="1" t="s">
        <v>25</v>
      </c>
    </row>
    <row r="17" spans="2:21" ht="56.1" hidden="1">
      <c r="B17" s="6" t="str">
        <f>VLOOKUP(C17, [1]Definition!$D$5:$K$5665, 8, FALSE)</f>
        <v>Capital Goods</v>
      </c>
      <c r="C17" s="7">
        <v>902789</v>
      </c>
      <c r="D17" s="8" t="s">
        <v>67</v>
      </c>
      <c r="E17" s="17" t="s">
        <v>19</v>
      </c>
      <c r="F17" s="8" t="s">
        <v>68</v>
      </c>
      <c r="G17" s="8" t="s">
        <v>69</v>
      </c>
      <c r="H17" s="9" t="s">
        <v>22</v>
      </c>
      <c r="I17" s="9" t="s">
        <v>38</v>
      </c>
      <c r="J17" s="17" t="str">
        <f>_xlfn.IFNA(VLOOKUP(C17, '[2]Unique HS'!$B$4:$J$999, 9, FALSE), "No")</f>
        <v>Yes</v>
      </c>
      <c r="K17" s="18">
        <f>VLOOKUP(C17, '[1]India EXIM'!$B$6:$C$580, 2, FALSE)</f>
        <v>0.35582384637000003</v>
      </c>
      <c r="L17" s="11">
        <f>VLOOKUP(C17, '[1]China EXIM'!$B$6:$D$580, 3, FALSE)</f>
        <v>10.668475218816001</v>
      </c>
      <c r="M17" s="6"/>
      <c r="N17" s="6"/>
      <c r="O17" s="6"/>
      <c r="P17" s="10" t="s">
        <v>24</v>
      </c>
      <c r="Q17" s="11" t="s">
        <v>70</v>
      </c>
      <c r="U17" s="1" t="s">
        <v>25</v>
      </c>
    </row>
    <row r="18" spans="2:21" ht="84" hidden="1">
      <c r="B18" s="6" t="str">
        <f>VLOOKUP(C18, [1]Definition!$D$5:$K$5665, 8, FALSE)</f>
        <v>Capital Goods</v>
      </c>
      <c r="C18" s="7">
        <v>842139</v>
      </c>
      <c r="D18" s="8" t="s">
        <v>71</v>
      </c>
      <c r="E18" s="17" t="s">
        <v>19</v>
      </c>
      <c r="F18" s="8" t="s">
        <v>72</v>
      </c>
      <c r="G18" s="8" t="s">
        <v>73</v>
      </c>
      <c r="H18" s="9" t="s">
        <v>22</v>
      </c>
      <c r="I18" s="9" t="s">
        <v>74</v>
      </c>
      <c r="J18" s="17" t="str">
        <f>_xlfn.IFNA(VLOOKUP(C18, '[2]Unique HS'!$B$4:$J$999, 9, FALSE), "No")</f>
        <v>Yes</v>
      </c>
      <c r="K18" s="18">
        <f>VLOOKUP(C18, '[1]India EXIM'!$B$6:$C$580, 2, FALSE)</f>
        <v>0.33800917302600003</v>
      </c>
      <c r="L18" s="11">
        <f>VLOOKUP(C18, '[1]China EXIM'!$B$6:$D$580, 3, FALSE)</f>
        <v>21.128265036485999</v>
      </c>
      <c r="M18" s="6"/>
      <c r="N18" s="6"/>
      <c r="O18" s="6"/>
      <c r="P18" s="10" t="s">
        <v>24</v>
      </c>
      <c r="Q18" s="9" t="s">
        <v>22</v>
      </c>
      <c r="U18" s="1" t="s">
        <v>25</v>
      </c>
    </row>
    <row r="19" spans="2:21" ht="27.95" hidden="1">
      <c r="B19" s="6" t="str">
        <f>VLOOKUP(C19, [1]Definition!$D$5:$K$5665, 8, FALSE)</f>
        <v>Capital Goods</v>
      </c>
      <c r="C19" s="7">
        <v>902720</v>
      </c>
      <c r="D19" s="8" t="s">
        <v>75</v>
      </c>
      <c r="E19" s="17" t="s">
        <v>19</v>
      </c>
      <c r="F19" s="8" t="s">
        <v>76</v>
      </c>
      <c r="G19" s="8" t="s">
        <v>77</v>
      </c>
      <c r="H19" s="9" t="s">
        <v>22</v>
      </c>
      <c r="I19" s="9" t="s">
        <v>78</v>
      </c>
      <c r="J19" s="17" t="str">
        <f>_xlfn.IFNA(VLOOKUP(C19, '[2]Unique HS'!$B$4:$J$999, 9, FALSE), "No")</f>
        <v>No</v>
      </c>
      <c r="K19" s="18">
        <f>VLOOKUP(C19, '[1]India EXIM'!$B$6:$C$580, 2, FALSE)</f>
        <v>0.32550927922200001</v>
      </c>
      <c r="L19" s="11">
        <f>VLOOKUP(C19, '[1]China EXIM'!$B$6:$D$580, 3, FALSE)</f>
        <v>2.8013359051649998</v>
      </c>
      <c r="M19" s="6"/>
      <c r="N19" s="6"/>
      <c r="O19" s="6"/>
      <c r="P19" s="10" t="s">
        <v>24</v>
      </c>
      <c r="Q19" s="9" t="s">
        <v>22</v>
      </c>
      <c r="U19" s="1" t="s">
        <v>25</v>
      </c>
    </row>
    <row r="20" spans="2:21" ht="27.95" hidden="1">
      <c r="B20" s="6" t="str">
        <f>VLOOKUP(C20, [1]Definition!$D$5:$K$5665, 8, FALSE)</f>
        <v>Capital Goods</v>
      </c>
      <c r="C20" s="7">
        <v>842649</v>
      </c>
      <c r="D20" s="8" t="s">
        <v>79</v>
      </c>
      <c r="E20" s="17" t="s">
        <v>19</v>
      </c>
      <c r="F20" s="8"/>
      <c r="G20" s="8"/>
      <c r="H20" s="9" t="s">
        <v>58</v>
      </c>
      <c r="I20" s="9" t="s">
        <v>31</v>
      </c>
      <c r="J20" s="17" t="str">
        <f>_xlfn.IFNA(VLOOKUP(C20, '[2]Unique HS'!$B$4:$J$999, 9, FALSE), "No")</f>
        <v>No</v>
      </c>
      <c r="K20" s="18">
        <f>VLOOKUP(C20, '[1]India EXIM'!$B$6:$C$580, 2, FALSE)</f>
        <v>0.320777655991</v>
      </c>
      <c r="L20" s="11">
        <f>VLOOKUP(C20, '[1]China EXIM'!$B$6:$D$580, 3, FALSE)</f>
        <v>2.8970969851469999</v>
      </c>
      <c r="M20" s="9" t="s">
        <v>80</v>
      </c>
      <c r="N20" s="9"/>
      <c r="O20" s="6"/>
      <c r="P20" s="10" t="s">
        <v>24</v>
      </c>
      <c r="Q20" s="9" t="s">
        <v>58</v>
      </c>
      <c r="U20" s="1" t="s">
        <v>25</v>
      </c>
    </row>
    <row r="21" spans="2:21" ht="27.95" hidden="1">
      <c r="B21" s="6" t="str">
        <f>VLOOKUP(C21, [1]Definition!$D$5:$K$5665, 8, FALSE)</f>
        <v>Capital Goods</v>
      </c>
      <c r="C21" s="7">
        <v>845430</v>
      </c>
      <c r="D21" s="8" t="s">
        <v>81</v>
      </c>
      <c r="E21" s="17" t="s">
        <v>19</v>
      </c>
      <c r="F21" s="8"/>
      <c r="G21" s="8"/>
      <c r="H21" s="9" t="s">
        <v>82</v>
      </c>
      <c r="I21" s="9" t="s">
        <v>83</v>
      </c>
      <c r="J21" s="17" t="str">
        <f>_xlfn.IFNA(VLOOKUP(C21, '[2]Unique HS'!$B$4:$J$999, 9, FALSE), "No")</f>
        <v>No</v>
      </c>
      <c r="K21" s="18">
        <f>VLOOKUP(C21, '[1]India EXIM'!$B$6:$C$580, 2, FALSE)</f>
        <v>0.31250048724299995</v>
      </c>
      <c r="L21" s="11">
        <f>VLOOKUP(C21, '[1]China EXIM'!$B$6:$D$580, 3, FALSE)</f>
        <v>0.98452318866999999</v>
      </c>
      <c r="M21" s="6"/>
      <c r="N21" s="6"/>
      <c r="O21" s="6"/>
      <c r="P21" s="10" t="s">
        <v>24</v>
      </c>
      <c r="Q21" s="9" t="s">
        <v>82</v>
      </c>
      <c r="U21" s="1" t="s">
        <v>25</v>
      </c>
    </row>
    <row r="22" spans="2:21" ht="42" hidden="1">
      <c r="B22" s="6" t="str">
        <f>VLOOKUP(C22, [1]Definition!$D$5:$K$5665, 8, FALSE)</f>
        <v>Capital Goods</v>
      </c>
      <c r="C22" s="7">
        <v>902750</v>
      </c>
      <c r="D22" s="8" t="s">
        <v>84</v>
      </c>
      <c r="E22" s="17" t="s">
        <v>19</v>
      </c>
      <c r="F22" s="8" t="s">
        <v>85</v>
      </c>
      <c r="G22" s="8" t="s">
        <v>86</v>
      </c>
      <c r="H22" s="9" t="s">
        <v>22</v>
      </c>
      <c r="I22" s="9" t="s">
        <v>87</v>
      </c>
      <c r="J22" s="17" t="str">
        <f>_xlfn.IFNA(VLOOKUP(C22, '[2]Unique HS'!$B$4:$J$999, 9, FALSE), "No")</f>
        <v>Yes</v>
      </c>
      <c r="K22" s="18">
        <f>VLOOKUP(C22, '[1]India EXIM'!$B$6:$C$580, 2, FALSE)</f>
        <v>0.30759251272100002</v>
      </c>
      <c r="L22" s="11">
        <f>VLOOKUP(C22, '[1]China EXIM'!$B$6:$D$580, 3, FALSE)</f>
        <v>11.475711325601999</v>
      </c>
      <c r="M22" s="6"/>
      <c r="N22" s="6"/>
      <c r="O22" s="6"/>
      <c r="P22" s="10" t="s">
        <v>24</v>
      </c>
      <c r="Q22" s="9" t="s">
        <v>22</v>
      </c>
      <c r="U22" s="1" t="s">
        <v>25</v>
      </c>
    </row>
    <row r="23" spans="2:21" ht="42" hidden="1">
      <c r="B23" s="6" t="str">
        <f>VLOOKUP(C23, [1]Definition!$D$5:$K$5665, 8, FALSE)</f>
        <v>Capital Goods</v>
      </c>
      <c r="C23" s="7">
        <v>847710</v>
      </c>
      <c r="D23" s="8" t="s">
        <v>88</v>
      </c>
      <c r="E23" s="17" t="s">
        <v>19</v>
      </c>
      <c r="F23" s="8"/>
      <c r="G23" s="8"/>
      <c r="H23" s="9" t="s">
        <v>52</v>
      </c>
      <c r="I23" s="9" t="s">
        <v>53</v>
      </c>
      <c r="J23" s="17" t="str">
        <f>_xlfn.IFNA(VLOOKUP(C23, '[2]Unique HS'!$B$4:$J$999, 9, FALSE), "No")</f>
        <v>Yes</v>
      </c>
      <c r="K23" s="18">
        <f>VLOOKUP(C23, '[1]India EXIM'!$B$6:$C$580, 2, FALSE)</f>
        <v>0.30611818428100002</v>
      </c>
      <c r="L23" s="11">
        <f>VLOOKUP(C23, '[1]China EXIM'!$B$6:$D$580, 3, FALSE)</f>
        <v>5.2145720568140002</v>
      </c>
      <c r="M23" s="6"/>
      <c r="N23" s="6"/>
      <c r="O23" s="6"/>
      <c r="P23" s="10" t="s">
        <v>24</v>
      </c>
      <c r="Q23" s="9" t="s">
        <v>52</v>
      </c>
      <c r="U23" s="1" t="s">
        <v>25</v>
      </c>
    </row>
    <row r="24" spans="2:21" ht="27.95" hidden="1">
      <c r="B24" s="6" t="str">
        <f>VLOOKUP(C24, [1]Definition!$D$5:$K$5665, 8, FALSE)</f>
        <v>Capital Goods</v>
      </c>
      <c r="C24" s="7">
        <v>842641</v>
      </c>
      <c r="D24" s="8" t="s">
        <v>89</v>
      </c>
      <c r="E24" s="17" t="s">
        <v>19</v>
      </c>
      <c r="F24" s="8"/>
      <c r="G24" s="8"/>
      <c r="H24" s="9" t="s">
        <v>58</v>
      </c>
      <c r="I24" s="9" t="s">
        <v>31</v>
      </c>
      <c r="J24" s="17" t="str">
        <f>_xlfn.IFNA(VLOOKUP(C24, '[2]Unique HS'!$B$4:$J$999, 9, FALSE), "No")</f>
        <v>No</v>
      </c>
      <c r="K24" s="18">
        <f>VLOOKUP(C24, '[1]India EXIM'!$B$6:$C$580, 2, FALSE)</f>
        <v>0.30236254867099999</v>
      </c>
      <c r="L24" s="11">
        <f>VLOOKUP(C24, '[1]China EXIM'!$B$6:$D$580, 3, FALSE)</f>
        <v>3.580500926514</v>
      </c>
      <c r="M24" s="9" t="s">
        <v>80</v>
      </c>
      <c r="N24" s="9"/>
      <c r="O24" s="6"/>
      <c r="P24" s="10" t="s">
        <v>24</v>
      </c>
      <c r="Q24" s="9" t="s">
        <v>58</v>
      </c>
      <c r="U24" s="1" t="s">
        <v>25</v>
      </c>
    </row>
    <row r="25" spans="2:21" ht="56.1" hidden="1">
      <c r="B25" s="6" t="str">
        <f>VLOOKUP(C25, [1]Definition!$D$5:$K$5665, 8, FALSE)</f>
        <v>Capital Goods</v>
      </c>
      <c r="C25" s="7">
        <v>848640</v>
      </c>
      <c r="D25" s="8" t="s">
        <v>90</v>
      </c>
      <c r="E25" s="17" t="s">
        <v>19</v>
      </c>
      <c r="F25" s="8"/>
      <c r="G25" s="8" t="s">
        <v>91</v>
      </c>
      <c r="H25" s="9" t="s">
        <v>46</v>
      </c>
      <c r="I25" s="9" t="s">
        <v>31</v>
      </c>
      <c r="J25" s="17" t="str">
        <f>_xlfn.IFNA(VLOOKUP(C25, '[2]Unique HS'!$B$4:$J$999, 9, FALSE), "No")</f>
        <v>Yes</v>
      </c>
      <c r="K25" s="18">
        <f>VLOOKUP(C25, '[1]India EXIM'!$B$6:$C$580, 2, FALSE)</f>
        <v>0.297898358659</v>
      </c>
      <c r="L25" s="11">
        <f>VLOOKUP(C25, '[1]China EXIM'!$B$6:$D$580, 3, FALSE)</f>
        <v>12.357574409787</v>
      </c>
      <c r="M25" s="6"/>
      <c r="N25" s="6"/>
      <c r="O25" s="6"/>
      <c r="P25" s="10" t="s">
        <v>24</v>
      </c>
      <c r="Q25" s="9" t="s">
        <v>46</v>
      </c>
      <c r="U25" s="1" t="s">
        <v>25</v>
      </c>
    </row>
    <row r="26" spans="2:21" ht="42" hidden="1">
      <c r="B26" s="6" t="str">
        <f>VLOOKUP(C26, [1]Definition!$D$5:$K$5665, 8, FALSE)</f>
        <v>Capital Goods</v>
      </c>
      <c r="C26" s="7">
        <v>841989</v>
      </c>
      <c r="D26" s="8" t="s">
        <v>92</v>
      </c>
      <c r="E26" s="17" t="s">
        <v>19</v>
      </c>
      <c r="F26" s="8" t="s">
        <v>93</v>
      </c>
      <c r="G26" s="8"/>
      <c r="H26" s="9" t="s">
        <v>22</v>
      </c>
      <c r="I26" s="9" t="s">
        <v>74</v>
      </c>
      <c r="J26" s="17" t="str">
        <f>_xlfn.IFNA(VLOOKUP(C26, '[2]Unique HS'!$B$4:$J$999, 9, FALSE), "No")</f>
        <v>Yes</v>
      </c>
      <c r="K26" s="18">
        <f>VLOOKUP(C26, '[1]India EXIM'!$B$6:$C$580, 2, FALSE)</f>
        <v>0.29726136943800002</v>
      </c>
      <c r="L26" s="11">
        <f>VLOOKUP(C26, '[1]China EXIM'!$B$6:$D$580, 3, FALSE)</f>
        <v>10.373114867551001</v>
      </c>
      <c r="M26" s="6"/>
      <c r="N26" s="6"/>
      <c r="O26" s="6"/>
      <c r="P26" s="10" t="s">
        <v>24</v>
      </c>
      <c r="Q26" s="9" t="s">
        <v>22</v>
      </c>
      <c r="U26" s="1" t="s">
        <v>25</v>
      </c>
    </row>
    <row r="27" spans="2:21" ht="42" hidden="1">
      <c r="B27" s="6" t="str">
        <f>VLOOKUP(C27, [1]Definition!$D$5:$K$5665, 8, FALSE)</f>
        <v>Capital Goods</v>
      </c>
      <c r="C27" s="7">
        <v>842489</v>
      </c>
      <c r="D27" s="8" t="s">
        <v>94</v>
      </c>
      <c r="E27" s="17" t="s">
        <v>19</v>
      </c>
      <c r="F27" s="8" t="s">
        <v>95</v>
      </c>
      <c r="G27" s="8" t="s">
        <v>96</v>
      </c>
      <c r="H27" s="9" t="s">
        <v>22</v>
      </c>
      <c r="I27" s="9" t="s">
        <v>97</v>
      </c>
      <c r="J27" s="17" t="str">
        <f>_xlfn.IFNA(VLOOKUP(C27, '[2]Unique HS'!$B$4:$J$999, 9, FALSE), "No")</f>
        <v>Yes</v>
      </c>
      <c r="K27" s="18">
        <f>VLOOKUP(C27, '[1]India EXIM'!$B$6:$C$580, 2, FALSE)</f>
        <v>0.293195032184</v>
      </c>
      <c r="L27" s="11">
        <f>VLOOKUP(C27, '[1]China EXIM'!$B$6:$D$580, 3, FALSE)</f>
        <v>6.42477387923</v>
      </c>
      <c r="M27" s="6"/>
      <c r="N27" s="6"/>
      <c r="O27" s="6"/>
      <c r="P27" s="10" t="s">
        <v>24</v>
      </c>
      <c r="Q27" s="11" t="s">
        <v>22</v>
      </c>
      <c r="U27" s="1" t="s">
        <v>25</v>
      </c>
    </row>
    <row r="28" spans="2:21" ht="27.95" hidden="1">
      <c r="B28" s="6" t="str">
        <f>VLOOKUP(C28, [1]Definition!$D$5:$K$5665, 8, FALSE)</f>
        <v>Capital Goods</v>
      </c>
      <c r="C28" s="7">
        <v>902710</v>
      </c>
      <c r="D28" s="8" t="s">
        <v>98</v>
      </c>
      <c r="E28" s="17" t="s">
        <v>19</v>
      </c>
      <c r="F28" s="8"/>
      <c r="G28" s="8" t="s">
        <v>99</v>
      </c>
      <c r="H28" s="9" t="s">
        <v>22</v>
      </c>
      <c r="I28" s="9" t="s">
        <v>38</v>
      </c>
      <c r="J28" s="17" t="str">
        <f>_xlfn.IFNA(VLOOKUP(C28, '[2]Unique HS'!$B$4:$J$999, 9, FALSE), "No")</f>
        <v>Yes</v>
      </c>
      <c r="K28" s="18">
        <f>VLOOKUP(C28, '[1]India EXIM'!$B$6:$C$580, 2, FALSE)</f>
        <v>0.26460314215899999</v>
      </c>
      <c r="L28" s="11">
        <f>VLOOKUP(C28, '[1]China EXIM'!$B$6:$D$580, 3, FALSE)</f>
        <v>7.7531454783180003</v>
      </c>
      <c r="M28" s="6"/>
      <c r="N28" s="6"/>
      <c r="O28" s="6"/>
      <c r="P28" s="10" t="s">
        <v>24</v>
      </c>
      <c r="Q28" s="9" t="s">
        <v>22</v>
      </c>
      <c r="U28" s="1" t="s">
        <v>25</v>
      </c>
    </row>
    <row r="29" spans="2:21" ht="56.1" hidden="1">
      <c r="B29" s="6" t="str">
        <f>VLOOKUP(C29, [1]Definition!$D$5:$K$5665, 8, FALSE)</f>
        <v>Capital Goods</v>
      </c>
      <c r="C29" s="7">
        <v>841350</v>
      </c>
      <c r="D29" s="8" t="s">
        <v>100</v>
      </c>
      <c r="E29" s="17" t="s">
        <v>19</v>
      </c>
      <c r="F29" s="8" t="s">
        <v>101</v>
      </c>
      <c r="G29" s="8"/>
      <c r="H29" s="9" t="s">
        <v>22</v>
      </c>
      <c r="I29" s="9" t="s">
        <v>102</v>
      </c>
      <c r="J29" s="17" t="str">
        <f>_xlfn.IFNA(VLOOKUP(C29, '[2]Unique HS'!$B$4:$J$999, 9, FALSE), "No")</f>
        <v>Yes</v>
      </c>
      <c r="K29" s="18">
        <f>VLOOKUP(C29, '[1]India EXIM'!$B$6:$C$580, 2, FALSE)</f>
        <v>0.257421521672</v>
      </c>
      <c r="L29" s="11">
        <f>VLOOKUP(C29, '[1]China EXIM'!$B$6:$D$580, 3, FALSE)</f>
        <v>9.9874781856089996</v>
      </c>
      <c r="M29" s="6" t="s">
        <v>103</v>
      </c>
      <c r="N29" s="6"/>
      <c r="O29" s="6"/>
      <c r="P29" s="10" t="s">
        <v>24</v>
      </c>
      <c r="Q29" s="9" t="s">
        <v>58</v>
      </c>
      <c r="U29" s="1" t="s">
        <v>25</v>
      </c>
    </row>
    <row r="30" spans="2:21" ht="27.95" hidden="1">
      <c r="B30" s="6" t="str">
        <f>VLOOKUP(C30, [1]Definition!$D$5:$K$5665, 8, FALSE)</f>
        <v>Capital Goods</v>
      </c>
      <c r="C30" s="7">
        <v>842240</v>
      </c>
      <c r="D30" s="8" t="s">
        <v>104</v>
      </c>
      <c r="E30" s="17" t="s">
        <v>19</v>
      </c>
      <c r="F30" s="8"/>
      <c r="G30" s="8"/>
      <c r="H30" s="9" t="s">
        <v>22</v>
      </c>
      <c r="I30" s="9" t="s">
        <v>105</v>
      </c>
      <c r="J30" s="17" t="str">
        <f>_xlfn.IFNA(VLOOKUP(C30, '[2]Unique HS'!$B$4:$J$999, 9, FALSE), "No")</f>
        <v>Yes</v>
      </c>
      <c r="K30" s="18">
        <f>VLOOKUP(C30, '[1]India EXIM'!$B$6:$C$580, 2, FALSE)</f>
        <v>0.25673197567599998</v>
      </c>
      <c r="L30" s="11">
        <f>VLOOKUP(C30, '[1]China EXIM'!$B$6:$D$580, 3, FALSE)</f>
        <v>10.276384546020001</v>
      </c>
      <c r="M30" s="6" t="s">
        <v>63</v>
      </c>
      <c r="N30" s="6"/>
      <c r="O30" s="6"/>
      <c r="P30" s="10" t="s">
        <v>24</v>
      </c>
      <c r="Q30" s="9" t="s">
        <v>22</v>
      </c>
      <c r="U30" s="1" t="s">
        <v>25</v>
      </c>
    </row>
    <row r="31" spans="2:21" ht="27.95" hidden="1">
      <c r="B31" s="6" t="str">
        <f>VLOOKUP(C31, [1]Definition!$D$5:$K$5665, 8, FALSE)</f>
        <v>Capital Goods</v>
      </c>
      <c r="C31" s="7">
        <v>845521</v>
      </c>
      <c r="D31" s="8" t="s">
        <v>106</v>
      </c>
      <c r="E31" s="17" t="s">
        <v>19</v>
      </c>
      <c r="F31" s="8"/>
      <c r="G31" s="8"/>
      <c r="H31" s="9" t="s">
        <v>82</v>
      </c>
      <c r="I31" s="9" t="s">
        <v>107</v>
      </c>
      <c r="J31" s="17" t="str">
        <f>_xlfn.IFNA(VLOOKUP(C31, '[2]Unique HS'!$B$4:$J$999, 9, FALSE), "No")</f>
        <v>No</v>
      </c>
      <c r="K31" s="18">
        <f>VLOOKUP(C31, '[1]India EXIM'!$B$6:$C$580, 2, FALSE)</f>
        <v>0.255416278035</v>
      </c>
      <c r="L31" s="11">
        <f>VLOOKUP(C31, '[1]China EXIM'!$B$6:$D$580, 3, FALSE)</f>
        <v>0.59172417046000003</v>
      </c>
      <c r="M31" s="6"/>
      <c r="N31" s="6"/>
      <c r="O31" s="6"/>
      <c r="P31" s="10" t="s">
        <v>24</v>
      </c>
      <c r="Q31" s="9" t="s">
        <v>82</v>
      </c>
      <c r="U31" s="1" t="s">
        <v>25</v>
      </c>
    </row>
    <row r="32" spans="2:21" ht="42" hidden="1">
      <c r="B32" s="6" t="str">
        <f>VLOOKUP(C32, [1]Definition!$D$5:$K$5665, 8, FALSE)</f>
        <v>Capital Goods</v>
      </c>
      <c r="C32" s="7">
        <v>842129</v>
      </c>
      <c r="D32" s="8" t="s">
        <v>108</v>
      </c>
      <c r="E32" s="17" t="s">
        <v>19</v>
      </c>
      <c r="F32" s="8" t="s">
        <v>109</v>
      </c>
      <c r="G32" s="8"/>
      <c r="H32" s="9" t="s">
        <v>22</v>
      </c>
      <c r="I32" s="9" t="s">
        <v>74</v>
      </c>
      <c r="J32" s="17" t="str">
        <f>_xlfn.IFNA(VLOOKUP(C32, '[2]Unique HS'!$B$4:$J$999, 9, FALSE), "No")</f>
        <v>Yes</v>
      </c>
      <c r="K32" s="18">
        <f>VLOOKUP(C32, '[1]India EXIM'!$B$6:$C$580, 2, FALSE)</f>
        <v>0.23592089345300002</v>
      </c>
      <c r="L32" s="11">
        <f>VLOOKUP(C32, '[1]China EXIM'!$B$6:$D$580, 3, FALSE)</f>
        <v>12.532340795601</v>
      </c>
      <c r="M32" s="6"/>
      <c r="N32" s="6"/>
      <c r="O32" s="6"/>
      <c r="P32" s="10" t="s">
        <v>24</v>
      </c>
      <c r="Q32" s="9" t="s">
        <v>22</v>
      </c>
      <c r="U32" s="1" t="s">
        <v>25</v>
      </c>
    </row>
    <row r="33" spans="2:22" ht="69.95" hidden="1">
      <c r="B33" s="6" t="str">
        <f>VLOOKUP(C33, [1]Definition!$D$5:$K$5665, 8, FALSE)</f>
        <v>Capital Goods</v>
      </c>
      <c r="C33" s="7">
        <v>841370</v>
      </c>
      <c r="D33" s="8" t="s">
        <v>110</v>
      </c>
      <c r="E33" s="17" t="s">
        <v>19</v>
      </c>
      <c r="F33" s="8" t="s">
        <v>111</v>
      </c>
      <c r="G33" s="8"/>
      <c r="H33" s="9" t="s">
        <v>22</v>
      </c>
      <c r="I33" s="9" t="s">
        <v>112</v>
      </c>
      <c r="J33" s="17" t="str">
        <f>_xlfn.IFNA(VLOOKUP(C33, '[2]Unique HS'!$B$4:$J$999, 9, FALSE), "No")</f>
        <v>Yes</v>
      </c>
      <c r="K33" s="18">
        <f>VLOOKUP(C33, '[1]India EXIM'!$B$6:$C$580, 2, FALSE)</f>
        <v>0.211937213417</v>
      </c>
      <c r="L33" s="11">
        <f>VLOOKUP(C33, '[1]China EXIM'!$B$6:$D$580, 3, FALSE)</f>
        <v>17.952901636002</v>
      </c>
      <c r="M33" s="6" t="s">
        <v>103</v>
      </c>
      <c r="N33" s="6"/>
      <c r="O33" s="6"/>
      <c r="P33" s="10" t="s">
        <v>24</v>
      </c>
      <c r="Q33" s="9" t="s">
        <v>22</v>
      </c>
      <c r="U33" s="1" t="s">
        <v>34</v>
      </c>
      <c r="V33" s="1" t="s">
        <v>113</v>
      </c>
    </row>
    <row r="34" spans="2:22" ht="27.95" hidden="1">
      <c r="B34" s="6" t="str">
        <f>VLOOKUP(C34, [1]Definition!$D$5:$K$5665, 8, FALSE)</f>
        <v>Capital Goods</v>
      </c>
      <c r="C34" s="7">
        <v>845229</v>
      </c>
      <c r="D34" s="8" t="s">
        <v>114</v>
      </c>
      <c r="E34" s="17" t="s">
        <v>19</v>
      </c>
      <c r="F34" s="8"/>
      <c r="G34" s="8"/>
      <c r="H34" s="9" t="s">
        <v>55</v>
      </c>
      <c r="I34" s="9" t="s">
        <v>115</v>
      </c>
      <c r="J34" s="17" t="str">
        <f>_xlfn.IFNA(VLOOKUP(C34, '[2]Unique HS'!$B$4:$J$999, 9, FALSE), "No")</f>
        <v>Yes</v>
      </c>
      <c r="K34" s="18">
        <f>VLOOKUP(C34, '[1]India EXIM'!$B$6:$C$580, 2, FALSE)</f>
        <v>0.211593125947</v>
      </c>
      <c r="L34" s="11">
        <f>VLOOKUP(C34, '[1]China EXIM'!$B$6:$D$580, 3, FALSE)</f>
        <v>1.2014289408299998</v>
      </c>
      <c r="M34" s="6"/>
      <c r="N34" s="6"/>
      <c r="O34" s="6"/>
      <c r="P34" s="10" t="s">
        <v>24</v>
      </c>
      <c r="Q34" s="9" t="s">
        <v>55</v>
      </c>
      <c r="U34" s="1" t="s">
        <v>25</v>
      </c>
    </row>
    <row r="35" spans="2:22" ht="27.95" hidden="1">
      <c r="B35" s="6" t="str">
        <f>VLOOKUP(C35, [1]Definition!$D$5:$K$5665, 8, FALSE)</f>
        <v>Capital Goods</v>
      </c>
      <c r="C35" s="7">
        <v>842952</v>
      </c>
      <c r="D35" s="8" t="s">
        <v>116</v>
      </c>
      <c r="E35" s="17" t="s">
        <v>19</v>
      </c>
      <c r="F35" s="8"/>
      <c r="G35" s="8"/>
      <c r="H35" s="9" t="s">
        <v>58</v>
      </c>
      <c r="I35" s="9" t="s">
        <v>31</v>
      </c>
      <c r="J35" s="17" t="str">
        <f>_xlfn.IFNA(VLOOKUP(C35, '[2]Unique HS'!$B$4:$J$999, 9, FALSE), "No")</f>
        <v>No</v>
      </c>
      <c r="K35" s="18">
        <f>VLOOKUP(C35, '[1]India EXIM'!$B$6:$C$580, 2, FALSE)</f>
        <v>0.21018742387099998</v>
      </c>
      <c r="L35" s="11">
        <f>VLOOKUP(C35, '[1]China EXIM'!$B$6:$D$580, 3, FALSE)</f>
        <v>35.755035280116999</v>
      </c>
      <c r="M35" s="9" t="s">
        <v>117</v>
      </c>
      <c r="N35" s="9"/>
      <c r="O35" s="6"/>
      <c r="P35" s="10" t="s">
        <v>24</v>
      </c>
      <c r="Q35" s="9" t="s">
        <v>58</v>
      </c>
      <c r="U35" s="1" t="s">
        <v>25</v>
      </c>
    </row>
    <row r="36" spans="2:22" ht="69.95">
      <c r="B36" s="6" t="str">
        <f>VLOOKUP(C36, [1]Definition!$D$5:$K$5665, 8, FALSE)</f>
        <v>Capital Goods</v>
      </c>
      <c r="C36" s="7">
        <v>841221</v>
      </c>
      <c r="D36" s="8" t="s">
        <v>118</v>
      </c>
      <c r="E36" s="17" t="s">
        <v>119</v>
      </c>
      <c r="F36" s="8"/>
      <c r="G36" s="8"/>
      <c r="H36" s="9" t="s">
        <v>58</v>
      </c>
      <c r="I36" s="9" t="s">
        <v>120</v>
      </c>
      <c r="J36" s="17" t="str">
        <f>_xlfn.IFNA(VLOOKUP(C36, '[2]Unique HS'!$B$4:$J$999, 9, FALSE), "No")</f>
        <v>Yes</v>
      </c>
      <c r="K36" s="18">
        <f>VLOOKUP(C36, '[1]India EXIM'!$B$6:$C$580, 2, FALSE)</f>
        <v>0.105051476595</v>
      </c>
      <c r="L36" s="11">
        <f>VLOOKUP(C36, '[1]China EXIM'!$B$6:$D$580, 3, FALSE)</f>
        <v>8.116513637433</v>
      </c>
      <c r="M36" s="6"/>
      <c r="N36" s="6"/>
      <c r="O36" s="6"/>
      <c r="P36" s="10" t="s">
        <v>24</v>
      </c>
      <c r="Q36" s="9" t="s">
        <v>58</v>
      </c>
      <c r="U36" s="1" t="s">
        <v>34</v>
      </c>
    </row>
    <row r="37" spans="2:22" ht="27.95" hidden="1">
      <c r="B37" s="6" t="str">
        <f>VLOOKUP(C37, [1]Definition!$D$5:$K$5665, 8, FALSE)</f>
        <v>Capital Goods</v>
      </c>
      <c r="C37" s="7">
        <v>902620</v>
      </c>
      <c r="D37" s="8" t="s">
        <v>121</v>
      </c>
      <c r="E37" s="17" t="s">
        <v>19</v>
      </c>
      <c r="F37" s="8" t="s">
        <v>68</v>
      </c>
      <c r="G37" s="8"/>
      <c r="H37" s="9" t="s">
        <v>22</v>
      </c>
      <c r="I37" s="9" t="s">
        <v>122</v>
      </c>
      <c r="J37" s="17" t="str">
        <f>_xlfn.IFNA(VLOOKUP(C37, '[2]Unique HS'!$B$4:$J$999, 9, FALSE), "No")</f>
        <v>Yes</v>
      </c>
      <c r="K37" s="18">
        <f>VLOOKUP(C37, '[1]India EXIM'!$B$6:$C$580, 2, FALSE)</f>
        <v>0.20677264469000001</v>
      </c>
      <c r="L37" s="11">
        <f>VLOOKUP(C37, '[1]China EXIM'!$B$6:$D$580, 3, FALSE)</f>
        <v>11.170423560351001</v>
      </c>
      <c r="M37" s="6"/>
      <c r="N37" s="6"/>
      <c r="O37" s="6"/>
      <c r="P37" s="10" t="s">
        <v>24</v>
      </c>
      <c r="Q37" s="11" t="s">
        <v>39</v>
      </c>
      <c r="U37" s="1" t="s">
        <v>25</v>
      </c>
    </row>
    <row r="38" spans="2:22" ht="27.95" hidden="1">
      <c r="B38" s="6" t="str">
        <f>VLOOKUP(C38, [1]Definition!$D$5:$K$5665, 8, FALSE)</f>
        <v>Capital Goods</v>
      </c>
      <c r="C38" s="7">
        <v>845522</v>
      </c>
      <c r="D38" s="8" t="s">
        <v>123</v>
      </c>
      <c r="E38" s="17" t="s">
        <v>19</v>
      </c>
      <c r="F38" s="8"/>
      <c r="G38" s="8"/>
      <c r="H38" s="9" t="s">
        <v>82</v>
      </c>
      <c r="I38" s="9" t="s">
        <v>124</v>
      </c>
      <c r="J38" s="17" t="str">
        <f>_xlfn.IFNA(VLOOKUP(C38, '[2]Unique HS'!$B$4:$J$999, 9, FALSE), "No")</f>
        <v>No</v>
      </c>
      <c r="K38" s="18">
        <f>VLOOKUP(C38, '[1]India EXIM'!$B$6:$C$580, 2, FALSE)</f>
        <v>0.19598846997700001</v>
      </c>
      <c r="L38" s="11">
        <f>VLOOKUP(C38, '[1]China EXIM'!$B$6:$D$580, 3, FALSE)</f>
        <v>0.64496026407200002</v>
      </c>
      <c r="M38" s="6"/>
      <c r="N38" s="6"/>
      <c r="O38" s="6"/>
      <c r="P38" s="10" t="s">
        <v>24</v>
      </c>
      <c r="Q38" s="9" t="s">
        <v>82</v>
      </c>
      <c r="U38" s="1" t="s">
        <v>25</v>
      </c>
    </row>
    <row r="39" spans="2:22" ht="27.95" hidden="1">
      <c r="B39" s="6" t="str">
        <f>VLOOKUP(C39, [1]Definition!$D$5:$K$5665, 8, FALSE)</f>
        <v>Capital Goods</v>
      </c>
      <c r="C39" s="7">
        <v>902730</v>
      </c>
      <c r="D39" s="8" t="s">
        <v>125</v>
      </c>
      <c r="E39" s="17" t="s">
        <v>19</v>
      </c>
      <c r="F39" s="8"/>
      <c r="G39" s="8" t="s">
        <v>69</v>
      </c>
      <c r="H39" s="9" t="s">
        <v>22</v>
      </c>
      <c r="I39" s="9" t="s">
        <v>87</v>
      </c>
      <c r="J39" s="17" t="str">
        <f>_xlfn.IFNA(VLOOKUP(C39, '[2]Unique HS'!$B$4:$J$999, 9, FALSE), "No")</f>
        <v>Yes</v>
      </c>
      <c r="K39" s="18">
        <f>VLOOKUP(C39, '[1]India EXIM'!$B$6:$C$580, 2, FALSE)</f>
        <v>0.19570309435</v>
      </c>
      <c r="L39" s="11">
        <f>VLOOKUP(C39, '[1]China EXIM'!$B$6:$D$580, 3, FALSE)</f>
        <v>4.9627220746200003</v>
      </c>
      <c r="M39" s="6"/>
      <c r="N39" s="6"/>
      <c r="O39" s="6"/>
      <c r="P39" s="10" t="s">
        <v>24</v>
      </c>
      <c r="Q39" s="9" t="s">
        <v>22</v>
      </c>
      <c r="U39" s="1" t="s">
        <v>25</v>
      </c>
    </row>
    <row r="40" spans="2:22" ht="27.95" hidden="1">
      <c r="B40" s="6" t="str">
        <f>VLOOKUP(C40, [1]Definition!$D$5:$K$5665, 8, FALSE)</f>
        <v>Capital Goods</v>
      </c>
      <c r="C40" s="7">
        <v>850152</v>
      </c>
      <c r="D40" s="8" t="s">
        <v>126</v>
      </c>
      <c r="E40" s="17" t="s">
        <v>27</v>
      </c>
      <c r="F40" s="8" t="s">
        <v>127</v>
      </c>
      <c r="G40" s="8" t="s">
        <v>128</v>
      </c>
      <c r="H40" s="9" t="s">
        <v>30</v>
      </c>
      <c r="I40" s="9" t="s">
        <v>31</v>
      </c>
      <c r="J40" s="17" t="str">
        <f>_xlfn.IFNA(VLOOKUP(C40, '[2]Unique HS'!$B$4:$J$999, 9, FALSE), "No")</f>
        <v>Yes</v>
      </c>
      <c r="K40" s="22">
        <f>VLOOKUP(C40, '[1]India EXIM'!$B$6:$C$580, 2, FALSE)</f>
        <v>0.19026122149000002</v>
      </c>
      <c r="L40" s="11">
        <f>VLOOKUP(C40, '[1]China EXIM'!$B$6:$D$580, 3, FALSE)</f>
        <v>10.357186422568001</v>
      </c>
      <c r="M40" s="9" t="s">
        <v>129</v>
      </c>
      <c r="N40" s="9"/>
      <c r="O40" s="6"/>
      <c r="P40" s="10" t="s">
        <v>24</v>
      </c>
      <c r="Q40" s="9" t="s">
        <v>30</v>
      </c>
      <c r="S40" s="1" t="s">
        <v>33</v>
      </c>
      <c r="U40" s="1" t="s">
        <v>34</v>
      </c>
    </row>
    <row r="41" spans="2:22" ht="27.95" hidden="1">
      <c r="B41" s="6" t="str">
        <f>VLOOKUP(C41, [1]Definition!$D$5:$K$5665, 8, FALSE)</f>
        <v>Capital Goods</v>
      </c>
      <c r="C41" s="7">
        <v>847720</v>
      </c>
      <c r="D41" s="8" t="s">
        <v>130</v>
      </c>
      <c r="E41" s="17" t="s">
        <v>19</v>
      </c>
      <c r="F41" s="8"/>
      <c r="G41" s="8"/>
      <c r="H41" s="9" t="s">
        <v>52</v>
      </c>
      <c r="I41" s="9" t="s">
        <v>53</v>
      </c>
      <c r="J41" s="17" t="str">
        <f>_xlfn.IFNA(VLOOKUP(C41, '[2]Unique HS'!$B$4:$J$999, 9, FALSE), "No")</f>
        <v>No</v>
      </c>
      <c r="K41" s="18">
        <f>VLOOKUP(C41, '[1]India EXIM'!$B$6:$C$580, 2, FALSE)</f>
        <v>0.18431179586000002</v>
      </c>
      <c r="L41" s="11">
        <f>VLOOKUP(C41, '[1]China EXIM'!$B$6:$D$580, 3, FALSE)</f>
        <v>3.4291712914689998</v>
      </c>
      <c r="M41" s="6"/>
      <c r="N41" s="6"/>
      <c r="O41" s="6"/>
      <c r="P41" s="10" t="s">
        <v>24</v>
      </c>
      <c r="Q41" s="9" t="s">
        <v>52</v>
      </c>
      <c r="U41" s="1" t="s">
        <v>25</v>
      </c>
    </row>
    <row r="42" spans="2:22" ht="42" hidden="1">
      <c r="B42" s="6" t="str">
        <f>VLOOKUP(C42, [1]Definition!$D$5:$K$5665, 8, FALSE)</f>
        <v>Capital Goods</v>
      </c>
      <c r="C42" s="7">
        <v>841710</v>
      </c>
      <c r="D42" s="8" t="s">
        <v>131</v>
      </c>
      <c r="E42" s="17" t="s">
        <v>19</v>
      </c>
      <c r="F42" s="8"/>
      <c r="G42" s="8"/>
      <c r="H42" s="9" t="s">
        <v>82</v>
      </c>
      <c r="I42" s="9" t="s">
        <v>132</v>
      </c>
      <c r="J42" s="17" t="str">
        <f>_xlfn.IFNA(VLOOKUP(C42, '[2]Unique HS'!$B$4:$J$999, 9, FALSE), "No")</f>
        <v>No</v>
      </c>
      <c r="K42" s="18">
        <f>VLOOKUP(C42, '[1]India EXIM'!$B$6:$C$580, 2, FALSE)</f>
        <v>0.18278632127300001</v>
      </c>
      <c r="L42" s="11">
        <f>VLOOKUP(C42, '[1]China EXIM'!$B$6:$D$580, 3, FALSE)</f>
        <v>0.96328814488699999</v>
      </c>
      <c r="M42" s="6"/>
      <c r="N42" s="6"/>
      <c r="O42" s="6"/>
      <c r="P42" s="10" t="s">
        <v>24</v>
      </c>
      <c r="Q42" s="9" t="s">
        <v>82</v>
      </c>
      <c r="U42" s="1" t="s">
        <v>25</v>
      </c>
    </row>
    <row r="43" spans="2:22" ht="42" hidden="1">
      <c r="B43" s="6" t="str">
        <f>VLOOKUP(C43, [1]Definition!$D$5:$K$5665, 8, FALSE)</f>
        <v>Capital Goods</v>
      </c>
      <c r="C43" s="7">
        <v>847982</v>
      </c>
      <c r="D43" s="8" t="s">
        <v>133</v>
      </c>
      <c r="E43" s="17" t="s">
        <v>19</v>
      </c>
      <c r="F43" s="8" t="s">
        <v>134</v>
      </c>
      <c r="G43" s="8"/>
      <c r="H43" s="9" t="s">
        <v>22</v>
      </c>
      <c r="I43" s="9" t="s">
        <v>135</v>
      </c>
      <c r="J43" s="17" t="str">
        <f>_xlfn.IFNA(VLOOKUP(C43, '[2]Unique HS'!$B$4:$J$999, 9, FALSE), "No")</f>
        <v>Yes</v>
      </c>
      <c r="K43" s="18">
        <f>VLOOKUP(C43, '[1]India EXIM'!$B$6:$C$580, 2, FALSE)</f>
        <v>0.182427998029</v>
      </c>
      <c r="L43" s="11">
        <f>VLOOKUP(C43, '[1]China EXIM'!$B$6:$D$580, 3, FALSE)</f>
        <v>6.6074554177830001</v>
      </c>
      <c r="M43" s="6"/>
      <c r="N43" s="6"/>
      <c r="O43" s="6"/>
      <c r="P43" s="10" t="s">
        <v>24</v>
      </c>
      <c r="Q43" s="9" t="s">
        <v>22</v>
      </c>
      <c r="S43" s="1" t="s">
        <v>136</v>
      </c>
      <c r="U43" s="1" t="s">
        <v>137</v>
      </c>
    </row>
    <row r="44" spans="2:22" ht="42" hidden="1">
      <c r="B44" s="6" t="str">
        <f>VLOOKUP(C44, [1]Definition!$D$5:$K$5665, 8, FALSE)</f>
        <v>Capital Goods</v>
      </c>
      <c r="C44" s="7">
        <v>842839</v>
      </c>
      <c r="D44" s="8" t="s">
        <v>138</v>
      </c>
      <c r="E44" s="17" t="s">
        <v>19</v>
      </c>
      <c r="F44" s="8"/>
      <c r="G44" s="8"/>
      <c r="H44" s="9" t="s">
        <v>58</v>
      </c>
      <c r="I44" s="9" t="s">
        <v>31</v>
      </c>
      <c r="J44" s="17" t="str">
        <f>_xlfn.IFNA(VLOOKUP(C44, '[2]Unique HS'!$B$4:$J$999, 9, FALSE), "No")</f>
        <v>Yes</v>
      </c>
      <c r="K44" s="18">
        <f>VLOOKUP(C44, '[1]India EXIM'!$B$6:$C$580, 2, FALSE)</f>
        <v>0.17471126033599998</v>
      </c>
      <c r="L44" s="11">
        <f>VLOOKUP(C44, '[1]China EXIM'!$B$6:$D$580, 3, FALSE)</f>
        <v>7.7437510404380001</v>
      </c>
      <c r="M44" s="9" t="s">
        <v>59</v>
      </c>
      <c r="N44" s="9"/>
      <c r="O44" s="6"/>
      <c r="P44" s="10" t="s">
        <v>24</v>
      </c>
      <c r="Q44" s="9" t="s">
        <v>58</v>
      </c>
      <c r="U44" s="1" t="s">
        <v>25</v>
      </c>
    </row>
    <row r="45" spans="2:22" ht="27.95" hidden="1">
      <c r="B45" s="6" t="str">
        <f>VLOOKUP(C45, [1]Definition!$D$5:$K$5665, 8, FALSE)</f>
        <v>Capital Goods</v>
      </c>
      <c r="C45" s="7">
        <v>902610</v>
      </c>
      <c r="D45" s="8" t="s">
        <v>139</v>
      </c>
      <c r="E45" s="17" t="s">
        <v>19</v>
      </c>
      <c r="F45" s="8" t="s">
        <v>68</v>
      </c>
      <c r="G45" s="8"/>
      <c r="H45" s="9" t="s">
        <v>22</v>
      </c>
      <c r="I45" s="9" t="s">
        <v>140</v>
      </c>
      <c r="J45" s="17" t="str">
        <f>_xlfn.IFNA(VLOOKUP(C45, '[2]Unique HS'!$B$4:$J$999, 9, FALSE), "No")</f>
        <v>Yes</v>
      </c>
      <c r="K45" s="18">
        <f>VLOOKUP(C45, '[1]India EXIM'!$B$6:$C$580, 2, FALSE)</f>
        <v>0.17422142677499999</v>
      </c>
      <c r="L45" s="11">
        <f>VLOOKUP(C45, '[1]China EXIM'!$B$6:$D$580, 3, FALSE)</f>
        <v>6.7471047837609994</v>
      </c>
      <c r="M45" s="6"/>
      <c r="N45" s="6"/>
      <c r="O45" s="6"/>
      <c r="P45" s="10" t="s">
        <v>24</v>
      </c>
      <c r="Q45" s="11" t="s">
        <v>39</v>
      </c>
      <c r="U45" s="1" t="s">
        <v>25</v>
      </c>
    </row>
    <row r="46" spans="2:22" ht="42" hidden="1">
      <c r="B46" s="6" t="str">
        <f>VLOOKUP(C46, [1]Definition!$D$5:$K$5665, 8, FALSE)</f>
        <v>Capital Goods</v>
      </c>
      <c r="C46" s="7">
        <v>847950</v>
      </c>
      <c r="D46" s="8" t="s">
        <v>141</v>
      </c>
      <c r="E46" s="17" t="s">
        <v>142</v>
      </c>
      <c r="F46" s="8"/>
      <c r="G46" s="8"/>
      <c r="H46" s="9" t="s">
        <v>65</v>
      </c>
      <c r="I46" s="9" t="s">
        <v>143</v>
      </c>
      <c r="J46" s="17" t="str">
        <f>_xlfn.IFNA(VLOOKUP(C46, '[2]Unique HS'!$B$4:$J$999, 9, FALSE), "No")</f>
        <v>Yes</v>
      </c>
      <c r="K46" s="18">
        <f>VLOOKUP(C46, '[1]India EXIM'!$B$6:$C$580, 2, FALSE)</f>
        <v>0.17205991772099999</v>
      </c>
      <c r="L46" s="11">
        <f>VLOOKUP(C46, '[1]China EXIM'!$B$6:$D$580, 3, FALSE)</f>
        <v>7.2352870896079997</v>
      </c>
      <c r="M46" s="6" t="s">
        <v>144</v>
      </c>
      <c r="N46" s="6"/>
      <c r="O46" s="6"/>
      <c r="P46" s="10" t="s">
        <v>24</v>
      </c>
      <c r="Q46" s="9" t="s">
        <v>144</v>
      </c>
      <c r="U46" s="1" t="s">
        <v>25</v>
      </c>
    </row>
    <row r="47" spans="2:22" ht="69.95" hidden="1">
      <c r="B47" s="6" t="str">
        <f>VLOOKUP(C47, [1]Definition!$D$5:$K$5665, 8, FALSE)</f>
        <v>Capital Goods</v>
      </c>
      <c r="C47" s="7">
        <v>903149</v>
      </c>
      <c r="D47" s="8" t="s">
        <v>145</v>
      </c>
      <c r="E47" s="17" t="s">
        <v>19</v>
      </c>
      <c r="F47" s="8" t="s">
        <v>146</v>
      </c>
      <c r="G47" s="8" t="s">
        <v>147</v>
      </c>
      <c r="H47" s="9" t="s">
        <v>22</v>
      </c>
      <c r="I47" s="9" t="s">
        <v>38</v>
      </c>
      <c r="J47" s="17" t="str">
        <f>_xlfn.IFNA(VLOOKUP(C47, '[2]Unique HS'!$B$4:$J$999, 9, FALSE), "No")</f>
        <v>Yes</v>
      </c>
      <c r="K47" s="18">
        <f>VLOOKUP(C47, '[1]India EXIM'!$B$6:$C$580, 2, FALSE)</f>
        <v>0.16966305386300001</v>
      </c>
      <c r="L47" s="11">
        <f>VLOOKUP(C47, '[1]China EXIM'!$B$6:$D$580, 3, FALSE)</f>
        <v>12.746913384819001</v>
      </c>
      <c r="M47" s="6"/>
      <c r="N47" s="6"/>
      <c r="O47" s="6"/>
      <c r="P47" s="10" t="s">
        <v>24</v>
      </c>
      <c r="Q47" s="11" t="s">
        <v>39</v>
      </c>
      <c r="U47" s="1" t="s">
        <v>25</v>
      </c>
    </row>
    <row r="48" spans="2:22" ht="42">
      <c r="B48" s="6" t="str">
        <f>VLOOKUP(C48, [1]Definition!$D$5:$K$5665, 8, FALSE)</f>
        <v>Capital Goods</v>
      </c>
      <c r="C48" s="7">
        <v>820730</v>
      </c>
      <c r="D48" s="8" t="s">
        <v>148</v>
      </c>
      <c r="E48" s="17" t="s">
        <v>119</v>
      </c>
      <c r="F48" s="8"/>
      <c r="G48" s="8"/>
      <c r="H48" s="9" t="s">
        <v>149</v>
      </c>
      <c r="I48" s="9" t="s">
        <v>150</v>
      </c>
      <c r="J48" s="17" t="str">
        <f>_xlfn.IFNA(VLOOKUP(C48, '[2]Unique HS'!$B$4:$J$999, 9, FALSE), "No")</f>
        <v>Yes</v>
      </c>
      <c r="K48" s="18">
        <f>VLOOKUP(C48, '[1]India EXIM'!$B$6:$C$580, 2, FALSE)</f>
        <v>0.241639356483</v>
      </c>
      <c r="L48" s="11">
        <f>VLOOKUP(C48, '[1]China EXIM'!$B$6:$D$580, 3, FALSE)</f>
        <v>6.4433875873120003</v>
      </c>
      <c r="M48" s="6" t="s">
        <v>151</v>
      </c>
      <c r="N48" s="6"/>
      <c r="O48" s="6" t="s">
        <v>152</v>
      </c>
      <c r="P48" s="10" t="s">
        <v>24</v>
      </c>
      <c r="Q48" s="9" t="s">
        <v>149</v>
      </c>
      <c r="U48" s="1" t="s">
        <v>34</v>
      </c>
    </row>
    <row r="49" spans="2:27" ht="27.95" hidden="1">
      <c r="B49" s="6" t="str">
        <f>VLOOKUP(C49, [1]Definition!$D$5:$K$5665, 8, FALSE)</f>
        <v>Capital Goods</v>
      </c>
      <c r="C49" s="7">
        <v>842619</v>
      </c>
      <c r="D49" s="8" t="s">
        <v>153</v>
      </c>
      <c r="E49" s="17" t="s">
        <v>19</v>
      </c>
      <c r="F49" s="8"/>
      <c r="G49" s="8"/>
      <c r="H49" s="9" t="s">
        <v>58</v>
      </c>
      <c r="I49" s="9" t="s">
        <v>31</v>
      </c>
      <c r="J49" s="17" t="str">
        <f>_xlfn.IFNA(VLOOKUP(C49, '[2]Unique HS'!$B$4:$J$999, 9, FALSE), "No")</f>
        <v>No</v>
      </c>
      <c r="K49" s="18">
        <f>VLOOKUP(C49, '[1]India EXIM'!$B$6:$C$580, 2, FALSE)</f>
        <v>0.16603474897500001</v>
      </c>
      <c r="L49" s="11">
        <f>VLOOKUP(C49, '[1]China EXIM'!$B$6:$D$580, 3, FALSE)</f>
        <v>2.7843572676350004</v>
      </c>
      <c r="M49" s="9" t="s">
        <v>80</v>
      </c>
      <c r="N49" s="9"/>
      <c r="O49" s="6"/>
      <c r="P49" s="10" t="s">
        <v>24</v>
      </c>
      <c r="Q49" s="9" t="s">
        <v>58</v>
      </c>
      <c r="U49" s="1" t="s">
        <v>25</v>
      </c>
    </row>
    <row r="50" spans="2:27" ht="27.95" hidden="1">
      <c r="B50" s="6" t="str">
        <f>VLOOKUP(C50, [1]Definition!$D$5:$K$5665, 8, FALSE)</f>
        <v>Capital Goods</v>
      </c>
      <c r="C50" s="7">
        <v>842810</v>
      </c>
      <c r="D50" s="8" t="s">
        <v>154</v>
      </c>
      <c r="E50" s="17" t="s">
        <v>19</v>
      </c>
      <c r="F50" s="8"/>
      <c r="G50" s="8"/>
      <c r="H50" s="9" t="s">
        <v>58</v>
      </c>
      <c r="I50" s="9" t="s">
        <v>31</v>
      </c>
      <c r="J50" s="17" t="str">
        <f>_xlfn.IFNA(VLOOKUP(C50, '[2]Unique HS'!$B$4:$J$999, 9, FALSE), "No")</f>
        <v>Yes</v>
      </c>
      <c r="K50" s="18">
        <f>VLOOKUP(C50, '[1]India EXIM'!$B$6:$C$580, 2, FALSE)</f>
        <v>0.163041949963</v>
      </c>
      <c r="L50" s="11">
        <f>VLOOKUP(C50, '[1]China EXIM'!$B$6:$D$580, 3, FALSE)</f>
        <v>6.9881200974189994</v>
      </c>
      <c r="M50" s="6" t="s">
        <v>155</v>
      </c>
      <c r="N50" s="6"/>
      <c r="O50" s="6"/>
      <c r="P50" s="10" t="s">
        <v>24</v>
      </c>
      <c r="Q50" s="9" t="s">
        <v>58</v>
      </c>
      <c r="U50" s="1" t="s">
        <v>25</v>
      </c>
    </row>
    <row r="51" spans="2:27" ht="27.95">
      <c r="B51" s="6" t="str">
        <f>VLOOKUP(C51, [1]Definition!$D$5:$K$5665, 8, FALSE)</f>
        <v>Capital Goods</v>
      </c>
      <c r="C51" s="7">
        <v>843351</v>
      </c>
      <c r="D51" s="8" t="s">
        <v>156</v>
      </c>
      <c r="E51" s="17" t="s">
        <v>119</v>
      </c>
      <c r="F51" s="8" t="s">
        <v>157</v>
      </c>
      <c r="G51" s="8" t="s">
        <v>158</v>
      </c>
      <c r="H51" s="9" t="s">
        <v>22</v>
      </c>
      <c r="I51" s="9" t="s">
        <v>159</v>
      </c>
      <c r="J51" s="17" t="str">
        <f>_xlfn.IFNA(VLOOKUP(C51, '[2]Unique HS'!$B$4:$J$999, 9, FALSE), "No")</f>
        <v>No</v>
      </c>
      <c r="K51" s="18">
        <f>VLOOKUP(C51, '[1]India EXIM'!$B$6:$C$580, 2, FALSE)</f>
        <v>0.168698886967</v>
      </c>
      <c r="L51" s="11">
        <f>VLOOKUP(C51, '[1]China EXIM'!$B$6:$D$580, 3, FALSE)</f>
        <v>6.2708569852860006</v>
      </c>
      <c r="M51" s="6" t="s">
        <v>160</v>
      </c>
      <c r="N51" s="6"/>
      <c r="O51" s="6"/>
      <c r="P51" s="10" t="s">
        <v>24</v>
      </c>
      <c r="Q51" s="11" t="s">
        <v>161</v>
      </c>
    </row>
    <row r="52" spans="2:27" ht="69.95" hidden="1">
      <c r="B52" s="6" t="str">
        <f>VLOOKUP(C52, [1]Definition!$D$5:$K$5665, 8, FALSE)</f>
        <v>Capital Goods</v>
      </c>
      <c r="C52" s="7">
        <v>901580</v>
      </c>
      <c r="D52" s="8" t="s">
        <v>162</v>
      </c>
      <c r="E52" s="17" t="s">
        <v>163</v>
      </c>
      <c r="F52" s="8" t="s">
        <v>164</v>
      </c>
      <c r="G52" s="8" t="s">
        <v>165</v>
      </c>
      <c r="H52" s="9" t="s">
        <v>166</v>
      </c>
      <c r="I52" s="9" t="s">
        <v>167</v>
      </c>
      <c r="J52" s="17" t="str">
        <f>_xlfn.IFNA(VLOOKUP(C52, '[2]Unique HS'!$B$4:$J$999, 9, FALSE), "No")</f>
        <v>Yes</v>
      </c>
      <c r="K52" s="18">
        <f>VLOOKUP(C52, '[1]India EXIM'!$B$6:$C$580, 2, FALSE)</f>
        <v>0.16244375152500001</v>
      </c>
      <c r="L52" s="11">
        <f>VLOOKUP(C52, '[1]China EXIM'!$B$6:$D$580, 3, FALSE)</f>
        <v>5.4801325436440003</v>
      </c>
      <c r="M52" s="6"/>
      <c r="N52" s="6"/>
      <c r="O52" s="6"/>
      <c r="P52" s="10" t="s">
        <v>24</v>
      </c>
      <c r="Q52" s="11" t="s">
        <v>168</v>
      </c>
      <c r="U52" s="1" t="s">
        <v>25</v>
      </c>
    </row>
    <row r="53" spans="2:27" ht="42" hidden="1">
      <c r="B53" s="6" t="str">
        <f>VLOOKUP(C53, [1]Definition!$D$5:$K$5665, 8, FALSE)</f>
        <v>Capital Goods</v>
      </c>
      <c r="C53" s="7">
        <v>853590</v>
      </c>
      <c r="D53" s="8" t="s">
        <v>169</v>
      </c>
      <c r="E53" s="17" t="s">
        <v>27</v>
      </c>
      <c r="F53" s="8" t="s">
        <v>170</v>
      </c>
      <c r="G53" s="8" t="s">
        <v>171</v>
      </c>
      <c r="H53" s="9" t="s">
        <v>30</v>
      </c>
      <c r="I53" s="9" t="s">
        <v>172</v>
      </c>
      <c r="J53" s="17" t="str">
        <f>_xlfn.IFNA(VLOOKUP(C53, '[2]Unique HS'!$B$4:$J$999, 9, FALSE), "No")</f>
        <v>Yes</v>
      </c>
      <c r="K53" s="22">
        <f>VLOOKUP(C53, '[1]India EXIM'!$B$6:$C$580, 2, FALSE)</f>
        <v>0.15855141411099999</v>
      </c>
      <c r="L53" s="11">
        <f>VLOOKUP(C53, '[1]China EXIM'!$B$6:$D$580, 3, FALSE)</f>
        <v>4.7338345119880003</v>
      </c>
      <c r="M53" s="6"/>
      <c r="N53" s="6"/>
      <c r="O53" s="6"/>
      <c r="P53" s="10" t="s">
        <v>24</v>
      </c>
      <c r="Q53" s="9" t="s">
        <v>30</v>
      </c>
      <c r="S53" s="1" t="s">
        <v>33</v>
      </c>
      <c r="U53" s="1" t="s">
        <v>34</v>
      </c>
    </row>
    <row r="54" spans="2:27" hidden="1">
      <c r="B54" s="6" t="str">
        <f>VLOOKUP(C54, [1]Definition!$D$5:$K$5665, 8, FALSE)</f>
        <v>Capital Goods</v>
      </c>
      <c r="C54" s="7">
        <v>845811</v>
      </c>
      <c r="D54" s="8" t="s">
        <v>173</v>
      </c>
      <c r="E54" s="17" t="s">
        <v>19</v>
      </c>
      <c r="F54" s="8"/>
      <c r="G54" s="8"/>
      <c r="H54" s="9" t="s">
        <v>65</v>
      </c>
      <c r="I54" s="9" t="s">
        <v>174</v>
      </c>
      <c r="J54" s="17" t="str">
        <f>_xlfn.IFNA(VLOOKUP(C54, '[2]Unique HS'!$B$4:$J$999, 9, FALSE), "No")</f>
        <v>No</v>
      </c>
      <c r="K54" s="18">
        <f>VLOOKUP(C54, '[1]India EXIM'!$B$6:$C$580, 2, FALSE)</f>
        <v>0.15788851972199999</v>
      </c>
      <c r="L54" s="11">
        <f>VLOOKUP(C54, '[1]China EXIM'!$B$6:$D$580, 3, FALSE)</f>
        <v>5.6931022893209997</v>
      </c>
      <c r="M54" s="6"/>
      <c r="N54" s="6"/>
      <c r="O54" s="6"/>
      <c r="P54" s="10" t="s">
        <v>24</v>
      </c>
      <c r="Q54" s="9" t="s">
        <v>65</v>
      </c>
      <c r="S54" s="1" t="s">
        <v>137</v>
      </c>
      <c r="U54" s="1" t="s">
        <v>137</v>
      </c>
    </row>
    <row r="55" spans="2:27" ht="27.95" hidden="1">
      <c r="B55" s="6" t="str">
        <f>VLOOKUP(C55, [1]Definition!$D$5:$K$5665, 8, FALSE)</f>
        <v>Capital Goods</v>
      </c>
      <c r="C55" s="7">
        <v>844540</v>
      </c>
      <c r="D55" s="8" t="s">
        <v>175</v>
      </c>
      <c r="E55" s="17" t="s">
        <v>19</v>
      </c>
      <c r="F55" s="8"/>
      <c r="G55" s="8"/>
      <c r="H55" s="9" t="s">
        <v>55</v>
      </c>
      <c r="I55" s="9" t="s">
        <v>56</v>
      </c>
      <c r="J55" s="17" t="str">
        <f>_xlfn.IFNA(VLOOKUP(C55, '[2]Unique HS'!$B$4:$J$999, 9, FALSE), "No")</f>
        <v>No</v>
      </c>
      <c r="K55" s="18">
        <f>VLOOKUP(C55, '[1]India EXIM'!$B$6:$C$580, 2, FALSE)</f>
        <v>0.15382336005799999</v>
      </c>
      <c r="L55" s="11">
        <f>VLOOKUP(C55, '[1]China EXIM'!$B$6:$D$580, 3, FALSE)</f>
        <v>1.305928711055</v>
      </c>
      <c r="M55" s="6"/>
      <c r="N55" s="6"/>
      <c r="O55" s="6"/>
      <c r="P55" s="10" t="s">
        <v>24</v>
      </c>
      <c r="Q55" s="9" t="s">
        <v>55</v>
      </c>
      <c r="U55" s="1" t="s">
        <v>25</v>
      </c>
    </row>
    <row r="56" spans="2:27" ht="27.95" hidden="1">
      <c r="B56" s="6" t="str">
        <f>VLOOKUP(C56, [1]Definition!$D$5:$K$5665, 8, FALSE)</f>
        <v>Capital Goods</v>
      </c>
      <c r="C56" s="7">
        <v>850140</v>
      </c>
      <c r="D56" s="8" t="s">
        <v>176</v>
      </c>
      <c r="E56" s="17" t="s">
        <v>27</v>
      </c>
      <c r="F56" s="8" t="s">
        <v>177</v>
      </c>
      <c r="G56" s="8" t="s">
        <v>178</v>
      </c>
      <c r="H56" s="9" t="s">
        <v>30</v>
      </c>
      <c r="I56" s="9" t="s">
        <v>31</v>
      </c>
      <c r="J56" s="17" t="str">
        <f>_xlfn.IFNA(VLOOKUP(C56, '[2]Unique HS'!$B$4:$J$999, 9, FALSE), "No")</f>
        <v>Yes</v>
      </c>
      <c r="K56" s="22">
        <f>VLOOKUP(C56, '[1]India EXIM'!$B$6:$C$580, 2, FALSE)</f>
        <v>0.14845630527100001</v>
      </c>
      <c r="L56" s="11">
        <f>VLOOKUP(C56, '[1]China EXIM'!$B$6:$D$580, 3, FALSE)</f>
        <v>5.8058155855500004</v>
      </c>
      <c r="M56" s="9" t="s">
        <v>129</v>
      </c>
      <c r="N56" s="9"/>
      <c r="O56" s="6"/>
      <c r="P56" s="10" t="s">
        <v>24</v>
      </c>
      <c r="Q56" s="9" t="s">
        <v>30</v>
      </c>
      <c r="S56" s="1" t="s">
        <v>33</v>
      </c>
      <c r="U56" s="1" t="s">
        <v>34</v>
      </c>
    </row>
    <row r="57" spans="2:27" ht="27.95" hidden="1">
      <c r="B57" s="6" t="str">
        <f>VLOOKUP(C57, [1]Definition!$D$5:$K$5665, 8, FALSE)</f>
        <v>Capital Goods</v>
      </c>
      <c r="C57" s="7">
        <v>844313</v>
      </c>
      <c r="D57" s="8" t="s">
        <v>179</v>
      </c>
      <c r="E57" s="17" t="s">
        <v>19</v>
      </c>
      <c r="F57" s="8"/>
      <c r="G57" s="8"/>
      <c r="H57" s="9" t="s">
        <v>180</v>
      </c>
      <c r="I57" s="9" t="s">
        <v>181</v>
      </c>
      <c r="J57" s="17" t="str">
        <f>_xlfn.IFNA(VLOOKUP(C57, '[2]Unique HS'!$B$4:$J$999, 9, FALSE), "No")</f>
        <v>No</v>
      </c>
      <c r="K57" s="18">
        <f>VLOOKUP(C57, '[1]India EXIM'!$B$6:$C$580, 2, FALSE)</f>
        <v>0.14607191913800002</v>
      </c>
      <c r="L57" s="11">
        <f>VLOOKUP(C57, '[1]China EXIM'!$B$6:$D$580, 3, FALSE)</f>
        <v>2.5568903880709999</v>
      </c>
      <c r="M57" s="6"/>
      <c r="N57" s="6"/>
      <c r="O57" s="6"/>
      <c r="P57" s="10" t="s">
        <v>24</v>
      </c>
      <c r="Q57" s="11" t="s">
        <v>182</v>
      </c>
      <c r="S57" s="1" t="s">
        <v>33</v>
      </c>
      <c r="U57" s="1" t="s">
        <v>34</v>
      </c>
      <c r="V57" s="1" t="s">
        <v>183</v>
      </c>
    </row>
    <row r="58" spans="2:27" ht="27.95" hidden="1">
      <c r="B58" s="6" t="str">
        <f>VLOOKUP(C58, [1]Definition!$D$5:$K$5665, 8, FALSE)</f>
        <v>Capital Goods</v>
      </c>
      <c r="C58" s="7">
        <v>843041</v>
      </c>
      <c r="D58" s="8" t="s">
        <v>184</v>
      </c>
      <c r="E58" s="17" t="s">
        <v>19</v>
      </c>
      <c r="F58" s="8"/>
      <c r="G58" s="8"/>
      <c r="H58" s="9" t="s">
        <v>58</v>
      </c>
      <c r="I58" s="9" t="s">
        <v>31</v>
      </c>
      <c r="J58" s="17" t="str">
        <f>_xlfn.IFNA(VLOOKUP(C58, '[2]Unique HS'!$B$4:$J$999, 9, FALSE), "No")</f>
        <v>No</v>
      </c>
      <c r="K58" s="18">
        <f>VLOOKUP(C58, '[1]India EXIM'!$B$6:$C$580, 2, FALSE)</f>
        <v>0.14569704918099999</v>
      </c>
      <c r="L58" s="11">
        <f>VLOOKUP(C58, '[1]China EXIM'!$B$6:$D$580, 3, FALSE)</f>
        <v>3.8201677053800003</v>
      </c>
      <c r="M58" s="9" t="s">
        <v>117</v>
      </c>
      <c r="N58" s="9"/>
      <c r="O58" s="6"/>
      <c r="P58" s="10" t="s">
        <v>24</v>
      </c>
      <c r="Q58" s="9" t="s">
        <v>58</v>
      </c>
      <c r="U58" s="1" t="s">
        <v>25</v>
      </c>
    </row>
    <row r="59" spans="2:27" ht="27.95" hidden="1">
      <c r="B59" s="6" t="str">
        <f>VLOOKUP(C59, [1]Definition!$D$5:$K$5665, 8, FALSE)</f>
        <v>Capital Goods</v>
      </c>
      <c r="C59" s="7">
        <v>846729</v>
      </c>
      <c r="D59" s="8" t="s">
        <v>185</v>
      </c>
      <c r="E59" s="17" t="s">
        <v>19</v>
      </c>
      <c r="F59" s="8"/>
      <c r="G59" s="8"/>
      <c r="H59" s="9" t="s">
        <v>65</v>
      </c>
      <c r="I59" s="9" t="s">
        <v>31</v>
      </c>
      <c r="J59" s="17" t="str">
        <f>_xlfn.IFNA(VLOOKUP(C59, '[2]Unique HS'!$B$4:$J$999, 9, FALSE), "No")</f>
        <v>Yes</v>
      </c>
      <c r="K59" s="18">
        <f>VLOOKUP(C59, '[1]India EXIM'!$B$6:$C$580, 2, FALSE)</f>
        <v>0.13760451898100001</v>
      </c>
      <c r="L59" s="11">
        <f>VLOOKUP(C59, '[1]China EXIM'!$B$6:$D$580, 3, FALSE)</f>
        <v>13.092973100756</v>
      </c>
      <c r="M59" s="6"/>
      <c r="N59" s="6"/>
      <c r="O59" s="6"/>
      <c r="P59" s="10" t="s">
        <v>24</v>
      </c>
      <c r="Q59" s="9" t="s">
        <v>65</v>
      </c>
      <c r="S59" s="1" t="s">
        <v>33</v>
      </c>
      <c r="U59" s="1" t="s">
        <v>34</v>
      </c>
      <c r="W59" s="1" t="s">
        <v>186</v>
      </c>
      <c r="AA59" s="1" t="s">
        <v>187</v>
      </c>
    </row>
    <row r="60" spans="2:27" ht="42" hidden="1">
      <c r="B60" s="6" t="str">
        <f>VLOOKUP(C60, [1]Definition!$D$5:$K$5665, 8, FALSE)</f>
        <v>Capital Goods</v>
      </c>
      <c r="C60" s="7">
        <v>850153</v>
      </c>
      <c r="D60" s="8" t="s">
        <v>188</v>
      </c>
      <c r="E60" s="17" t="s">
        <v>27</v>
      </c>
      <c r="F60" s="8" t="s">
        <v>189</v>
      </c>
      <c r="G60" s="8" t="s">
        <v>190</v>
      </c>
      <c r="H60" s="9" t="s">
        <v>30</v>
      </c>
      <c r="I60" s="9" t="s">
        <v>31</v>
      </c>
      <c r="J60" s="17" t="str">
        <f>_xlfn.IFNA(VLOOKUP(C60, '[2]Unique HS'!$B$4:$J$999, 9, FALSE), "No")</f>
        <v>Yes</v>
      </c>
      <c r="K60" s="22">
        <f>VLOOKUP(C60, '[1]India EXIM'!$B$6:$C$580, 2, FALSE)</f>
        <v>0.13687962864199998</v>
      </c>
      <c r="L60" s="11">
        <f>VLOOKUP(C60, '[1]China EXIM'!$B$6:$D$580, 3, FALSE)</f>
        <v>8.3363056472729991</v>
      </c>
      <c r="M60" s="9" t="s">
        <v>129</v>
      </c>
      <c r="N60" s="9"/>
      <c r="O60" s="6"/>
      <c r="P60" s="10" t="s">
        <v>24</v>
      </c>
      <c r="Q60" s="9" t="s">
        <v>30</v>
      </c>
      <c r="S60" s="1" t="s">
        <v>33</v>
      </c>
      <c r="U60" s="1" t="s">
        <v>34</v>
      </c>
    </row>
    <row r="61" spans="2:27" ht="27.95" hidden="1">
      <c r="B61" s="6" t="str">
        <f>VLOOKUP(C61, [1]Definition!$D$5:$K$5665, 8, FALSE)</f>
        <v>Capital Goods</v>
      </c>
      <c r="C61" s="7">
        <v>847981</v>
      </c>
      <c r="D61" s="8" t="s">
        <v>191</v>
      </c>
      <c r="E61" s="17" t="s">
        <v>19</v>
      </c>
      <c r="F61" s="8"/>
      <c r="G61" s="8"/>
      <c r="H61" s="9" t="s">
        <v>82</v>
      </c>
      <c r="I61" s="9" t="s">
        <v>192</v>
      </c>
      <c r="J61" s="17" t="str">
        <f>_xlfn.IFNA(VLOOKUP(C61, '[2]Unique HS'!$B$4:$J$999, 9, FALSE), "No")</f>
        <v>Yes</v>
      </c>
      <c r="K61" s="18">
        <f>VLOOKUP(C61, '[1]India EXIM'!$B$6:$C$580, 2, FALSE)</f>
        <v>0.13382264638400002</v>
      </c>
      <c r="L61" s="11">
        <f>VLOOKUP(C61, '[1]China EXIM'!$B$6:$D$580, 3, FALSE)</f>
        <v>2.5462369550100004</v>
      </c>
      <c r="M61" s="6"/>
      <c r="N61" s="6"/>
      <c r="O61" s="6"/>
      <c r="P61" s="10" t="s">
        <v>24</v>
      </c>
      <c r="Q61" s="9" t="s">
        <v>82</v>
      </c>
      <c r="U61" s="1" t="s">
        <v>25</v>
      </c>
      <c r="V61" s="1" t="s">
        <v>193</v>
      </c>
    </row>
    <row r="62" spans="2:27" ht="27.95" hidden="1">
      <c r="B62" s="6" t="str">
        <f>VLOOKUP(C62, [1]Definition!$D$5:$K$5665, 8, FALSE)</f>
        <v>Capital Goods</v>
      </c>
      <c r="C62" s="7">
        <v>845611</v>
      </c>
      <c r="D62" s="8" t="s">
        <v>194</v>
      </c>
      <c r="E62" s="17" t="s">
        <v>19</v>
      </c>
      <c r="F62" s="8"/>
      <c r="G62" s="8"/>
      <c r="H62" s="9" t="s">
        <v>65</v>
      </c>
      <c r="I62" s="9" t="s">
        <v>31</v>
      </c>
      <c r="J62" s="17" t="str">
        <f>_xlfn.IFNA(VLOOKUP(C62, '[2]Unique HS'!$B$4:$J$999, 9, FALSE), "No")</f>
        <v>Yes</v>
      </c>
      <c r="K62" s="18">
        <f>VLOOKUP(C62, '[1]India EXIM'!$B$6:$C$580, 2, FALSE)</f>
        <v>0.132902966052</v>
      </c>
      <c r="L62" s="11">
        <f>VLOOKUP(C62, '[1]China EXIM'!$B$6:$D$580, 3, FALSE)</f>
        <v>6.5221743335799998</v>
      </c>
      <c r="M62" s="6"/>
      <c r="N62" s="6"/>
      <c r="O62" s="6"/>
      <c r="P62" s="10" t="s">
        <v>24</v>
      </c>
      <c r="Q62" s="9" t="s">
        <v>65</v>
      </c>
      <c r="U62" s="1" t="s">
        <v>25</v>
      </c>
    </row>
    <row r="63" spans="2:27" ht="27.95" hidden="1">
      <c r="B63" s="6" t="str">
        <f>VLOOKUP(C63, [1]Definition!$D$5:$K$5665, 8, FALSE)</f>
        <v>Capital Goods</v>
      </c>
      <c r="C63" s="7">
        <v>842833</v>
      </c>
      <c r="D63" s="8" t="s">
        <v>195</v>
      </c>
      <c r="E63" s="17" t="s">
        <v>19</v>
      </c>
      <c r="F63" s="8"/>
      <c r="G63" s="8"/>
      <c r="H63" s="9" t="s">
        <v>58</v>
      </c>
      <c r="I63" s="9" t="s">
        <v>31</v>
      </c>
      <c r="J63" s="17" t="str">
        <f>_xlfn.IFNA(VLOOKUP(C63, '[2]Unique HS'!$B$4:$J$999, 9, FALSE), "No")</f>
        <v>Yes</v>
      </c>
      <c r="K63" s="18">
        <f>VLOOKUP(C63, '[1]India EXIM'!$B$6:$C$580, 2, FALSE)</f>
        <v>0.13278724772600001</v>
      </c>
      <c r="L63" s="11">
        <f>VLOOKUP(C63, '[1]China EXIM'!$B$6:$D$580, 3, FALSE)</f>
        <v>4.5148205613150001</v>
      </c>
      <c r="M63" s="9" t="s">
        <v>59</v>
      </c>
      <c r="N63" s="9"/>
      <c r="O63" s="6"/>
      <c r="P63" s="10" t="s">
        <v>24</v>
      </c>
      <c r="Q63" s="9" t="s">
        <v>58</v>
      </c>
      <c r="U63" s="1" t="s">
        <v>25</v>
      </c>
    </row>
    <row r="64" spans="2:27" ht="69.95">
      <c r="B64" s="6" t="str">
        <f>VLOOKUP(C64, [1]Definition!$D$5:$K$5665, 8, FALSE)</f>
        <v>Capital Goods</v>
      </c>
      <c r="C64" s="7">
        <v>841229</v>
      </c>
      <c r="D64" s="8" t="s">
        <v>196</v>
      </c>
      <c r="E64" s="17" t="s">
        <v>119</v>
      </c>
      <c r="F64" s="8"/>
      <c r="G64" s="8"/>
      <c r="H64" s="9" t="s">
        <v>58</v>
      </c>
      <c r="I64" s="9" t="s">
        <v>120</v>
      </c>
      <c r="J64" s="17" t="str">
        <f>_xlfn.IFNA(VLOOKUP(C64, '[2]Unique HS'!$B$4:$J$999, 9, FALSE), "No")</f>
        <v>Yes</v>
      </c>
      <c r="K64" s="18">
        <f>VLOOKUP(C64, '[1]India EXIM'!$B$6:$C$580, 2, FALSE)</f>
        <v>0.24957013580199999</v>
      </c>
      <c r="L64" s="11">
        <f>VLOOKUP(C64, '[1]China EXIM'!$B$6:$D$580, 3, FALSE)</f>
        <v>5.142234933189</v>
      </c>
      <c r="M64" s="6"/>
      <c r="N64" s="6"/>
      <c r="O64" s="6"/>
      <c r="P64" s="10" t="s">
        <v>24</v>
      </c>
      <c r="Q64" s="9" t="s">
        <v>58</v>
      </c>
      <c r="U64" s="1" t="s">
        <v>34</v>
      </c>
    </row>
    <row r="65" spans="1:21" ht="56.1" hidden="1">
      <c r="B65" s="6" t="str">
        <f>VLOOKUP(C65, [1]Definition!$D$5:$K$5665, 8, FALSE)</f>
        <v>Capital Goods</v>
      </c>
      <c r="C65" s="7">
        <v>846290</v>
      </c>
      <c r="D65" s="8" t="s">
        <v>197</v>
      </c>
      <c r="E65" s="17" t="s">
        <v>19</v>
      </c>
      <c r="F65" s="8"/>
      <c r="G65" s="8"/>
      <c r="H65" s="9" t="s">
        <v>65</v>
      </c>
      <c r="I65" s="9" t="s">
        <v>31</v>
      </c>
      <c r="J65" s="17" t="str">
        <f>_xlfn.IFNA(VLOOKUP(C65, '[2]Unique HS'!$B$4:$J$999, 9, FALSE), "No")</f>
        <v>Yes</v>
      </c>
      <c r="K65" s="18">
        <f>VLOOKUP(C65, '[1]India EXIM'!$B$6:$C$580, 2, FALSE)</f>
        <v>0.12845723941599999</v>
      </c>
      <c r="L65" s="11">
        <f>VLOOKUP(C65, '[1]China EXIM'!$B$6:$D$580, 3, FALSE)</f>
        <v>1.203793449602</v>
      </c>
      <c r="M65" s="6"/>
      <c r="N65" s="6"/>
      <c r="O65" s="6"/>
      <c r="P65" s="10" t="s">
        <v>24</v>
      </c>
      <c r="Q65" s="9" t="s">
        <v>65</v>
      </c>
      <c r="U65" s="1" t="s">
        <v>25</v>
      </c>
    </row>
    <row r="66" spans="1:21" ht="56.1" hidden="1">
      <c r="B66" s="6" t="str">
        <f>VLOOKUP(C66, [1]Definition!$D$5:$K$5665, 8, FALSE)</f>
        <v>Capital Goods</v>
      </c>
      <c r="C66" s="7">
        <v>841360</v>
      </c>
      <c r="D66" s="8" t="s">
        <v>198</v>
      </c>
      <c r="E66" s="17" t="s">
        <v>19</v>
      </c>
      <c r="F66" s="8"/>
      <c r="G66" s="8"/>
      <c r="H66" s="9" t="s">
        <v>22</v>
      </c>
      <c r="I66" s="9" t="s">
        <v>102</v>
      </c>
      <c r="J66" s="17" t="str">
        <f>_xlfn.IFNA(VLOOKUP(C66, '[2]Unique HS'!$B$4:$J$999, 9, FALSE), "No")</f>
        <v>Yes</v>
      </c>
      <c r="K66" s="18">
        <f>VLOOKUP(C66, '[1]India EXIM'!$B$6:$C$580, 2, FALSE)</f>
        <v>0.125676213239</v>
      </c>
      <c r="L66" s="11">
        <f>VLOOKUP(C66, '[1]China EXIM'!$B$6:$D$580, 3, FALSE)</f>
        <v>8.1080811482610002</v>
      </c>
      <c r="M66" s="6" t="s">
        <v>103</v>
      </c>
      <c r="N66" s="6"/>
      <c r="O66" s="6"/>
      <c r="P66" s="10" t="s">
        <v>24</v>
      </c>
      <c r="Q66" s="9" t="s">
        <v>22</v>
      </c>
      <c r="U66" s="1" t="s">
        <v>25</v>
      </c>
    </row>
    <row r="67" spans="1:21" ht="42" hidden="1">
      <c r="B67" s="6" t="str">
        <f>VLOOKUP(C67, [1]Definition!$D$5:$K$5665, 8, FALSE)</f>
        <v>Capital Goods</v>
      </c>
      <c r="C67" s="7">
        <v>820790</v>
      </c>
      <c r="D67" s="8" t="s">
        <v>199</v>
      </c>
      <c r="E67" s="17" t="s">
        <v>19</v>
      </c>
      <c r="F67" s="8"/>
      <c r="G67" s="8"/>
      <c r="H67" s="9" t="s">
        <v>65</v>
      </c>
      <c r="I67" s="9" t="s">
        <v>200</v>
      </c>
      <c r="J67" s="17" t="str">
        <f>_xlfn.IFNA(VLOOKUP(C67, '[2]Unique HS'!$B$4:$J$999, 9, FALSE), "No")</f>
        <v>Yes</v>
      </c>
      <c r="K67" s="18">
        <f>VLOOKUP(C67, '[1]India EXIM'!$B$6:$C$580, 2, FALSE)</f>
        <v>0.12431529801000001</v>
      </c>
      <c r="L67" s="11">
        <f>VLOOKUP(C67, '[1]China EXIM'!$B$6:$D$580, 3, FALSE)</f>
        <v>2.9215101246700002</v>
      </c>
      <c r="M67" s="6" t="s">
        <v>201</v>
      </c>
      <c r="N67" s="6"/>
      <c r="O67" s="6"/>
      <c r="P67" s="10" t="s">
        <v>24</v>
      </c>
      <c r="Q67" s="11" t="s">
        <v>202</v>
      </c>
      <c r="S67" s="1" t="s">
        <v>33</v>
      </c>
      <c r="U67" s="1" t="s">
        <v>34</v>
      </c>
    </row>
    <row r="68" spans="1:21" hidden="1">
      <c r="B68" s="6" t="str">
        <f>VLOOKUP(C68, [1]Definition!$D$5:$K$5665, 8, FALSE)</f>
        <v>Capital Goods</v>
      </c>
      <c r="C68" s="7">
        <v>844520</v>
      </c>
      <c r="D68" s="8" t="s">
        <v>203</v>
      </c>
      <c r="E68" s="17" t="s">
        <v>19</v>
      </c>
      <c r="F68" s="8"/>
      <c r="G68" s="8"/>
      <c r="H68" s="9" t="s">
        <v>55</v>
      </c>
      <c r="I68" s="9" t="s">
        <v>56</v>
      </c>
      <c r="J68" s="17" t="str">
        <f>_xlfn.IFNA(VLOOKUP(C68, '[2]Unique HS'!$B$4:$J$999, 9, FALSE), "No")</f>
        <v>No</v>
      </c>
      <c r="K68" s="18">
        <f>VLOOKUP(C68, '[1]India EXIM'!$B$6:$C$580, 2, FALSE)</f>
        <v>0.12359979195399999</v>
      </c>
      <c r="L68" s="11">
        <f>VLOOKUP(C68, '[1]China EXIM'!$B$6:$D$580, 3, FALSE)</f>
        <v>1.2708829996589999</v>
      </c>
      <c r="M68" s="6"/>
      <c r="N68" s="6"/>
      <c r="O68" s="6"/>
      <c r="P68" s="10" t="s">
        <v>24</v>
      </c>
      <c r="Q68" s="9" t="s">
        <v>55</v>
      </c>
      <c r="S68" s="1" t="s">
        <v>33</v>
      </c>
      <c r="U68" s="1" t="s">
        <v>34</v>
      </c>
    </row>
    <row r="69" spans="1:21" ht="56.1" hidden="1">
      <c r="B69" s="6" t="str">
        <f>VLOOKUP(C69, [1]Definition!$D$5:$K$5665, 8, FALSE)</f>
        <v>Capital Goods</v>
      </c>
      <c r="C69" s="7">
        <v>842123</v>
      </c>
      <c r="D69" s="8" t="s">
        <v>204</v>
      </c>
      <c r="E69" s="17" t="s">
        <v>205</v>
      </c>
      <c r="F69" s="8" t="s">
        <v>206</v>
      </c>
      <c r="G69" s="8" t="s">
        <v>207</v>
      </c>
      <c r="H69" s="9" t="s">
        <v>22</v>
      </c>
      <c r="I69" s="9" t="s">
        <v>74</v>
      </c>
      <c r="J69" s="17" t="str">
        <f>_xlfn.IFNA(VLOOKUP(C69, '[2]Unique HS'!$B$4:$J$999, 9, FALSE), "No")</f>
        <v>Yes</v>
      </c>
      <c r="K69" s="18">
        <f>VLOOKUP(C69, '[1]India EXIM'!$B$6:$C$580, 2, FALSE)</f>
        <v>0.123083453116</v>
      </c>
      <c r="L69" s="11">
        <f>VLOOKUP(C69, '[1]China EXIM'!$B$6:$D$580, 3, FALSE)</f>
        <v>8.7109218797349985</v>
      </c>
      <c r="M69" s="6"/>
      <c r="N69" s="6"/>
      <c r="O69" s="6"/>
      <c r="P69" s="10" t="s">
        <v>24</v>
      </c>
      <c r="Q69" s="9" t="s">
        <v>22</v>
      </c>
      <c r="U69" s="1" t="s">
        <v>25</v>
      </c>
    </row>
    <row r="70" spans="1:21" ht="27.95">
      <c r="B70" s="6" t="str">
        <f>VLOOKUP(C70, [1]Definition!$D$5:$K$5665, 8, FALSE)</f>
        <v>Capital Goods</v>
      </c>
      <c r="C70" s="7">
        <v>820239</v>
      </c>
      <c r="D70" s="8" t="s">
        <v>208</v>
      </c>
      <c r="E70" s="17" t="s">
        <v>119</v>
      </c>
      <c r="F70" s="8"/>
      <c r="G70" s="8"/>
      <c r="H70" s="9" t="s">
        <v>65</v>
      </c>
      <c r="I70" s="9" t="s">
        <v>209</v>
      </c>
      <c r="J70" s="17" t="str">
        <f>_xlfn.IFNA(VLOOKUP(C70, '[2]Unique HS'!$B$4:$J$999, 9, FALSE), "No")</f>
        <v>Yes</v>
      </c>
      <c r="K70" s="18">
        <f>VLOOKUP(C70, '[1]India EXIM'!$B$6:$C$580, 2, FALSE)</f>
        <v>0.11016713011200001</v>
      </c>
      <c r="L70" s="11">
        <f>VLOOKUP(C70, '[1]China EXIM'!$B$6:$D$580, 3, FALSE)</f>
        <v>1.374345268995</v>
      </c>
      <c r="M70" s="6" t="s">
        <v>210</v>
      </c>
      <c r="N70" s="6"/>
      <c r="O70" s="9"/>
      <c r="P70" s="10" t="s">
        <v>24</v>
      </c>
      <c r="Q70" s="11" t="s">
        <v>210</v>
      </c>
      <c r="U70" s="1" t="s">
        <v>211</v>
      </c>
    </row>
    <row r="71" spans="1:21" ht="56.1" hidden="1">
      <c r="B71" s="6" t="str">
        <f>VLOOKUP(C71, [1]Definition!$D$5:$K$5665, 8, FALSE)</f>
        <v>Capital Goods</v>
      </c>
      <c r="C71" s="7">
        <v>902219</v>
      </c>
      <c r="D71" s="8" t="s">
        <v>212</v>
      </c>
      <c r="E71" s="17" t="s">
        <v>19</v>
      </c>
      <c r="F71" s="8" t="s">
        <v>213</v>
      </c>
      <c r="G71" s="8" t="s">
        <v>171</v>
      </c>
      <c r="H71" s="9" t="s">
        <v>22</v>
      </c>
      <c r="I71" s="9" t="s">
        <v>214</v>
      </c>
      <c r="J71" s="17" t="str">
        <f>_xlfn.IFNA(VLOOKUP(C71, '[2]Unique HS'!$B$4:$J$999, 9, FALSE), "No")</f>
        <v>Yes</v>
      </c>
      <c r="K71" s="18">
        <f>VLOOKUP(C71, '[1]India EXIM'!$B$6:$C$580, 2, FALSE)</f>
        <v>0.12290770932300001</v>
      </c>
      <c r="L71" s="11">
        <f>VLOOKUP(C71, '[1]China EXIM'!$B$6:$D$580, 3, FALSE)</f>
        <v>3.586330543266</v>
      </c>
      <c r="M71" s="6"/>
      <c r="N71" s="6"/>
      <c r="O71" s="6"/>
      <c r="P71" s="10" t="s">
        <v>24</v>
      </c>
      <c r="Q71" s="11" t="s">
        <v>22</v>
      </c>
      <c r="U71" s="1" t="s">
        <v>25</v>
      </c>
    </row>
    <row r="72" spans="1:21" ht="42" hidden="1">
      <c r="B72" s="6" t="str">
        <f>VLOOKUP(C72, [1]Definition!$D$5:$K$5665, 8, FALSE)</f>
        <v>Capital Goods</v>
      </c>
      <c r="C72" s="7">
        <v>847759</v>
      </c>
      <c r="D72" s="8" t="s">
        <v>215</v>
      </c>
      <c r="E72" s="17" t="s">
        <v>19</v>
      </c>
      <c r="F72" s="8"/>
      <c r="G72" s="8"/>
      <c r="H72" s="9" t="s">
        <v>52</v>
      </c>
      <c r="I72" s="9" t="s">
        <v>53</v>
      </c>
      <c r="J72" s="17" t="str">
        <f>_xlfn.IFNA(VLOOKUP(C72, '[2]Unique HS'!$B$4:$J$999, 9, FALSE), "No")</f>
        <v>No</v>
      </c>
      <c r="K72" s="18">
        <f>VLOOKUP(C72, '[1]India EXIM'!$B$6:$C$580, 2, FALSE)</f>
        <v>0.11997662432099999</v>
      </c>
      <c r="L72" s="11">
        <f>VLOOKUP(C72, '[1]China EXIM'!$B$6:$D$580, 3, FALSE)</f>
        <v>1.4301769840629999</v>
      </c>
      <c r="M72" s="6"/>
      <c r="N72" s="6"/>
      <c r="O72" s="6"/>
      <c r="P72" s="10" t="s">
        <v>24</v>
      </c>
      <c r="Q72" s="9" t="s">
        <v>52</v>
      </c>
      <c r="S72" s="1" t="s">
        <v>33</v>
      </c>
      <c r="U72" s="1" t="s">
        <v>34</v>
      </c>
    </row>
    <row r="73" spans="1:21" ht="56.1" hidden="1">
      <c r="B73" s="6" t="str">
        <f>VLOOKUP(C73, [1]Definition!$D$5:$K$5665, 8, FALSE)</f>
        <v>Capital Goods</v>
      </c>
      <c r="C73" s="7">
        <v>841780</v>
      </c>
      <c r="D73" s="8" t="s">
        <v>216</v>
      </c>
      <c r="E73" s="17" t="s">
        <v>19</v>
      </c>
      <c r="F73" s="8" t="s">
        <v>217</v>
      </c>
      <c r="G73" s="8"/>
      <c r="H73" s="9" t="s">
        <v>22</v>
      </c>
      <c r="I73" s="9" t="s">
        <v>218</v>
      </c>
      <c r="J73" s="17" t="str">
        <f>_xlfn.IFNA(VLOOKUP(C73, '[2]Unique HS'!$B$4:$J$999, 9, FALSE), "No")</f>
        <v>No</v>
      </c>
      <c r="K73" s="18">
        <f>VLOOKUP(C73, '[1]India EXIM'!$B$6:$C$580, 2, FALSE)</f>
        <v>0.115086068431</v>
      </c>
      <c r="L73" s="11">
        <f>VLOOKUP(C73, '[1]China EXIM'!$B$6:$D$580, 3, FALSE)</f>
        <v>1.3015325557170001</v>
      </c>
      <c r="M73" s="9" t="s">
        <v>82</v>
      </c>
      <c r="N73" s="9"/>
      <c r="O73" s="6"/>
      <c r="P73" s="10" t="s">
        <v>24</v>
      </c>
      <c r="Q73" s="9" t="s">
        <v>22</v>
      </c>
      <c r="U73" s="1" t="s">
        <v>25</v>
      </c>
    </row>
    <row r="74" spans="1:21" ht="42" hidden="1">
      <c r="B74" s="6" t="str">
        <f>VLOOKUP(C74, [1]Definition!$D$5:$K$5665, 8, FALSE)</f>
        <v>Capital Goods</v>
      </c>
      <c r="C74" s="7">
        <v>846140</v>
      </c>
      <c r="D74" s="8" t="s">
        <v>219</v>
      </c>
      <c r="E74" s="17" t="s">
        <v>19</v>
      </c>
      <c r="F74" s="8"/>
      <c r="G74" s="8"/>
      <c r="H74" s="9" t="s">
        <v>65</v>
      </c>
      <c r="I74" s="9" t="s">
        <v>31</v>
      </c>
      <c r="J74" s="17" t="str">
        <f>_xlfn.IFNA(VLOOKUP(C74, '[2]Unique HS'!$B$4:$J$999, 9, FALSE), "No")</f>
        <v>No</v>
      </c>
      <c r="K74" s="18">
        <f>VLOOKUP(C74, '[1]India EXIM'!$B$6:$C$580, 2, FALSE)</f>
        <v>0.11502345288600001</v>
      </c>
      <c r="L74" s="11">
        <f>VLOOKUP(C74, '[1]China EXIM'!$B$6:$D$580, 3, FALSE)</f>
        <v>1.1074271560569999</v>
      </c>
      <c r="M74" s="6"/>
      <c r="N74" s="6"/>
      <c r="O74" s="6"/>
      <c r="P74" s="10" t="s">
        <v>24</v>
      </c>
      <c r="Q74" s="9" t="s">
        <v>65</v>
      </c>
      <c r="U74" s="1" t="s">
        <v>25</v>
      </c>
    </row>
    <row r="75" spans="1:21" ht="27.95" hidden="1">
      <c r="B75" s="6" t="str">
        <f>VLOOKUP(C75, [1]Definition!$D$5:$K$5665, 8, FALSE)</f>
        <v>Capital Goods</v>
      </c>
      <c r="C75" s="7">
        <v>842920</v>
      </c>
      <c r="D75" s="8" t="s">
        <v>220</v>
      </c>
      <c r="E75" s="17" t="s">
        <v>19</v>
      </c>
      <c r="F75" s="8"/>
      <c r="G75" s="8"/>
      <c r="H75" s="9" t="s">
        <v>58</v>
      </c>
      <c r="I75" s="9" t="s">
        <v>31</v>
      </c>
      <c r="J75" s="17" t="str">
        <f>_xlfn.IFNA(VLOOKUP(C75, '[2]Unique HS'!$B$4:$J$999, 9, FALSE), "No")</f>
        <v>No</v>
      </c>
      <c r="K75" s="18">
        <f>VLOOKUP(C75, '[1]India EXIM'!$B$6:$C$580, 2, FALSE)</f>
        <v>0.11500093911399999</v>
      </c>
      <c r="L75" s="11">
        <f>VLOOKUP(C75, '[1]China EXIM'!$B$6:$D$580, 3, FALSE)</f>
        <v>2.71051064672</v>
      </c>
      <c r="M75" s="9" t="s">
        <v>117</v>
      </c>
      <c r="N75" s="9"/>
      <c r="O75" s="6" t="s">
        <v>221</v>
      </c>
      <c r="P75" s="10" t="s">
        <v>24</v>
      </c>
      <c r="Q75" s="9" t="s">
        <v>58</v>
      </c>
      <c r="S75" s="1" t="s">
        <v>136</v>
      </c>
      <c r="U75" s="1" t="s">
        <v>137</v>
      </c>
    </row>
    <row r="76" spans="1:21" ht="42" hidden="1">
      <c r="A76" s="1" t="s">
        <v>119</v>
      </c>
      <c r="B76" s="6" t="str">
        <f>VLOOKUP(C76, [1]Definition!$D$5:$K$5665, 8, FALSE)</f>
        <v>Capital Goods</v>
      </c>
      <c r="C76" s="7">
        <v>903033</v>
      </c>
      <c r="D76" s="8" t="s">
        <v>222</v>
      </c>
      <c r="E76" s="17" t="s">
        <v>27</v>
      </c>
      <c r="F76" s="8" t="s">
        <v>223</v>
      </c>
      <c r="G76" s="8" t="s">
        <v>224</v>
      </c>
      <c r="H76" s="9" t="s">
        <v>30</v>
      </c>
      <c r="I76" s="9" t="s">
        <v>225</v>
      </c>
      <c r="J76" s="17" t="str">
        <f>_xlfn.IFNA(VLOOKUP(C76, '[2]Unique HS'!$B$4:$J$999, 9, FALSE), "No")</f>
        <v>Yes</v>
      </c>
      <c r="K76" s="22">
        <f>VLOOKUP(C76, '[1]India EXIM'!$B$6:$C$580, 2, FALSE)</f>
        <v>0.114872960274</v>
      </c>
      <c r="L76" s="11">
        <f>VLOOKUP(C76, '[1]China EXIM'!$B$6:$D$580, 3, FALSE)</f>
        <v>2.8954207943829999</v>
      </c>
      <c r="M76" s="6"/>
      <c r="N76" s="6"/>
      <c r="O76" s="6"/>
      <c r="P76" s="10" t="s">
        <v>24</v>
      </c>
      <c r="Q76" s="9" t="s">
        <v>30</v>
      </c>
      <c r="S76" s="1" t="s">
        <v>43</v>
      </c>
      <c r="U76" s="1" t="s">
        <v>25</v>
      </c>
    </row>
    <row r="77" spans="1:21" ht="27.95" hidden="1">
      <c r="B77" s="6" t="str">
        <f>VLOOKUP(C77, [1]Definition!$D$5:$K$5665, 8, FALSE)</f>
        <v>Capital Goods</v>
      </c>
      <c r="C77" s="7">
        <v>842710</v>
      </c>
      <c r="D77" s="8" t="s">
        <v>226</v>
      </c>
      <c r="E77" s="17" t="s">
        <v>19</v>
      </c>
      <c r="F77" s="8"/>
      <c r="G77" s="8"/>
      <c r="H77" s="9" t="s">
        <v>58</v>
      </c>
      <c r="I77" s="9" t="s">
        <v>31</v>
      </c>
      <c r="J77" s="17" t="str">
        <f>_xlfn.IFNA(VLOOKUP(C77, '[2]Unique HS'!$B$4:$J$999, 9, FALSE), "No")</f>
        <v>Yes</v>
      </c>
      <c r="K77" s="18">
        <f>VLOOKUP(C77, '[1]India EXIM'!$B$6:$C$580, 2, FALSE)</f>
        <v>0.11186569542700001</v>
      </c>
      <c r="L77" s="11">
        <f>VLOOKUP(C77, '[1]China EXIM'!$B$6:$D$580, 3, FALSE)</f>
        <v>15.196996059570999</v>
      </c>
      <c r="M77" s="9" t="s">
        <v>59</v>
      </c>
      <c r="N77" s="9"/>
      <c r="O77" s="6"/>
      <c r="P77" s="10" t="s">
        <v>24</v>
      </c>
      <c r="Q77" s="9" t="s">
        <v>58</v>
      </c>
      <c r="U77" s="1" t="s">
        <v>25</v>
      </c>
    </row>
    <row r="78" spans="1:21" ht="56.1" hidden="1">
      <c r="B78" s="6" t="str">
        <f>VLOOKUP(C78, [1]Definition!$D$5:$K$5665, 8, FALSE)</f>
        <v>Capital Goods</v>
      </c>
      <c r="C78" s="7">
        <v>902680</v>
      </c>
      <c r="D78" s="8" t="s">
        <v>227</v>
      </c>
      <c r="E78" s="17" t="s">
        <v>19</v>
      </c>
      <c r="F78" s="8"/>
      <c r="G78" s="8" t="s">
        <v>228</v>
      </c>
      <c r="H78" s="9" t="s">
        <v>22</v>
      </c>
      <c r="I78" s="9" t="s">
        <v>229</v>
      </c>
      <c r="J78" s="17" t="str">
        <f>_xlfn.IFNA(VLOOKUP(C78, '[2]Unique HS'!$B$4:$J$999, 9, FALSE), "No")</f>
        <v>Yes</v>
      </c>
      <c r="K78" s="18">
        <f>VLOOKUP(C78, '[1]India EXIM'!$B$6:$C$580, 2, FALSE)</f>
        <v>0.110904594133</v>
      </c>
      <c r="L78" s="11">
        <f>VLOOKUP(C78, '[1]China EXIM'!$B$6:$D$580, 3, FALSE)</f>
        <v>4.2020553393269999</v>
      </c>
      <c r="M78" s="6"/>
      <c r="N78" s="6"/>
      <c r="O78" s="6"/>
      <c r="P78" s="10" t="s">
        <v>24</v>
      </c>
      <c r="Q78" s="11" t="s">
        <v>39</v>
      </c>
      <c r="U78" s="1" t="s">
        <v>25</v>
      </c>
    </row>
    <row r="79" spans="1:21" ht="56.1" hidden="1">
      <c r="B79" s="6" t="str">
        <f>VLOOKUP(C79, [1]Definition!$D$5:$K$5665, 8, FALSE)</f>
        <v>Capital Goods</v>
      </c>
      <c r="C79" s="7">
        <v>844339</v>
      </c>
      <c r="D79" s="8" t="s">
        <v>230</v>
      </c>
      <c r="E79" s="17" t="s">
        <v>19</v>
      </c>
      <c r="F79" s="8"/>
      <c r="G79" s="8"/>
      <c r="H79" s="9" t="s">
        <v>180</v>
      </c>
      <c r="I79" s="9" t="s">
        <v>181</v>
      </c>
      <c r="J79" s="17" t="str">
        <f>_xlfn.IFNA(VLOOKUP(C79, '[2]Unique HS'!$B$4:$J$999, 9, FALSE), "No")</f>
        <v>Yes</v>
      </c>
      <c r="K79" s="18">
        <f>VLOOKUP(C79, '[1]India EXIM'!$B$6:$C$580, 2, FALSE)</f>
        <v>0.109496026229</v>
      </c>
      <c r="L79" s="11">
        <f>VLOOKUP(C79, '[1]China EXIM'!$B$6:$D$580, 3, FALSE)</f>
        <v>1.5516297982230001</v>
      </c>
      <c r="M79" s="6"/>
      <c r="N79" s="6"/>
      <c r="O79" s="6"/>
      <c r="P79" s="10" t="s">
        <v>24</v>
      </c>
      <c r="Q79" s="11" t="s">
        <v>182</v>
      </c>
      <c r="S79" s="1" t="s">
        <v>136</v>
      </c>
      <c r="U79" s="1" t="s">
        <v>137</v>
      </c>
    </row>
    <row r="80" spans="1:21" ht="27.95" hidden="1">
      <c r="B80" s="6" t="str">
        <f>VLOOKUP(C80, [1]Definition!$D$5:$K$5665, 8, FALSE)</f>
        <v>Capital Goods</v>
      </c>
      <c r="C80" s="7">
        <v>851580</v>
      </c>
      <c r="D80" s="8" t="s">
        <v>231</v>
      </c>
      <c r="E80" s="17" t="s">
        <v>19</v>
      </c>
      <c r="F80" s="8"/>
      <c r="G80" s="8"/>
      <c r="H80" s="9" t="s">
        <v>65</v>
      </c>
      <c r="I80" s="9" t="s">
        <v>232</v>
      </c>
      <c r="J80" s="17" t="str">
        <f>_xlfn.IFNA(VLOOKUP(C80, '[2]Unique HS'!$B$4:$J$999, 9, FALSE), "No")</f>
        <v>Yes</v>
      </c>
      <c r="K80" s="18">
        <f>VLOOKUP(C80, '[1]India EXIM'!$B$6:$C$580, 2, FALSE)</f>
        <v>0.107735731842</v>
      </c>
      <c r="L80" s="11">
        <f>VLOOKUP(C80, '[1]China EXIM'!$B$6:$D$580, 3, FALSE)</f>
        <v>3.3430135251750004</v>
      </c>
      <c r="M80" s="6"/>
      <c r="N80" s="6"/>
      <c r="O80" s="6"/>
      <c r="P80" s="10" t="s">
        <v>24</v>
      </c>
      <c r="Q80" s="9" t="s">
        <v>65</v>
      </c>
      <c r="U80" s="1" t="s">
        <v>25</v>
      </c>
    </row>
    <row r="81" spans="2:22" ht="56.1" hidden="1">
      <c r="B81" s="6" t="str">
        <f>VLOOKUP(C81, [1]Definition!$D$5:$K$5665, 8, FALSE)</f>
        <v>Capital Goods</v>
      </c>
      <c r="C81" s="7">
        <v>845180</v>
      </c>
      <c r="D81" s="8" t="s">
        <v>233</v>
      </c>
      <c r="E81" s="17" t="s">
        <v>19</v>
      </c>
      <c r="F81" s="8"/>
      <c r="G81" s="8"/>
      <c r="H81" s="9" t="s">
        <v>55</v>
      </c>
      <c r="I81" s="9" t="s">
        <v>234</v>
      </c>
      <c r="J81" s="17" t="str">
        <f>_xlfn.IFNA(VLOOKUP(C81, '[2]Unique HS'!$B$4:$J$999, 9, FALSE), "No")</f>
        <v>No</v>
      </c>
      <c r="K81" s="18">
        <f>VLOOKUP(C81, '[1]India EXIM'!$B$6:$C$580, 2, FALSE)</f>
        <v>0.103249811937</v>
      </c>
      <c r="L81" s="11">
        <f>VLOOKUP(C81, '[1]China EXIM'!$B$6:$D$580, 3, FALSE)</f>
        <v>1.0211504429180001</v>
      </c>
      <c r="M81" s="6"/>
      <c r="N81" s="6"/>
      <c r="O81" s="6"/>
      <c r="P81" s="10" t="s">
        <v>24</v>
      </c>
      <c r="Q81" s="9" t="s">
        <v>55</v>
      </c>
      <c r="U81" s="1" t="s">
        <v>25</v>
      </c>
    </row>
    <row r="82" spans="2:22" ht="56.1" hidden="1">
      <c r="B82" s="6" t="str">
        <f>VLOOKUP(C82, [1]Definition!$D$5:$K$5665, 8, FALSE)</f>
        <v>Capital Goods</v>
      </c>
      <c r="C82" s="7">
        <v>903089</v>
      </c>
      <c r="D82" s="8" t="s">
        <v>235</v>
      </c>
      <c r="E82" s="17" t="s">
        <v>19</v>
      </c>
      <c r="F82" s="8" t="s">
        <v>236</v>
      </c>
      <c r="G82" s="8" t="s">
        <v>237</v>
      </c>
      <c r="H82" s="9" t="s">
        <v>166</v>
      </c>
      <c r="I82" s="9" t="s">
        <v>201</v>
      </c>
      <c r="J82" s="17" t="str">
        <f>_xlfn.IFNA(VLOOKUP(C82, '[2]Unique HS'!$B$4:$J$999, 9, FALSE), "No")</f>
        <v>Yes</v>
      </c>
      <c r="K82" s="18">
        <f>VLOOKUP(C82, '[1]India EXIM'!$B$6:$C$580, 2, FALSE)</f>
        <v>0.10065618447300001</v>
      </c>
      <c r="L82" s="11">
        <f>VLOOKUP(C82, '[1]China EXIM'!$B$6:$D$580, 3, FALSE)</f>
        <v>2.1763169064310004</v>
      </c>
      <c r="M82" s="6"/>
      <c r="N82" s="6"/>
      <c r="O82" s="6"/>
      <c r="P82" s="10" t="s">
        <v>24</v>
      </c>
      <c r="Q82" s="11" t="s">
        <v>39</v>
      </c>
      <c r="U82" s="1" t="s">
        <v>25</v>
      </c>
    </row>
    <row r="83" spans="2:22" ht="27.95">
      <c r="B83" s="6" t="str">
        <f>VLOOKUP(C83, [1]Definition!$D$5:$K$5665, 8, FALSE)</f>
        <v>Capital Goods</v>
      </c>
      <c r="C83" s="7">
        <v>843680</v>
      </c>
      <c r="D83" s="8" t="s">
        <v>238</v>
      </c>
      <c r="E83" s="17" t="s">
        <v>119</v>
      </c>
      <c r="F83" s="8"/>
      <c r="G83" s="8" t="s">
        <v>239</v>
      </c>
      <c r="H83" s="9" t="s">
        <v>22</v>
      </c>
      <c r="I83" s="9" t="s">
        <v>240</v>
      </c>
      <c r="J83" s="17" t="str">
        <f>_xlfn.IFNA(VLOOKUP(C83, '[2]Unique HS'!$B$4:$J$999, 9, FALSE), "No")</f>
        <v>No</v>
      </c>
      <c r="K83" s="18">
        <f>VLOOKUP(C83, '[1]India EXIM'!$B$6:$C$580, 2, FALSE)</f>
        <v>1.2769335241000001E-2</v>
      </c>
      <c r="L83" s="11">
        <f>VLOOKUP(C83, '[1]China EXIM'!$B$6:$D$580, 3, FALSE)</f>
        <v>3.774619694998</v>
      </c>
      <c r="M83" s="6" t="s">
        <v>160</v>
      </c>
      <c r="N83" s="6"/>
      <c r="O83" s="6"/>
      <c r="P83" s="10" t="s">
        <v>24</v>
      </c>
      <c r="Q83" s="9" t="s">
        <v>161</v>
      </c>
    </row>
    <row r="84" spans="2:22" ht="42">
      <c r="B84" s="6" t="str">
        <f>VLOOKUP(C84, [1]Definition!$D$5:$K$5665, 8, FALSE)</f>
        <v>Capital Goods</v>
      </c>
      <c r="C84" s="7">
        <v>902300</v>
      </c>
      <c r="D84" s="8" t="s">
        <v>241</v>
      </c>
      <c r="E84" s="17" t="s">
        <v>119</v>
      </c>
      <c r="F84" s="8" t="s">
        <v>242</v>
      </c>
      <c r="G84" s="8"/>
      <c r="H84" s="9" t="s">
        <v>166</v>
      </c>
      <c r="I84" s="9" t="s">
        <v>201</v>
      </c>
      <c r="J84" s="17" t="str">
        <f>_xlfn.IFNA(VLOOKUP(C84, '[2]Unique HS'!$B$4:$J$999, 9, FALSE), "No")</f>
        <v>Yes</v>
      </c>
      <c r="K84" s="18">
        <f>VLOOKUP(C84, '[1]India EXIM'!$B$6:$C$580, 2, FALSE)</f>
        <v>6.698105930699999E-2</v>
      </c>
      <c r="L84" s="11">
        <f>VLOOKUP(C84, '[1]China EXIM'!$B$6:$D$580, 3, FALSE)</f>
        <v>3.7295665158649998</v>
      </c>
      <c r="M84" s="6"/>
      <c r="N84" s="6"/>
      <c r="O84" s="6"/>
      <c r="P84" s="10" t="s">
        <v>24</v>
      </c>
      <c r="Q84" s="11" t="s">
        <v>70</v>
      </c>
      <c r="U84" s="1" t="s">
        <v>211</v>
      </c>
      <c r="V84" s="1" t="s">
        <v>243</v>
      </c>
    </row>
    <row r="85" spans="2:22" ht="42" hidden="1">
      <c r="B85" s="6" t="str">
        <f>VLOOKUP(C85, [1]Definition!$D$5:$K$5665, 8, FALSE)</f>
        <v>Capital Goods</v>
      </c>
      <c r="C85" s="7">
        <v>844319</v>
      </c>
      <c r="D85" s="8" t="s">
        <v>244</v>
      </c>
      <c r="E85" s="17" t="s">
        <v>19</v>
      </c>
      <c r="F85" s="8"/>
      <c r="G85" s="8"/>
      <c r="H85" s="9" t="s">
        <v>180</v>
      </c>
      <c r="I85" s="9" t="s">
        <v>181</v>
      </c>
      <c r="J85" s="17" t="str">
        <f>_xlfn.IFNA(VLOOKUP(C85, '[2]Unique HS'!$B$4:$J$999, 9, FALSE), "No")</f>
        <v>No</v>
      </c>
      <c r="K85" s="18">
        <f>VLOOKUP(C85, '[1]India EXIM'!$B$6:$C$580, 2, FALSE)</f>
        <v>0.10055074059800001</v>
      </c>
      <c r="L85" s="11">
        <f>VLOOKUP(C85, '[1]China EXIM'!$B$6:$D$580, 3, FALSE)</f>
        <v>1.572719259591</v>
      </c>
      <c r="M85" s="6"/>
      <c r="N85" s="6"/>
      <c r="O85" s="6"/>
      <c r="P85" s="10" t="s">
        <v>24</v>
      </c>
      <c r="Q85" s="11" t="s">
        <v>182</v>
      </c>
      <c r="S85" s="1" t="s">
        <v>136</v>
      </c>
      <c r="U85" s="1" t="s">
        <v>137</v>
      </c>
    </row>
    <row r="86" spans="2:22" ht="42" hidden="1">
      <c r="B86" s="6" t="str">
        <f>VLOOKUP(C86, [1]Definition!$D$5:$K$5665, 8, FALSE)</f>
        <v>Capital Goods</v>
      </c>
      <c r="C86" s="7">
        <v>847730</v>
      </c>
      <c r="D86" s="8" t="s">
        <v>245</v>
      </c>
      <c r="E86" s="17" t="s">
        <v>19</v>
      </c>
      <c r="F86" s="8"/>
      <c r="G86" s="8"/>
      <c r="H86" s="9" t="s">
        <v>52</v>
      </c>
      <c r="I86" s="9" t="s">
        <v>53</v>
      </c>
      <c r="J86" s="17" t="str">
        <f>_xlfn.IFNA(VLOOKUP(C86, '[2]Unique HS'!$B$4:$J$999, 9, FALSE), "No")</f>
        <v>No</v>
      </c>
      <c r="K86" s="18">
        <f>VLOOKUP(C86, '[1]India EXIM'!$B$6:$C$580, 2, FALSE)</f>
        <v>9.9844386928000003E-2</v>
      </c>
      <c r="L86" s="11">
        <f>VLOOKUP(C86, '[1]China EXIM'!$B$6:$D$580, 3, FALSE)</f>
        <v>1.3901139551800001</v>
      </c>
      <c r="M86" s="6"/>
      <c r="N86" s="6"/>
      <c r="O86" s="6"/>
      <c r="P86" s="10" t="s">
        <v>24</v>
      </c>
      <c r="Q86" s="9" t="s">
        <v>52</v>
      </c>
      <c r="U86" s="1" t="s">
        <v>25</v>
      </c>
    </row>
    <row r="87" spans="2:22" ht="27.95" hidden="1">
      <c r="B87" s="6" t="str">
        <f>VLOOKUP(C87, [1]Definition!$D$5:$K$5665, 8, FALSE)</f>
        <v>Capital Goods</v>
      </c>
      <c r="C87" s="7">
        <v>843880</v>
      </c>
      <c r="D87" s="8" t="s">
        <v>246</v>
      </c>
      <c r="E87" s="17" t="s">
        <v>19</v>
      </c>
      <c r="F87" s="8"/>
      <c r="G87" s="8"/>
      <c r="H87" s="9" t="s">
        <v>61</v>
      </c>
      <c r="I87" s="9" t="s">
        <v>247</v>
      </c>
      <c r="J87" s="17" t="str">
        <f>_xlfn.IFNA(VLOOKUP(C87, '[2]Unique HS'!$B$4:$J$999, 9, FALSE), "No")</f>
        <v>No</v>
      </c>
      <c r="K87" s="18">
        <f>VLOOKUP(C87, '[1]India EXIM'!$B$6:$C$580, 2, FALSE)</f>
        <v>9.9464897047000012E-2</v>
      </c>
      <c r="L87" s="11">
        <f>VLOOKUP(C87, '[1]China EXIM'!$B$6:$D$580, 3, FALSE)</f>
        <v>3.2316885183850004</v>
      </c>
      <c r="M87" s="6"/>
      <c r="N87" s="6"/>
      <c r="O87" s="6"/>
      <c r="P87" s="10" t="s">
        <v>24</v>
      </c>
      <c r="Q87" s="9" t="s">
        <v>61</v>
      </c>
      <c r="U87" s="1" t="s">
        <v>25</v>
      </c>
    </row>
    <row r="88" spans="2:22" ht="27.95" hidden="1">
      <c r="B88" s="6" t="str">
        <f>VLOOKUP(C88, [1]Definition!$D$5:$K$5665, 8, FALSE)</f>
        <v>Capital Goods</v>
      </c>
      <c r="C88" s="7">
        <v>845510</v>
      </c>
      <c r="D88" s="8" t="s">
        <v>248</v>
      </c>
      <c r="E88" s="17" t="s">
        <v>19</v>
      </c>
      <c r="F88" s="8"/>
      <c r="G88" s="8"/>
      <c r="H88" s="9" t="s">
        <v>82</v>
      </c>
      <c r="I88" s="9" t="s">
        <v>249</v>
      </c>
      <c r="J88" s="17" t="str">
        <f>_xlfn.IFNA(VLOOKUP(C88, '[2]Unique HS'!$B$4:$J$999, 9, FALSE), "No")</f>
        <v>No</v>
      </c>
      <c r="K88" s="18">
        <f>VLOOKUP(C88, '[1]India EXIM'!$B$6:$C$580, 2, FALSE)</f>
        <v>9.7560921055999991E-2</v>
      </c>
      <c r="L88" s="11">
        <f>VLOOKUP(C88, '[1]China EXIM'!$B$6:$D$580, 3, FALSE)</f>
        <v>0.231572879791</v>
      </c>
      <c r="M88" s="6"/>
      <c r="N88" s="6"/>
      <c r="O88" s="6"/>
      <c r="P88" s="10" t="s">
        <v>24</v>
      </c>
      <c r="Q88" s="9" t="s">
        <v>82</v>
      </c>
      <c r="S88" s="1" t="s">
        <v>136</v>
      </c>
      <c r="U88" s="1" t="s">
        <v>137</v>
      </c>
    </row>
    <row r="89" spans="2:22" ht="69.95" hidden="1">
      <c r="B89" s="6" t="str">
        <f>VLOOKUP(C89, [1]Definition!$D$5:$K$5665, 8, FALSE)</f>
        <v>Capital Goods</v>
      </c>
      <c r="C89" s="7">
        <v>843920</v>
      </c>
      <c r="D89" s="8" t="s">
        <v>250</v>
      </c>
      <c r="E89" s="17" t="s">
        <v>19</v>
      </c>
      <c r="F89" s="8" t="s">
        <v>251</v>
      </c>
      <c r="G89" s="8"/>
      <c r="H89" s="9" t="s">
        <v>22</v>
      </c>
      <c r="I89" s="9" t="s">
        <v>252</v>
      </c>
      <c r="J89" s="17" t="str">
        <f>_xlfn.IFNA(VLOOKUP(C89, '[2]Unique HS'!$B$4:$J$999, 9, FALSE), "No")</f>
        <v>No</v>
      </c>
      <c r="K89" s="18">
        <f>VLOOKUP(C89, '[1]India EXIM'!$B$6:$C$580, 2, FALSE)</f>
        <v>9.7049355672999993E-2</v>
      </c>
      <c r="L89" s="11">
        <f>VLOOKUP(C89, '[1]China EXIM'!$B$6:$D$580, 3, FALSE)</f>
        <v>1.2180796592119998</v>
      </c>
      <c r="M89" s="6" t="s">
        <v>253</v>
      </c>
      <c r="N89" s="6"/>
      <c r="O89" s="6"/>
      <c r="P89" s="10" t="s">
        <v>24</v>
      </c>
      <c r="Q89" s="11" t="s">
        <v>182</v>
      </c>
      <c r="U89" s="1" t="s">
        <v>25</v>
      </c>
    </row>
    <row r="90" spans="2:22" ht="27.95" hidden="1">
      <c r="B90" s="6" t="str">
        <f>VLOOKUP(C90, [1]Definition!$D$5:$K$5665, 8, FALSE)</f>
        <v>Capital Goods</v>
      </c>
      <c r="C90" s="7">
        <v>843710</v>
      </c>
      <c r="D90" s="8" t="s">
        <v>254</v>
      </c>
      <c r="E90" s="17" t="s">
        <v>19</v>
      </c>
      <c r="F90" s="8"/>
      <c r="G90" s="8"/>
      <c r="H90" s="9" t="s">
        <v>61</v>
      </c>
      <c r="I90" s="9" t="s">
        <v>255</v>
      </c>
      <c r="J90" s="17" t="str">
        <f>_xlfn.IFNA(VLOOKUP(C90, '[2]Unique HS'!$B$4:$J$999, 9, FALSE), "No")</f>
        <v>Yes</v>
      </c>
      <c r="K90" s="18">
        <f>VLOOKUP(C90, '[1]India EXIM'!$B$6:$C$580, 2, FALSE)</f>
        <v>9.0459096823999996E-2</v>
      </c>
      <c r="L90" s="11">
        <f>VLOOKUP(C90, '[1]China EXIM'!$B$6:$D$580, 3, FALSE)</f>
        <v>0.75999658664000003</v>
      </c>
      <c r="M90" s="6"/>
      <c r="N90" s="6"/>
      <c r="O90" s="6"/>
      <c r="P90" s="10" t="s">
        <v>24</v>
      </c>
      <c r="Q90" s="9" t="s">
        <v>61</v>
      </c>
      <c r="U90" s="1" t="s">
        <v>25</v>
      </c>
    </row>
    <row r="91" spans="2:22" ht="42" hidden="1">
      <c r="B91" s="6" t="str">
        <f>VLOOKUP(C91, [1]Definition!$D$5:$K$5665, 8, FALSE)</f>
        <v>Capital Goods</v>
      </c>
      <c r="C91" s="7">
        <v>841960</v>
      </c>
      <c r="D91" s="8" t="s">
        <v>256</v>
      </c>
      <c r="E91" s="17" t="s">
        <v>19</v>
      </c>
      <c r="F91" s="8" t="s">
        <v>257</v>
      </c>
      <c r="G91" s="8" t="s">
        <v>258</v>
      </c>
      <c r="H91" s="9" t="s">
        <v>22</v>
      </c>
      <c r="I91" s="9" t="s">
        <v>74</v>
      </c>
      <c r="J91" s="17" t="str">
        <f>_xlfn.IFNA(VLOOKUP(C91, '[2]Unique HS'!$B$4:$J$999, 9, FALSE), "No")</f>
        <v>No</v>
      </c>
      <c r="K91" s="18">
        <f>VLOOKUP(C91, '[1]India EXIM'!$B$6:$C$580, 2, FALSE)</f>
        <v>9.0236484717999998E-2</v>
      </c>
      <c r="L91" s="11">
        <f>VLOOKUP(C91, '[1]China EXIM'!$B$6:$D$580, 3, FALSE)</f>
        <v>1.2844302528</v>
      </c>
      <c r="M91" s="6"/>
      <c r="N91" s="6"/>
      <c r="O91" s="6"/>
      <c r="P91" s="10" t="s">
        <v>24</v>
      </c>
      <c r="Q91" s="9" t="s">
        <v>22</v>
      </c>
      <c r="U91" s="1" t="s">
        <v>25</v>
      </c>
    </row>
    <row r="92" spans="2:22" ht="42" hidden="1">
      <c r="B92" s="6" t="str">
        <f>VLOOKUP(C92, [1]Definition!$D$5:$K$5665, 8, FALSE)</f>
        <v>Capital Goods</v>
      </c>
      <c r="C92" s="7">
        <v>844180</v>
      </c>
      <c r="D92" s="8" t="s">
        <v>259</v>
      </c>
      <c r="E92" s="17" t="s">
        <v>19</v>
      </c>
      <c r="F92" s="8" t="s">
        <v>260</v>
      </c>
      <c r="G92" s="8" t="s">
        <v>261</v>
      </c>
      <c r="H92" s="9" t="s">
        <v>22</v>
      </c>
      <c r="I92" s="9" t="s">
        <v>262</v>
      </c>
      <c r="J92" s="17" t="str">
        <f>_xlfn.IFNA(VLOOKUP(C92, '[2]Unique HS'!$B$4:$J$999, 9, FALSE), "No")</f>
        <v>No</v>
      </c>
      <c r="K92" s="18">
        <f>VLOOKUP(C92, '[1]India EXIM'!$B$6:$C$580, 2, FALSE)</f>
        <v>8.9524779523000003E-2</v>
      </c>
      <c r="L92" s="11">
        <f>VLOOKUP(C92, '[1]China EXIM'!$B$6:$D$580, 3, FALSE)</f>
        <v>1.595632331782</v>
      </c>
      <c r="M92" s="6" t="s">
        <v>253</v>
      </c>
      <c r="N92" s="6"/>
      <c r="O92" s="6"/>
      <c r="P92" s="10" t="s">
        <v>24</v>
      </c>
      <c r="Q92" s="11" t="s">
        <v>182</v>
      </c>
      <c r="U92" s="1" t="s">
        <v>25</v>
      </c>
    </row>
    <row r="93" spans="2:22" ht="27.95" hidden="1">
      <c r="B93" s="6" t="str">
        <f>VLOOKUP(C93, [1]Definition!$D$5:$K$5665, 8, FALSE)</f>
        <v>Capital Goods</v>
      </c>
      <c r="C93" s="7">
        <v>850590</v>
      </c>
      <c r="D93" s="8" t="s">
        <v>263</v>
      </c>
      <c r="E93" s="17" t="s">
        <v>163</v>
      </c>
      <c r="F93" s="8" t="s">
        <v>264</v>
      </c>
      <c r="G93" s="8" t="s">
        <v>265</v>
      </c>
      <c r="H93" s="9" t="s">
        <v>30</v>
      </c>
      <c r="I93" s="9" t="s">
        <v>266</v>
      </c>
      <c r="J93" s="17" t="str">
        <f>_xlfn.IFNA(VLOOKUP(C93, '[2]Unique HS'!$B$4:$J$999, 9, FALSE), "No")</f>
        <v>Yes</v>
      </c>
      <c r="K93" s="18">
        <f>VLOOKUP(C93, '[1]India EXIM'!$B$6:$C$580, 2, FALSE)</f>
        <v>8.8738987140000003E-2</v>
      </c>
      <c r="L93" s="11">
        <f>VLOOKUP(C93, '[1]China EXIM'!$B$6:$D$580, 3, FALSE)</f>
        <v>3.2888021665890004</v>
      </c>
      <c r="M93" s="6"/>
      <c r="N93" s="6"/>
      <c r="O93" s="6"/>
      <c r="P93" s="10" t="s">
        <v>24</v>
      </c>
      <c r="Q93" s="9" t="s">
        <v>30</v>
      </c>
      <c r="S93" s="1" t="s">
        <v>33</v>
      </c>
      <c r="U93" s="1" t="s">
        <v>34</v>
      </c>
    </row>
    <row r="94" spans="2:22" ht="42" hidden="1">
      <c r="B94" s="6" t="str">
        <f>VLOOKUP(C94, [1]Definition!$D$5:$K$5665, 8, FALSE)</f>
        <v>Capital Goods</v>
      </c>
      <c r="C94" s="7">
        <v>851521</v>
      </c>
      <c r="D94" s="8" t="s">
        <v>267</v>
      </c>
      <c r="E94" s="17" t="s">
        <v>19</v>
      </c>
      <c r="F94" s="8"/>
      <c r="G94" s="8"/>
      <c r="H94" s="9" t="s">
        <v>65</v>
      </c>
      <c r="I94" s="9" t="s">
        <v>232</v>
      </c>
      <c r="J94" s="17" t="str">
        <f>_xlfn.IFNA(VLOOKUP(C94, '[2]Unique HS'!$B$4:$J$999, 9, FALSE), "No")</f>
        <v>Yes</v>
      </c>
      <c r="K94" s="18">
        <f>VLOOKUP(C94, '[1]India EXIM'!$B$6:$C$580, 2, FALSE)</f>
        <v>8.6530223039000001E-2</v>
      </c>
      <c r="L94" s="11">
        <f>VLOOKUP(C94, '[1]China EXIM'!$B$6:$D$580, 3, FALSE)</f>
        <v>1.4366408037449998</v>
      </c>
      <c r="M94" s="6"/>
      <c r="N94" s="6"/>
      <c r="O94" s="6"/>
      <c r="P94" s="10" t="s">
        <v>24</v>
      </c>
      <c r="Q94" s="9" t="s">
        <v>65</v>
      </c>
      <c r="S94" s="1" t="s">
        <v>136</v>
      </c>
      <c r="U94" s="1" t="s">
        <v>137</v>
      </c>
    </row>
    <row r="95" spans="2:22" ht="56.1" hidden="1">
      <c r="B95" s="6" t="str">
        <f>VLOOKUP(C95, [1]Definition!$D$5:$K$5665, 8, FALSE)</f>
        <v>Capital Goods</v>
      </c>
      <c r="C95" s="7">
        <v>841939</v>
      </c>
      <c r="D95" s="8" t="s">
        <v>268</v>
      </c>
      <c r="E95" s="17" t="s">
        <v>19</v>
      </c>
      <c r="F95" s="8" t="s">
        <v>269</v>
      </c>
      <c r="G95" s="8"/>
      <c r="H95" s="9" t="s">
        <v>22</v>
      </c>
      <c r="I95" s="9" t="s">
        <v>74</v>
      </c>
      <c r="J95" s="17" t="str">
        <f>_xlfn.IFNA(VLOOKUP(C95, '[2]Unique HS'!$B$4:$J$999, 9, FALSE), "No")</f>
        <v>Yes</v>
      </c>
      <c r="K95" s="18">
        <f>VLOOKUP(C95, '[1]India EXIM'!$B$6:$C$580, 2, FALSE)</f>
        <v>8.4980092319999992E-2</v>
      </c>
      <c r="L95" s="11">
        <f>VLOOKUP(C95, '[1]China EXIM'!$B$6:$D$580, 3, FALSE)</f>
        <v>2.3617031232039998</v>
      </c>
      <c r="M95" s="6"/>
      <c r="N95" s="6"/>
      <c r="O95" s="6"/>
      <c r="P95" s="10" t="s">
        <v>24</v>
      </c>
      <c r="Q95" s="9" t="s">
        <v>22</v>
      </c>
      <c r="S95" s="1" t="s">
        <v>136</v>
      </c>
      <c r="U95" s="1" t="s">
        <v>137</v>
      </c>
    </row>
    <row r="96" spans="2:22" ht="42" hidden="1">
      <c r="B96" s="6" t="str">
        <f>VLOOKUP(C96, [1]Definition!$D$5:$K$5665, 8, FALSE)</f>
        <v>Capital Goods</v>
      </c>
      <c r="C96" s="7">
        <v>846229</v>
      </c>
      <c r="D96" s="8" t="s">
        <v>270</v>
      </c>
      <c r="E96" s="17" t="s">
        <v>19</v>
      </c>
      <c r="F96" s="8"/>
      <c r="G96" s="8"/>
      <c r="H96" s="9" t="s">
        <v>65</v>
      </c>
      <c r="I96" s="9" t="s">
        <v>31</v>
      </c>
      <c r="J96" s="17" t="str">
        <f>_xlfn.IFNA(VLOOKUP(C96, '[2]Unique HS'!$B$4:$J$999, 9, FALSE), "No")</f>
        <v>Yes</v>
      </c>
      <c r="K96" s="18">
        <f>VLOOKUP(C96, '[1]India EXIM'!$B$6:$C$580, 2, FALSE)</f>
        <v>8.4202312761999992E-2</v>
      </c>
      <c r="L96" s="11">
        <f>VLOOKUP(C96, '[1]China EXIM'!$B$6:$D$580, 3, FALSE)</f>
        <v>1.0721839773370001</v>
      </c>
      <c r="M96" s="6"/>
      <c r="N96" s="6"/>
      <c r="O96" s="6"/>
      <c r="P96" s="10" t="s">
        <v>24</v>
      </c>
      <c r="Q96" s="9" t="s">
        <v>65</v>
      </c>
      <c r="U96" s="1" t="s">
        <v>25</v>
      </c>
    </row>
    <row r="97" spans="2:21" ht="42" hidden="1">
      <c r="B97" s="6" t="str">
        <f>VLOOKUP(C97, [1]Definition!$D$5:$K$5665, 8, FALSE)</f>
        <v>Capital Goods</v>
      </c>
      <c r="C97" s="7">
        <v>903082</v>
      </c>
      <c r="D97" s="8" t="s">
        <v>271</v>
      </c>
      <c r="E97" s="17" t="s">
        <v>19</v>
      </c>
      <c r="F97" s="8" t="s">
        <v>272</v>
      </c>
      <c r="G97" s="8"/>
      <c r="H97" s="9" t="s">
        <v>46</v>
      </c>
      <c r="I97" s="9" t="s">
        <v>273</v>
      </c>
      <c r="J97" s="17" t="str">
        <f>_xlfn.IFNA(VLOOKUP(C97, '[2]Unique HS'!$B$4:$J$999, 9, FALSE), "No")</f>
        <v>Yes</v>
      </c>
      <c r="K97" s="18">
        <f>VLOOKUP(C97, '[1]India EXIM'!$B$6:$C$580, 2, FALSE)</f>
        <v>8.4079959151E-2</v>
      </c>
      <c r="L97" s="11">
        <f>VLOOKUP(C97, '[1]China EXIM'!$B$6:$D$580, 3, FALSE)</f>
        <v>6.8489139731020003</v>
      </c>
      <c r="M97" s="6"/>
      <c r="N97" s="6"/>
      <c r="O97" s="6"/>
      <c r="P97" s="10" t="s">
        <v>24</v>
      </c>
      <c r="Q97" s="11" t="s">
        <v>46</v>
      </c>
      <c r="U97" s="1" t="s">
        <v>25</v>
      </c>
    </row>
    <row r="98" spans="2:21" ht="56.1" hidden="1">
      <c r="B98" s="6" t="str">
        <f>VLOOKUP(C98, [1]Definition!$D$5:$K$5665, 8, FALSE)</f>
        <v>Capital Goods</v>
      </c>
      <c r="C98" s="7">
        <v>902781</v>
      </c>
      <c r="D98" s="8" t="s">
        <v>274</v>
      </c>
      <c r="E98" s="17" t="s">
        <v>19</v>
      </c>
      <c r="F98" s="8" t="s">
        <v>275</v>
      </c>
      <c r="G98" s="8" t="s">
        <v>276</v>
      </c>
      <c r="H98" s="9" t="s">
        <v>22</v>
      </c>
      <c r="I98" s="9" t="s">
        <v>38</v>
      </c>
      <c r="J98" s="17" t="str">
        <f>_xlfn.IFNA(VLOOKUP(C98, '[2]Unique HS'!$B$4:$J$999, 9, FALSE), "No")</f>
        <v>No</v>
      </c>
      <c r="K98" s="18">
        <f>VLOOKUP(C98, '[1]India EXIM'!$B$6:$C$580, 2, FALSE)</f>
        <v>8.3719723691999995E-2</v>
      </c>
      <c r="L98" s="11">
        <f>VLOOKUP(C98, '[1]China EXIM'!$B$6:$D$580, 3, FALSE)</f>
        <v>3.8602443253220002</v>
      </c>
      <c r="M98" s="6"/>
      <c r="N98" s="6"/>
      <c r="O98" s="6"/>
      <c r="P98" s="10" t="s">
        <v>24</v>
      </c>
      <c r="Q98" s="11" t="s">
        <v>70</v>
      </c>
      <c r="U98" s="1" t="s">
        <v>25</v>
      </c>
    </row>
    <row r="99" spans="2:21" ht="27.95" hidden="1">
      <c r="B99" s="6" t="str">
        <f>VLOOKUP(C99, [1]Definition!$D$5:$K$5665, 8, FALSE)</f>
        <v>Capital Goods</v>
      </c>
      <c r="C99" s="7">
        <v>843050</v>
      </c>
      <c r="D99" s="8" t="s">
        <v>277</v>
      </c>
      <c r="E99" s="17" t="s">
        <v>19</v>
      </c>
      <c r="F99" s="8"/>
      <c r="G99" s="8"/>
      <c r="H99" s="9" t="s">
        <v>58</v>
      </c>
      <c r="I99" s="9" t="s">
        <v>31</v>
      </c>
      <c r="J99" s="17" t="str">
        <f>_xlfn.IFNA(VLOOKUP(C99, '[2]Unique HS'!$B$4:$J$999, 9, FALSE), "No")</f>
        <v>Yes</v>
      </c>
      <c r="K99" s="18">
        <f>VLOOKUP(C99, '[1]India EXIM'!$B$6:$C$580, 2, FALSE)</f>
        <v>8.3197856853000005E-2</v>
      </c>
      <c r="L99" s="11">
        <f>VLOOKUP(C99, '[1]China EXIM'!$B$6:$D$580, 3, FALSE)</f>
        <v>1.116646821425</v>
      </c>
      <c r="M99" s="9" t="s">
        <v>117</v>
      </c>
      <c r="N99" s="9"/>
      <c r="O99" s="6"/>
      <c r="P99" s="10" t="s">
        <v>24</v>
      </c>
      <c r="Q99" s="9" t="s">
        <v>58</v>
      </c>
      <c r="U99" s="1" t="s">
        <v>25</v>
      </c>
    </row>
    <row r="100" spans="2:21" ht="27.95" hidden="1">
      <c r="B100" s="6" t="str">
        <f>VLOOKUP(C100, [1]Definition!$D$5:$K$5665, 8, FALSE)</f>
        <v>Capital Goods</v>
      </c>
      <c r="C100" s="7">
        <v>847420</v>
      </c>
      <c r="D100" s="8" t="s">
        <v>278</v>
      </c>
      <c r="E100" s="17" t="s">
        <v>19</v>
      </c>
      <c r="F100" s="8"/>
      <c r="G100" s="8"/>
      <c r="H100" s="9" t="s">
        <v>58</v>
      </c>
      <c r="I100" s="9" t="s">
        <v>279</v>
      </c>
      <c r="J100" s="17" t="str">
        <f>_xlfn.IFNA(VLOOKUP(C100, '[2]Unique HS'!$B$4:$J$999, 9, FALSE), "No")</f>
        <v>No</v>
      </c>
      <c r="K100" s="18">
        <f>VLOOKUP(C100, '[1]India EXIM'!$B$6:$C$580, 2, FALSE)</f>
        <v>8.2679176611999999E-2</v>
      </c>
      <c r="L100" s="11">
        <f>VLOOKUP(C100, '[1]China EXIM'!$B$6:$D$580, 3, FALSE)</f>
        <v>4.0632473712529995</v>
      </c>
      <c r="M100" s="6"/>
      <c r="N100" s="6"/>
      <c r="O100" s="6"/>
      <c r="P100" s="10" t="s">
        <v>24</v>
      </c>
      <c r="Q100" s="9" t="s">
        <v>58</v>
      </c>
      <c r="S100" s="1" t="s">
        <v>136</v>
      </c>
      <c r="U100" s="1" t="s">
        <v>137</v>
      </c>
    </row>
    <row r="101" spans="2:21" ht="27.95" hidden="1">
      <c r="B101" s="6" t="str">
        <f>VLOOKUP(C101, [1]Definition!$D$5:$K$5665, 8, FALSE)</f>
        <v>Capital Goods</v>
      </c>
      <c r="C101" s="7">
        <v>844110</v>
      </c>
      <c r="D101" s="8" t="s">
        <v>280</v>
      </c>
      <c r="E101" s="17" t="s">
        <v>19</v>
      </c>
      <c r="F101" s="8"/>
      <c r="G101" s="8"/>
      <c r="H101" s="9" t="s">
        <v>22</v>
      </c>
      <c r="I101" s="9" t="s">
        <v>281</v>
      </c>
      <c r="J101" s="17" t="str">
        <f>_xlfn.IFNA(VLOOKUP(C101, '[2]Unique HS'!$B$4:$J$999, 9, FALSE), "No")</f>
        <v>No</v>
      </c>
      <c r="K101" s="18">
        <f>VLOOKUP(C101, '[1]India EXIM'!$B$6:$C$580, 2, FALSE)</f>
        <v>8.2488691057999997E-2</v>
      </c>
      <c r="L101" s="11">
        <f>VLOOKUP(C101, '[1]China EXIM'!$B$6:$D$580, 3, FALSE)</f>
        <v>1.714972609665</v>
      </c>
      <c r="M101" s="6" t="s">
        <v>253</v>
      </c>
      <c r="N101" s="6"/>
      <c r="O101" s="6"/>
      <c r="P101" s="10" t="s">
        <v>24</v>
      </c>
      <c r="Q101" s="11" t="s">
        <v>182</v>
      </c>
      <c r="U101" s="1" t="s">
        <v>25</v>
      </c>
    </row>
    <row r="102" spans="2:21" ht="42" hidden="1">
      <c r="B102" s="6" t="str">
        <f>VLOOKUP(C102, [1]Definition!$D$5:$K$5665, 8, FALSE)</f>
        <v>Capital Goods</v>
      </c>
      <c r="C102" s="7">
        <v>843780</v>
      </c>
      <c r="D102" s="8" t="s">
        <v>282</v>
      </c>
      <c r="E102" s="17" t="s">
        <v>19</v>
      </c>
      <c r="F102" s="8"/>
      <c r="G102" s="8"/>
      <c r="H102" s="9" t="s">
        <v>61</v>
      </c>
      <c r="I102" s="9" t="s">
        <v>255</v>
      </c>
      <c r="J102" s="17" t="str">
        <f>_xlfn.IFNA(VLOOKUP(C102, '[2]Unique HS'!$B$4:$J$999, 9, FALSE), "No")</f>
        <v>No</v>
      </c>
      <c r="K102" s="18">
        <f>VLOOKUP(C102, '[1]India EXIM'!$B$6:$C$580, 2, FALSE)</f>
        <v>8.2388254710999989E-2</v>
      </c>
      <c r="L102" s="11">
        <f>VLOOKUP(C102, '[1]China EXIM'!$B$6:$D$580, 3, FALSE)</f>
        <v>0.78601445856399998</v>
      </c>
      <c r="M102" s="6"/>
      <c r="N102" s="6"/>
      <c r="O102" s="6"/>
      <c r="P102" s="10" t="s">
        <v>24</v>
      </c>
      <c r="Q102" s="9" t="s">
        <v>61</v>
      </c>
      <c r="U102" s="1" t="s">
        <v>25</v>
      </c>
    </row>
    <row r="103" spans="2:21" ht="27.95" hidden="1">
      <c r="B103" s="6" t="str">
        <f>VLOOKUP(C103, [1]Definition!$D$5:$K$5665, 8, FALSE)</f>
        <v>Capital Goods</v>
      </c>
      <c r="C103" s="7">
        <v>842790</v>
      </c>
      <c r="D103" s="8" t="s">
        <v>283</v>
      </c>
      <c r="E103" s="17" t="s">
        <v>19</v>
      </c>
      <c r="F103" s="8"/>
      <c r="G103" s="8"/>
      <c r="H103" s="9" t="s">
        <v>58</v>
      </c>
      <c r="I103" s="9" t="s">
        <v>31</v>
      </c>
      <c r="J103" s="17" t="str">
        <f>_xlfn.IFNA(VLOOKUP(C103, '[2]Unique HS'!$B$4:$J$999, 9, FALSE), "No")</f>
        <v>No</v>
      </c>
      <c r="K103" s="18">
        <f>VLOOKUP(C103, '[1]India EXIM'!$B$6:$C$580, 2, FALSE)</f>
        <v>8.2130282612000005E-2</v>
      </c>
      <c r="L103" s="11">
        <f>VLOOKUP(C103, '[1]China EXIM'!$B$6:$D$580, 3, FALSE)</f>
        <v>1.5081465035750001</v>
      </c>
      <c r="M103" s="9" t="s">
        <v>59</v>
      </c>
      <c r="N103" s="9"/>
      <c r="O103" s="6"/>
      <c r="P103" s="10" t="s">
        <v>24</v>
      </c>
      <c r="Q103" s="9" t="s">
        <v>58</v>
      </c>
      <c r="U103" s="1" t="s">
        <v>25</v>
      </c>
    </row>
    <row r="104" spans="2:21" ht="27.95" hidden="1">
      <c r="B104" s="6" t="str">
        <f>VLOOKUP(C104, [1]Definition!$D$5:$K$5665, 8, FALSE)</f>
        <v>Capital Goods</v>
      </c>
      <c r="C104" s="7">
        <v>841381</v>
      </c>
      <c r="D104" s="8" t="s">
        <v>284</v>
      </c>
      <c r="E104" s="17" t="s">
        <v>19</v>
      </c>
      <c r="F104" s="8"/>
      <c r="G104" s="8"/>
      <c r="H104" s="9" t="s">
        <v>22</v>
      </c>
      <c r="I104" s="9" t="s">
        <v>285</v>
      </c>
      <c r="J104" s="17" t="str">
        <f>_xlfn.IFNA(VLOOKUP(C104, '[2]Unique HS'!$B$4:$J$999, 9, FALSE), "No")</f>
        <v>Yes</v>
      </c>
      <c r="K104" s="18">
        <f>VLOOKUP(C104, '[1]India EXIM'!$B$6:$C$580, 2, FALSE)</f>
        <v>8.1051349496999991E-2</v>
      </c>
      <c r="L104" s="11">
        <f>VLOOKUP(C104, '[1]China EXIM'!$B$6:$D$580, 3, FALSE)</f>
        <v>3.8098405319120001</v>
      </c>
      <c r="M104" s="6" t="s">
        <v>103</v>
      </c>
      <c r="N104" s="6"/>
      <c r="O104" s="6"/>
      <c r="P104" s="10" t="s">
        <v>24</v>
      </c>
      <c r="Q104" s="9" t="s">
        <v>22</v>
      </c>
      <c r="U104" s="1" t="s">
        <v>25</v>
      </c>
    </row>
    <row r="105" spans="2:21" ht="27.95" hidden="1">
      <c r="B105" s="6" t="str">
        <f>VLOOKUP(C105, [1]Definition!$D$5:$K$5665, 8, FALSE)</f>
        <v>Capital Goods</v>
      </c>
      <c r="C105" s="7">
        <v>846219</v>
      </c>
      <c r="D105" s="8" t="s">
        <v>286</v>
      </c>
      <c r="E105" s="17" t="s">
        <v>19</v>
      </c>
      <c r="F105" s="8"/>
      <c r="G105" s="8"/>
      <c r="H105" s="9" t="s">
        <v>65</v>
      </c>
      <c r="I105" s="9" t="s">
        <v>31</v>
      </c>
      <c r="J105" s="17" t="str">
        <f>_xlfn.IFNA(VLOOKUP(C105, '[2]Unique HS'!$B$4:$J$999, 9, FALSE), "No")</f>
        <v>No</v>
      </c>
      <c r="K105" s="18">
        <f>VLOOKUP(C105, '[1]India EXIM'!$B$6:$C$580, 2, FALSE)</f>
        <v>8.0662668174999994E-2</v>
      </c>
      <c r="L105" s="11">
        <f>VLOOKUP(C105, '[1]China EXIM'!$B$6:$D$580, 3, FALSE)</f>
        <v>0.39596200418499999</v>
      </c>
      <c r="M105" s="6"/>
      <c r="N105" s="6"/>
      <c r="O105" s="6"/>
      <c r="P105" s="10" t="s">
        <v>24</v>
      </c>
      <c r="Q105" s="9" t="s">
        <v>65</v>
      </c>
      <c r="U105" s="1" t="s">
        <v>25</v>
      </c>
    </row>
    <row r="106" spans="2:21" ht="42" hidden="1">
      <c r="B106" s="6" t="str">
        <f>VLOOKUP(C106, [1]Definition!$D$5:$K$5665, 8, FALSE)</f>
        <v>Capital Goods</v>
      </c>
      <c r="C106" s="7">
        <v>846599</v>
      </c>
      <c r="D106" s="8" t="s">
        <v>287</v>
      </c>
      <c r="E106" s="17" t="s">
        <v>19</v>
      </c>
      <c r="F106" s="8"/>
      <c r="G106" s="8"/>
      <c r="H106" s="9" t="s">
        <v>65</v>
      </c>
      <c r="I106" s="9" t="s">
        <v>31</v>
      </c>
      <c r="J106" s="17" t="str">
        <f>_xlfn.IFNA(VLOOKUP(C106, '[2]Unique HS'!$B$4:$J$999, 9, FALSE), "No")</f>
        <v>Yes</v>
      </c>
      <c r="K106" s="18">
        <f>VLOOKUP(C106, '[1]India EXIM'!$B$6:$C$580, 2, FALSE)</f>
        <v>7.7177286863999994E-2</v>
      </c>
      <c r="L106" s="11">
        <f>VLOOKUP(C106, '[1]China EXIM'!$B$6:$D$580, 3, FALSE)</f>
        <v>1.8869269921429999</v>
      </c>
      <c r="M106" s="6"/>
      <c r="N106" s="6"/>
      <c r="O106" s="6"/>
      <c r="P106" s="10" t="s">
        <v>24</v>
      </c>
      <c r="Q106" s="9" t="s">
        <v>65</v>
      </c>
      <c r="S106" s="1" t="s">
        <v>33</v>
      </c>
      <c r="U106" s="1" t="s">
        <v>34</v>
      </c>
    </row>
    <row r="107" spans="2:21" ht="27.95" hidden="1">
      <c r="B107" s="6" t="str">
        <f>VLOOKUP(C107, [1]Definition!$D$5:$K$5665, 8, FALSE)</f>
        <v>Capital Goods</v>
      </c>
      <c r="C107" s="7">
        <v>842119</v>
      </c>
      <c r="D107" s="8" t="s">
        <v>288</v>
      </c>
      <c r="E107" s="17" t="s">
        <v>19</v>
      </c>
      <c r="F107" s="8"/>
      <c r="G107" s="8"/>
      <c r="H107" s="9" t="s">
        <v>22</v>
      </c>
      <c r="I107" s="9" t="s">
        <v>74</v>
      </c>
      <c r="J107" s="17" t="str">
        <f>_xlfn.IFNA(VLOOKUP(C107, '[2]Unique HS'!$B$4:$J$999, 9, FALSE), "No")</f>
        <v>Yes</v>
      </c>
      <c r="K107" s="18">
        <f>VLOOKUP(C107, '[1]India EXIM'!$B$6:$C$580, 2, FALSE)</f>
        <v>7.5957884993999997E-2</v>
      </c>
      <c r="L107" s="11">
        <f>VLOOKUP(C107, '[1]China EXIM'!$B$6:$D$580, 3, FALSE)</f>
        <v>2.3502383344770004</v>
      </c>
      <c r="M107" s="6"/>
      <c r="N107" s="6"/>
      <c r="O107" s="6"/>
      <c r="P107" s="10" t="s">
        <v>24</v>
      </c>
      <c r="Q107" s="11" t="s">
        <v>22</v>
      </c>
      <c r="U107" s="1" t="s">
        <v>25</v>
      </c>
    </row>
    <row r="108" spans="2:21" ht="42" hidden="1">
      <c r="B108" s="6" t="str">
        <f>VLOOKUP(C108, [1]Definition!$D$5:$K$5665, 8, FALSE)</f>
        <v>Capital Goods</v>
      </c>
      <c r="C108" s="7">
        <v>846789</v>
      </c>
      <c r="D108" s="8" t="s">
        <v>289</v>
      </c>
      <c r="E108" s="17" t="s">
        <v>19</v>
      </c>
      <c r="F108" s="8"/>
      <c r="G108" s="8"/>
      <c r="H108" s="9" t="s">
        <v>65</v>
      </c>
      <c r="I108" s="9" t="s">
        <v>31</v>
      </c>
      <c r="J108" s="17" t="str">
        <f>_xlfn.IFNA(VLOOKUP(C108, '[2]Unique HS'!$B$4:$J$999, 9, FALSE), "No")</f>
        <v>Yes</v>
      </c>
      <c r="K108" s="18">
        <f>VLOOKUP(C108, '[1]India EXIM'!$B$6:$C$580, 2, FALSE)</f>
        <v>7.4448057173999993E-2</v>
      </c>
      <c r="L108" s="11">
        <f>VLOOKUP(C108, '[1]China EXIM'!$B$6:$D$580, 3, FALSE)</f>
        <v>1.976565329384</v>
      </c>
      <c r="M108" s="6"/>
      <c r="N108" s="6"/>
      <c r="O108" s="6"/>
      <c r="P108" s="10" t="s">
        <v>24</v>
      </c>
      <c r="Q108" s="9" t="s">
        <v>65</v>
      </c>
      <c r="U108" s="1" t="s">
        <v>25</v>
      </c>
    </row>
    <row r="109" spans="2:21" hidden="1">
      <c r="B109" s="6" t="str">
        <f>VLOOKUP(C109, [1]Definition!$D$5:$K$5665, 8, FALSE)</f>
        <v>Capital Goods</v>
      </c>
      <c r="C109" s="7">
        <v>847940</v>
      </c>
      <c r="D109" s="8" t="s">
        <v>290</v>
      </c>
      <c r="E109" s="17" t="s">
        <v>19</v>
      </c>
      <c r="F109" s="8"/>
      <c r="G109" s="8"/>
      <c r="H109" s="9" t="s">
        <v>55</v>
      </c>
      <c r="I109" s="9" t="s">
        <v>291</v>
      </c>
      <c r="J109" s="17" t="str">
        <f>_xlfn.IFNA(VLOOKUP(C109, '[2]Unique HS'!$B$4:$J$999, 9, FALSE), "No")</f>
        <v>No</v>
      </c>
      <c r="K109" s="18">
        <f>VLOOKUP(C109, '[1]India EXIM'!$B$6:$C$580, 2, FALSE)</f>
        <v>7.4375279808999994E-2</v>
      </c>
      <c r="L109" s="11">
        <f>VLOOKUP(C109, '[1]China EXIM'!$B$6:$D$580, 3, FALSE)</f>
        <v>0.97746500599499997</v>
      </c>
      <c r="M109" s="6"/>
      <c r="N109" s="6"/>
      <c r="O109" s="6"/>
      <c r="P109" s="10" t="s">
        <v>24</v>
      </c>
      <c r="Q109" s="9" t="s">
        <v>55</v>
      </c>
      <c r="U109" s="1" t="s">
        <v>25</v>
      </c>
    </row>
    <row r="110" spans="2:21" ht="56.1" hidden="1">
      <c r="B110" s="6" t="str">
        <f>VLOOKUP(C110, [1]Definition!$D$5:$K$5665, 8, FALSE)</f>
        <v>Capital Goods</v>
      </c>
      <c r="C110" s="7">
        <v>847529</v>
      </c>
      <c r="D110" s="8" t="s">
        <v>292</v>
      </c>
      <c r="E110" s="17" t="s">
        <v>19</v>
      </c>
      <c r="F110" s="8" t="s">
        <v>293</v>
      </c>
      <c r="G110" s="8"/>
      <c r="H110" s="9" t="s">
        <v>22</v>
      </c>
      <c r="I110" s="9" t="s">
        <v>294</v>
      </c>
      <c r="J110" s="17" t="str">
        <f>_xlfn.IFNA(VLOOKUP(C110, '[2]Unique HS'!$B$4:$J$999, 9, FALSE), "No")</f>
        <v>No</v>
      </c>
      <c r="K110" s="18">
        <f>VLOOKUP(C110, '[1]India EXIM'!$B$6:$C$580, 2, FALSE)</f>
        <v>7.4120186952000011E-2</v>
      </c>
      <c r="L110" s="11">
        <f>VLOOKUP(C110, '[1]China EXIM'!$B$6:$D$580, 3, FALSE)</f>
        <v>1.437932210034</v>
      </c>
      <c r="M110" s="6"/>
      <c r="N110" s="6"/>
      <c r="O110" s="6"/>
      <c r="P110" s="10" t="s">
        <v>24</v>
      </c>
      <c r="Q110" s="9" t="s">
        <v>22</v>
      </c>
      <c r="U110" s="1" t="s">
        <v>25</v>
      </c>
    </row>
    <row r="111" spans="2:21" ht="27.95" hidden="1">
      <c r="B111" s="6" t="str">
        <f>VLOOKUP(C111, [1]Definition!$D$5:$K$5665, 8, FALSE)</f>
        <v>Capital Goods</v>
      </c>
      <c r="C111" s="7">
        <v>853630</v>
      </c>
      <c r="D111" s="8" t="s">
        <v>295</v>
      </c>
      <c r="E111" s="17" t="s">
        <v>27</v>
      </c>
      <c r="F111" s="8" t="s">
        <v>296</v>
      </c>
      <c r="G111" s="8" t="s">
        <v>171</v>
      </c>
      <c r="H111" s="9" t="s">
        <v>30</v>
      </c>
      <c r="I111" s="9" t="s">
        <v>172</v>
      </c>
      <c r="J111" s="17" t="str">
        <f>_xlfn.IFNA(VLOOKUP(C111, '[2]Unique HS'!$B$4:$J$999, 9, FALSE), "No")</f>
        <v>Yes</v>
      </c>
      <c r="K111" s="22">
        <f>VLOOKUP(C111, '[1]India EXIM'!$B$6:$C$580, 2, FALSE)</f>
        <v>7.3251585745E-2</v>
      </c>
      <c r="L111" s="11">
        <f>VLOOKUP(C111, '[1]China EXIM'!$B$6:$D$580, 3, FALSE)</f>
        <v>5.3823246756199996</v>
      </c>
      <c r="M111" s="6"/>
      <c r="N111" s="6"/>
      <c r="O111" s="6"/>
      <c r="P111" s="10" t="s">
        <v>24</v>
      </c>
      <c r="Q111" s="9" t="s">
        <v>30</v>
      </c>
      <c r="S111" s="1" t="s">
        <v>136</v>
      </c>
      <c r="U111" s="1" t="s">
        <v>34</v>
      </c>
    </row>
    <row r="112" spans="2:21" ht="42" hidden="1">
      <c r="B112" s="6" t="str">
        <f>VLOOKUP(C112, [1]Definition!$D$5:$K$5665, 8, FALSE)</f>
        <v>Capital Goods</v>
      </c>
      <c r="C112" s="7">
        <v>844130</v>
      </c>
      <c r="D112" s="8" t="s">
        <v>297</v>
      </c>
      <c r="E112" s="17" t="s">
        <v>19</v>
      </c>
      <c r="F112" s="8"/>
      <c r="G112" s="8" t="s">
        <v>298</v>
      </c>
      <c r="H112" s="9" t="s">
        <v>22</v>
      </c>
      <c r="I112" s="9" t="s">
        <v>299</v>
      </c>
      <c r="J112" s="17" t="str">
        <f>_xlfn.IFNA(VLOOKUP(C112, '[2]Unique HS'!$B$4:$J$999, 9, FALSE), "No")</f>
        <v>No</v>
      </c>
      <c r="K112" s="18">
        <f>VLOOKUP(C112, '[1]India EXIM'!$B$6:$C$580, 2, FALSE)</f>
        <v>7.287105101199999E-2</v>
      </c>
      <c r="L112" s="11">
        <f>VLOOKUP(C112, '[1]China EXIM'!$B$6:$D$580, 3, FALSE)</f>
        <v>2.1718094316199998</v>
      </c>
      <c r="M112" s="6" t="s">
        <v>253</v>
      </c>
      <c r="N112" s="6"/>
      <c r="O112" s="6"/>
      <c r="P112" s="10" t="s">
        <v>24</v>
      </c>
      <c r="Q112" s="11" t="s">
        <v>182</v>
      </c>
      <c r="U112" s="1" t="s">
        <v>25</v>
      </c>
    </row>
    <row r="113" spans="2:22" ht="42">
      <c r="B113" s="6" t="str">
        <f>VLOOKUP(C113, [1]Definition!$D$5:$K$5665, 8, FALSE)</f>
        <v>Capital Goods</v>
      </c>
      <c r="C113" s="7">
        <v>854159</v>
      </c>
      <c r="D113" s="8" t="s">
        <v>300</v>
      </c>
      <c r="E113" s="17" t="s">
        <v>119</v>
      </c>
      <c r="F113" s="8" t="s">
        <v>301</v>
      </c>
      <c r="G113" s="8" t="s">
        <v>302</v>
      </c>
      <c r="H113" s="9" t="s">
        <v>46</v>
      </c>
      <c r="I113" s="9" t="s">
        <v>303</v>
      </c>
      <c r="J113" s="17" t="str">
        <f>_xlfn.IFNA(VLOOKUP(C113, '[2]Unique HS'!$B$4:$J$999, 9, FALSE), "No")</f>
        <v>Yes</v>
      </c>
      <c r="K113" s="18">
        <f>VLOOKUP(C113, '[1]India EXIM'!$B$6:$C$580, 2, FALSE)</f>
        <v>3.9928650770999996E-2</v>
      </c>
      <c r="L113" s="11">
        <f>VLOOKUP(C113, '[1]China EXIM'!$B$6:$D$580, 3, FALSE)</f>
        <v>2.780863121266</v>
      </c>
      <c r="M113" s="6"/>
      <c r="N113" s="6"/>
      <c r="O113" s="6"/>
      <c r="P113" s="10" t="s">
        <v>24</v>
      </c>
      <c r="Q113" s="9" t="s">
        <v>46</v>
      </c>
      <c r="U113" s="1" t="s">
        <v>211</v>
      </c>
      <c r="V113" s="1" t="s">
        <v>243</v>
      </c>
    </row>
    <row r="114" spans="2:22" ht="27.95" hidden="1">
      <c r="B114" s="6" t="str">
        <f>VLOOKUP(C114, [1]Definition!$D$5:$K$5665, 8, FALSE)</f>
        <v>Capital Goods</v>
      </c>
      <c r="C114" s="7">
        <v>843810</v>
      </c>
      <c r="D114" s="8" t="s">
        <v>304</v>
      </c>
      <c r="E114" s="17" t="s">
        <v>19</v>
      </c>
      <c r="F114" s="8"/>
      <c r="G114" s="8"/>
      <c r="H114" s="9" t="s">
        <v>61</v>
      </c>
      <c r="I114" s="9" t="s">
        <v>247</v>
      </c>
      <c r="J114" s="17" t="str">
        <f>_xlfn.IFNA(VLOOKUP(C114, '[2]Unique HS'!$B$4:$J$999, 9, FALSE), "No")</f>
        <v>No</v>
      </c>
      <c r="K114" s="18">
        <f>VLOOKUP(C114, '[1]India EXIM'!$B$6:$C$580, 2, FALSE)</f>
        <v>7.2754809202000004E-2</v>
      </c>
      <c r="L114" s="11">
        <f>VLOOKUP(C114, '[1]China EXIM'!$B$6:$D$580, 3, FALSE)</f>
        <v>3.1320371144419998</v>
      </c>
      <c r="M114" s="6"/>
      <c r="N114" s="6"/>
      <c r="O114" s="6"/>
      <c r="P114" s="10" t="s">
        <v>24</v>
      </c>
      <c r="Q114" s="9" t="s">
        <v>61</v>
      </c>
      <c r="U114" s="1" t="s">
        <v>25</v>
      </c>
    </row>
    <row r="115" spans="2:22" ht="42" hidden="1">
      <c r="B115" s="6" t="str">
        <f>VLOOKUP(C115, [1]Definition!$D$5:$K$5665, 8, FALSE)</f>
        <v>Capital Goods</v>
      </c>
      <c r="C115" s="7">
        <v>902480</v>
      </c>
      <c r="D115" s="8" t="s">
        <v>305</v>
      </c>
      <c r="E115" s="17" t="s">
        <v>19</v>
      </c>
      <c r="F115" s="8"/>
      <c r="G115" s="8" t="s">
        <v>306</v>
      </c>
      <c r="H115" s="9" t="s">
        <v>22</v>
      </c>
      <c r="I115" s="9" t="s">
        <v>307</v>
      </c>
      <c r="J115" s="17" t="str">
        <f>_xlfn.IFNA(VLOOKUP(C115, '[2]Unique HS'!$B$4:$J$999, 9, FALSE), "No")</f>
        <v>Yes</v>
      </c>
      <c r="K115" s="18">
        <f>VLOOKUP(C115, '[1]India EXIM'!$B$6:$C$580, 2, FALSE)</f>
        <v>7.2285559994999998E-2</v>
      </c>
      <c r="L115" s="11">
        <f>VLOOKUP(C115, '[1]China EXIM'!$B$6:$D$580, 3, FALSE)</f>
        <v>1.3486598420710001</v>
      </c>
      <c r="M115" s="6"/>
      <c r="N115" s="6"/>
      <c r="O115" s="6"/>
      <c r="P115" s="10" t="s">
        <v>24</v>
      </c>
      <c r="Q115" s="9" t="s">
        <v>22</v>
      </c>
      <c r="U115" s="1" t="s">
        <v>25</v>
      </c>
    </row>
    <row r="116" spans="2:22" ht="27.95" hidden="1">
      <c r="B116" s="6" t="str">
        <f>VLOOKUP(C116, [1]Definition!$D$5:$K$5665, 8, FALSE)</f>
        <v>Capital Goods</v>
      </c>
      <c r="C116" s="7">
        <v>842951</v>
      </c>
      <c r="D116" s="8" t="s">
        <v>308</v>
      </c>
      <c r="E116" s="17" t="s">
        <v>19</v>
      </c>
      <c r="F116" s="8"/>
      <c r="G116" s="8"/>
      <c r="H116" s="9" t="s">
        <v>58</v>
      </c>
      <c r="I116" s="9" t="s">
        <v>31</v>
      </c>
      <c r="J116" s="17" t="str">
        <f>_xlfn.IFNA(VLOOKUP(C116, '[2]Unique HS'!$B$4:$J$999, 9, FALSE), "No")</f>
        <v>No</v>
      </c>
      <c r="K116" s="18">
        <f>VLOOKUP(C116, '[1]India EXIM'!$B$6:$C$580, 2, FALSE)</f>
        <v>7.1309501798999989E-2</v>
      </c>
      <c r="L116" s="11">
        <f>VLOOKUP(C116, '[1]China EXIM'!$B$6:$D$580, 3, FALSE)</f>
        <v>16.191612771962998</v>
      </c>
      <c r="M116" s="9" t="s">
        <v>117</v>
      </c>
      <c r="N116" s="9"/>
      <c r="O116" s="6"/>
      <c r="P116" s="10" t="s">
        <v>24</v>
      </c>
      <c r="Q116" s="9" t="s">
        <v>58</v>
      </c>
      <c r="S116" s="1" t="s">
        <v>25</v>
      </c>
      <c r="U116" s="1" t="s">
        <v>25</v>
      </c>
    </row>
    <row r="117" spans="2:22" ht="27.95" hidden="1">
      <c r="B117" s="6" t="str">
        <f>VLOOKUP(C117, [1]Definition!$D$5:$K$5665, 8, FALSE)</f>
        <v>Capital Goods</v>
      </c>
      <c r="C117" s="7">
        <v>846390</v>
      </c>
      <c r="D117" s="8" t="s">
        <v>309</v>
      </c>
      <c r="E117" s="17" t="s">
        <v>19</v>
      </c>
      <c r="F117" s="8"/>
      <c r="G117" s="8"/>
      <c r="H117" s="9" t="s">
        <v>65</v>
      </c>
      <c r="I117" s="9" t="s">
        <v>31</v>
      </c>
      <c r="J117" s="17" t="str">
        <f>_xlfn.IFNA(VLOOKUP(C117, '[2]Unique HS'!$B$4:$J$999, 9, FALSE), "No")</f>
        <v>Yes</v>
      </c>
      <c r="K117" s="18">
        <f>VLOOKUP(C117, '[1]India EXIM'!$B$6:$C$580, 2, FALSE)</f>
        <v>7.1299757163000008E-2</v>
      </c>
      <c r="L117" s="11">
        <f>VLOOKUP(C117, '[1]China EXIM'!$B$6:$D$580, 3, FALSE)</f>
        <v>0.80996079291799994</v>
      </c>
      <c r="M117" s="6"/>
      <c r="N117" s="6"/>
      <c r="O117" s="6"/>
      <c r="P117" s="10" t="s">
        <v>24</v>
      </c>
      <c r="Q117" s="9" t="s">
        <v>65</v>
      </c>
      <c r="U117" s="1" t="s">
        <v>25</v>
      </c>
    </row>
    <row r="118" spans="2:22" ht="56.1" hidden="1">
      <c r="B118" s="6" t="str">
        <f>VLOOKUP(C118, [1]Definition!$D$5:$K$5665, 8, FALSE)</f>
        <v>Capital Goods</v>
      </c>
      <c r="C118" s="7">
        <v>901180</v>
      </c>
      <c r="D118" s="8" t="s">
        <v>310</v>
      </c>
      <c r="E118" s="17" t="s">
        <v>19</v>
      </c>
      <c r="F118" s="8" t="s">
        <v>311</v>
      </c>
      <c r="G118" s="8" t="s">
        <v>312</v>
      </c>
      <c r="H118" s="9" t="s">
        <v>166</v>
      </c>
      <c r="I118" s="9" t="s">
        <v>201</v>
      </c>
      <c r="J118" s="17" t="str">
        <f>_xlfn.IFNA(VLOOKUP(C118, '[2]Unique HS'!$B$4:$J$999, 9, FALSE), "No")</f>
        <v>Yes</v>
      </c>
      <c r="K118" s="18">
        <f>VLOOKUP(C118, '[1]India EXIM'!$B$6:$C$580, 2, FALSE)</f>
        <v>7.1228741424E-2</v>
      </c>
      <c r="L118" s="11">
        <f>VLOOKUP(C118, '[1]China EXIM'!$B$6:$D$580, 3, FALSE)</f>
        <v>1.4780334768979999</v>
      </c>
      <c r="M118" s="6"/>
      <c r="N118" s="6"/>
      <c r="O118" s="6"/>
      <c r="P118" s="10" t="s">
        <v>24</v>
      </c>
      <c r="Q118" s="11" t="s">
        <v>70</v>
      </c>
      <c r="U118" s="1" t="s">
        <v>25</v>
      </c>
    </row>
    <row r="119" spans="2:22" ht="42">
      <c r="B119" s="6" t="str">
        <f>VLOOKUP(C119, [1]Definition!$D$5:$K$5665, 8, FALSE)</f>
        <v>Capital Goods</v>
      </c>
      <c r="C119" s="7">
        <v>843359</v>
      </c>
      <c r="D119" s="8" t="s">
        <v>313</v>
      </c>
      <c r="E119" s="17" t="s">
        <v>119</v>
      </c>
      <c r="F119" s="8" t="s">
        <v>314</v>
      </c>
      <c r="G119" s="8" t="s">
        <v>315</v>
      </c>
      <c r="H119" s="9" t="s">
        <v>22</v>
      </c>
      <c r="I119" s="9" t="s">
        <v>316</v>
      </c>
      <c r="J119" s="17" t="str">
        <f>_xlfn.IFNA(VLOOKUP(C119, '[2]Unique HS'!$B$4:$J$999, 9, FALSE), "No")</f>
        <v>No</v>
      </c>
      <c r="K119" s="18">
        <f>VLOOKUP(C119, '[1]India EXIM'!$B$6:$C$580, 2, FALSE)</f>
        <v>1.4959245115E-2</v>
      </c>
      <c r="L119" s="11">
        <f>VLOOKUP(C119, '[1]China EXIM'!$B$6:$D$580, 3, FALSE)</f>
        <v>2.5315486961640001</v>
      </c>
      <c r="M119" s="6" t="s">
        <v>160</v>
      </c>
      <c r="N119" s="6"/>
      <c r="O119" s="6"/>
      <c r="P119" s="10" t="s">
        <v>24</v>
      </c>
      <c r="Q119" s="11" t="s">
        <v>161</v>
      </c>
      <c r="U119" s="1" t="s">
        <v>25</v>
      </c>
    </row>
    <row r="120" spans="2:22" ht="27.95" hidden="1">
      <c r="B120" s="6" t="str">
        <f>VLOOKUP(C120, [1]Definition!$D$5:$K$5665, 8, FALSE)</f>
        <v>Capital Goods</v>
      </c>
      <c r="C120" s="7">
        <v>903120</v>
      </c>
      <c r="D120" s="8" t="s">
        <v>317</v>
      </c>
      <c r="E120" s="17" t="s">
        <v>19</v>
      </c>
      <c r="F120" s="8" t="s">
        <v>318</v>
      </c>
      <c r="G120" s="8"/>
      <c r="H120" s="9" t="s">
        <v>22</v>
      </c>
      <c r="I120" s="9" t="s">
        <v>319</v>
      </c>
      <c r="J120" s="17" t="str">
        <f>_xlfn.IFNA(VLOOKUP(C120, '[2]Unique HS'!$B$4:$J$999, 9, FALSE), "No")</f>
        <v>Yes</v>
      </c>
      <c r="K120" s="18">
        <f>VLOOKUP(C120, '[1]India EXIM'!$B$6:$C$580, 2, FALSE)</f>
        <v>7.1139032106999997E-2</v>
      </c>
      <c r="L120" s="11">
        <f>VLOOKUP(C120, '[1]China EXIM'!$B$6:$D$580, 3, FALSE)</f>
        <v>1.734273707279</v>
      </c>
      <c r="M120" s="6"/>
      <c r="N120" s="6"/>
      <c r="O120" s="6"/>
      <c r="P120" s="10" t="s">
        <v>24</v>
      </c>
      <c r="Q120" s="9" t="s">
        <v>22</v>
      </c>
      <c r="U120" s="1" t="s">
        <v>25</v>
      </c>
    </row>
    <row r="121" spans="2:22" ht="27.95" hidden="1">
      <c r="B121" s="6" t="str">
        <f>VLOOKUP(C121, [1]Definition!$D$5:$K$5665, 8, FALSE)</f>
        <v>Capital Goods</v>
      </c>
      <c r="C121" s="7">
        <v>846262</v>
      </c>
      <c r="D121" s="8" t="s">
        <v>320</v>
      </c>
      <c r="E121" s="17" t="s">
        <v>19</v>
      </c>
      <c r="F121" s="8"/>
      <c r="G121" s="8"/>
      <c r="H121" s="9" t="s">
        <v>65</v>
      </c>
      <c r="I121" s="9" t="s">
        <v>31</v>
      </c>
      <c r="J121" s="17" t="str">
        <f>_xlfn.IFNA(VLOOKUP(C121, '[2]Unique HS'!$B$4:$J$999, 9, FALSE), "No")</f>
        <v>No</v>
      </c>
      <c r="K121" s="18">
        <f>VLOOKUP(C121, '[1]India EXIM'!$B$6:$C$580, 2, FALSE)</f>
        <v>7.0584520856000005E-2</v>
      </c>
      <c r="L121" s="11">
        <f>VLOOKUP(C121, '[1]China EXIM'!$B$6:$D$580, 3, FALSE)</f>
        <v>1.2734923848549999</v>
      </c>
      <c r="M121" s="6"/>
      <c r="N121" s="6"/>
      <c r="O121" s="6"/>
      <c r="P121" s="10" t="s">
        <v>24</v>
      </c>
      <c r="Q121" s="9" t="s">
        <v>65</v>
      </c>
      <c r="U121" s="1" t="s">
        <v>25</v>
      </c>
    </row>
    <row r="122" spans="2:22" ht="27.95">
      <c r="B122" s="6" t="str">
        <f>VLOOKUP(C122, [1]Definition!$D$5:$K$5665, 8, FALSE)</f>
        <v>Capital Goods</v>
      </c>
      <c r="C122" s="7">
        <v>842482</v>
      </c>
      <c r="D122" s="8" t="s">
        <v>321</v>
      </c>
      <c r="E122" s="17" t="s">
        <v>119</v>
      </c>
      <c r="F122" s="8"/>
      <c r="G122" s="8" t="s">
        <v>322</v>
      </c>
      <c r="H122" s="9" t="s">
        <v>22</v>
      </c>
      <c r="I122" s="9" t="s">
        <v>38</v>
      </c>
      <c r="J122" s="17" t="str">
        <f>_xlfn.IFNA(VLOOKUP(C122, '[2]Unique HS'!$B$4:$J$999, 9, FALSE), "No")</f>
        <v>No</v>
      </c>
      <c r="K122" s="18">
        <f>VLOOKUP(C122, '[1]India EXIM'!$B$6:$C$580, 2, FALSE)</f>
        <v>6.6500519990999998E-2</v>
      </c>
      <c r="L122" s="11">
        <f>VLOOKUP(C122, '[1]China EXIM'!$B$6:$D$580, 3, FALSE)</f>
        <v>2.3846100537670001</v>
      </c>
      <c r="M122" s="6" t="s">
        <v>160</v>
      </c>
      <c r="N122" s="6"/>
      <c r="O122" s="6"/>
      <c r="P122" s="10" t="s">
        <v>24</v>
      </c>
      <c r="Q122" s="11" t="s">
        <v>161</v>
      </c>
    </row>
    <row r="123" spans="2:22" ht="42" hidden="1">
      <c r="B123" s="6" t="str">
        <f>VLOOKUP(C123, [1]Definition!$D$5:$K$5665, 8, FALSE)</f>
        <v>Capital Goods</v>
      </c>
      <c r="C123" s="7">
        <v>851539</v>
      </c>
      <c r="D123" s="8" t="s">
        <v>323</v>
      </c>
      <c r="E123" s="17" t="s">
        <v>19</v>
      </c>
      <c r="F123" s="8"/>
      <c r="G123" s="8"/>
      <c r="H123" s="9" t="s">
        <v>65</v>
      </c>
      <c r="I123" s="9" t="s">
        <v>232</v>
      </c>
      <c r="J123" s="17" t="str">
        <f>_xlfn.IFNA(VLOOKUP(C123, '[2]Unique HS'!$B$4:$J$999, 9, FALSE), "No")</f>
        <v>Yes</v>
      </c>
      <c r="K123" s="18">
        <f>VLOOKUP(C123, '[1]India EXIM'!$B$6:$C$580, 2, FALSE)</f>
        <v>7.0511858226999999E-2</v>
      </c>
      <c r="L123" s="11">
        <f>VLOOKUP(C123, '[1]China EXIM'!$B$6:$D$580, 3, FALSE)</f>
        <v>1.3523215266090001</v>
      </c>
      <c r="M123" s="6"/>
      <c r="N123" s="6"/>
      <c r="O123" s="6"/>
      <c r="P123" s="10" t="s">
        <v>24</v>
      </c>
      <c r="Q123" s="9" t="s">
        <v>65</v>
      </c>
      <c r="U123" s="1" t="s">
        <v>25</v>
      </c>
    </row>
    <row r="124" spans="2:22" ht="42" hidden="1">
      <c r="B124" s="6" t="str">
        <f>VLOOKUP(C124, [1]Definition!$D$5:$K$5665, 8, FALSE)</f>
        <v>Capital Goods</v>
      </c>
      <c r="C124" s="7">
        <v>846490</v>
      </c>
      <c r="D124" s="8" t="s">
        <v>324</v>
      </c>
      <c r="E124" s="17" t="s">
        <v>19</v>
      </c>
      <c r="F124" s="8"/>
      <c r="G124" s="8"/>
      <c r="H124" s="9" t="s">
        <v>65</v>
      </c>
      <c r="I124" s="9" t="s">
        <v>31</v>
      </c>
      <c r="J124" s="17" t="str">
        <f>_xlfn.IFNA(VLOOKUP(C124, '[2]Unique HS'!$B$4:$J$999, 9, FALSE), "No")</f>
        <v>No</v>
      </c>
      <c r="K124" s="18">
        <f>VLOOKUP(C124, '[1]India EXIM'!$B$6:$C$580, 2, FALSE)</f>
        <v>7.0428782289E-2</v>
      </c>
      <c r="L124" s="11">
        <f>VLOOKUP(C124, '[1]China EXIM'!$B$6:$D$580, 3, FALSE)</f>
        <v>1.0116636780770001</v>
      </c>
      <c r="M124" s="6"/>
      <c r="N124" s="6"/>
      <c r="O124" s="6"/>
      <c r="P124" s="10" t="s">
        <v>24</v>
      </c>
      <c r="Q124" s="9" t="s">
        <v>65</v>
      </c>
      <c r="U124" s="1" t="s">
        <v>25</v>
      </c>
    </row>
    <row r="125" spans="2:22" ht="27.95" hidden="1">
      <c r="B125" s="6" t="str">
        <f>VLOOKUP(C125, [1]Definition!$D$5:$K$5665, 8, FALSE)</f>
        <v>Capital Goods</v>
      </c>
      <c r="C125" s="7">
        <v>843820</v>
      </c>
      <c r="D125" s="8" t="s">
        <v>325</v>
      </c>
      <c r="E125" s="17" t="s">
        <v>19</v>
      </c>
      <c r="F125" s="8"/>
      <c r="G125" s="8"/>
      <c r="H125" s="9" t="s">
        <v>61</v>
      </c>
      <c r="I125" s="9" t="s">
        <v>247</v>
      </c>
      <c r="J125" s="17" t="str">
        <f>_xlfn.IFNA(VLOOKUP(C125, '[2]Unique HS'!$B$4:$J$999, 9, FALSE), "No")</f>
        <v>No</v>
      </c>
      <c r="K125" s="18">
        <f>VLOOKUP(C125, '[1]India EXIM'!$B$6:$C$580, 2, FALSE)</f>
        <v>6.9915952182999994E-2</v>
      </c>
      <c r="L125" s="11">
        <f>VLOOKUP(C125, '[1]China EXIM'!$B$6:$D$580, 3, FALSE)</f>
        <v>1.2997481195439999</v>
      </c>
      <c r="M125" s="6"/>
      <c r="N125" s="6"/>
      <c r="O125" s="6"/>
      <c r="P125" s="10" t="s">
        <v>24</v>
      </c>
      <c r="Q125" s="9" t="s">
        <v>61</v>
      </c>
      <c r="U125" s="1" t="s">
        <v>25</v>
      </c>
    </row>
    <row r="126" spans="2:22" ht="27.95" hidden="1">
      <c r="B126" s="6" t="str">
        <f>VLOOKUP(C126, [1]Definition!$D$5:$K$5665, 8, FALSE)</f>
        <v>Capital Goods</v>
      </c>
      <c r="C126" s="7">
        <v>850151</v>
      </c>
      <c r="D126" s="8" t="s">
        <v>326</v>
      </c>
      <c r="E126" s="17" t="s">
        <v>27</v>
      </c>
      <c r="F126" s="8" t="s">
        <v>327</v>
      </c>
      <c r="G126" s="8" t="s">
        <v>328</v>
      </c>
      <c r="H126" s="9" t="s">
        <v>30</v>
      </c>
      <c r="I126" s="9" t="s">
        <v>31</v>
      </c>
      <c r="J126" s="17" t="str">
        <f>_xlfn.IFNA(VLOOKUP(C126, '[2]Unique HS'!$B$4:$J$999, 9, FALSE), "No")</f>
        <v>Yes</v>
      </c>
      <c r="K126" s="22">
        <f>VLOOKUP(C126, '[1]India EXIM'!$B$6:$C$580, 2, FALSE)</f>
        <v>6.8903465726999999E-2</v>
      </c>
      <c r="L126" s="11">
        <f>VLOOKUP(C126, '[1]China EXIM'!$B$6:$D$580, 3, FALSE)</f>
        <v>4.4159612465819995</v>
      </c>
      <c r="M126" s="9" t="s">
        <v>129</v>
      </c>
      <c r="N126" s="9"/>
      <c r="O126" s="6"/>
      <c r="P126" s="10" t="s">
        <v>24</v>
      </c>
      <c r="Q126" s="9" t="s">
        <v>30</v>
      </c>
      <c r="S126" s="1" t="s">
        <v>33</v>
      </c>
      <c r="U126" s="1" t="s">
        <v>34</v>
      </c>
    </row>
    <row r="127" spans="2:22" ht="27.95" hidden="1">
      <c r="B127" s="6" t="str">
        <f>VLOOKUP(C127, [1]Definition!$D$5:$K$5665, 8, FALSE)</f>
        <v>Capital Goods</v>
      </c>
      <c r="C127" s="7">
        <v>844400</v>
      </c>
      <c r="D127" s="8" t="s">
        <v>329</v>
      </c>
      <c r="E127" s="17" t="s">
        <v>19</v>
      </c>
      <c r="F127" s="8"/>
      <c r="G127" s="8"/>
      <c r="H127" s="9" t="s">
        <v>55</v>
      </c>
      <c r="I127" s="9" t="s">
        <v>56</v>
      </c>
      <c r="J127" s="17" t="str">
        <f>_xlfn.IFNA(VLOOKUP(C127, '[2]Unique HS'!$B$4:$J$999, 9, FALSE), "No")</f>
        <v>Yes</v>
      </c>
      <c r="K127" s="18">
        <f>VLOOKUP(C127, '[1]India EXIM'!$B$6:$C$580, 2, FALSE)</f>
        <v>6.7399447471000004E-2</v>
      </c>
      <c r="L127" s="11">
        <f>VLOOKUP(C127, '[1]China EXIM'!$B$6:$D$580, 3, FALSE)</f>
        <v>1.2616895306789999</v>
      </c>
      <c r="M127" s="6"/>
      <c r="N127" s="6"/>
      <c r="O127" s="6"/>
      <c r="P127" s="10" t="s">
        <v>24</v>
      </c>
      <c r="Q127" s="9" t="s">
        <v>55</v>
      </c>
      <c r="S127" s="1" t="s">
        <v>330</v>
      </c>
      <c r="U127" s="1" t="s">
        <v>34</v>
      </c>
    </row>
    <row r="128" spans="2:22" ht="56.1" hidden="1">
      <c r="B128" s="6" t="str">
        <f>VLOOKUP(C128, [1]Definition!$D$5:$K$5665, 8, FALSE)</f>
        <v>Capital Goods</v>
      </c>
      <c r="C128" s="7">
        <v>851419</v>
      </c>
      <c r="D128" s="8" t="s">
        <v>331</v>
      </c>
      <c r="E128" s="17" t="s">
        <v>19</v>
      </c>
      <c r="F128" s="8" t="s">
        <v>332</v>
      </c>
      <c r="G128" s="8" t="s">
        <v>333</v>
      </c>
      <c r="H128" s="9" t="s">
        <v>46</v>
      </c>
      <c r="I128" s="9" t="s">
        <v>334</v>
      </c>
      <c r="J128" s="17" t="str">
        <f>_xlfn.IFNA(VLOOKUP(C128, '[2]Unique HS'!$B$4:$J$999, 9, FALSE), "No")</f>
        <v>Yes</v>
      </c>
      <c r="K128" s="18">
        <f>VLOOKUP(C128, '[1]India EXIM'!$B$6:$C$580, 2, FALSE)</f>
        <v>6.5749910935999994E-2</v>
      </c>
      <c r="L128" s="11">
        <f>VLOOKUP(C128, '[1]China EXIM'!$B$6:$D$580, 3, FALSE)</f>
        <v>2.3050331592350002</v>
      </c>
      <c r="M128" s="6"/>
      <c r="N128" s="6"/>
      <c r="O128" s="6"/>
      <c r="P128" s="10" t="s">
        <v>24</v>
      </c>
      <c r="Q128" s="9" t="s">
        <v>46</v>
      </c>
      <c r="U128" s="1" t="s">
        <v>25</v>
      </c>
    </row>
    <row r="129" spans="2:26" ht="27.95" hidden="1">
      <c r="B129" s="6" t="str">
        <f>VLOOKUP(C129, [1]Definition!$D$5:$K$5665, 8, FALSE)</f>
        <v>Capital Goods</v>
      </c>
      <c r="C129" s="7">
        <v>846029</v>
      </c>
      <c r="D129" s="8" t="s">
        <v>335</v>
      </c>
      <c r="E129" s="17" t="s">
        <v>19</v>
      </c>
      <c r="F129" s="8"/>
      <c r="G129" s="8"/>
      <c r="H129" s="9" t="s">
        <v>65</v>
      </c>
      <c r="I129" s="9" t="s">
        <v>31</v>
      </c>
      <c r="J129" s="17" t="str">
        <f>_xlfn.IFNA(VLOOKUP(C129, '[2]Unique HS'!$B$4:$J$999, 9, FALSE), "No")</f>
        <v>Yes</v>
      </c>
      <c r="K129" s="18">
        <f>VLOOKUP(C129, '[1]India EXIM'!$B$6:$C$580, 2, FALSE)</f>
        <v>6.4426513156000009E-2</v>
      </c>
      <c r="L129" s="11">
        <f>VLOOKUP(C129, '[1]China EXIM'!$B$6:$D$580, 3, FALSE)</f>
        <v>0.24030239656600003</v>
      </c>
      <c r="M129" s="6"/>
      <c r="N129" s="6"/>
      <c r="O129" s="6"/>
      <c r="P129" s="10" t="s">
        <v>24</v>
      </c>
      <c r="Q129" s="9" t="s">
        <v>65</v>
      </c>
      <c r="U129" s="1" t="s">
        <v>25</v>
      </c>
    </row>
    <row r="130" spans="2:26" ht="27.95" hidden="1">
      <c r="B130" s="6" t="str">
        <f>VLOOKUP(C130, [1]Definition!$D$5:$K$5665, 8, FALSE)</f>
        <v>Capital Goods</v>
      </c>
      <c r="C130" s="7">
        <v>820750</v>
      </c>
      <c r="D130" s="8" t="s">
        <v>336</v>
      </c>
      <c r="E130" s="17" t="s">
        <v>19</v>
      </c>
      <c r="F130" s="8"/>
      <c r="G130" s="8"/>
      <c r="H130" s="9" t="s">
        <v>65</v>
      </c>
      <c r="I130" s="9" t="s">
        <v>337</v>
      </c>
      <c r="J130" s="17" t="str">
        <f>_xlfn.IFNA(VLOOKUP(C130, '[2]Unique HS'!$B$4:$J$999, 9, FALSE), "No")</f>
        <v>Yes</v>
      </c>
      <c r="K130" s="18">
        <f>VLOOKUP(C130, '[1]India EXIM'!$B$6:$C$580, 2, FALSE)</f>
        <v>6.3612462987999996E-2</v>
      </c>
      <c r="L130" s="11">
        <f>VLOOKUP(C130, '[1]China EXIM'!$B$6:$D$580, 3, FALSE)</f>
        <v>4.5378767303799998</v>
      </c>
      <c r="M130" s="6" t="s">
        <v>201</v>
      </c>
      <c r="N130" s="6"/>
      <c r="O130" s="6"/>
      <c r="P130" s="10" t="s">
        <v>24</v>
      </c>
      <c r="Q130" s="11" t="s">
        <v>202</v>
      </c>
      <c r="U130" s="1" t="s">
        <v>25</v>
      </c>
    </row>
    <row r="131" spans="2:26" ht="27.95" hidden="1">
      <c r="B131" s="6" t="str">
        <f>VLOOKUP(C131, [1]Definition!$D$5:$K$5665, 8, FALSE)</f>
        <v>Capital Goods</v>
      </c>
      <c r="C131" s="7">
        <v>844712</v>
      </c>
      <c r="D131" s="8" t="s">
        <v>338</v>
      </c>
      <c r="E131" s="17" t="s">
        <v>19</v>
      </c>
      <c r="F131" s="8"/>
      <c r="G131" s="8"/>
      <c r="H131" s="9" t="s">
        <v>55</v>
      </c>
      <c r="I131" s="9" t="s">
        <v>56</v>
      </c>
      <c r="J131" s="17" t="str">
        <f>_xlfn.IFNA(VLOOKUP(C131, '[2]Unique HS'!$B$4:$J$999, 9, FALSE), "No")</f>
        <v>No</v>
      </c>
      <c r="K131" s="18">
        <f>VLOOKUP(C131, '[1]India EXIM'!$B$6:$C$580, 2, FALSE)</f>
        <v>6.2082175198000002E-2</v>
      </c>
      <c r="L131" s="11">
        <f>VLOOKUP(C131, '[1]China EXIM'!$B$6:$D$580, 3, FALSE)</f>
        <v>0.54010465475800007</v>
      </c>
      <c r="M131" s="6"/>
      <c r="N131" s="6"/>
      <c r="O131" s="6"/>
      <c r="P131" s="10" t="s">
        <v>24</v>
      </c>
      <c r="Q131" s="9" t="s">
        <v>55</v>
      </c>
      <c r="U131" s="1" t="s">
        <v>25</v>
      </c>
    </row>
    <row r="132" spans="2:26" ht="27.95" hidden="1">
      <c r="B132" s="6" t="str">
        <f>VLOOKUP(C132, [1]Definition!$D$5:$K$5665, 8, FALSE)</f>
        <v>Capital Goods</v>
      </c>
      <c r="C132" s="7">
        <v>846023</v>
      </c>
      <c r="D132" s="8" t="s">
        <v>339</v>
      </c>
      <c r="E132" s="17" t="s">
        <v>19</v>
      </c>
      <c r="F132" s="8"/>
      <c r="G132" s="8"/>
      <c r="H132" s="9" t="s">
        <v>65</v>
      </c>
      <c r="I132" s="9" t="s">
        <v>31</v>
      </c>
      <c r="J132" s="17" t="str">
        <f>_xlfn.IFNA(VLOOKUP(C132, '[2]Unique HS'!$B$4:$J$999, 9, FALSE), "No")</f>
        <v>No</v>
      </c>
      <c r="K132" s="18">
        <f>VLOOKUP(C132, '[1]India EXIM'!$B$6:$C$580, 2, FALSE)</f>
        <v>6.1141555665E-2</v>
      </c>
      <c r="L132" s="11">
        <f>VLOOKUP(C132, '[1]China EXIM'!$B$6:$D$580, 3, FALSE)</f>
        <v>0.88233575990000002</v>
      </c>
      <c r="M132" s="6"/>
      <c r="N132" s="6"/>
      <c r="O132" s="6"/>
      <c r="P132" s="10" t="s">
        <v>24</v>
      </c>
      <c r="Q132" s="9" t="s">
        <v>65</v>
      </c>
      <c r="U132" s="1" t="s">
        <v>25</v>
      </c>
    </row>
    <row r="133" spans="2:26" ht="84">
      <c r="B133" s="6" t="str">
        <f>VLOOKUP(C133, [1]Definition!$D$5:$K$5665, 8, FALSE)</f>
        <v>Capital Goods</v>
      </c>
      <c r="C133" s="7">
        <v>901480</v>
      </c>
      <c r="D133" s="8" t="s">
        <v>340</v>
      </c>
      <c r="E133" s="17" t="s">
        <v>119</v>
      </c>
      <c r="F133" s="8" t="s">
        <v>341</v>
      </c>
      <c r="G133" s="8" t="s">
        <v>342</v>
      </c>
      <c r="H133" s="9" t="s">
        <v>166</v>
      </c>
      <c r="I133" s="9" t="s">
        <v>167</v>
      </c>
      <c r="J133" s="17" t="str">
        <f>_xlfn.IFNA(VLOOKUP(C133, '[2]Unique HS'!$B$4:$J$999, 9, FALSE), "No")</f>
        <v>Yes</v>
      </c>
      <c r="K133" s="18">
        <f>VLOOKUP(C133, '[1]India EXIM'!$B$6:$C$580, 2, FALSE)</f>
        <v>2.9226501497000002E-2</v>
      </c>
      <c r="L133" s="11">
        <f>VLOOKUP(C133, '[1]China EXIM'!$B$6:$D$580, 3, FALSE)</f>
        <v>2.1337567572720002</v>
      </c>
      <c r="M133" s="6"/>
      <c r="N133" s="6"/>
      <c r="O133" s="6"/>
      <c r="P133" s="10" t="s">
        <v>24</v>
      </c>
      <c r="Q133" s="11" t="s">
        <v>168</v>
      </c>
      <c r="U133" s="1" t="s">
        <v>34</v>
      </c>
      <c r="V133" s="1" t="s">
        <v>343</v>
      </c>
    </row>
    <row r="134" spans="2:26" ht="27.95" hidden="1">
      <c r="B134" s="6" t="str">
        <f>VLOOKUP(C134, [1]Definition!$D$5:$K$5665, 8, FALSE)</f>
        <v>Capital Goods</v>
      </c>
      <c r="C134" s="7">
        <v>847410</v>
      </c>
      <c r="D134" s="8" t="s">
        <v>344</v>
      </c>
      <c r="E134" s="17" t="s">
        <v>19</v>
      </c>
      <c r="F134" s="8"/>
      <c r="G134" s="8"/>
      <c r="H134" s="9" t="s">
        <v>58</v>
      </c>
      <c r="I134" s="9" t="s">
        <v>345</v>
      </c>
      <c r="J134" s="17" t="str">
        <f>_xlfn.IFNA(VLOOKUP(C134, '[2]Unique HS'!$B$4:$J$999, 9, FALSE), "No")</f>
        <v>No</v>
      </c>
      <c r="K134" s="18">
        <f>VLOOKUP(C134, '[1]India EXIM'!$B$6:$C$580, 2, FALSE)</f>
        <v>6.0248197957999995E-2</v>
      </c>
      <c r="L134" s="11">
        <f>VLOOKUP(C134, '[1]China EXIM'!$B$6:$D$580, 3, FALSE)</f>
        <v>3.0041832118249996</v>
      </c>
      <c r="M134" s="6"/>
      <c r="N134" s="6"/>
      <c r="O134" s="6"/>
      <c r="P134" s="10" t="s">
        <v>24</v>
      </c>
      <c r="Q134" s="9" t="s">
        <v>58</v>
      </c>
      <c r="U134" s="1" t="s">
        <v>34</v>
      </c>
      <c r="V134" s="1" t="s">
        <v>346</v>
      </c>
    </row>
    <row r="135" spans="2:26" ht="27.95" hidden="1">
      <c r="B135" s="6" t="str">
        <f>VLOOKUP(C135, [1]Definition!$D$5:$K$5665, 8, FALSE)</f>
        <v>Capital Goods</v>
      </c>
      <c r="C135" s="7">
        <v>846232</v>
      </c>
      <c r="D135" s="8" t="s">
        <v>347</v>
      </c>
      <c r="E135" s="17" t="s">
        <v>19</v>
      </c>
      <c r="F135" s="8"/>
      <c r="G135" s="8"/>
      <c r="H135" s="9" t="s">
        <v>65</v>
      </c>
      <c r="I135" s="9" t="s">
        <v>31</v>
      </c>
      <c r="J135" s="17" t="str">
        <f>_xlfn.IFNA(VLOOKUP(C135, '[2]Unique HS'!$B$4:$J$999, 9, FALSE), "No")</f>
        <v>No</v>
      </c>
      <c r="K135" s="18">
        <f>VLOOKUP(C135, '[1]India EXIM'!$B$6:$C$580, 2, FALSE)</f>
        <v>5.9477119214E-2</v>
      </c>
      <c r="L135" s="11">
        <f>VLOOKUP(C135, '[1]China EXIM'!$B$6:$D$580, 3, FALSE)</f>
        <v>0.30567196612899999</v>
      </c>
      <c r="M135" s="6"/>
      <c r="N135" s="6"/>
      <c r="O135" s="6"/>
      <c r="P135" s="10" t="s">
        <v>24</v>
      </c>
      <c r="Q135" s="9" t="s">
        <v>65</v>
      </c>
      <c r="U135" s="1" t="s">
        <v>25</v>
      </c>
    </row>
    <row r="136" spans="2:26" ht="27.95" hidden="1">
      <c r="B136" s="6" t="str">
        <f>VLOOKUP(C136, [1]Definition!$D$5:$K$5665, 8, FALSE)</f>
        <v>Capital Goods</v>
      </c>
      <c r="C136" s="7">
        <v>842820</v>
      </c>
      <c r="D136" s="8" t="s">
        <v>348</v>
      </c>
      <c r="E136" s="17" t="s">
        <v>19</v>
      </c>
      <c r="F136" s="8"/>
      <c r="G136" s="8"/>
      <c r="H136" s="9" t="s">
        <v>58</v>
      </c>
      <c r="I136" s="9" t="s">
        <v>31</v>
      </c>
      <c r="J136" s="17" t="str">
        <f>_xlfn.IFNA(VLOOKUP(C136, '[2]Unique HS'!$B$4:$J$999, 9, FALSE), "No")</f>
        <v>Yes</v>
      </c>
      <c r="K136" s="18">
        <f>VLOOKUP(C136, '[1]India EXIM'!$B$6:$C$580, 2, FALSE)</f>
        <v>5.9022702196000004E-2</v>
      </c>
      <c r="L136" s="11">
        <f>VLOOKUP(C136, '[1]China EXIM'!$B$6:$D$580, 3, FALSE)</f>
        <v>1.1935064308480001</v>
      </c>
      <c r="M136" s="9" t="s">
        <v>59</v>
      </c>
      <c r="N136" s="9"/>
      <c r="O136" s="6"/>
      <c r="P136" s="10" t="s">
        <v>24</v>
      </c>
      <c r="Q136" s="9" t="s">
        <v>58</v>
      </c>
      <c r="S136" s="1" t="s">
        <v>136</v>
      </c>
      <c r="U136" s="1" t="s">
        <v>34</v>
      </c>
      <c r="V136" s="1" t="s">
        <v>349</v>
      </c>
    </row>
    <row r="137" spans="2:26" ht="27.95" hidden="1">
      <c r="B137" s="6" t="str">
        <f>VLOOKUP(C137, [1]Definition!$D$5:$K$5665, 8, FALSE)</f>
        <v>Capital Goods</v>
      </c>
      <c r="C137" s="7">
        <v>843860</v>
      </c>
      <c r="D137" s="8" t="s">
        <v>350</v>
      </c>
      <c r="E137" s="17" t="s">
        <v>19</v>
      </c>
      <c r="F137" s="8"/>
      <c r="G137" s="8"/>
      <c r="H137" s="9" t="s">
        <v>61</v>
      </c>
      <c r="I137" s="9" t="s">
        <v>247</v>
      </c>
      <c r="J137" s="17" t="str">
        <f>_xlfn.IFNA(VLOOKUP(C137, '[2]Unique HS'!$B$4:$J$999, 9, FALSE), "No")</f>
        <v>No</v>
      </c>
      <c r="K137" s="18">
        <f>VLOOKUP(C137, '[1]India EXIM'!$B$6:$C$580, 2, FALSE)</f>
        <v>5.8244575617999998E-2</v>
      </c>
      <c r="L137" s="11">
        <f>VLOOKUP(C137, '[1]China EXIM'!$B$6:$D$580, 3, FALSE)</f>
        <v>0.87266431336900008</v>
      </c>
      <c r="M137" s="6"/>
      <c r="N137" s="6"/>
      <c r="O137" s="6"/>
      <c r="P137" s="10" t="s">
        <v>24</v>
      </c>
      <c r="Q137" s="9" t="s">
        <v>61</v>
      </c>
      <c r="S137" s="1" t="s">
        <v>33</v>
      </c>
      <c r="U137" s="1" t="s">
        <v>34</v>
      </c>
    </row>
    <row r="138" spans="2:26" ht="56.1" hidden="1">
      <c r="B138" s="6" t="str">
        <f>VLOOKUP(C138, [1]Definition!$D$5:$K$5665, 8, FALSE)</f>
        <v>Capital Goods</v>
      </c>
      <c r="C138" s="7">
        <v>847930</v>
      </c>
      <c r="D138" s="8" t="s">
        <v>351</v>
      </c>
      <c r="E138" s="17" t="s">
        <v>19</v>
      </c>
      <c r="F138" s="8"/>
      <c r="G138" s="8"/>
      <c r="H138" s="9" t="s">
        <v>55</v>
      </c>
      <c r="I138" s="9" t="s">
        <v>352</v>
      </c>
      <c r="J138" s="17" t="str">
        <f>_xlfn.IFNA(VLOOKUP(C138, '[2]Unique HS'!$B$4:$J$999, 9, FALSE), "No")</f>
        <v>No</v>
      </c>
      <c r="K138" s="18">
        <f>VLOOKUP(C138, '[1]India EXIM'!$B$6:$C$580, 2, FALSE)</f>
        <v>5.8048496534999994E-2</v>
      </c>
      <c r="L138" s="11">
        <f>VLOOKUP(C138, '[1]China EXIM'!$B$6:$D$580, 3, FALSE)</f>
        <v>1.1357126161089999</v>
      </c>
      <c r="M138" s="6"/>
      <c r="N138" s="6"/>
      <c r="O138" s="6"/>
      <c r="P138" s="10" t="s">
        <v>24</v>
      </c>
      <c r="Q138" s="9" t="s">
        <v>55</v>
      </c>
      <c r="S138" s="1" t="s">
        <v>33</v>
      </c>
      <c r="U138" s="1" t="s">
        <v>34</v>
      </c>
      <c r="Y138" s="1" t="s">
        <v>24</v>
      </c>
      <c r="Z138" s="1" t="s">
        <v>330</v>
      </c>
    </row>
    <row r="139" spans="2:26" ht="42" hidden="1">
      <c r="B139" s="6" t="str">
        <f>VLOOKUP(C139, [1]Definition!$D$5:$K$5665, 8, FALSE)</f>
        <v>Capital Goods</v>
      </c>
      <c r="C139" s="7">
        <v>903039</v>
      </c>
      <c r="D139" s="8" t="s">
        <v>353</v>
      </c>
      <c r="E139" s="17" t="s">
        <v>27</v>
      </c>
      <c r="F139" s="8" t="s">
        <v>223</v>
      </c>
      <c r="G139" s="8" t="s">
        <v>224</v>
      </c>
      <c r="H139" s="9" t="s">
        <v>30</v>
      </c>
      <c r="I139" s="9" t="s">
        <v>225</v>
      </c>
      <c r="J139" s="17" t="str">
        <f>_xlfn.IFNA(VLOOKUP(C139, '[2]Unique HS'!$B$4:$J$999, 9, FALSE), "No")</f>
        <v>Yes</v>
      </c>
      <c r="K139" s="22">
        <f>VLOOKUP(C139, '[1]India EXIM'!$B$6:$C$580, 2, FALSE)</f>
        <v>5.7736262207999996E-2</v>
      </c>
      <c r="L139" s="11">
        <f>VLOOKUP(C139, '[1]China EXIM'!$B$6:$D$580, 3, FALSE)</f>
        <v>2.0689643973859999</v>
      </c>
      <c r="M139" s="6"/>
      <c r="N139" s="6"/>
      <c r="O139" s="6"/>
      <c r="P139" s="10" t="s">
        <v>24</v>
      </c>
      <c r="Q139" s="9" t="s">
        <v>30</v>
      </c>
      <c r="S139" s="1" t="s">
        <v>43</v>
      </c>
      <c r="U139" s="1" t="s">
        <v>25</v>
      </c>
    </row>
    <row r="140" spans="2:26" hidden="1">
      <c r="B140" s="6" t="str">
        <f>VLOOKUP(C140, [1]Definition!$D$5:$K$5665, 8, FALSE)</f>
        <v>Capital Goods</v>
      </c>
      <c r="C140" s="7">
        <v>846261</v>
      </c>
      <c r="D140" s="8" t="s">
        <v>354</v>
      </c>
      <c r="E140" s="17" t="s">
        <v>19</v>
      </c>
      <c r="F140" s="8"/>
      <c r="G140" s="8"/>
      <c r="H140" s="9" t="s">
        <v>65</v>
      </c>
      <c r="I140" s="9" t="s">
        <v>31</v>
      </c>
      <c r="J140" s="17" t="str">
        <f>_xlfn.IFNA(VLOOKUP(C140, '[2]Unique HS'!$B$4:$J$999, 9, FALSE), "No")</f>
        <v>No</v>
      </c>
      <c r="K140" s="18">
        <f>VLOOKUP(C140, '[1]India EXIM'!$B$6:$C$580, 2, FALSE)</f>
        <v>5.7158041978999999E-2</v>
      </c>
      <c r="L140" s="11">
        <f>VLOOKUP(C140, '[1]China EXIM'!$B$6:$D$580, 3, FALSE)</f>
        <v>0.90908541508299989</v>
      </c>
      <c r="M140" s="6"/>
      <c r="N140" s="6"/>
      <c r="O140" s="6"/>
      <c r="P140" s="10" t="s">
        <v>24</v>
      </c>
      <c r="Q140" s="9" t="s">
        <v>65</v>
      </c>
      <c r="U140" s="1" t="s">
        <v>25</v>
      </c>
    </row>
    <row r="141" spans="2:26" ht="27.95" hidden="1">
      <c r="B141" s="6" t="str">
        <f>VLOOKUP(C141, [1]Definition!$D$5:$K$5665, 8, FALSE)</f>
        <v>Capital Goods</v>
      </c>
      <c r="C141" s="7">
        <v>845221</v>
      </c>
      <c r="D141" s="8" t="s">
        <v>355</v>
      </c>
      <c r="E141" s="17" t="s">
        <v>19</v>
      </c>
      <c r="F141" s="8"/>
      <c r="G141" s="8"/>
      <c r="H141" s="9" t="s">
        <v>55</v>
      </c>
      <c r="I141" s="9" t="s">
        <v>115</v>
      </c>
      <c r="J141" s="17" t="str">
        <f>_xlfn.IFNA(VLOOKUP(C141, '[2]Unique HS'!$B$4:$J$999, 9, FALSE), "No")</f>
        <v>No</v>
      </c>
      <c r="K141" s="18">
        <f>VLOOKUP(C141, '[1]India EXIM'!$B$6:$C$580, 2, FALSE)</f>
        <v>5.6406885624000001E-2</v>
      </c>
      <c r="L141" s="11">
        <f>VLOOKUP(C141, '[1]China EXIM'!$B$6:$D$580, 3, FALSE)</f>
        <v>1.2633477899349999</v>
      </c>
      <c r="M141" s="6"/>
      <c r="N141" s="6"/>
      <c r="O141" s="6"/>
      <c r="P141" s="10" t="s">
        <v>24</v>
      </c>
      <c r="Q141" s="9" t="s">
        <v>55</v>
      </c>
      <c r="U141" s="1" t="s">
        <v>25</v>
      </c>
    </row>
    <row r="142" spans="2:26" ht="27.95" hidden="1">
      <c r="B142" s="6" t="str">
        <f>VLOOKUP(C142, [1]Definition!$D$5:$K$5665, 8, FALSE)</f>
        <v>Capital Goods</v>
      </c>
      <c r="C142" s="7">
        <v>851680</v>
      </c>
      <c r="D142" s="8" t="s">
        <v>356</v>
      </c>
      <c r="E142" s="17" t="s">
        <v>27</v>
      </c>
      <c r="F142" s="8" t="s">
        <v>357</v>
      </c>
      <c r="G142" s="8" t="s">
        <v>358</v>
      </c>
      <c r="H142" s="9" t="s">
        <v>30</v>
      </c>
      <c r="I142" s="9" t="s">
        <v>38</v>
      </c>
      <c r="J142" s="17" t="str">
        <f>_xlfn.IFNA(VLOOKUP(C142, '[2]Unique HS'!$B$4:$J$999, 9, FALSE), "No")</f>
        <v>Yes</v>
      </c>
      <c r="K142" s="22">
        <f>VLOOKUP(C142, '[1]India EXIM'!$B$6:$C$580, 2, FALSE)</f>
        <v>5.6017180902000002E-2</v>
      </c>
      <c r="L142" s="11">
        <f>VLOOKUP(C142, '[1]China EXIM'!$B$6:$D$580, 3, FALSE)</f>
        <v>5.7814885885749998</v>
      </c>
      <c r="M142" s="6"/>
      <c r="N142" s="6"/>
      <c r="O142" s="6"/>
      <c r="P142" s="10" t="s">
        <v>24</v>
      </c>
      <c r="Q142" s="11" t="s">
        <v>30</v>
      </c>
      <c r="S142" s="1" t="s">
        <v>136</v>
      </c>
      <c r="U142" s="1" t="s">
        <v>34</v>
      </c>
    </row>
    <row r="143" spans="2:26" ht="27.95" hidden="1">
      <c r="B143" s="6" t="str">
        <f>VLOOKUP(C143, [1]Definition!$D$5:$K$5665, 8, FALSE)</f>
        <v>Capital Goods</v>
      </c>
      <c r="C143" s="7">
        <v>843031</v>
      </c>
      <c r="D143" s="8" t="s">
        <v>359</v>
      </c>
      <c r="E143" s="17" t="s">
        <v>19</v>
      </c>
      <c r="F143" s="8"/>
      <c r="G143" s="8"/>
      <c r="H143" s="9" t="s">
        <v>58</v>
      </c>
      <c r="I143" s="9" t="s">
        <v>31</v>
      </c>
      <c r="J143" s="17" t="str">
        <f>_xlfn.IFNA(VLOOKUP(C143, '[2]Unique HS'!$B$4:$J$999, 9, FALSE), "No")</f>
        <v>No</v>
      </c>
      <c r="K143" s="18">
        <f>VLOOKUP(C143, '[1]India EXIM'!$B$6:$C$580, 2, FALSE)</f>
        <v>5.4367920917999996E-2</v>
      </c>
      <c r="L143" s="11">
        <f>VLOOKUP(C143, '[1]China EXIM'!$B$6:$D$580, 3, FALSE)</f>
        <v>1.446285292707</v>
      </c>
      <c r="M143" s="9" t="s">
        <v>117</v>
      </c>
      <c r="N143" s="9"/>
      <c r="O143" s="6"/>
      <c r="P143" s="10" t="s">
        <v>24</v>
      </c>
      <c r="Q143" s="9" t="s">
        <v>58</v>
      </c>
      <c r="U143" s="1" t="s">
        <v>25</v>
      </c>
    </row>
    <row r="144" spans="2:26" ht="27.95" hidden="1">
      <c r="B144" s="6" t="str">
        <f>VLOOKUP(C144, [1]Definition!$D$5:$K$5665, 8, FALSE)</f>
        <v>Capital Goods</v>
      </c>
      <c r="C144" s="7">
        <v>843229</v>
      </c>
      <c r="D144" s="8" t="s">
        <v>360</v>
      </c>
      <c r="E144" s="17" t="s">
        <v>19</v>
      </c>
      <c r="F144" s="8"/>
      <c r="G144" s="8"/>
      <c r="H144" s="9" t="s">
        <v>58</v>
      </c>
      <c r="I144" s="9" t="s">
        <v>361</v>
      </c>
      <c r="J144" s="17" t="str">
        <f>_xlfn.IFNA(VLOOKUP(C144, '[2]Unique HS'!$B$4:$J$999, 9, FALSE), "No")</f>
        <v>Yes</v>
      </c>
      <c r="K144" s="18">
        <f>VLOOKUP(C144, '[1]India EXIM'!$B$6:$C$580, 2, FALSE)</f>
        <v>5.4329471673E-2</v>
      </c>
      <c r="L144" s="11">
        <f>VLOOKUP(C144, '[1]China EXIM'!$B$6:$D$580, 3, FALSE)</f>
        <v>1.7663218081800001</v>
      </c>
      <c r="M144" s="6" t="s">
        <v>160</v>
      </c>
      <c r="N144" s="6"/>
      <c r="O144" s="6"/>
      <c r="P144" s="10" t="s">
        <v>24</v>
      </c>
      <c r="Q144" s="9" t="s">
        <v>58</v>
      </c>
      <c r="S144" s="1" t="s">
        <v>362</v>
      </c>
      <c r="U144" s="1" t="s">
        <v>34</v>
      </c>
    </row>
    <row r="145" spans="2:22" ht="42" hidden="1">
      <c r="B145" s="6" t="str">
        <f>VLOOKUP(C145, [1]Definition!$D$5:$K$5665, 8, FALSE)</f>
        <v>Capital Goods</v>
      </c>
      <c r="C145" s="7">
        <v>901210</v>
      </c>
      <c r="D145" s="8" t="s">
        <v>363</v>
      </c>
      <c r="E145" s="17" t="s">
        <v>19</v>
      </c>
      <c r="F145" s="8"/>
      <c r="G145" s="8" t="s">
        <v>364</v>
      </c>
      <c r="H145" s="9" t="s">
        <v>166</v>
      </c>
      <c r="I145" s="9" t="s">
        <v>201</v>
      </c>
      <c r="J145" s="17" t="str">
        <f>_xlfn.IFNA(VLOOKUP(C145, '[2]Unique HS'!$B$4:$J$999, 9, FALSE), "No")</f>
        <v>Yes</v>
      </c>
      <c r="K145" s="18">
        <f>VLOOKUP(C145, '[1]India EXIM'!$B$6:$C$580, 2, FALSE)</f>
        <v>5.3982747435000006E-2</v>
      </c>
      <c r="L145" s="11">
        <f>VLOOKUP(C145, '[1]China EXIM'!$B$6:$D$580, 3, FALSE)</f>
        <v>2.9532414556840001</v>
      </c>
      <c r="M145" s="6"/>
      <c r="N145" s="6"/>
      <c r="O145" s="6"/>
      <c r="P145" s="10" t="s">
        <v>24</v>
      </c>
      <c r="Q145" s="11" t="s">
        <v>70</v>
      </c>
      <c r="U145" s="1" t="s">
        <v>25</v>
      </c>
    </row>
    <row r="146" spans="2:22" ht="27.95" hidden="1">
      <c r="B146" s="6" t="str">
        <f>VLOOKUP(C146, [1]Definition!$D$5:$K$5665, 8, FALSE)</f>
        <v>Capital Goods</v>
      </c>
      <c r="C146" s="7">
        <v>850423</v>
      </c>
      <c r="D146" s="8" t="s">
        <v>365</v>
      </c>
      <c r="E146" s="17" t="s">
        <v>205</v>
      </c>
      <c r="F146" s="8" t="s">
        <v>366</v>
      </c>
      <c r="G146" s="8" t="s">
        <v>367</v>
      </c>
      <c r="H146" s="9" t="s">
        <v>30</v>
      </c>
      <c r="I146" s="9" t="s">
        <v>31</v>
      </c>
      <c r="J146" s="17" t="str">
        <f>_xlfn.IFNA(VLOOKUP(C146, '[2]Unique HS'!$B$4:$J$999, 9, FALSE), "No")</f>
        <v>No</v>
      </c>
      <c r="K146" s="22">
        <f>VLOOKUP(C146, '[1]India EXIM'!$B$6:$C$580, 2, FALSE)</f>
        <v>5.3564331560999996E-2</v>
      </c>
      <c r="L146" s="11">
        <f>VLOOKUP(C146, '[1]China EXIM'!$B$6:$D$580, 3, FALSE)</f>
        <v>6.9821049336210006</v>
      </c>
      <c r="M146" s="6" t="s">
        <v>32</v>
      </c>
      <c r="N146" s="6"/>
      <c r="O146" s="6"/>
      <c r="P146" s="10" t="s">
        <v>24</v>
      </c>
      <c r="Q146" s="9" t="s">
        <v>30</v>
      </c>
      <c r="S146" s="1" t="s">
        <v>136</v>
      </c>
      <c r="U146" s="1" t="s">
        <v>137</v>
      </c>
    </row>
    <row r="147" spans="2:22" hidden="1">
      <c r="B147" s="6" t="str">
        <f>VLOOKUP(C147, [1]Definition!$D$5:$K$5665, 8, FALSE)</f>
        <v>Capital Goods</v>
      </c>
      <c r="C147" s="7">
        <v>844720</v>
      </c>
      <c r="D147" s="8" t="s">
        <v>368</v>
      </c>
      <c r="E147" s="17" t="s">
        <v>19</v>
      </c>
      <c r="F147" s="8"/>
      <c r="G147" s="8"/>
      <c r="H147" s="9" t="s">
        <v>55</v>
      </c>
      <c r="I147" s="9" t="s">
        <v>56</v>
      </c>
      <c r="J147" s="17" t="str">
        <f>_xlfn.IFNA(VLOOKUP(C147, '[2]Unique HS'!$B$4:$J$999, 9, FALSE), "No")</f>
        <v>No</v>
      </c>
      <c r="K147" s="18">
        <f>VLOOKUP(C147, '[1]India EXIM'!$B$6:$C$580, 2, FALSE)</f>
        <v>5.3188586038000002E-2</v>
      </c>
      <c r="L147" s="11">
        <f>VLOOKUP(C147, '[1]China EXIM'!$B$6:$D$580, 3, FALSE)</f>
        <v>0.66717570651799996</v>
      </c>
      <c r="M147" s="6"/>
      <c r="N147" s="6"/>
      <c r="O147" s="6"/>
      <c r="P147" s="10" t="s">
        <v>24</v>
      </c>
      <c r="Q147" s="9" t="s">
        <v>55</v>
      </c>
      <c r="U147" s="1" t="s">
        <v>25</v>
      </c>
    </row>
    <row r="148" spans="2:22" ht="27.95" hidden="1">
      <c r="B148" s="6" t="str">
        <f>VLOOKUP(C148, [1]Definition!$D$5:$K$5665, 8, FALSE)</f>
        <v>Capital Goods</v>
      </c>
      <c r="C148" s="7">
        <v>846211</v>
      </c>
      <c r="D148" s="8" t="s">
        <v>369</v>
      </c>
      <c r="E148" s="17" t="s">
        <v>19</v>
      </c>
      <c r="F148" s="8"/>
      <c r="G148" s="8"/>
      <c r="H148" s="9" t="s">
        <v>65</v>
      </c>
      <c r="I148" s="9" t="s">
        <v>31</v>
      </c>
      <c r="J148" s="17" t="str">
        <f>_xlfn.IFNA(VLOOKUP(C148, '[2]Unique HS'!$B$4:$J$999, 9, FALSE), "No")</f>
        <v>No</v>
      </c>
      <c r="K148" s="18">
        <f>VLOOKUP(C148, '[1]India EXIM'!$B$6:$C$580, 2, FALSE)</f>
        <v>5.2360012625999999E-2</v>
      </c>
      <c r="L148" s="11">
        <f>VLOOKUP(C148, '[1]China EXIM'!$B$6:$D$580, 3, FALSE)</f>
        <v>0.49246440537399999</v>
      </c>
      <c r="M148" s="6"/>
      <c r="N148" s="6"/>
      <c r="O148" s="6"/>
      <c r="P148" s="10" t="s">
        <v>24</v>
      </c>
      <c r="Q148" s="9" t="s">
        <v>65</v>
      </c>
      <c r="S148" s="1" t="s">
        <v>33</v>
      </c>
      <c r="U148" s="1" t="s">
        <v>34</v>
      </c>
    </row>
    <row r="149" spans="2:22" ht="42" hidden="1">
      <c r="B149" s="6" t="str">
        <f>VLOOKUP(C149, [1]Definition!$D$5:$K$5665, 8, FALSE)</f>
        <v>Capital Goods</v>
      </c>
      <c r="C149" s="7">
        <v>820719</v>
      </c>
      <c r="D149" s="8" t="s">
        <v>370</v>
      </c>
      <c r="E149" s="17" t="s">
        <v>19</v>
      </c>
      <c r="F149" s="8"/>
      <c r="G149" s="8"/>
      <c r="H149" s="9" t="s">
        <v>58</v>
      </c>
      <c r="I149" s="9" t="s">
        <v>371</v>
      </c>
      <c r="J149" s="17" t="str">
        <f>_xlfn.IFNA(VLOOKUP(C149, '[2]Unique HS'!$B$4:$J$999, 9, FALSE), "No")</f>
        <v>Yes</v>
      </c>
      <c r="K149" s="18">
        <f>VLOOKUP(C149, '[1]India EXIM'!$B$6:$C$580, 2, FALSE)</f>
        <v>5.2342381148999993E-2</v>
      </c>
      <c r="L149" s="11">
        <f>VLOOKUP(C149, '[1]China EXIM'!$B$6:$D$580, 3, FALSE)</f>
        <v>2.5324541482080001</v>
      </c>
      <c r="M149" s="6" t="s">
        <v>201</v>
      </c>
      <c r="N149" s="6"/>
      <c r="O149" s="6" t="s">
        <v>201</v>
      </c>
      <c r="P149" s="10" t="s">
        <v>24</v>
      </c>
      <c r="Q149" s="9" t="s">
        <v>58</v>
      </c>
      <c r="S149" s="1" t="s">
        <v>33</v>
      </c>
      <c r="U149" s="1" t="s">
        <v>34</v>
      </c>
    </row>
    <row r="150" spans="2:22" ht="27.95" hidden="1">
      <c r="B150" s="6" t="str">
        <f>VLOOKUP(C150, [1]Definition!$D$5:$K$5665, 8, FALSE)</f>
        <v>Capital Goods</v>
      </c>
      <c r="C150" s="7">
        <v>846721</v>
      </c>
      <c r="D150" s="8" t="s">
        <v>372</v>
      </c>
      <c r="E150" s="17" t="s">
        <v>19</v>
      </c>
      <c r="F150" s="8"/>
      <c r="G150" s="8"/>
      <c r="H150" s="9" t="s">
        <v>65</v>
      </c>
      <c r="I150" s="9" t="s">
        <v>31</v>
      </c>
      <c r="J150" s="17" t="str">
        <f>_xlfn.IFNA(VLOOKUP(C150, '[2]Unique HS'!$B$4:$J$999, 9, FALSE), "No")</f>
        <v>Yes</v>
      </c>
      <c r="K150" s="18">
        <f>VLOOKUP(C150, '[1]India EXIM'!$B$6:$C$580, 2, FALSE)</f>
        <v>5.1904876715000006E-2</v>
      </c>
      <c r="L150" s="11">
        <f>VLOOKUP(C150, '[1]China EXIM'!$B$6:$D$580, 3, FALSE)</f>
        <v>4.5133868513050004</v>
      </c>
      <c r="M150" s="6"/>
      <c r="N150" s="6"/>
      <c r="O150" s="6"/>
      <c r="P150" s="10" t="s">
        <v>24</v>
      </c>
      <c r="Q150" s="9" t="s">
        <v>65</v>
      </c>
      <c r="U150" s="1" t="s">
        <v>25</v>
      </c>
    </row>
    <row r="151" spans="2:22" ht="42" hidden="1">
      <c r="B151" s="6" t="str">
        <f>VLOOKUP(C151, [1]Definition!$D$5:$K$5665, 8, FALSE)</f>
        <v>Capital Goods</v>
      </c>
      <c r="C151" s="7">
        <v>902519</v>
      </c>
      <c r="D151" s="8" t="s">
        <v>373</v>
      </c>
      <c r="E151" s="17" t="s">
        <v>19</v>
      </c>
      <c r="F151" s="8" t="s">
        <v>374</v>
      </c>
      <c r="G151" s="8" t="s">
        <v>375</v>
      </c>
      <c r="H151" s="9" t="s">
        <v>22</v>
      </c>
      <c r="I151" s="9" t="s">
        <v>140</v>
      </c>
      <c r="J151" s="17" t="str">
        <f>_xlfn.IFNA(VLOOKUP(C151, '[2]Unique HS'!$B$4:$J$999, 9, FALSE), "No")</f>
        <v>Yes</v>
      </c>
      <c r="K151" s="18">
        <f>VLOOKUP(C151, '[1]India EXIM'!$B$6:$C$580, 2, FALSE)</f>
        <v>5.1629673769000003E-2</v>
      </c>
      <c r="L151" s="11">
        <f>VLOOKUP(C151, '[1]China EXIM'!$B$6:$D$580, 3, FALSE)</f>
        <v>4.5547169279809996</v>
      </c>
      <c r="M151" s="6"/>
      <c r="N151" s="6"/>
      <c r="O151" s="6"/>
      <c r="P151" s="10" t="s">
        <v>24</v>
      </c>
      <c r="Q151" s="9" t="s">
        <v>70</v>
      </c>
      <c r="U151" s="1" t="s">
        <v>25</v>
      </c>
    </row>
    <row r="152" spans="2:22" ht="27.95" hidden="1">
      <c r="B152" s="6" t="str">
        <f>VLOOKUP(C152, [1]Definition!$D$5:$K$5665, 8, FALSE)</f>
        <v>Capital Goods</v>
      </c>
      <c r="C152" s="7">
        <v>820770</v>
      </c>
      <c r="D152" s="8" t="s">
        <v>376</v>
      </c>
      <c r="E152" s="17" t="s">
        <v>19</v>
      </c>
      <c r="F152" s="8"/>
      <c r="G152" s="8"/>
      <c r="H152" s="9" t="s">
        <v>65</v>
      </c>
      <c r="I152" s="9" t="s">
        <v>377</v>
      </c>
      <c r="J152" s="17" t="str">
        <f>_xlfn.IFNA(VLOOKUP(C152, '[2]Unique HS'!$B$4:$J$999, 9, FALSE), "No")</f>
        <v>Yes</v>
      </c>
      <c r="K152" s="18">
        <f>VLOOKUP(C152, '[1]India EXIM'!$B$6:$C$580, 2, FALSE)</f>
        <v>5.1586156726999996E-2</v>
      </c>
      <c r="L152" s="11">
        <f>VLOOKUP(C152, '[1]China EXIM'!$B$6:$D$580, 3, FALSE)</f>
        <v>2.8063868964530001</v>
      </c>
      <c r="M152" s="6" t="s">
        <v>201</v>
      </c>
      <c r="N152" s="6"/>
      <c r="O152" s="6"/>
      <c r="P152" s="10" t="s">
        <v>24</v>
      </c>
      <c r="Q152" s="11" t="s">
        <v>202</v>
      </c>
      <c r="U152" s="1" t="s">
        <v>25</v>
      </c>
      <c r="V152" s="1" t="s">
        <v>378</v>
      </c>
    </row>
    <row r="153" spans="2:22" ht="27.95" hidden="1">
      <c r="B153" s="6" t="str">
        <f>VLOOKUP(C153, [1]Definition!$D$5:$K$5665, 8, FALSE)</f>
        <v>Capital Goods</v>
      </c>
      <c r="C153" s="7">
        <v>903210</v>
      </c>
      <c r="D153" s="8" t="s">
        <v>379</v>
      </c>
      <c r="E153" s="17" t="s">
        <v>27</v>
      </c>
      <c r="F153" s="8" t="s">
        <v>380</v>
      </c>
      <c r="G153" s="8" t="s">
        <v>381</v>
      </c>
      <c r="H153" s="9" t="s">
        <v>30</v>
      </c>
      <c r="I153" s="9" t="s">
        <v>42</v>
      </c>
      <c r="J153" s="17" t="str">
        <f>_xlfn.IFNA(VLOOKUP(C153, '[2]Unique HS'!$B$4:$J$999, 9, FALSE), "No")</f>
        <v>Yes</v>
      </c>
      <c r="K153" s="22">
        <f>VLOOKUP(C153, '[1]India EXIM'!$B$6:$C$580, 2, FALSE)</f>
        <v>5.0876872901E-2</v>
      </c>
      <c r="L153" s="11">
        <f>VLOOKUP(C153, '[1]China EXIM'!$B$6:$D$580, 3, FALSE)</f>
        <v>4.7264740327229999</v>
      </c>
      <c r="M153" s="6"/>
      <c r="N153" s="6"/>
      <c r="O153" s="6"/>
      <c r="P153" s="10" t="s">
        <v>24</v>
      </c>
      <c r="Q153" s="9" t="s">
        <v>30</v>
      </c>
      <c r="S153" s="1" t="s">
        <v>25</v>
      </c>
      <c r="U153" s="1" t="s">
        <v>25</v>
      </c>
    </row>
    <row r="154" spans="2:22" hidden="1">
      <c r="B154" s="6" t="str">
        <f>VLOOKUP(C154, [1]Definition!$D$5:$K$5665, 8, FALSE)</f>
        <v>Capital Goods</v>
      </c>
      <c r="C154" s="7">
        <v>845140</v>
      </c>
      <c r="D154" s="8" t="s">
        <v>382</v>
      </c>
      <c r="E154" s="17" t="s">
        <v>19</v>
      </c>
      <c r="F154" s="8"/>
      <c r="G154" s="8"/>
      <c r="H154" s="9" t="s">
        <v>55</v>
      </c>
      <c r="I154" s="9" t="s">
        <v>234</v>
      </c>
      <c r="J154" s="17" t="str">
        <f>_xlfn.IFNA(VLOOKUP(C154, '[2]Unique HS'!$B$4:$J$999, 9, FALSE), "No")</f>
        <v>No</v>
      </c>
      <c r="K154" s="18">
        <f>VLOOKUP(C154, '[1]India EXIM'!$B$6:$C$580, 2, FALSE)</f>
        <v>5.0547174006999998E-2</v>
      </c>
      <c r="L154" s="11">
        <f>VLOOKUP(C154, '[1]China EXIM'!$B$6:$D$580, 3, FALSE)</f>
        <v>0.66580091346000003</v>
      </c>
      <c r="M154" s="6"/>
      <c r="N154" s="6"/>
      <c r="O154" s="6"/>
      <c r="P154" s="10" t="s">
        <v>24</v>
      </c>
      <c r="Q154" s="9" t="s">
        <v>55</v>
      </c>
      <c r="U154" s="1" t="s">
        <v>25</v>
      </c>
    </row>
    <row r="155" spans="2:22" ht="42" hidden="1">
      <c r="B155" s="6" t="str">
        <f>VLOOKUP(C155, [1]Definition!$D$5:$K$5665, 8, FALSE)</f>
        <v>Capital Goods</v>
      </c>
      <c r="C155" s="7">
        <v>854330</v>
      </c>
      <c r="D155" s="8" t="s">
        <v>383</v>
      </c>
      <c r="E155" s="17" t="s">
        <v>19</v>
      </c>
      <c r="F155" s="8" t="s">
        <v>384</v>
      </c>
      <c r="G155" s="8" t="s">
        <v>385</v>
      </c>
      <c r="H155" s="9" t="s">
        <v>46</v>
      </c>
      <c r="I155" s="9" t="s">
        <v>386</v>
      </c>
      <c r="J155" s="17" t="str">
        <f>_xlfn.IFNA(VLOOKUP(C155, '[2]Unique HS'!$B$4:$J$999, 9, FALSE), "No")</f>
        <v>Yes</v>
      </c>
      <c r="K155" s="18">
        <f>VLOOKUP(C155, '[1]India EXIM'!$B$6:$C$580, 2, FALSE)</f>
        <v>4.8769632310999997E-2</v>
      </c>
      <c r="L155" s="11">
        <f>VLOOKUP(C155, '[1]China EXIM'!$B$6:$D$580, 3, FALSE)</f>
        <v>1.5600557511440001</v>
      </c>
      <c r="M155" s="6"/>
      <c r="N155" s="6"/>
      <c r="O155" s="6"/>
      <c r="P155" s="10" t="s">
        <v>24</v>
      </c>
      <c r="Q155" s="9" t="s">
        <v>46</v>
      </c>
      <c r="U155" s="1" t="s">
        <v>25</v>
      </c>
    </row>
    <row r="156" spans="2:22" ht="42" hidden="1">
      <c r="B156" s="6" t="str">
        <f>VLOOKUP(C156, [1]Definition!$D$5:$K$5665, 8, FALSE)</f>
        <v>Capital Goods</v>
      </c>
      <c r="C156" s="7">
        <v>853080</v>
      </c>
      <c r="D156" s="8" t="s">
        <v>387</v>
      </c>
      <c r="E156" s="17" t="s">
        <v>27</v>
      </c>
      <c r="F156" s="8" t="s">
        <v>388</v>
      </c>
      <c r="G156" s="8"/>
      <c r="H156" s="9" t="s">
        <v>166</v>
      </c>
      <c r="I156" s="9" t="s">
        <v>201</v>
      </c>
      <c r="J156" s="17" t="str">
        <f>_xlfn.IFNA(VLOOKUP(C156, '[2]Unique HS'!$B$4:$J$999, 9, FALSE), "No")</f>
        <v>No</v>
      </c>
      <c r="K156" s="22">
        <f>VLOOKUP(C156, '[1]India EXIM'!$B$6:$C$580, 2, FALSE)</f>
        <v>4.7108055052000004E-2</v>
      </c>
      <c r="L156" s="11">
        <f>VLOOKUP(C156, '[1]China EXIM'!$B$6:$D$580, 3, FALSE)</f>
        <v>1.1502503842409999</v>
      </c>
      <c r="M156" s="6" t="s">
        <v>389</v>
      </c>
      <c r="N156" s="6"/>
      <c r="O156" s="6"/>
      <c r="P156" s="10" t="s">
        <v>24</v>
      </c>
      <c r="Q156" s="11" t="s">
        <v>390</v>
      </c>
      <c r="U156" s="1" t="s">
        <v>25</v>
      </c>
    </row>
    <row r="157" spans="2:22" ht="42" hidden="1">
      <c r="B157" s="6" t="str">
        <f>VLOOKUP(C157, [1]Definition!$D$5:$K$5665, 8, FALSE)</f>
        <v>Capital Goods</v>
      </c>
      <c r="C157" s="7">
        <v>844900</v>
      </c>
      <c r="D157" s="8" t="s">
        <v>391</v>
      </c>
      <c r="E157" s="17" t="s">
        <v>19</v>
      </c>
      <c r="F157" s="8"/>
      <c r="G157" s="8"/>
      <c r="H157" s="9" t="s">
        <v>55</v>
      </c>
      <c r="I157" s="9" t="s">
        <v>56</v>
      </c>
      <c r="J157" s="17" t="str">
        <f>_xlfn.IFNA(VLOOKUP(C157, '[2]Unique HS'!$B$4:$J$999, 9, FALSE), "No")</f>
        <v>Yes</v>
      </c>
      <c r="K157" s="18">
        <f>VLOOKUP(C157, '[1]India EXIM'!$B$6:$C$580, 2, FALSE)</f>
        <v>4.6792241805000002E-2</v>
      </c>
      <c r="L157" s="11">
        <f>VLOOKUP(C157, '[1]China EXIM'!$B$6:$D$580, 3, FALSE)</f>
        <v>0.70994372708099995</v>
      </c>
      <c r="M157" s="6"/>
      <c r="N157" s="6"/>
      <c r="O157" s="6"/>
      <c r="P157" s="10" t="s">
        <v>24</v>
      </c>
      <c r="Q157" s="9" t="s">
        <v>55</v>
      </c>
      <c r="U157" s="1" t="s">
        <v>25</v>
      </c>
      <c r="V157" s="1" t="s">
        <v>349</v>
      </c>
    </row>
    <row r="158" spans="2:22" ht="56.1" hidden="1">
      <c r="B158" s="6" t="str">
        <f>VLOOKUP(C158, [1]Definition!$D$5:$K$5665, 8, FALSE)</f>
        <v>Capital Goods</v>
      </c>
      <c r="C158" s="7">
        <v>903020</v>
      </c>
      <c r="D158" s="8" t="s">
        <v>392</v>
      </c>
      <c r="E158" s="17" t="s">
        <v>19</v>
      </c>
      <c r="F158" s="8" t="s">
        <v>393</v>
      </c>
      <c r="G158" s="8" t="s">
        <v>394</v>
      </c>
      <c r="H158" s="9" t="s">
        <v>46</v>
      </c>
      <c r="I158" s="9" t="s">
        <v>395</v>
      </c>
      <c r="J158" s="17" t="str">
        <f>_xlfn.IFNA(VLOOKUP(C158, '[2]Unique HS'!$B$4:$J$999, 9, FALSE), "No")</f>
        <v>Yes</v>
      </c>
      <c r="K158" s="18">
        <f>VLOOKUP(C158, '[1]India EXIM'!$B$6:$C$580, 2, FALSE)</f>
        <v>4.6768788597999995E-2</v>
      </c>
      <c r="L158" s="11">
        <f>VLOOKUP(C158, '[1]China EXIM'!$B$6:$D$580, 3, FALSE)</f>
        <v>1.0498585999249999</v>
      </c>
      <c r="M158" s="6"/>
      <c r="N158" s="6"/>
      <c r="O158" s="6"/>
      <c r="P158" s="10" t="s">
        <v>24</v>
      </c>
      <c r="Q158" s="9" t="s">
        <v>46</v>
      </c>
      <c r="U158" s="1" t="s">
        <v>25</v>
      </c>
    </row>
    <row r="159" spans="2:22" ht="42">
      <c r="B159" s="6" t="str">
        <f>VLOOKUP(C159, [1]Definition!$D$5:$K$5665, 8, FALSE)</f>
        <v>Capital Goods</v>
      </c>
      <c r="C159" s="7">
        <v>843239</v>
      </c>
      <c r="D159" s="8" t="s">
        <v>396</v>
      </c>
      <c r="E159" s="17" t="s">
        <v>119</v>
      </c>
      <c r="F159" s="8" t="s">
        <v>397</v>
      </c>
      <c r="G159" s="8" t="s">
        <v>398</v>
      </c>
      <c r="H159" s="9" t="s">
        <v>22</v>
      </c>
      <c r="I159" s="9" t="s">
        <v>38</v>
      </c>
      <c r="J159" s="17" t="str">
        <f>_xlfn.IFNA(VLOOKUP(C159, '[2]Unique HS'!$B$4:$J$999, 9, FALSE), "No")</f>
        <v>No</v>
      </c>
      <c r="K159" s="18">
        <f>VLOOKUP(C159, '[1]India EXIM'!$B$6:$C$580, 2, FALSE)</f>
        <v>6.2746932889999997E-3</v>
      </c>
      <c r="L159" s="11">
        <f>VLOOKUP(C159, '[1]China EXIM'!$B$6:$D$580, 3, FALSE)</f>
        <v>1.651706697566</v>
      </c>
      <c r="M159" s="6" t="s">
        <v>160</v>
      </c>
      <c r="N159" s="6"/>
      <c r="O159" s="6"/>
      <c r="P159" s="10" t="s">
        <v>24</v>
      </c>
      <c r="Q159" s="11" t="s">
        <v>161</v>
      </c>
    </row>
    <row r="160" spans="2:22" hidden="1">
      <c r="B160" s="6" t="str">
        <f>VLOOKUP(C160, [1]Definition!$D$5:$K$5665, 8, FALSE)</f>
        <v>Capital Goods</v>
      </c>
      <c r="C160" s="7">
        <v>851850</v>
      </c>
      <c r="D160" s="8" t="s">
        <v>399</v>
      </c>
      <c r="E160" s="17" t="s">
        <v>27</v>
      </c>
      <c r="F160" s="8"/>
      <c r="G160" s="8"/>
      <c r="H160" s="9" t="s">
        <v>166</v>
      </c>
      <c r="I160" s="9" t="s">
        <v>201</v>
      </c>
      <c r="J160" s="17" t="str">
        <f>_xlfn.IFNA(VLOOKUP(C160, '[2]Unique HS'!$B$4:$J$999, 9, FALSE), "No")</f>
        <v>No</v>
      </c>
      <c r="K160" s="22">
        <f>VLOOKUP(C160, '[1]India EXIM'!$B$6:$C$580, 2, FALSE)</f>
        <v>4.6720521869000005E-2</v>
      </c>
      <c r="L160" s="11">
        <f>VLOOKUP(C160, '[1]China EXIM'!$B$6:$D$580, 3, FALSE)</f>
        <v>1.240999750217</v>
      </c>
      <c r="M160" s="6" t="s">
        <v>400</v>
      </c>
      <c r="N160" s="6"/>
      <c r="O160" s="6"/>
      <c r="P160" s="10" t="s">
        <v>24</v>
      </c>
      <c r="Q160" s="11" t="s">
        <v>390</v>
      </c>
      <c r="U160" s="1" t="s">
        <v>25</v>
      </c>
      <c r="V160" s="1" t="s">
        <v>401</v>
      </c>
    </row>
    <row r="161" spans="2:22" ht="27.95" hidden="1">
      <c r="B161" s="6" t="str">
        <f>VLOOKUP(C161, [1]Definition!$D$5:$K$5665, 8, FALSE)</f>
        <v>Capital Goods</v>
      </c>
      <c r="C161" s="7">
        <v>845891</v>
      </c>
      <c r="D161" s="8" t="s">
        <v>402</v>
      </c>
      <c r="E161" s="17" t="s">
        <v>19</v>
      </c>
      <c r="F161" s="8"/>
      <c r="G161" s="8"/>
      <c r="H161" s="9" t="s">
        <v>65</v>
      </c>
      <c r="I161" s="9" t="s">
        <v>174</v>
      </c>
      <c r="J161" s="17" t="str">
        <f>_xlfn.IFNA(VLOOKUP(C161, '[2]Unique HS'!$B$4:$J$999, 9, FALSE), "No")</f>
        <v>No</v>
      </c>
      <c r="K161" s="18">
        <f>VLOOKUP(C161, '[1]India EXIM'!$B$6:$C$580, 2, FALSE)</f>
        <v>4.6412194479999995E-2</v>
      </c>
      <c r="L161" s="11">
        <f>VLOOKUP(C161, '[1]China EXIM'!$B$6:$D$580, 3, FALSE)</f>
        <v>1.2016319750269999</v>
      </c>
      <c r="M161" s="6"/>
      <c r="N161" s="6"/>
      <c r="O161" s="6"/>
      <c r="P161" s="10" t="s">
        <v>24</v>
      </c>
      <c r="Q161" s="9" t="s">
        <v>65</v>
      </c>
      <c r="U161" s="1" t="s">
        <v>25</v>
      </c>
    </row>
    <row r="162" spans="2:22" ht="27.95" hidden="1">
      <c r="B162" s="6" t="str">
        <f>VLOOKUP(C162, [1]Definition!$D$5:$K$5665, 8, FALSE)</f>
        <v>Capital Goods</v>
      </c>
      <c r="C162" s="7">
        <v>844316</v>
      </c>
      <c r="D162" s="8" t="s">
        <v>403</v>
      </c>
      <c r="E162" s="17" t="s">
        <v>19</v>
      </c>
      <c r="F162" s="8"/>
      <c r="G162" s="8"/>
      <c r="H162" s="9" t="s">
        <v>180</v>
      </c>
      <c r="I162" s="9" t="s">
        <v>181</v>
      </c>
      <c r="J162" s="17" t="str">
        <f>_xlfn.IFNA(VLOOKUP(C162, '[2]Unique HS'!$B$4:$J$999, 9, FALSE), "No")</f>
        <v>No</v>
      </c>
      <c r="K162" s="18">
        <f>VLOOKUP(C162, '[1]India EXIM'!$B$6:$C$580, 2, FALSE)</f>
        <v>4.6407118471E-2</v>
      </c>
      <c r="L162" s="11">
        <f>VLOOKUP(C162, '[1]China EXIM'!$B$6:$D$580, 3, FALSE)</f>
        <v>1.3058100167160001</v>
      </c>
      <c r="M162" s="6"/>
      <c r="N162" s="6"/>
      <c r="O162" s="6"/>
      <c r="P162" s="10" t="s">
        <v>24</v>
      </c>
      <c r="Q162" s="11" t="s">
        <v>182</v>
      </c>
      <c r="S162" s="1" t="s">
        <v>25</v>
      </c>
      <c r="U162" s="1" t="s">
        <v>25</v>
      </c>
    </row>
    <row r="163" spans="2:22" ht="42" hidden="1">
      <c r="B163" s="6" t="str">
        <f>VLOOKUP(C163, [1]Definition!$D$5:$K$5665, 8, FALSE)</f>
        <v>Capital Goods</v>
      </c>
      <c r="C163" s="7">
        <v>850120</v>
      </c>
      <c r="D163" s="8" t="s">
        <v>404</v>
      </c>
      <c r="E163" s="17" t="s">
        <v>27</v>
      </c>
      <c r="F163" s="8" t="s">
        <v>405</v>
      </c>
      <c r="G163" s="8" t="s">
        <v>406</v>
      </c>
      <c r="H163" s="9" t="s">
        <v>30</v>
      </c>
      <c r="I163" s="9" t="s">
        <v>407</v>
      </c>
      <c r="J163" s="17" t="str">
        <f>_xlfn.IFNA(VLOOKUP(C163, '[2]Unique HS'!$B$4:$J$999, 9, FALSE), "No")</f>
        <v>Yes</v>
      </c>
      <c r="K163" s="22">
        <f>VLOOKUP(C163, '[1]India EXIM'!$B$6:$C$580, 2, FALSE)</f>
        <v>4.5927919101000005E-2</v>
      </c>
      <c r="L163" s="11">
        <f>VLOOKUP(C163, '[1]China EXIM'!$B$6:$D$580, 3, FALSE)</f>
        <v>0.96974949074299999</v>
      </c>
      <c r="M163" s="9" t="s">
        <v>129</v>
      </c>
      <c r="N163" s="9"/>
      <c r="O163" s="6"/>
      <c r="P163" s="10" t="s">
        <v>24</v>
      </c>
      <c r="Q163" s="9" t="s">
        <v>30</v>
      </c>
      <c r="S163" s="1" t="s">
        <v>33</v>
      </c>
      <c r="U163" s="1" t="s">
        <v>34</v>
      </c>
    </row>
    <row r="164" spans="2:22" ht="42" hidden="1">
      <c r="B164" s="6" t="str">
        <f>VLOOKUP(C164, [1]Definition!$D$5:$K$5665, 8, FALSE)</f>
        <v>Capital Goods</v>
      </c>
      <c r="C164" s="7">
        <v>851440</v>
      </c>
      <c r="D164" s="8" t="s">
        <v>408</v>
      </c>
      <c r="E164" s="17" t="s">
        <v>19</v>
      </c>
      <c r="F164" s="8" t="s">
        <v>409</v>
      </c>
      <c r="G164" s="8" t="s">
        <v>410</v>
      </c>
      <c r="H164" s="9" t="s">
        <v>22</v>
      </c>
      <c r="I164" s="9" t="s">
        <v>38</v>
      </c>
      <c r="J164" s="17" t="str">
        <f>_xlfn.IFNA(VLOOKUP(C164, '[2]Unique HS'!$B$4:$J$999, 9, FALSE), "No")</f>
        <v>Yes</v>
      </c>
      <c r="K164" s="18">
        <f>VLOOKUP(C164, '[1]India EXIM'!$B$6:$C$580, 2, FALSE)</f>
        <v>4.5779563894000001E-2</v>
      </c>
      <c r="L164" s="11">
        <f>VLOOKUP(C164, '[1]China EXIM'!$B$6:$D$580, 3, FALSE)</f>
        <v>0.78232562565699992</v>
      </c>
      <c r="M164" s="6"/>
      <c r="N164" s="6"/>
      <c r="O164" s="6"/>
      <c r="P164" s="10" t="s">
        <v>24</v>
      </c>
      <c r="Q164" s="9" t="s">
        <v>22</v>
      </c>
      <c r="U164" s="1" t="s">
        <v>25</v>
      </c>
    </row>
    <row r="165" spans="2:22" ht="27.95" hidden="1">
      <c r="B165" s="6" t="str">
        <f>VLOOKUP(C165, [1]Definition!$D$5:$K$5665, 8, FALSE)</f>
        <v>Capital Goods</v>
      </c>
      <c r="C165" s="7">
        <v>842620</v>
      </c>
      <c r="D165" s="8" t="s">
        <v>411</v>
      </c>
      <c r="E165" s="17" t="s">
        <v>19</v>
      </c>
      <c r="F165" s="8"/>
      <c r="G165" s="8"/>
      <c r="H165" s="9" t="s">
        <v>58</v>
      </c>
      <c r="I165" s="9" t="s">
        <v>31</v>
      </c>
      <c r="J165" s="17" t="str">
        <f>_xlfn.IFNA(VLOOKUP(C165, '[2]Unique HS'!$B$4:$J$999, 9, FALSE), "No")</f>
        <v>No</v>
      </c>
      <c r="K165" s="18">
        <f>VLOOKUP(C165, '[1]India EXIM'!$B$6:$C$580, 2, FALSE)</f>
        <v>4.5616390159E-2</v>
      </c>
      <c r="L165" s="11">
        <f>VLOOKUP(C165, '[1]China EXIM'!$B$6:$D$580, 3, FALSE)</f>
        <v>1.658015275011</v>
      </c>
      <c r="M165" s="9" t="s">
        <v>80</v>
      </c>
      <c r="N165" s="9"/>
      <c r="O165" s="6"/>
      <c r="P165" s="10" t="s">
        <v>24</v>
      </c>
      <c r="Q165" s="9" t="s">
        <v>58</v>
      </c>
      <c r="U165" s="1" t="s">
        <v>25</v>
      </c>
      <c r="V165" s="1" t="s">
        <v>349</v>
      </c>
    </row>
    <row r="166" spans="2:22" ht="42" hidden="1">
      <c r="B166" s="6" t="str">
        <f>VLOOKUP(C166, [1]Definition!$D$5:$K$5665, 8, FALSE)</f>
        <v>Capital Goods</v>
      </c>
      <c r="C166" s="7">
        <v>851531</v>
      </c>
      <c r="D166" s="8" t="s">
        <v>412</v>
      </c>
      <c r="E166" s="17" t="s">
        <v>19</v>
      </c>
      <c r="F166" s="8"/>
      <c r="G166" s="8"/>
      <c r="H166" s="9" t="s">
        <v>65</v>
      </c>
      <c r="I166" s="9" t="s">
        <v>232</v>
      </c>
      <c r="J166" s="17" t="str">
        <f>_xlfn.IFNA(VLOOKUP(C166, '[2]Unique HS'!$B$4:$J$999, 9, FALSE), "No")</f>
        <v>Yes</v>
      </c>
      <c r="K166" s="18">
        <f>VLOOKUP(C166, '[1]India EXIM'!$B$6:$C$580, 2, FALSE)</f>
        <v>4.5591867567000004E-2</v>
      </c>
      <c r="L166" s="11">
        <f>VLOOKUP(C166, '[1]China EXIM'!$B$6:$D$580, 3, FALSE)</f>
        <v>1.8553353238099999</v>
      </c>
      <c r="M166" s="6"/>
      <c r="N166" s="6"/>
      <c r="O166" s="6"/>
      <c r="P166" s="10" t="s">
        <v>24</v>
      </c>
      <c r="Q166" s="9" t="s">
        <v>65</v>
      </c>
      <c r="U166" s="1" t="s">
        <v>25</v>
      </c>
    </row>
    <row r="167" spans="2:22" ht="27.95" hidden="1">
      <c r="B167" s="6" t="str">
        <f>VLOOKUP(C167, [1]Definition!$D$5:$K$5665, 8, FALSE)</f>
        <v>Capital Goods</v>
      </c>
      <c r="C167" s="7">
        <v>845630</v>
      </c>
      <c r="D167" s="8" t="s">
        <v>413</v>
      </c>
      <c r="E167" s="17" t="s">
        <v>19</v>
      </c>
      <c r="F167" s="8"/>
      <c r="G167" s="8"/>
      <c r="H167" s="9" t="s">
        <v>65</v>
      </c>
      <c r="I167" s="9" t="s">
        <v>31</v>
      </c>
      <c r="J167" s="17" t="str">
        <f>_xlfn.IFNA(VLOOKUP(C167, '[2]Unique HS'!$B$4:$J$999, 9, FALSE), "No")</f>
        <v>No</v>
      </c>
      <c r="K167" s="18">
        <f>VLOOKUP(C167, '[1]India EXIM'!$B$6:$C$580, 2, FALSE)</f>
        <v>4.5551206976000007E-2</v>
      </c>
      <c r="L167" s="11">
        <f>VLOOKUP(C167, '[1]China EXIM'!$B$6:$D$580, 3, FALSE)</f>
        <v>0.87904726366399999</v>
      </c>
      <c r="M167" s="6"/>
      <c r="N167" s="6"/>
      <c r="O167" s="6"/>
      <c r="P167" s="10" t="s">
        <v>24</v>
      </c>
      <c r="Q167" s="9" t="s">
        <v>65</v>
      </c>
      <c r="U167" s="1" t="s">
        <v>25</v>
      </c>
    </row>
    <row r="168" spans="2:22" ht="27.95" hidden="1">
      <c r="B168" s="6" t="str">
        <f>VLOOKUP(C168, [1]Definition!$D$5:$K$5665, 8, FALSE)</f>
        <v>Capital Goods</v>
      </c>
      <c r="C168" s="7">
        <v>854320</v>
      </c>
      <c r="D168" s="8" t="s">
        <v>414</v>
      </c>
      <c r="E168" s="17" t="s">
        <v>142</v>
      </c>
      <c r="F168" s="8" t="s">
        <v>415</v>
      </c>
      <c r="G168" s="8" t="s">
        <v>416</v>
      </c>
      <c r="H168" s="9" t="s">
        <v>30</v>
      </c>
      <c r="I168" s="9" t="s">
        <v>417</v>
      </c>
      <c r="J168" s="17" t="str">
        <f>_xlfn.IFNA(VLOOKUP(C168, '[2]Unique HS'!$B$4:$J$999, 9, FALSE), "No")</f>
        <v>Yes</v>
      </c>
      <c r="K168" s="18">
        <f>VLOOKUP(C168, '[1]India EXIM'!$B$6:$C$580, 2, FALSE)</f>
        <v>4.4982441042000006E-2</v>
      </c>
      <c r="L168" s="11">
        <f>VLOOKUP(C168, '[1]China EXIM'!$B$6:$D$580, 3, FALSE)</f>
        <v>1.9374402628699998</v>
      </c>
      <c r="M168" s="6"/>
      <c r="N168" s="6"/>
      <c r="O168" s="6"/>
      <c r="P168" s="10" t="s">
        <v>24</v>
      </c>
      <c r="Q168" s="9" t="s">
        <v>30</v>
      </c>
      <c r="S168" s="1" t="s">
        <v>33</v>
      </c>
      <c r="U168" s="1" t="s">
        <v>34</v>
      </c>
    </row>
    <row r="169" spans="2:22" ht="27.95">
      <c r="B169" s="6" t="str">
        <f>VLOOKUP(C169, [1]Definition!$D$5:$K$5665, 8, FALSE)</f>
        <v>Capital Goods</v>
      </c>
      <c r="C169" s="7">
        <v>843340</v>
      </c>
      <c r="D169" s="8" t="s">
        <v>418</v>
      </c>
      <c r="E169" s="17" t="s">
        <v>119</v>
      </c>
      <c r="F169" s="8" t="s">
        <v>419</v>
      </c>
      <c r="G169" s="8" t="s">
        <v>322</v>
      </c>
      <c r="H169" s="9" t="s">
        <v>22</v>
      </c>
      <c r="I169" s="9" t="s">
        <v>420</v>
      </c>
      <c r="J169" s="17" t="str">
        <f>_xlfn.IFNA(VLOOKUP(C169, '[2]Unique HS'!$B$4:$J$999, 9, FALSE), "No")</f>
        <v>No</v>
      </c>
      <c r="K169" s="18">
        <f>VLOOKUP(C169, '[1]India EXIM'!$B$6:$C$580, 2, FALSE)</f>
        <v>1.5564917857000002E-2</v>
      </c>
      <c r="L169" s="11">
        <f>VLOOKUP(C169, '[1]China EXIM'!$B$6:$D$580, 3, FALSE)</f>
        <v>1.539914232319</v>
      </c>
      <c r="M169" s="6" t="s">
        <v>160</v>
      </c>
      <c r="N169" s="6"/>
      <c r="O169" s="6"/>
      <c r="P169" s="10" t="s">
        <v>24</v>
      </c>
      <c r="Q169" s="11" t="s">
        <v>161</v>
      </c>
    </row>
    <row r="170" spans="2:22" hidden="1">
      <c r="B170" s="6" t="str">
        <f>VLOOKUP(C170, [1]Definition!$D$5:$K$5665, 8, FALSE)</f>
        <v>Capital Goods</v>
      </c>
      <c r="C170" s="7">
        <v>846263</v>
      </c>
      <c r="D170" s="8" t="s">
        <v>421</v>
      </c>
      <c r="E170" s="17" t="s">
        <v>19</v>
      </c>
      <c r="F170" s="8"/>
      <c r="G170" s="8"/>
      <c r="H170" s="9" t="s">
        <v>65</v>
      </c>
      <c r="I170" s="9" t="s">
        <v>31</v>
      </c>
      <c r="J170" s="17" t="str">
        <f>_xlfn.IFNA(VLOOKUP(C170, '[2]Unique HS'!$B$4:$J$999, 9, FALSE), "No")</f>
        <v>No</v>
      </c>
      <c r="K170" s="18">
        <f>VLOOKUP(C170, '[1]India EXIM'!$B$6:$C$580, 2, FALSE)</f>
        <v>4.494813609E-2</v>
      </c>
      <c r="L170" s="11">
        <f>VLOOKUP(C170, '[1]China EXIM'!$B$6:$D$580, 3, FALSE)</f>
        <v>0.303521236375</v>
      </c>
      <c r="M170" s="6"/>
      <c r="N170" s="6"/>
      <c r="O170" s="6"/>
      <c r="P170" s="10" t="s">
        <v>24</v>
      </c>
      <c r="Q170" s="9" t="s">
        <v>65</v>
      </c>
      <c r="U170" s="1" t="s">
        <v>25</v>
      </c>
    </row>
    <row r="171" spans="2:22" ht="56.1" hidden="1">
      <c r="B171" s="6" t="str">
        <f>VLOOKUP(C171, [1]Definition!$D$5:$K$5665, 8, FALSE)</f>
        <v>Capital Goods</v>
      </c>
      <c r="C171" s="7">
        <v>846090</v>
      </c>
      <c r="D171" s="8" t="s">
        <v>422</v>
      </c>
      <c r="E171" s="17" t="s">
        <v>19</v>
      </c>
      <c r="F171" s="8"/>
      <c r="G171" s="8"/>
      <c r="H171" s="9" t="s">
        <v>65</v>
      </c>
      <c r="I171" s="9" t="s">
        <v>31</v>
      </c>
      <c r="J171" s="17" t="str">
        <f>_xlfn.IFNA(VLOOKUP(C171, '[2]Unique HS'!$B$4:$J$999, 9, FALSE), "No")</f>
        <v>Yes</v>
      </c>
      <c r="K171" s="18">
        <f>VLOOKUP(C171, '[1]India EXIM'!$B$6:$C$580, 2, FALSE)</f>
        <v>4.4646310424000003E-2</v>
      </c>
      <c r="L171" s="11">
        <f>VLOOKUP(C171, '[1]China EXIM'!$B$6:$D$580, 3, FALSE)</f>
        <v>0.61184279975</v>
      </c>
      <c r="M171" s="6"/>
      <c r="N171" s="6"/>
      <c r="O171" s="6"/>
      <c r="P171" s="10" t="s">
        <v>24</v>
      </c>
      <c r="Q171" s="9" t="s">
        <v>65</v>
      </c>
      <c r="U171" s="1" t="s">
        <v>25</v>
      </c>
    </row>
    <row r="172" spans="2:22" ht="27.95" hidden="1">
      <c r="B172" s="6" t="str">
        <f>VLOOKUP(C172, [1]Definition!$D$5:$K$5665, 8, FALSE)</f>
        <v>Capital Goods</v>
      </c>
      <c r="C172" s="7">
        <v>845150</v>
      </c>
      <c r="D172" s="8" t="s">
        <v>423</v>
      </c>
      <c r="E172" s="17" t="s">
        <v>19</v>
      </c>
      <c r="F172" s="8"/>
      <c r="G172" s="8"/>
      <c r="H172" s="9" t="s">
        <v>55</v>
      </c>
      <c r="I172" s="9" t="s">
        <v>234</v>
      </c>
      <c r="J172" s="17" t="str">
        <f>_xlfn.IFNA(VLOOKUP(C172, '[2]Unique HS'!$B$4:$J$999, 9, FALSE), "No")</f>
        <v>No</v>
      </c>
      <c r="K172" s="18">
        <f>VLOOKUP(C172, '[1]India EXIM'!$B$6:$C$580, 2, FALSE)</f>
        <v>4.4358387925999998E-2</v>
      </c>
      <c r="L172" s="11">
        <f>VLOOKUP(C172, '[1]China EXIM'!$B$6:$D$580, 3, FALSE)</f>
        <v>0.78956889965699995</v>
      </c>
      <c r="M172" s="6"/>
      <c r="N172" s="6"/>
      <c r="O172" s="6"/>
      <c r="P172" s="10" t="s">
        <v>24</v>
      </c>
      <c r="Q172" s="9" t="s">
        <v>55</v>
      </c>
      <c r="U172" s="1" t="s">
        <v>25</v>
      </c>
    </row>
    <row r="173" spans="2:22" ht="42" hidden="1">
      <c r="B173" s="6" t="str">
        <f>VLOOKUP(C173, [1]Definition!$D$5:$K$5665, 8, FALSE)</f>
        <v>Capital Goods</v>
      </c>
      <c r="C173" s="7">
        <v>850132</v>
      </c>
      <c r="D173" s="8" t="s">
        <v>424</v>
      </c>
      <c r="E173" s="17" t="s">
        <v>27</v>
      </c>
      <c r="F173" s="8" t="s">
        <v>425</v>
      </c>
      <c r="G173" s="8" t="s">
        <v>426</v>
      </c>
      <c r="H173" s="9" t="s">
        <v>30</v>
      </c>
      <c r="I173" s="9" t="s">
        <v>31</v>
      </c>
      <c r="J173" s="17" t="str">
        <f>_xlfn.IFNA(VLOOKUP(C173, '[2]Unique HS'!$B$4:$J$999, 9, FALSE), "No")</f>
        <v>Yes</v>
      </c>
      <c r="K173" s="22">
        <f>VLOOKUP(C173, '[1]India EXIM'!$B$6:$C$580, 2, FALSE)</f>
        <v>4.4283241871000002E-2</v>
      </c>
      <c r="L173" s="11">
        <f>VLOOKUP(C173, '[1]China EXIM'!$B$6:$D$580, 3, FALSE)</f>
        <v>3.0923400794410001</v>
      </c>
      <c r="M173" s="9" t="s">
        <v>129</v>
      </c>
      <c r="N173" s="9"/>
      <c r="O173" s="6"/>
      <c r="P173" s="10" t="s">
        <v>24</v>
      </c>
      <c r="Q173" s="9" t="s">
        <v>30</v>
      </c>
      <c r="S173" s="1" t="s">
        <v>33</v>
      </c>
      <c r="U173" s="1" t="s">
        <v>34</v>
      </c>
    </row>
    <row r="174" spans="2:22" ht="56.1" hidden="1">
      <c r="B174" s="6" t="str">
        <f>VLOOKUP(C174, [1]Definition!$D$5:$K$5665, 8, FALSE)</f>
        <v>Capital Goods</v>
      </c>
      <c r="C174" s="7">
        <v>730900</v>
      </c>
      <c r="D174" s="8" t="s">
        <v>427</v>
      </c>
      <c r="E174" s="17" t="s">
        <v>19</v>
      </c>
      <c r="F174" s="8"/>
      <c r="G174" s="8"/>
      <c r="H174" s="9" t="s">
        <v>22</v>
      </c>
      <c r="I174" s="9" t="s">
        <v>428</v>
      </c>
      <c r="J174" s="17" t="str">
        <f>_xlfn.IFNA(VLOOKUP(C174, '[2]Unique HS'!$B$4:$J$999, 9, FALSE), "No")</f>
        <v>Yes</v>
      </c>
      <c r="K174" s="18">
        <f>VLOOKUP(C174, '[1]India EXIM'!$B$6:$C$580, 2, FALSE)</f>
        <v>4.3596027805E-2</v>
      </c>
      <c r="L174" s="11">
        <f>VLOOKUP(C174, '[1]China EXIM'!$B$6:$D$580, 3, FALSE)</f>
        <v>5.1836473841289994</v>
      </c>
      <c r="M174" s="6" t="s">
        <v>201</v>
      </c>
      <c r="N174" s="6"/>
      <c r="O174" s="9"/>
      <c r="P174" s="10" t="s">
        <v>24</v>
      </c>
      <c r="Q174" s="9" t="s">
        <v>22</v>
      </c>
      <c r="U174" s="1" t="s">
        <v>25</v>
      </c>
    </row>
    <row r="175" spans="2:22" ht="27.95" hidden="1">
      <c r="B175" s="6" t="str">
        <f>VLOOKUP(C175, [1]Definition!$D$5:$K$5665, 8, FALSE)</f>
        <v>Capital Goods</v>
      </c>
      <c r="C175" s="7">
        <v>842720</v>
      </c>
      <c r="D175" s="8" t="s">
        <v>429</v>
      </c>
      <c r="E175" s="17" t="s">
        <v>19</v>
      </c>
      <c r="F175" s="8"/>
      <c r="G175" s="8"/>
      <c r="H175" s="9" t="s">
        <v>58</v>
      </c>
      <c r="I175" s="9" t="s">
        <v>31</v>
      </c>
      <c r="J175" s="17" t="str">
        <f>_xlfn.IFNA(VLOOKUP(C175, '[2]Unique HS'!$B$4:$J$999, 9, FALSE), "No")</f>
        <v>No</v>
      </c>
      <c r="K175" s="18">
        <f>VLOOKUP(C175, '[1]India EXIM'!$B$6:$C$580, 2, FALSE)</f>
        <v>4.3534129082000002E-2</v>
      </c>
      <c r="L175" s="11">
        <f>VLOOKUP(C175, '[1]China EXIM'!$B$6:$D$580, 3, FALSE)</f>
        <v>15.452098916952</v>
      </c>
      <c r="M175" s="9" t="s">
        <v>59</v>
      </c>
      <c r="N175" s="9"/>
      <c r="O175" s="6"/>
      <c r="P175" s="10" t="s">
        <v>24</v>
      </c>
      <c r="Q175" s="9" t="s">
        <v>58</v>
      </c>
      <c r="U175" s="1" t="s">
        <v>25</v>
      </c>
    </row>
    <row r="176" spans="2:22" ht="27.95" hidden="1">
      <c r="B176" s="6" t="str">
        <f>VLOOKUP(C176, [1]Definition!$D$5:$K$5665, 8, FALSE)</f>
        <v>Capital Goods</v>
      </c>
      <c r="C176" s="7">
        <v>845320</v>
      </c>
      <c r="D176" s="8" t="s">
        <v>430</v>
      </c>
      <c r="E176" s="17" t="s">
        <v>19</v>
      </c>
      <c r="F176" s="8"/>
      <c r="G176" s="8"/>
      <c r="H176" s="9" t="s">
        <v>55</v>
      </c>
      <c r="I176" s="9" t="s">
        <v>431</v>
      </c>
      <c r="J176" s="17" t="str">
        <f>_xlfn.IFNA(VLOOKUP(C176, '[2]Unique HS'!$B$4:$J$999, 9, FALSE), "No")</f>
        <v>No</v>
      </c>
      <c r="K176" s="18">
        <f>VLOOKUP(C176, '[1]India EXIM'!$B$6:$C$580, 2, FALSE)</f>
        <v>4.3395221333E-2</v>
      </c>
      <c r="L176" s="11">
        <f>VLOOKUP(C176, '[1]China EXIM'!$B$6:$D$580, 3, FALSE)</f>
        <v>0.34947839206699999</v>
      </c>
      <c r="M176" s="6"/>
      <c r="N176" s="6"/>
      <c r="O176" s="6"/>
      <c r="P176" s="10" t="s">
        <v>24</v>
      </c>
      <c r="Q176" s="9" t="s">
        <v>55</v>
      </c>
      <c r="U176" s="1" t="s">
        <v>25</v>
      </c>
    </row>
    <row r="177" spans="2:22" ht="27.95" hidden="1">
      <c r="B177" s="6" t="str">
        <f>VLOOKUP(C177, [1]Definition!$D$5:$K$5665, 8, FALSE)</f>
        <v>Capital Goods</v>
      </c>
      <c r="C177" s="7">
        <v>846711</v>
      </c>
      <c r="D177" s="8" t="s">
        <v>432</v>
      </c>
      <c r="E177" s="17" t="s">
        <v>19</v>
      </c>
      <c r="F177" s="8"/>
      <c r="G177" s="8"/>
      <c r="H177" s="9" t="s">
        <v>65</v>
      </c>
      <c r="I177" s="9" t="s">
        <v>31</v>
      </c>
      <c r="J177" s="17" t="str">
        <f>_xlfn.IFNA(VLOOKUP(C177, '[2]Unique HS'!$B$4:$J$999, 9, FALSE), "No")</f>
        <v>Yes</v>
      </c>
      <c r="K177" s="18">
        <f>VLOOKUP(C177, '[1]India EXIM'!$B$6:$C$580, 2, FALSE)</f>
        <v>4.2655846966999998E-2</v>
      </c>
      <c r="L177" s="11">
        <f>VLOOKUP(C177, '[1]China EXIM'!$B$6:$D$580, 3, FALSE)</f>
        <v>0.89248308480400007</v>
      </c>
      <c r="M177" s="6"/>
      <c r="N177" s="6"/>
      <c r="O177" s="6"/>
      <c r="P177" s="10" t="s">
        <v>24</v>
      </c>
      <c r="Q177" s="9" t="s">
        <v>65</v>
      </c>
      <c r="U177" s="1" t="s">
        <v>25</v>
      </c>
    </row>
    <row r="178" spans="2:22" ht="42" hidden="1">
      <c r="B178" s="6" t="str">
        <f>VLOOKUP(C178, [1]Definition!$D$5:$K$5665, 8, FALSE)</f>
        <v>Capital Goods</v>
      </c>
      <c r="C178" s="7">
        <v>846310</v>
      </c>
      <c r="D178" s="8" t="s">
        <v>433</v>
      </c>
      <c r="E178" s="17" t="s">
        <v>19</v>
      </c>
      <c r="F178" s="8"/>
      <c r="G178" s="8"/>
      <c r="H178" s="9" t="s">
        <v>65</v>
      </c>
      <c r="I178" s="9" t="s">
        <v>31</v>
      </c>
      <c r="J178" s="17" t="str">
        <f>_xlfn.IFNA(VLOOKUP(C178, '[2]Unique HS'!$B$4:$J$999, 9, FALSE), "No")</f>
        <v>No</v>
      </c>
      <c r="K178" s="18">
        <f>VLOOKUP(C178, '[1]India EXIM'!$B$6:$C$580, 2, FALSE)</f>
        <v>4.2290907039999999E-2</v>
      </c>
      <c r="L178" s="11">
        <f>VLOOKUP(C178, '[1]China EXIM'!$B$6:$D$580, 3, FALSE)</f>
        <v>0.48831889063700001</v>
      </c>
      <c r="M178" s="6"/>
      <c r="N178" s="6"/>
      <c r="O178" s="6"/>
      <c r="P178" s="10" t="s">
        <v>24</v>
      </c>
      <c r="Q178" s="9" t="s">
        <v>65</v>
      </c>
      <c r="U178" s="1" t="s">
        <v>25</v>
      </c>
    </row>
    <row r="179" spans="2:22" ht="27.95" hidden="1">
      <c r="B179" s="6" t="str">
        <f>VLOOKUP(C179, [1]Definition!$D$5:$K$5665, 8, FALSE)</f>
        <v>Capital Goods</v>
      </c>
      <c r="C179" s="7">
        <v>820890</v>
      </c>
      <c r="D179" s="8" t="s">
        <v>434</v>
      </c>
      <c r="E179" s="17" t="s">
        <v>19</v>
      </c>
      <c r="F179" s="8"/>
      <c r="G179" s="8"/>
      <c r="H179" s="9" t="s">
        <v>65</v>
      </c>
      <c r="I179" s="9" t="s">
        <v>435</v>
      </c>
      <c r="J179" s="17" t="str">
        <f>_xlfn.IFNA(VLOOKUP(C179, '[2]Unique HS'!$B$4:$J$999, 9, FALSE), "No")</f>
        <v>Yes</v>
      </c>
      <c r="K179" s="18">
        <f>VLOOKUP(C179, '[1]India EXIM'!$B$6:$C$580, 2, FALSE)</f>
        <v>4.0364762497000002E-2</v>
      </c>
      <c r="L179" s="11">
        <f>VLOOKUP(C179, '[1]China EXIM'!$B$6:$D$580, 3, FALSE)</f>
        <v>1.4560796053010001</v>
      </c>
      <c r="M179" s="6" t="s">
        <v>201</v>
      </c>
      <c r="N179" s="6"/>
      <c r="O179" s="6"/>
      <c r="P179" s="10" t="s">
        <v>24</v>
      </c>
      <c r="Q179" s="11" t="s">
        <v>202</v>
      </c>
      <c r="S179" s="1" t="s">
        <v>33</v>
      </c>
      <c r="U179" s="1" t="s">
        <v>34</v>
      </c>
    </row>
    <row r="180" spans="2:22" ht="27.95" hidden="1">
      <c r="B180" s="6" t="str">
        <f>VLOOKUP(C180, [1]Definition!$D$5:$K$5665, 8, FALSE)</f>
        <v>Capital Goods</v>
      </c>
      <c r="C180" s="7">
        <v>846024</v>
      </c>
      <c r="D180" s="8" t="s">
        <v>436</v>
      </c>
      <c r="E180" s="17" t="s">
        <v>19</v>
      </c>
      <c r="F180" s="8"/>
      <c r="G180" s="8"/>
      <c r="H180" s="9" t="s">
        <v>65</v>
      </c>
      <c r="I180" s="9" t="s">
        <v>31</v>
      </c>
      <c r="J180" s="17" t="str">
        <f>_xlfn.IFNA(VLOOKUP(C180, '[2]Unique HS'!$B$4:$J$999, 9, FALSE), "No")</f>
        <v>No</v>
      </c>
      <c r="K180" s="18">
        <f>VLOOKUP(C180, '[1]India EXIM'!$B$6:$C$580, 2, FALSE)</f>
        <v>4.0285582554999998E-2</v>
      </c>
      <c r="L180" s="11">
        <f>VLOOKUP(C180, '[1]China EXIM'!$B$6:$D$580, 3, FALSE)</f>
        <v>0.67453104088600002</v>
      </c>
      <c r="M180" s="6"/>
      <c r="N180" s="6"/>
      <c r="O180" s="6"/>
      <c r="P180" s="10" t="s">
        <v>24</v>
      </c>
      <c r="Q180" s="9" t="s">
        <v>65</v>
      </c>
      <c r="U180" s="1" t="s">
        <v>25</v>
      </c>
    </row>
    <row r="181" spans="2:22" ht="56.1" hidden="1">
      <c r="B181" s="6" t="str">
        <f>VLOOKUP(C181, [1]Definition!$D$5:$K$5665, 8, FALSE)</f>
        <v>Capital Goods</v>
      </c>
      <c r="C181" s="7">
        <v>851439</v>
      </c>
      <c r="D181" s="8" t="s">
        <v>437</v>
      </c>
      <c r="E181" s="17" t="s">
        <v>19</v>
      </c>
      <c r="F181" s="8"/>
      <c r="G181" s="8"/>
      <c r="H181" s="9" t="s">
        <v>82</v>
      </c>
      <c r="I181" s="9" t="s">
        <v>438</v>
      </c>
      <c r="J181" s="17" t="str">
        <f>_xlfn.IFNA(VLOOKUP(C181, '[2]Unique HS'!$B$4:$J$999, 9, FALSE), "No")</f>
        <v>Yes</v>
      </c>
      <c r="K181" s="18">
        <f>VLOOKUP(C181, '[1]India EXIM'!$B$6:$C$580, 2, FALSE)</f>
        <v>3.9662669281999997E-2</v>
      </c>
      <c r="L181" s="11">
        <f>VLOOKUP(C181, '[1]China EXIM'!$B$6:$D$580, 3, FALSE)</f>
        <v>0.69347657228900006</v>
      </c>
      <c r="M181" s="9" t="s">
        <v>439</v>
      </c>
      <c r="N181" s="9"/>
      <c r="O181" s="6"/>
      <c r="P181" s="10" t="s">
        <v>24</v>
      </c>
      <c r="Q181" s="9" t="s">
        <v>82</v>
      </c>
      <c r="U181" s="1" t="s">
        <v>25</v>
      </c>
    </row>
    <row r="182" spans="2:22" ht="27.95" hidden="1">
      <c r="B182" s="6" t="str">
        <f>VLOOKUP(C182, [1]Definition!$D$5:$K$5665, 8, FALSE)</f>
        <v>Capital Goods</v>
      </c>
      <c r="C182" s="7">
        <v>846150</v>
      </c>
      <c r="D182" s="8" t="s">
        <v>440</v>
      </c>
      <c r="E182" s="17" t="s">
        <v>19</v>
      </c>
      <c r="F182" s="8"/>
      <c r="G182" s="8"/>
      <c r="H182" s="9" t="s">
        <v>65</v>
      </c>
      <c r="I182" s="9" t="s">
        <v>31</v>
      </c>
      <c r="J182" s="17" t="str">
        <f>_xlfn.IFNA(VLOOKUP(C182, '[2]Unique HS'!$B$4:$J$999, 9, FALSE), "No")</f>
        <v>Yes</v>
      </c>
      <c r="K182" s="18">
        <f>VLOOKUP(C182, '[1]India EXIM'!$B$6:$C$580, 2, FALSE)</f>
        <v>3.9557989483000003E-2</v>
      </c>
      <c r="L182" s="11">
        <f>VLOOKUP(C182, '[1]China EXIM'!$B$6:$D$580, 3, FALSE)</f>
        <v>1.2090452149440001</v>
      </c>
      <c r="M182" s="6"/>
      <c r="N182" s="6"/>
      <c r="O182" s="6"/>
      <c r="P182" s="10" t="s">
        <v>24</v>
      </c>
      <c r="Q182" s="9" t="s">
        <v>65</v>
      </c>
      <c r="U182" s="1" t="s">
        <v>25</v>
      </c>
      <c r="V182" s="1" t="s">
        <v>401</v>
      </c>
    </row>
    <row r="183" spans="2:22" ht="56.1" hidden="1">
      <c r="B183" s="6" t="str">
        <f>VLOOKUP(C183, [1]Definition!$D$5:$K$5665, 8, FALSE)</f>
        <v>Capital Goods</v>
      </c>
      <c r="C183" s="7">
        <v>846249</v>
      </c>
      <c r="D183" s="8" t="s">
        <v>441</v>
      </c>
      <c r="E183" s="17" t="s">
        <v>19</v>
      </c>
      <c r="F183" s="8"/>
      <c r="G183" s="8"/>
      <c r="H183" s="9" t="s">
        <v>65</v>
      </c>
      <c r="I183" s="9" t="s">
        <v>31</v>
      </c>
      <c r="J183" s="17" t="str">
        <f>_xlfn.IFNA(VLOOKUP(C183, '[2]Unique HS'!$B$4:$J$999, 9, FALSE), "No")</f>
        <v>Yes</v>
      </c>
      <c r="K183" s="18">
        <f>VLOOKUP(C183, '[1]India EXIM'!$B$6:$C$580, 2, FALSE)</f>
        <v>3.9130166815999998E-2</v>
      </c>
      <c r="L183" s="11">
        <f>VLOOKUP(C183, '[1]China EXIM'!$B$6:$D$580, 3, FALSE)</f>
        <v>0.26135543557199997</v>
      </c>
      <c r="M183" s="6"/>
      <c r="N183" s="6"/>
      <c r="O183" s="6"/>
      <c r="P183" s="10" t="s">
        <v>24</v>
      </c>
      <c r="Q183" s="9" t="s">
        <v>65</v>
      </c>
      <c r="U183" s="1" t="s">
        <v>25</v>
      </c>
    </row>
    <row r="184" spans="2:22" ht="56.1" hidden="1">
      <c r="B184" s="6" t="str">
        <f>VLOOKUP(C184, [1]Definition!$D$5:$K$5665, 8, FALSE)</f>
        <v>Capital Goods</v>
      </c>
      <c r="C184" s="7">
        <v>841239</v>
      </c>
      <c r="D184" s="8" t="s">
        <v>442</v>
      </c>
      <c r="E184" s="17" t="s">
        <v>205</v>
      </c>
      <c r="F184" s="8"/>
      <c r="G184" s="8" t="s">
        <v>443</v>
      </c>
      <c r="H184" s="9" t="s">
        <v>22</v>
      </c>
      <c r="I184" s="9" t="s">
        <v>444</v>
      </c>
      <c r="J184" s="17" t="str">
        <f>_xlfn.IFNA(VLOOKUP(C184, '[2]Unique HS'!$B$4:$J$999, 9, FALSE), "No")</f>
        <v>Yes</v>
      </c>
      <c r="K184" s="18">
        <f>VLOOKUP(C184, '[1]India EXIM'!$B$6:$C$580, 2, FALSE)</f>
        <v>3.9114681451E-2</v>
      </c>
      <c r="L184" s="11">
        <f>VLOOKUP(C184, '[1]China EXIM'!$B$6:$D$580, 3, FALSE)</f>
        <v>1.045914108796</v>
      </c>
      <c r="M184" s="6"/>
      <c r="N184" s="6"/>
      <c r="O184" s="6"/>
      <c r="P184" s="10" t="s">
        <v>24</v>
      </c>
      <c r="Q184" s="9" t="s">
        <v>22</v>
      </c>
      <c r="U184" s="1" t="s">
        <v>25</v>
      </c>
    </row>
    <row r="185" spans="2:22" ht="27.95" hidden="1">
      <c r="B185" s="6" t="str">
        <f>VLOOKUP(C185, [1]Definition!$D$5:$K$5665, 8, FALSE)</f>
        <v>Capital Goods</v>
      </c>
      <c r="C185" s="7">
        <v>845899</v>
      </c>
      <c r="D185" s="8" t="s">
        <v>445</v>
      </c>
      <c r="E185" s="17" t="s">
        <v>19</v>
      </c>
      <c r="F185" s="8"/>
      <c r="G185" s="8"/>
      <c r="H185" s="9" t="s">
        <v>65</v>
      </c>
      <c r="I185" s="9" t="s">
        <v>174</v>
      </c>
      <c r="J185" s="17" t="str">
        <f>_xlfn.IFNA(VLOOKUP(C185, '[2]Unique HS'!$B$4:$J$999, 9, FALSE), "No")</f>
        <v>No</v>
      </c>
      <c r="K185" s="18">
        <f>VLOOKUP(C185, '[1]India EXIM'!$B$6:$C$580, 2, FALSE)</f>
        <v>3.9027264292999998E-2</v>
      </c>
      <c r="L185" s="11">
        <f>VLOOKUP(C185, '[1]China EXIM'!$B$6:$D$580, 3, FALSE)</f>
        <v>0.21354861496799998</v>
      </c>
      <c r="M185" s="6"/>
      <c r="N185" s="6"/>
      <c r="O185" s="6"/>
      <c r="P185" s="10" t="s">
        <v>24</v>
      </c>
      <c r="Q185" s="9" t="s">
        <v>65</v>
      </c>
      <c r="S185" s="1" t="s">
        <v>33</v>
      </c>
      <c r="U185" s="1" t="s">
        <v>34</v>
      </c>
    </row>
    <row r="186" spans="2:22" ht="42" hidden="1">
      <c r="B186" s="6" t="str">
        <f>VLOOKUP(C186, [1]Definition!$D$5:$K$5665, 8, FALSE)</f>
        <v>Capital Goods</v>
      </c>
      <c r="C186" s="7">
        <v>850422</v>
      </c>
      <c r="D186" s="8" t="s">
        <v>446</v>
      </c>
      <c r="E186" s="17" t="s">
        <v>205</v>
      </c>
      <c r="F186" s="8" t="s">
        <v>447</v>
      </c>
      <c r="G186" s="8" t="s">
        <v>448</v>
      </c>
      <c r="H186" s="9" t="s">
        <v>30</v>
      </c>
      <c r="I186" s="9" t="s">
        <v>31</v>
      </c>
      <c r="J186" s="17" t="str">
        <f>_xlfn.IFNA(VLOOKUP(C186, '[2]Unique HS'!$B$4:$J$999, 9, FALSE), "No")</f>
        <v>No</v>
      </c>
      <c r="K186" s="22">
        <f>VLOOKUP(C186, '[1]India EXIM'!$B$6:$C$580, 2, FALSE)</f>
        <v>3.8926518601999999E-2</v>
      </c>
      <c r="L186" s="11">
        <f>VLOOKUP(C186, '[1]China EXIM'!$B$6:$D$580, 3, FALSE)</f>
        <v>3.9319181300209998</v>
      </c>
      <c r="M186" s="6" t="s">
        <v>32</v>
      </c>
      <c r="N186" s="6"/>
      <c r="O186" s="6"/>
      <c r="P186" s="10" t="s">
        <v>24</v>
      </c>
      <c r="Q186" s="9" t="s">
        <v>30</v>
      </c>
      <c r="S186" s="1" t="s">
        <v>136</v>
      </c>
      <c r="U186" s="1" t="s">
        <v>137</v>
      </c>
    </row>
    <row r="187" spans="2:22" ht="56.1" hidden="1">
      <c r="B187" s="6" t="str">
        <f>VLOOKUP(C187, [1]Definition!$D$5:$K$5665, 8, FALSE)</f>
        <v>Capital Goods</v>
      </c>
      <c r="C187" s="7">
        <v>841231</v>
      </c>
      <c r="D187" s="8" t="s">
        <v>449</v>
      </c>
      <c r="E187" s="17" t="s">
        <v>27</v>
      </c>
      <c r="F187" s="8" t="s">
        <v>450</v>
      </c>
      <c r="G187" s="8" t="s">
        <v>451</v>
      </c>
      <c r="H187" s="9" t="s">
        <v>22</v>
      </c>
      <c r="I187" s="9" t="s">
        <v>444</v>
      </c>
      <c r="J187" s="17" t="str">
        <f>_xlfn.IFNA(VLOOKUP(C187, '[2]Unique HS'!$B$4:$J$999, 9, FALSE), "No")</f>
        <v>Yes</v>
      </c>
      <c r="K187" s="18">
        <f>VLOOKUP(C187, '[1]India EXIM'!$B$6:$C$580, 2, FALSE)</f>
        <v>3.8379564751000003E-2</v>
      </c>
      <c r="L187" s="11">
        <f>VLOOKUP(C187, '[1]China EXIM'!$B$6:$D$580, 3, FALSE)</f>
        <v>2.1283018358740002</v>
      </c>
      <c r="M187" s="6"/>
      <c r="N187" s="6"/>
      <c r="O187" s="6"/>
      <c r="P187" s="10" t="s">
        <v>24</v>
      </c>
      <c r="Q187" s="9" t="s">
        <v>22</v>
      </c>
      <c r="U187" s="1" t="s">
        <v>25</v>
      </c>
    </row>
    <row r="188" spans="2:22" ht="27.95" hidden="1">
      <c r="B188" s="6" t="str">
        <f>VLOOKUP(C188, [1]Definition!$D$5:$K$5665, 8, FALSE)</f>
        <v>Capital Goods</v>
      </c>
      <c r="C188" s="7">
        <v>850164</v>
      </c>
      <c r="D188" s="8" t="s">
        <v>452</v>
      </c>
      <c r="E188" s="17" t="s">
        <v>27</v>
      </c>
      <c r="F188" s="8" t="s">
        <v>453</v>
      </c>
      <c r="G188" s="8" t="s">
        <v>454</v>
      </c>
      <c r="H188" s="9" t="s">
        <v>30</v>
      </c>
      <c r="I188" s="9" t="s">
        <v>31</v>
      </c>
      <c r="J188" s="17" t="str">
        <f>_xlfn.IFNA(VLOOKUP(C188, '[2]Unique HS'!$B$4:$J$999, 9, FALSE), "No")</f>
        <v>No</v>
      </c>
      <c r="K188" s="22">
        <f>VLOOKUP(C188, '[1]India EXIM'!$B$6:$C$580, 2, FALSE)</f>
        <v>3.8078411358000004E-2</v>
      </c>
      <c r="L188" s="11">
        <f>VLOOKUP(C188, '[1]China EXIM'!$B$6:$D$580, 3, FALSE)</f>
        <v>3.5096623587020002</v>
      </c>
      <c r="M188" s="9" t="s">
        <v>129</v>
      </c>
      <c r="N188" s="9"/>
      <c r="O188" s="6"/>
      <c r="P188" s="10" t="s">
        <v>24</v>
      </c>
      <c r="Q188" s="9" t="s">
        <v>30</v>
      </c>
      <c r="S188" s="1" t="s">
        <v>33</v>
      </c>
      <c r="U188" s="1" t="s">
        <v>34</v>
      </c>
    </row>
    <row r="189" spans="2:22" ht="27.95" hidden="1">
      <c r="B189" s="6" t="str">
        <f>VLOOKUP(C189, [1]Definition!$D$5:$K$5665, 8, FALSE)</f>
        <v>Capital Goods</v>
      </c>
      <c r="C189" s="7">
        <v>845961</v>
      </c>
      <c r="D189" s="8" t="s">
        <v>455</v>
      </c>
      <c r="E189" s="17" t="s">
        <v>19</v>
      </c>
      <c r="F189" s="8"/>
      <c r="G189" s="8"/>
      <c r="H189" s="9" t="s">
        <v>65</v>
      </c>
      <c r="I189" s="9" t="s">
        <v>31</v>
      </c>
      <c r="J189" s="17" t="str">
        <f>_xlfn.IFNA(VLOOKUP(C189, '[2]Unique HS'!$B$4:$J$999, 9, FALSE), "No")</f>
        <v>No</v>
      </c>
      <c r="K189" s="18">
        <f>VLOOKUP(C189, '[1]India EXIM'!$B$6:$C$580, 2, FALSE)</f>
        <v>3.7855634436999998E-2</v>
      </c>
      <c r="L189" s="11">
        <f>VLOOKUP(C189, '[1]China EXIM'!$B$6:$D$580, 3, FALSE)</f>
        <v>0.89699737533400004</v>
      </c>
      <c r="M189" s="6"/>
      <c r="N189" s="6"/>
      <c r="O189" s="6"/>
      <c r="P189" s="10" t="s">
        <v>24</v>
      </c>
      <c r="Q189" s="9" t="s">
        <v>65</v>
      </c>
      <c r="S189" s="1" t="s">
        <v>456</v>
      </c>
      <c r="U189" s="1" t="s">
        <v>25</v>
      </c>
      <c r="V189" s="1" t="s">
        <v>457</v>
      </c>
    </row>
    <row r="190" spans="2:22" ht="27.95" hidden="1">
      <c r="B190" s="6" t="str">
        <f>VLOOKUP(C190, [1]Definition!$D$5:$K$5665, 8, FALSE)</f>
        <v>Capital Goods</v>
      </c>
      <c r="C190" s="7">
        <v>844590</v>
      </c>
      <c r="D190" s="8" t="s">
        <v>458</v>
      </c>
      <c r="E190" s="17" t="s">
        <v>19</v>
      </c>
      <c r="F190" s="8"/>
      <c r="G190" s="8"/>
      <c r="H190" s="9" t="s">
        <v>55</v>
      </c>
      <c r="I190" s="9" t="s">
        <v>56</v>
      </c>
      <c r="J190" s="17" t="str">
        <f>_xlfn.IFNA(VLOOKUP(C190, '[2]Unique HS'!$B$4:$J$999, 9, FALSE), "No")</f>
        <v>No</v>
      </c>
      <c r="K190" s="18">
        <f>VLOOKUP(C190, '[1]India EXIM'!$B$6:$C$580, 2, FALSE)</f>
        <v>3.7215073660999999E-2</v>
      </c>
      <c r="L190" s="11">
        <f>VLOOKUP(C190, '[1]China EXIM'!$B$6:$D$580, 3, FALSE)</f>
        <v>0.17238647058500001</v>
      </c>
      <c r="M190" s="6"/>
      <c r="N190" s="6"/>
      <c r="O190" s="6"/>
      <c r="P190" s="10" t="s">
        <v>24</v>
      </c>
      <c r="Q190" s="9" t="s">
        <v>55</v>
      </c>
      <c r="U190" s="1" t="s">
        <v>25</v>
      </c>
    </row>
    <row r="191" spans="2:22" ht="42" hidden="1">
      <c r="B191" s="6" t="str">
        <f>VLOOKUP(C191, [1]Definition!$D$5:$K$5665, 8, FALSE)</f>
        <v>Capital Goods</v>
      </c>
      <c r="C191" s="7">
        <v>842010</v>
      </c>
      <c r="D191" s="8" t="s">
        <v>459</v>
      </c>
      <c r="E191" s="17" t="s">
        <v>19</v>
      </c>
      <c r="F191" s="8"/>
      <c r="G191" s="8"/>
      <c r="H191" s="9" t="s">
        <v>55</v>
      </c>
      <c r="I191" s="9" t="s">
        <v>460</v>
      </c>
      <c r="J191" s="17" t="str">
        <f>_xlfn.IFNA(VLOOKUP(C191, '[2]Unique HS'!$B$4:$J$999, 9, FALSE), "No")</f>
        <v>Yes</v>
      </c>
      <c r="K191" s="18">
        <f>VLOOKUP(C191, '[1]India EXIM'!$B$6:$C$580, 2, FALSE)</f>
        <v>3.7157922295E-2</v>
      </c>
      <c r="L191" s="11">
        <f>VLOOKUP(C191, '[1]China EXIM'!$B$6:$D$580, 3, FALSE)</f>
        <v>1.050121812694</v>
      </c>
      <c r="M191" s="12" t="s">
        <v>52</v>
      </c>
      <c r="N191" s="12"/>
      <c r="O191" s="6" t="s">
        <v>461</v>
      </c>
      <c r="P191" s="10" t="s">
        <v>24</v>
      </c>
      <c r="Q191" s="9" t="s">
        <v>55</v>
      </c>
      <c r="S191" s="1" t="s">
        <v>136</v>
      </c>
      <c r="U191" s="1" t="s">
        <v>137</v>
      </c>
    </row>
    <row r="192" spans="2:22" ht="56.1" hidden="1">
      <c r="B192" s="6" t="str">
        <f>VLOOKUP(C192, [1]Definition!$D$5:$K$5665, 8, FALSE)</f>
        <v>Capital Goods</v>
      </c>
      <c r="C192" s="7">
        <v>820559</v>
      </c>
      <c r="D192" s="8" t="s">
        <v>462</v>
      </c>
      <c r="E192" s="17" t="s">
        <v>19</v>
      </c>
      <c r="F192" s="8"/>
      <c r="G192" s="8"/>
      <c r="H192" s="9" t="s">
        <v>65</v>
      </c>
      <c r="I192" s="9" t="s">
        <v>209</v>
      </c>
      <c r="J192" s="17" t="str">
        <f>_xlfn.IFNA(VLOOKUP(C192, '[2]Unique HS'!$B$4:$J$999, 9, FALSE), "No")</f>
        <v>Yes</v>
      </c>
      <c r="K192" s="18">
        <f>VLOOKUP(C192, '[1]India EXIM'!$B$6:$C$580, 2, FALSE)</f>
        <v>3.6883880537000001E-2</v>
      </c>
      <c r="L192" s="11">
        <f>VLOOKUP(C192, '[1]China EXIM'!$B$6:$D$580, 3, FALSE)</f>
        <v>4.5257598742259999</v>
      </c>
      <c r="M192" s="6" t="s">
        <v>210</v>
      </c>
      <c r="N192" s="6"/>
      <c r="O192" s="9"/>
      <c r="P192" s="10" t="s">
        <v>24</v>
      </c>
      <c r="Q192" s="11" t="s">
        <v>210</v>
      </c>
      <c r="U192" s="1" t="s">
        <v>25</v>
      </c>
    </row>
    <row r="193" spans="2:22" ht="42" hidden="1">
      <c r="B193" s="6" t="str">
        <f>VLOOKUP(C193, [1]Definition!$D$5:$K$5665, 8, FALSE)</f>
        <v>Capital Goods</v>
      </c>
      <c r="C193" s="7">
        <v>901380</v>
      </c>
      <c r="D193" s="8" t="s">
        <v>463</v>
      </c>
      <c r="E193" s="17" t="s">
        <v>19</v>
      </c>
      <c r="F193" s="8" t="s">
        <v>464</v>
      </c>
      <c r="G193" s="8" t="s">
        <v>465</v>
      </c>
      <c r="H193" s="9" t="s">
        <v>166</v>
      </c>
      <c r="I193" s="9" t="s">
        <v>201</v>
      </c>
      <c r="J193" s="17" t="str">
        <f>_xlfn.IFNA(VLOOKUP(C193, '[2]Unique HS'!$B$4:$J$999, 9, FALSE), "No")</f>
        <v>Yes</v>
      </c>
      <c r="K193" s="18">
        <f>VLOOKUP(C193, '[1]India EXIM'!$B$6:$C$580, 2, FALSE)</f>
        <v>3.6882190498999996E-2</v>
      </c>
      <c r="L193" s="11">
        <f>VLOOKUP(C193, '[1]China EXIM'!$B$6:$D$580, 3, FALSE)</f>
        <v>4.9050775173050001</v>
      </c>
      <c r="M193" s="6"/>
      <c r="N193" s="6"/>
      <c r="O193" s="6"/>
      <c r="P193" s="10" t="s">
        <v>24</v>
      </c>
      <c r="Q193" s="11" t="s">
        <v>466</v>
      </c>
      <c r="U193" s="1" t="s">
        <v>25</v>
      </c>
    </row>
    <row r="194" spans="2:22" ht="27.95" hidden="1">
      <c r="B194" s="6" t="str">
        <f>VLOOKUP(C194, [1]Definition!$D$5:$K$5665, 8, FALSE)</f>
        <v>Capital Goods</v>
      </c>
      <c r="C194" s="7">
        <v>843049</v>
      </c>
      <c r="D194" s="8" t="s">
        <v>467</v>
      </c>
      <c r="E194" s="17" t="s">
        <v>19</v>
      </c>
      <c r="F194" s="8"/>
      <c r="G194" s="8"/>
      <c r="H194" s="9" t="s">
        <v>58</v>
      </c>
      <c r="I194" s="9" t="s">
        <v>31</v>
      </c>
      <c r="J194" s="17" t="str">
        <f>_xlfn.IFNA(VLOOKUP(C194, '[2]Unique HS'!$B$4:$J$999, 9, FALSE), "No")</f>
        <v>No</v>
      </c>
      <c r="K194" s="18">
        <f>VLOOKUP(C194, '[1]India EXIM'!$B$6:$C$580, 2, FALSE)</f>
        <v>3.643883966E-2</v>
      </c>
      <c r="L194" s="11">
        <f>VLOOKUP(C194, '[1]China EXIM'!$B$6:$D$580, 3, FALSE)</f>
        <v>3.350621864641</v>
      </c>
      <c r="M194" s="9" t="s">
        <v>117</v>
      </c>
      <c r="N194" s="9"/>
      <c r="O194" s="6"/>
      <c r="P194" s="10" t="s">
        <v>24</v>
      </c>
      <c r="Q194" s="9" t="s">
        <v>58</v>
      </c>
      <c r="U194" s="1" t="s">
        <v>25</v>
      </c>
    </row>
    <row r="195" spans="2:22" ht="56.1" hidden="1">
      <c r="B195" s="6" t="str">
        <f>VLOOKUP(C195, [1]Definition!$D$5:$K$5665, 8, FALSE)</f>
        <v>Capital Goods</v>
      </c>
      <c r="C195" s="7">
        <v>901600</v>
      </c>
      <c r="D195" s="8" t="s">
        <v>468</v>
      </c>
      <c r="E195" s="17" t="s">
        <v>142</v>
      </c>
      <c r="F195" s="8" t="s">
        <v>469</v>
      </c>
      <c r="G195" s="8" t="s">
        <v>470</v>
      </c>
      <c r="H195" s="9" t="s">
        <v>166</v>
      </c>
      <c r="I195" s="9" t="s">
        <v>471</v>
      </c>
      <c r="J195" s="17" t="str">
        <f>_xlfn.IFNA(VLOOKUP(C195, '[2]Unique HS'!$B$4:$J$999, 9, FALSE), "No")</f>
        <v>Yes</v>
      </c>
      <c r="K195" s="18">
        <f>VLOOKUP(C195, '[1]India EXIM'!$B$6:$C$580, 2, FALSE)</f>
        <v>3.4679655512000002E-2</v>
      </c>
      <c r="L195" s="11">
        <f>VLOOKUP(C195, '[1]China EXIM'!$B$6:$D$580, 3, FALSE)</f>
        <v>0.55667217047899997</v>
      </c>
      <c r="M195" s="6"/>
      <c r="N195" s="6"/>
      <c r="O195" s="6"/>
      <c r="P195" s="10" t="s">
        <v>24</v>
      </c>
      <c r="Q195" s="11" t="s">
        <v>168</v>
      </c>
      <c r="U195" s="1" t="s">
        <v>25</v>
      </c>
    </row>
    <row r="196" spans="2:22" ht="42" hidden="1">
      <c r="B196" s="6" t="str">
        <f>VLOOKUP(C196, [1]Definition!$D$5:$K$5665, 8, FALSE)</f>
        <v>Capital Goods</v>
      </c>
      <c r="C196" s="7">
        <v>903010</v>
      </c>
      <c r="D196" s="8" t="s">
        <v>472</v>
      </c>
      <c r="E196" s="17" t="s">
        <v>19</v>
      </c>
      <c r="F196" s="8" t="s">
        <v>473</v>
      </c>
      <c r="G196" s="8" t="s">
        <v>474</v>
      </c>
      <c r="H196" s="9" t="s">
        <v>166</v>
      </c>
      <c r="I196" s="9" t="s">
        <v>201</v>
      </c>
      <c r="J196" s="17" t="str">
        <f>_xlfn.IFNA(VLOOKUP(C196, '[2]Unique HS'!$B$4:$J$999, 9, FALSE), "No")</f>
        <v>Yes</v>
      </c>
      <c r="K196" s="18">
        <f>VLOOKUP(C196, '[1]India EXIM'!$B$6:$C$580, 2, FALSE)</f>
        <v>3.4575023968000003E-2</v>
      </c>
      <c r="L196" s="11">
        <f>VLOOKUP(C196, '[1]China EXIM'!$B$6:$D$580, 3, FALSE)</f>
        <v>2.0597495559990002</v>
      </c>
      <c r="M196" s="6"/>
      <c r="N196" s="6"/>
      <c r="O196" s="6"/>
      <c r="P196" s="10" t="s">
        <v>24</v>
      </c>
      <c r="Q196" s="11" t="s">
        <v>70</v>
      </c>
      <c r="U196" s="1" t="s">
        <v>25</v>
      </c>
    </row>
    <row r="197" spans="2:22" ht="27.95" hidden="1">
      <c r="B197" s="6" t="str">
        <f>VLOOKUP(C197, [1]Definition!$D$5:$K$5665, 8, FALSE)</f>
        <v>Capital Goods</v>
      </c>
      <c r="C197" s="7">
        <v>845730</v>
      </c>
      <c r="D197" s="8" t="s">
        <v>475</v>
      </c>
      <c r="E197" s="17" t="s">
        <v>19</v>
      </c>
      <c r="F197" s="8"/>
      <c r="G197" s="8"/>
      <c r="H197" s="9" t="s">
        <v>65</v>
      </c>
      <c r="I197" s="9" t="s">
        <v>31</v>
      </c>
      <c r="J197" s="17" t="str">
        <f>_xlfn.IFNA(VLOOKUP(C197, '[2]Unique HS'!$B$4:$J$999, 9, FALSE), "No")</f>
        <v>No</v>
      </c>
      <c r="K197" s="18">
        <f>VLOOKUP(C197, '[1]India EXIM'!$B$6:$C$580, 2, FALSE)</f>
        <v>3.4317356400999997E-2</v>
      </c>
      <c r="L197" s="11">
        <f>VLOOKUP(C197, '[1]China EXIM'!$B$6:$D$580, 3, FALSE)</f>
        <v>0.59012683434699997</v>
      </c>
      <c r="M197" s="6"/>
      <c r="N197" s="6"/>
      <c r="O197" s="6"/>
      <c r="P197" s="10" t="s">
        <v>24</v>
      </c>
      <c r="Q197" s="9" t="s">
        <v>65</v>
      </c>
      <c r="U197" s="1" t="s">
        <v>25</v>
      </c>
    </row>
    <row r="198" spans="2:22" ht="27.95" hidden="1">
      <c r="B198" s="6" t="str">
        <f>VLOOKUP(C198, [1]Definition!$D$5:$K$5665, 8, FALSE)</f>
        <v>Capital Goods</v>
      </c>
      <c r="C198" s="7">
        <v>846781</v>
      </c>
      <c r="D198" s="8" t="s">
        <v>476</v>
      </c>
      <c r="E198" s="17" t="s">
        <v>19</v>
      </c>
      <c r="F198" s="8"/>
      <c r="G198" s="8"/>
      <c r="H198" s="9" t="s">
        <v>65</v>
      </c>
      <c r="I198" s="9" t="s">
        <v>31</v>
      </c>
      <c r="J198" s="17" t="str">
        <f>_xlfn.IFNA(VLOOKUP(C198, '[2]Unique HS'!$B$4:$J$999, 9, FALSE), "No")</f>
        <v>No</v>
      </c>
      <c r="K198" s="18">
        <f>VLOOKUP(C198, '[1]India EXIM'!$B$6:$C$580, 2, FALSE)</f>
        <v>3.4217680399999999E-2</v>
      </c>
      <c r="L198" s="11">
        <f>VLOOKUP(C198, '[1]China EXIM'!$B$6:$D$580, 3, FALSE)</f>
        <v>1.006053998779</v>
      </c>
      <c r="M198" s="6"/>
      <c r="N198" s="6"/>
      <c r="O198" s="6"/>
      <c r="P198" s="10" t="s">
        <v>24</v>
      </c>
      <c r="Q198" s="9" t="s">
        <v>65</v>
      </c>
      <c r="U198" s="1" t="s">
        <v>25</v>
      </c>
    </row>
    <row r="199" spans="2:22" ht="42" hidden="1">
      <c r="B199" s="6" t="str">
        <f>VLOOKUP(C199, [1]Definition!$D$5:$K$5665, 8, FALSE)</f>
        <v>Capital Goods</v>
      </c>
      <c r="C199" s="7">
        <v>842430</v>
      </c>
      <c r="D199" s="8" t="s">
        <v>477</v>
      </c>
      <c r="E199" s="17" t="s">
        <v>19</v>
      </c>
      <c r="F199" s="8" t="s">
        <v>478</v>
      </c>
      <c r="G199" s="8" t="s">
        <v>479</v>
      </c>
      <c r="H199" s="9" t="s">
        <v>22</v>
      </c>
      <c r="I199" s="9" t="s">
        <v>480</v>
      </c>
      <c r="J199" s="17" t="str">
        <f>_xlfn.IFNA(VLOOKUP(C199, '[2]Unique HS'!$B$4:$J$999, 9, FALSE), "No")</f>
        <v>Yes</v>
      </c>
      <c r="K199" s="18">
        <f>VLOOKUP(C199, '[1]India EXIM'!$B$6:$C$580, 2, FALSE)</f>
        <v>3.3653960247E-2</v>
      </c>
      <c r="L199" s="11">
        <f>VLOOKUP(C199, '[1]China EXIM'!$B$6:$D$580, 3, FALSE)</f>
        <v>3.2252792072449998</v>
      </c>
      <c r="M199" s="6"/>
      <c r="N199" s="6"/>
      <c r="O199" s="6"/>
      <c r="P199" s="10" t="s">
        <v>24</v>
      </c>
      <c r="Q199" s="9" t="s">
        <v>22</v>
      </c>
      <c r="U199" s="1" t="s">
        <v>25</v>
      </c>
    </row>
    <row r="200" spans="2:22" hidden="1">
      <c r="B200" s="6" t="str">
        <f>VLOOKUP(C200, [1]Definition!$D$5:$K$5665, 8, FALSE)</f>
        <v>Capital Goods</v>
      </c>
      <c r="C200" s="7">
        <v>846040</v>
      </c>
      <c r="D200" s="8" t="s">
        <v>481</v>
      </c>
      <c r="E200" s="17" t="s">
        <v>19</v>
      </c>
      <c r="F200" s="8"/>
      <c r="G200" s="8"/>
      <c r="H200" s="9" t="s">
        <v>65</v>
      </c>
      <c r="I200" s="9" t="s">
        <v>31</v>
      </c>
      <c r="J200" s="17" t="str">
        <f>_xlfn.IFNA(VLOOKUP(C200, '[2]Unique HS'!$B$4:$J$999, 9, FALSE), "No")</f>
        <v>No</v>
      </c>
      <c r="K200" s="18">
        <f>VLOOKUP(C200, '[1]India EXIM'!$B$6:$C$580, 2, FALSE)</f>
        <v>3.3303474519000002E-2</v>
      </c>
      <c r="L200" s="11">
        <f>VLOOKUP(C200, '[1]China EXIM'!$B$6:$D$580, 3, FALSE)</f>
        <v>0.35827570779900003</v>
      </c>
      <c r="M200" s="6"/>
      <c r="N200" s="6"/>
      <c r="O200" s="6"/>
      <c r="P200" s="10" t="s">
        <v>24</v>
      </c>
      <c r="Q200" s="9" t="s">
        <v>65</v>
      </c>
      <c r="U200" s="1" t="s">
        <v>25</v>
      </c>
    </row>
    <row r="201" spans="2:22" ht="42" hidden="1">
      <c r="B201" s="6" t="str">
        <f>VLOOKUP(C201, [1]Definition!$D$5:$K$5665, 8, FALSE)</f>
        <v>Capital Goods</v>
      </c>
      <c r="C201" s="7">
        <v>846420</v>
      </c>
      <c r="D201" s="8" t="s">
        <v>482</v>
      </c>
      <c r="E201" s="17" t="s">
        <v>19</v>
      </c>
      <c r="F201" s="8"/>
      <c r="G201" s="8"/>
      <c r="H201" s="9" t="s">
        <v>65</v>
      </c>
      <c r="I201" s="9" t="s">
        <v>31</v>
      </c>
      <c r="J201" s="17" t="str">
        <f>_xlfn.IFNA(VLOOKUP(C201, '[2]Unique HS'!$B$4:$J$999, 9, FALSE), "No")</f>
        <v>Yes</v>
      </c>
      <c r="K201" s="18">
        <f>VLOOKUP(C201, '[1]India EXIM'!$B$6:$C$580, 2, FALSE)</f>
        <v>3.3199120561000002E-2</v>
      </c>
      <c r="L201" s="11">
        <f>VLOOKUP(C201, '[1]China EXIM'!$B$6:$D$580, 3, FALSE)</f>
        <v>0.96563901758999993</v>
      </c>
      <c r="M201" s="6"/>
      <c r="N201" s="6"/>
      <c r="O201" s="6"/>
      <c r="P201" s="10" t="s">
        <v>24</v>
      </c>
      <c r="Q201" s="9" t="s">
        <v>65</v>
      </c>
      <c r="U201" s="1" t="s">
        <v>25</v>
      </c>
    </row>
    <row r="202" spans="2:22" ht="42" hidden="1">
      <c r="B202" s="6" t="str">
        <f>VLOOKUP(C202, [1]Definition!$D$5:$K$5665, 8, FALSE)</f>
        <v>Capital Goods</v>
      </c>
      <c r="C202" s="7">
        <v>842390</v>
      </c>
      <c r="D202" s="8" t="s">
        <v>483</v>
      </c>
      <c r="E202" s="17" t="s">
        <v>19</v>
      </c>
      <c r="F202" s="8" t="s">
        <v>484</v>
      </c>
      <c r="G202" s="8" t="s">
        <v>485</v>
      </c>
      <c r="H202" s="9" t="s">
        <v>22</v>
      </c>
      <c r="I202" s="9" t="s">
        <v>486</v>
      </c>
      <c r="J202" s="17" t="str">
        <f>_xlfn.IFNA(VLOOKUP(C202, '[2]Unique HS'!$B$4:$J$999, 9, FALSE), "No")</f>
        <v>Yes</v>
      </c>
      <c r="K202" s="18">
        <f>VLOOKUP(C202, '[1]India EXIM'!$B$6:$C$580, 2, FALSE)</f>
        <v>3.2859428507999999E-2</v>
      </c>
      <c r="L202" s="11">
        <f>VLOOKUP(C202, '[1]China EXIM'!$B$6:$D$580, 3, FALSE)</f>
        <v>0.96308819597299999</v>
      </c>
      <c r="M202" s="6"/>
      <c r="N202" s="6"/>
      <c r="O202" s="6"/>
      <c r="P202" s="10" t="s">
        <v>24</v>
      </c>
      <c r="Q202" s="9" t="s">
        <v>22</v>
      </c>
      <c r="U202" s="1" t="s">
        <v>25</v>
      </c>
    </row>
    <row r="203" spans="2:22" ht="42" hidden="1">
      <c r="B203" s="6" t="str">
        <f>VLOOKUP(C203, [1]Definition!$D$5:$K$5665, 8, FALSE)</f>
        <v>Capital Goods</v>
      </c>
      <c r="C203" s="7">
        <v>846239</v>
      </c>
      <c r="D203" s="8" t="s">
        <v>487</v>
      </c>
      <c r="E203" s="17" t="s">
        <v>19</v>
      </c>
      <c r="F203" s="8"/>
      <c r="G203" s="8"/>
      <c r="H203" s="9" t="s">
        <v>65</v>
      </c>
      <c r="I203" s="9" t="s">
        <v>31</v>
      </c>
      <c r="J203" s="17" t="str">
        <f>_xlfn.IFNA(VLOOKUP(C203, '[2]Unique HS'!$B$4:$J$999, 9, FALSE), "No")</f>
        <v>No</v>
      </c>
      <c r="K203" s="18">
        <f>VLOOKUP(C203, '[1]India EXIM'!$B$6:$C$580, 2, FALSE)</f>
        <v>3.2817932192999999E-2</v>
      </c>
      <c r="L203" s="11">
        <f>VLOOKUP(C203, '[1]China EXIM'!$B$6:$D$580, 3, FALSE)</f>
        <v>0.29133711127399997</v>
      </c>
      <c r="M203" s="6"/>
      <c r="N203" s="6"/>
      <c r="O203" s="6"/>
      <c r="P203" s="10" t="s">
        <v>24</v>
      </c>
      <c r="Q203" s="9" t="s">
        <v>65</v>
      </c>
      <c r="U203" s="1" t="s">
        <v>25</v>
      </c>
    </row>
    <row r="204" spans="2:22" ht="27.95">
      <c r="B204" s="6" t="str">
        <f>VLOOKUP(C204, [1]Definition!$D$5:$K$5665, 8, FALSE)</f>
        <v>Capital Goods</v>
      </c>
      <c r="C204" s="7">
        <v>841920</v>
      </c>
      <c r="D204" s="8" t="s">
        <v>488</v>
      </c>
      <c r="E204" s="17" t="s">
        <v>119</v>
      </c>
      <c r="F204" s="8" t="s">
        <v>489</v>
      </c>
      <c r="G204" s="8" t="s">
        <v>490</v>
      </c>
      <c r="H204" s="9" t="s">
        <v>22</v>
      </c>
      <c r="I204" s="9" t="s">
        <v>491</v>
      </c>
      <c r="J204" s="17" t="str">
        <f>_xlfn.IFNA(VLOOKUP(C204, '[2]Unique HS'!$B$4:$J$999, 9, FALSE), "No")</f>
        <v>Yes</v>
      </c>
      <c r="K204" s="18">
        <f>VLOOKUP(C204, '[1]India EXIM'!$B$6:$C$580, 2, FALSE)</f>
        <v>3.4521047386000002E-2</v>
      </c>
      <c r="L204" s="11">
        <f>VLOOKUP(C204, '[1]China EXIM'!$B$6:$D$580, 3, FALSE)</f>
        <v>1.2508590092030001</v>
      </c>
      <c r="M204" s="6"/>
      <c r="N204" s="6"/>
      <c r="O204" s="6"/>
      <c r="P204" s="10" t="s">
        <v>24</v>
      </c>
      <c r="Q204" s="9" t="s">
        <v>22</v>
      </c>
      <c r="U204" s="1" t="s">
        <v>34</v>
      </c>
      <c r="V204" s="1" t="s">
        <v>113</v>
      </c>
    </row>
    <row r="205" spans="2:22" ht="42" hidden="1">
      <c r="B205" s="6" t="str">
        <f>VLOOKUP(C205, [1]Definition!$D$5:$K$5665, 8, FALSE)</f>
        <v>Capital Goods</v>
      </c>
      <c r="C205" s="7">
        <v>844391</v>
      </c>
      <c r="D205" s="8" t="s">
        <v>492</v>
      </c>
      <c r="E205" s="17" t="s">
        <v>19</v>
      </c>
      <c r="F205" s="8"/>
      <c r="G205" s="8"/>
      <c r="H205" s="9" t="s">
        <v>180</v>
      </c>
      <c r="I205" s="9" t="s">
        <v>181</v>
      </c>
      <c r="J205" s="17" t="str">
        <f>_xlfn.IFNA(VLOOKUP(C205, '[2]Unique HS'!$B$4:$J$999, 9, FALSE), "No")</f>
        <v>Yes</v>
      </c>
      <c r="K205" s="18">
        <f>VLOOKUP(C205, '[1]India EXIM'!$B$6:$C$580, 2, FALSE)</f>
        <v>3.2776755376999998E-2</v>
      </c>
      <c r="L205" s="11">
        <f>VLOOKUP(C205, '[1]China EXIM'!$B$6:$D$580, 3, FALSE)</f>
        <v>2.3987183655850002</v>
      </c>
      <c r="M205" s="6"/>
      <c r="N205" s="6"/>
      <c r="O205" s="6"/>
      <c r="P205" s="10" t="s">
        <v>24</v>
      </c>
      <c r="Q205" s="11" t="s">
        <v>182</v>
      </c>
      <c r="U205" s="1" t="s">
        <v>25</v>
      </c>
    </row>
    <row r="206" spans="2:22" ht="69.95" hidden="1">
      <c r="B206" s="6" t="str">
        <f>VLOOKUP(C206, [1]Definition!$D$5:$K$5665, 8, FALSE)</f>
        <v>Capital Goods</v>
      </c>
      <c r="C206" s="7">
        <v>847751</v>
      </c>
      <c r="D206" s="8" t="s">
        <v>493</v>
      </c>
      <c r="E206" s="17" t="s">
        <v>19</v>
      </c>
      <c r="F206" s="8"/>
      <c r="G206" s="8"/>
      <c r="H206" s="9" t="s">
        <v>52</v>
      </c>
      <c r="I206" s="9" t="s">
        <v>494</v>
      </c>
      <c r="J206" s="17" t="str">
        <f>_xlfn.IFNA(VLOOKUP(C206, '[2]Unique HS'!$B$4:$J$999, 9, FALSE), "No")</f>
        <v>No</v>
      </c>
      <c r="K206" s="18">
        <f>VLOOKUP(C206, '[1]India EXIM'!$B$6:$C$580, 2, FALSE)</f>
        <v>3.2357283179000003E-2</v>
      </c>
      <c r="L206" s="11">
        <f>VLOOKUP(C206, '[1]China EXIM'!$B$6:$D$580, 3, FALSE)</f>
        <v>0.44286583328100004</v>
      </c>
      <c r="M206" s="6"/>
      <c r="N206" s="6"/>
      <c r="O206" s="6"/>
      <c r="P206" s="10" t="s">
        <v>24</v>
      </c>
      <c r="Q206" s="9" t="s">
        <v>52</v>
      </c>
      <c r="S206" s="1" t="s">
        <v>33</v>
      </c>
      <c r="U206" s="1" t="s">
        <v>34</v>
      </c>
    </row>
    <row r="207" spans="2:22" ht="56.1" hidden="1">
      <c r="B207" s="6" t="str">
        <f>VLOOKUP(C207, [1]Definition!$D$5:$K$5665, 8, FALSE)</f>
        <v>Capital Goods</v>
      </c>
      <c r="C207" s="7">
        <v>847010</v>
      </c>
      <c r="D207" s="8" t="s">
        <v>495</v>
      </c>
      <c r="E207" s="17" t="s">
        <v>163</v>
      </c>
      <c r="F207" s="8"/>
      <c r="G207" s="8"/>
      <c r="H207" s="9" t="s">
        <v>496</v>
      </c>
      <c r="I207" s="9" t="s">
        <v>497</v>
      </c>
      <c r="J207" s="17" t="str">
        <f>_xlfn.IFNA(VLOOKUP(C207, '[2]Unique HS'!$B$4:$J$999, 9, FALSE), "No")</f>
        <v>Yes</v>
      </c>
      <c r="K207" s="18">
        <f>VLOOKUP(C207, '[1]India EXIM'!$B$6:$C$580, 2, FALSE)</f>
        <v>3.2107419157000001E-2</v>
      </c>
      <c r="L207" s="11">
        <f>VLOOKUP(C207, '[1]China EXIM'!$B$6:$D$580, 3, FALSE)</f>
        <v>0.66370427959799994</v>
      </c>
      <c r="M207" s="6"/>
      <c r="N207" s="6"/>
      <c r="O207" s="6"/>
      <c r="P207" s="10" t="s">
        <v>24</v>
      </c>
      <c r="Q207" s="9" t="s">
        <v>496</v>
      </c>
      <c r="U207" s="1" t="s">
        <v>25</v>
      </c>
    </row>
    <row r="208" spans="2:22" ht="42" hidden="1">
      <c r="B208" s="6" t="str">
        <f>VLOOKUP(C208, [1]Definition!$D$5:$K$5665, 8, FALSE)</f>
        <v>Capital Goods</v>
      </c>
      <c r="C208" s="7">
        <v>960610</v>
      </c>
      <c r="D208" s="8" t="s">
        <v>498</v>
      </c>
      <c r="E208" s="17" t="s">
        <v>27</v>
      </c>
      <c r="F208" s="8" t="s">
        <v>499</v>
      </c>
      <c r="G208" s="8" t="s">
        <v>500</v>
      </c>
      <c r="H208" s="9" t="s">
        <v>166</v>
      </c>
      <c r="I208" s="9" t="s">
        <v>201</v>
      </c>
      <c r="J208" s="17" t="str">
        <f>_xlfn.IFNA(VLOOKUP(C208, '[2]Unique HS'!$B$4:$J$999, 9, FALSE), "No")</f>
        <v>Yes</v>
      </c>
      <c r="K208" s="18">
        <f>VLOOKUP(C208, '[1]India EXIM'!$B$6:$C$580, 2, FALSE)</f>
        <v>3.2039943272999999E-2</v>
      </c>
      <c r="L208" s="11">
        <f>VLOOKUP(C208, '[1]China EXIM'!$B$6:$D$580, 3, FALSE)</f>
        <v>0.55107627081700006</v>
      </c>
      <c r="M208" s="6"/>
      <c r="N208" s="6"/>
      <c r="O208" s="6"/>
      <c r="P208" s="10" t="s">
        <v>24</v>
      </c>
      <c r="Q208" s="11" t="s">
        <v>55</v>
      </c>
      <c r="U208" s="1" t="s">
        <v>25</v>
      </c>
    </row>
    <row r="209" spans="2:22" ht="56.1" hidden="1">
      <c r="B209" s="6" t="str">
        <f>VLOOKUP(C209, [1]Definition!$D$5:$K$5665, 8, FALSE)</f>
        <v>Capital Goods</v>
      </c>
      <c r="C209" s="7">
        <v>901730</v>
      </c>
      <c r="D209" s="8" t="s">
        <v>501</v>
      </c>
      <c r="E209" s="17" t="s">
        <v>142</v>
      </c>
      <c r="F209" s="8" t="s">
        <v>502</v>
      </c>
      <c r="G209" s="8" t="s">
        <v>503</v>
      </c>
      <c r="H209" s="9" t="s">
        <v>166</v>
      </c>
      <c r="I209" s="9" t="s">
        <v>471</v>
      </c>
      <c r="J209" s="17" t="str">
        <f>_xlfn.IFNA(VLOOKUP(C209, '[2]Unique HS'!$B$4:$J$999, 9, FALSE), "No")</f>
        <v>Yes</v>
      </c>
      <c r="K209" s="18">
        <f>VLOOKUP(C209, '[1]India EXIM'!$B$6:$C$580, 2, FALSE)</f>
        <v>3.1253139842999995E-2</v>
      </c>
      <c r="L209" s="11">
        <f>VLOOKUP(C209, '[1]China EXIM'!$B$6:$D$580, 3, FALSE)</f>
        <v>0.78468209982899995</v>
      </c>
      <c r="M209" s="6"/>
      <c r="N209" s="6"/>
      <c r="O209" s="6"/>
      <c r="P209" s="10" t="s">
        <v>24</v>
      </c>
      <c r="Q209" s="11" t="s">
        <v>39</v>
      </c>
      <c r="U209" s="1" t="s">
        <v>25</v>
      </c>
    </row>
    <row r="210" spans="2:22" ht="27.95" hidden="1">
      <c r="B210" s="6" t="str">
        <f>VLOOKUP(C210, [1]Definition!$D$5:$K$5665, 8, FALSE)</f>
        <v>Capital Goods</v>
      </c>
      <c r="C210" s="7">
        <v>847910</v>
      </c>
      <c r="D210" s="8" t="s">
        <v>504</v>
      </c>
      <c r="E210" s="17" t="s">
        <v>19</v>
      </c>
      <c r="F210" s="8"/>
      <c r="G210" s="8"/>
      <c r="H210" s="9" t="s">
        <v>58</v>
      </c>
      <c r="I210" s="9" t="s">
        <v>505</v>
      </c>
      <c r="J210" s="17" t="str">
        <f>_xlfn.IFNA(VLOOKUP(C210, '[2]Unique HS'!$B$4:$J$999, 9, FALSE), "No")</f>
        <v>Yes</v>
      </c>
      <c r="K210" s="18">
        <f>VLOOKUP(C210, '[1]India EXIM'!$B$6:$C$580, 2, FALSE)</f>
        <v>3.0755147808999999E-2</v>
      </c>
      <c r="L210" s="11">
        <f>VLOOKUP(C210, '[1]China EXIM'!$B$6:$D$580, 3, FALSE)</f>
        <v>3.3600481110900002</v>
      </c>
      <c r="M210" s="6"/>
      <c r="N210" s="6"/>
      <c r="O210" s="6"/>
      <c r="P210" s="10" t="s">
        <v>24</v>
      </c>
      <c r="Q210" s="9" t="s">
        <v>58</v>
      </c>
      <c r="U210" s="1" t="s">
        <v>25</v>
      </c>
    </row>
    <row r="211" spans="2:22" ht="69.95" hidden="1">
      <c r="B211" s="6" t="str">
        <f>VLOOKUP(C211, [1]Definition!$D$5:$K$5665, 8, FALSE)</f>
        <v>Capital Goods</v>
      </c>
      <c r="C211" s="7">
        <v>843930</v>
      </c>
      <c r="D211" s="8" t="s">
        <v>506</v>
      </c>
      <c r="E211" s="17" t="s">
        <v>19</v>
      </c>
      <c r="F211" s="8"/>
      <c r="G211" s="8"/>
      <c r="H211" s="9" t="s">
        <v>22</v>
      </c>
      <c r="I211" s="9" t="s">
        <v>252</v>
      </c>
      <c r="J211" s="17" t="str">
        <f>_xlfn.IFNA(VLOOKUP(C211, '[2]Unique HS'!$B$4:$J$999, 9, FALSE), "No")</f>
        <v>No</v>
      </c>
      <c r="K211" s="18">
        <f>VLOOKUP(C211, '[1]India EXIM'!$B$6:$C$580, 2, FALSE)</f>
        <v>3.0397731394E-2</v>
      </c>
      <c r="L211" s="11">
        <f>VLOOKUP(C211, '[1]China EXIM'!$B$6:$D$580, 3, FALSE)</f>
        <v>0.78826712964300005</v>
      </c>
      <c r="M211" s="6" t="s">
        <v>253</v>
      </c>
      <c r="N211" s="6"/>
      <c r="O211" s="6"/>
      <c r="P211" s="10" t="s">
        <v>24</v>
      </c>
      <c r="Q211" s="11" t="s">
        <v>182</v>
      </c>
      <c r="U211" s="1" t="s">
        <v>25</v>
      </c>
    </row>
    <row r="212" spans="2:22" ht="27.95" hidden="1">
      <c r="B212" s="6" t="str">
        <f>VLOOKUP(C212, [1]Definition!$D$5:$K$5665, 8, FALSE)</f>
        <v>Capital Goods</v>
      </c>
      <c r="C212" s="7">
        <v>850433</v>
      </c>
      <c r="D212" s="8" t="s">
        <v>507</v>
      </c>
      <c r="E212" s="17" t="s">
        <v>27</v>
      </c>
      <c r="F212" s="8" t="s">
        <v>508</v>
      </c>
      <c r="G212" s="8" t="s">
        <v>509</v>
      </c>
      <c r="H212" s="9" t="s">
        <v>30</v>
      </c>
      <c r="I212" s="9" t="s">
        <v>31</v>
      </c>
      <c r="J212" s="17" t="str">
        <f>_xlfn.IFNA(VLOOKUP(C212, '[2]Unique HS'!$B$4:$J$999, 9, FALSE), "No")</f>
        <v>Yes</v>
      </c>
      <c r="K212" s="22">
        <f>VLOOKUP(C212, '[1]India EXIM'!$B$6:$C$580, 2, FALSE)</f>
        <v>3.0344638638E-2</v>
      </c>
      <c r="L212" s="11">
        <f>VLOOKUP(C212, '[1]China EXIM'!$B$6:$D$580, 3, FALSE)</f>
        <v>1.5922873954319998</v>
      </c>
      <c r="M212" s="6" t="s">
        <v>32</v>
      </c>
      <c r="N212" s="6"/>
      <c r="O212" s="6"/>
      <c r="P212" s="10" t="s">
        <v>24</v>
      </c>
      <c r="Q212" s="9" t="s">
        <v>30</v>
      </c>
      <c r="S212" s="1" t="s">
        <v>33</v>
      </c>
      <c r="U212" s="1" t="s">
        <v>34</v>
      </c>
    </row>
    <row r="213" spans="2:22" ht="42" hidden="1">
      <c r="B213" s="6" t="str">
        <f>VLOOKUP(C213, [1]Definition!$D$5:$K$5665, 8, FALSE)</f>
        <v>Capital Goods</v>
      </c>
      <c r="C213" s="7">
        <v>842511</v>
      </c>
      <c r="D213" s="8" t="s">
        <v>510</v>
      </c>
      <c r="E213" s="17" t="s">
        <v>19</v>
      </c>
      <c r="F213" s="8"/>
      <c r="G213" s="8"/>
      <c r="H213" s="9" t="s">
        <v>58</v>
      </c>
      <c r="I213" s="9" t="s">
        <v>511</v>
      </c>
      <c r="J213" s="17" t="str">
        <f>_xlfn.IFNA(VLOOKUP(C213, '[2]Unique HS'!$B$4:$J$999, 9, FALSE), "No")</f>
        <v>No</v>
      </c>
      <c r="K213" s="18">
        <f>VLOOKUP(C213, '[1]India EXIM'!$B$6:$C$580, 2, FALSE)</f>
        <v>3.0094886103999997E-2</v>
      </c>
      <c r="L213" s="11">
        <f>VLOOKUP(C213, '[1]China EXIM'!$B$6:$D$580, 3, FALSE)</f>
        <v>1.3036309544619999</v>
      </c>
      <c r="M213" s="9" t="s">
        <v>59</v>
      </c>
      <c r="N213" s="9"/>
      <c r="O213" s="6"/>
      <c r="P213" s="10" t="s">
        <v>24</v>
      </c>
      <c r="Q213" s="9" t="s">
        <v>58</v>
      </c>
      <c r="U213" s="1" t="s">
        <v>25</v>
      </c>
    </row>
    <row r="214" spans="2:22" ht="27.95" hidden="1">
      <c r="B214" s="6" t="str">
        <f>VLOOKUP(C214, [1]Definition!$D$5:$K$5665, 8, FALSE)</f>
        <v>Capital Goods</v>
      </c>
      <c r="C214" s="7">
        <v>844317</v>
      </c>
      <c r="D214" s="8" t="s">
        <v>512</v>
      </c>
      <c r="E214" s="17" t="s">
        <v>19</v>
      </c>
      <c r="F214" s="8"/>
      <c r="G214" s="8"/>
      <c r="H214" s="9" t="s">
        <v>180</v>
      </c>
      <c r="I214" s="9" t="s">
        <v>181</v>
      </c>
      <c r="J214" s="17" t="str">
        <f>_xlfn.IFNA(VLOOKUP(C214, '[2]Unique HS'!$B$4:$J$999, 9, FALSE), "No")</f>
        <v>No</v>
      </c>
      <c r="K214" s="18">
        <f>VLOOKUP(C214, '[1]India EXIM'!$B$6:$C$580, 2, FALSE)</f>
        <v>2.9865455377E-2</v>
      </c>
      <c r="L214" s="11">
        <f>VLOOKUP(C214, '[1]China EXIM'!$B$6:$D$580, 3, FALSE)</f>
        <v>0.26310089732399999</v>
      </c>
      <c r="M214" s="6"/>
      <c r="N214" s="6"/>
      <c r="O214" s="6"/>
      <c r="P214" s="10" t="s">
        <v>24</v>
      </c>
      <c r="Q214" s="11" t="s">
        <v>182</v>
      </c>
      <c r="U214" s="1" t="s">
        <v>25</v>
      </c>
    </row>
    <row r="215" spans="2:22" ht="27.95" hidden="1">
      <c r="B215" s="6" t="str">
        <f>VLOOKUP(C215, [1]Definition!$D$5:$K$5665, 8, FALSE)</f>
        <v>Capital Goods</v>
      </c>
      <c r="C215" s="7">
        <v>850434</v>
      </c>
      <c r="D215" s="8" t="s">
        <v>513</v>
      </c>
      <c r="E215" s="17" t="s">
        <v>27</v>
      </c>
      <c r="F215" s="8" t="s">
        <v>514</v>
      </c>
      <c r="G215" s="8" t="s">
        <v>515</v>
      </c>
      <c r="H215" s="9" t="s">
        <v>30</v>
      </c>
      <c r="I215" s="9" t="s">
        <v>31</v>
      </c>
      <c r="J215" s="17" t="str">
        <f>_xlfn.IFNA(VLOOKUP(C215, '[2]Unique HS'!$B$4:$J$999, 9, FALSE), "No")</f>
        <v>Yes</v>
      </c>
      <c r="K215" s="22">
        <f>VLOOKUP(C215, '[1]India EXIM'!$B$6:$C$580, 2, FALSE)</f>
        <v>2.9582884556000003E-2</v>
      </c>
      <c r="L215" s="11">
        <f>VLOOKUP(C215, '[1]China EXIM'!$B$6:$D$580, 3, FALSE)</f>
        <v>1.8455879194930001</v>
      </c>
      <c r="M215" s="6" t="s">
        <v>32</v>
      </c>
      <c r="N215" s="6"/>
      <c r="O215" s="6"/>
      <c r="P215" s="10" t="s">
        <v>24</v>
      </c>
      <c r="Q215" s="9" t="s">
        <v>30</v>
      </c>
      <c r="S215" s="1" t="s">
        <v>136</v>
      </c>
      <c r="U215" s="1" t="s">
        <v>34</v>
      </c>
    </row>
    <row r="216" spans="2:22" ht="56.1" hidden="1">
      <c r="B216" s="6" t="str">
        <f>VLOOKUP(C216, [1]Definition!$D$5:$K$5665, 8, FALSE)</f>
        <v>Capital Goods</v>
      </c>
      <c r="C216" s="7">
        <v>841940</v>
      </c>
      <c r="D216" s="8" t="s">
        <v>516</v>
      </c>
      <c r="E216" s="17" t="s">
        <v>19</v>
      </c>
      <c r="F216" s="8" t="s">
        <v>517</v>
      </c>
      <c r="G216" s="8"/>
      <c r="H216" s="9" t="s">
        <v>22</v>
      </c>
      <c r="I216" s="9" t="s">
        <v>74</v>
      </c>
      <c r="J216" s="17" t="str">
        <f>_xlfn.IFNA(VLOOKUP(C216, '[2]Unique HS'!$B$4:$J$999, 9, FALSE), "No")</f>
        <v>Yes</v>
      </c>
      <c r="K216" s="18">
        <f>VLOOKUP(C216, '[1]India EXIM'!$B$6:$C$580, 2, FALSE)</f>
        <v>2.9402068614E-2</v>
      </c>
      <c r="L216" s="11">
        <f>VLOOKUP(C216, '[1]China EXIM'!$B$6:$D$580, 3, FALSE)</f>
        <v>1.389044602747</v>
      </c>
      <c r="M216" s="6"/>
      <c r="N216" s="6"/>
      <c r="O216" s="6"/>
      <c r="P216" s="10" t="s">
        <v>24</v>
      </c>
      <c r="Q216" s="9" t="s">
        <v>22</v>
      </c>
      <c r="S216" s="1" t="s">
        <v>136</v>
      </c>
      <c r="U216" s="1" t="s">
        <v>34</v>
      </c>
    </row>
    <row r="217" spans="2:22" ht="69.95" hidden="1">
      <c r="B217" s="6" t="str">
        <f>VLOOKUP(C217, [1]Definition!$D$5:$K$5665, 8, FALSE)</f>
        <v>Capital Goods</v>
      </c>
      <c r="C217" s="7">
        <v>902580</v>
      </c>
      <c r="D217" s="8" t="s">
        <v>518</v>
      </c>
      <c r="E217" s="17" t="s">
        <v>19</v>
      </c>
      <c r="F217" s="8" t="s">
        <v>519</v>
      </c>
      <c r="G217" s="8" t="s">
        <v>520</v>
      </c>
      <c r="H217" s="9" t="s">
        <v>22</v>
      </c>
      <c r="I217" s="9" t="s">
        <v>140</v>
      </c>
      <c r="J217" s="17" t="str">
        <f>_xlfn.IFNA(VLOOKUP(C217, '[2]Unique HS'!$B$4:$J$999, 9, FALSE), "No")</f>
        <v>Yes</v>
      </c>
      <c r="K217" s="18">
        <f>VLOOKUP(C217, '[1]India EXIM'!$B$6:$C$580, 2, FALSE)</f>
        <v>2.9271225416E-2</v>
      </c>
      <c r="L217" s="11">
        <f>VLOOKUP(C217, '[1]China EXIM'!$B$6:$D$580, 3, FALSE)</f>
        <v>1.7324008354360001</v>
      </c>
      <c r="M217" s="6"/>
      <c r="N217" s="6"/>
      <c r="O217" s="6"/>
      <c r="P217" s="10" t="s">
        <v>24</v>
      </c>
      <c r="Q217" s="11" t="s">
        <v>39</v>
      </c>
      <c r="U217" s="1" t="s">
        <v>25</v>
      </c>
    </row>
    <row r="218" spans="2:22" ht="27.95" hidden="1">
      <c r="B218" s="6" t="str">
        <f>VLOOKUP(C218, [1]Definition!$D$5:$K$5665, 8, FALSE)</f>
        <v>Capital Goods</v>
      </c>
      <c r="C218" s="7">
        <v>842420</v>
      </c>
      <c r="D218" s="8" t="s">
        <v>521</v>
      </c>
      <c r="E218" s="17" t="s">
        <v>19</v>
      </c>
      <c r="F218" s="8" t="s">
        <v>522</v>
      </c>
      <c r="G218" s="8" t="s">
        <v>523</v>
      </c>
      <c r="H218" s="9" t="s">
        <v>22</v>
      </c>
      <c r="I218" s="9" t="s">
        <v>524</v>
      </c>
      <c r="J218" s="17" t="str">
        <f>_xlfn.IFNA(VLOOKUP(C218, '[2]Unique HS'!$B$4:$J$999, 9, FALSE), "No")</f>
        <v>Yes</v>
      </c>
      <c r="K218" s="18">
        <f>VLOOKUP(C218, '[1]India EXIM'!$B$6:$C$580, 2, FALSE)</f>
        <v>2.9101289975999999E-2</v>
      </c>
      <c r="L218" s="11">
        <f>VLOOKUP(C218, '[1]China EXIM'!$B$6:$D$580, 3, FALSE)</f>
        <v>2.229606272501</v>
      </c>
      <c r="M218" s="6"/>
      <c r="N218" s="6"/>
      <c r="O218" s="6"/>
      <c r="P218" s="10" t="s">
        <v>24</v>
      </c>
      <c r="Q218" s="9" t="s">
        <v>22</v>
      </c>
      <c r="U218" s="1" t="s">
        <v>25</v>
      </c>
      <c r="V218" s="1" t="s">
        <v>113</v>
      </c>
    </row>
    <row r="219" spans="2:22" ht="69.95" hidden="1">
      <c r="B219" s="6" t="str">
        <f>VLOOKUP(C219, [1]Definition!$D$5:$K$5665, 8, FALSE)</f>
        <v>Capital Goods</v>
      </c>
      <c r="C219" s="7">
        <v>843910</v>
      </c>
      <c r="D219" s="8" t="s">
        <v>525</v>
      </c>
      <c r="E219" s="17" t="s">
        <v>19</v>
      </c>
      <c r="F219" s="8"/>
      <c r="G219" s="8"/>
      <c r="H219" s="9" t="s">
        <v>22</v>
      </c>
      <c r="I219" s="9" t="s">
        <v>252</v>
      </c>
      <c r="J219" s="17" t="str">
        <f>_xlfn.IFNA(VLOOKUP(C219, '[2]Unique HS'!$B$4:$J$999, 9, FALSE), "No")</f>
        <v>No</v>
      </c>
      <c r="K219" s="18">
        <f>VLOOKUP(C219, '[1]India EXIM'!$B$6:$C$580, 2, FALSE)</f>
        <v>2.8967591728000001E-2</v>
      </c>
      <c r="L219" s="11">
        <f>VLOOKUP(C219, '[1]China EXIM'!$B$6:$D$580, 3, FALSE)</f>
        <v>0.43554344337799999</v>
      </c>
      <c r="M219" s="6" t="s">
        <v>253</v>
      </c>
      <c r="N219" s="6"/>
      <c r="O219" s="6"/>
      <c r="P219" s="10" t="s">
        <v>24</v>
      </c>
      <c r="Q219" s="11" t="s">
        <v>182</v>
      </c>
      <c r="U219" s="1" t="s">
        <v>25</v>
      </c>
    </row>
    <row r="220" spans="2:22" ht="56.1" hidden="1">
      <c r="B220" s="6" t="str">
        <f>VLOOKUP(C220, [1]Definition!$D$5:$K$5665, 8, FALSE)</f>
        <v>Capital Goods</v>
      </c>
      <c r="C220" s="7">
        <v>761290</v>
      </c>
      <c r="D220" s="8" t="s">
        <v>526</v>
      </c>
      <c r="E220" s="17" t="s">
        <v>163</v>
      </c>
      <c r="F220" s="8"/>
      <c r="G220" s="8" t="s">
        <v>527</v>
      </c>
      <c r="H220" s="9" t="s">
        <v>22</v>
      </c>
      <c r="I220" s="9" t="s">
        <v>528</v>
      </c>
      <c r="J220" s="17" t="str">
        <f>_xlfn.IFNA(VLOOKUP(C220, '[2]Unique HS'!$B$4:$J$999, 9, FALSE), "No")</f>
        <v>No</v>
      </c>
      <c r="K220" s="18">
        <f>VLOOKUP(C220, '[1]India EXIM'!$B$6:$C$580, 2, FALSE)</f>
        <v>2.8441047745E-2</v>
      </c>
      <c r="L220" s="11">
        <f>VLOOKUP(C220, '[1]China EXIM'!$B$6:$D$580, 3, FALSE)</f>
        <v>6.3009560373470004</v>
      </c>
      <c r="M220" s="6" t="s">
        <v>201</v>
      </c>
      <c r="N220" s="6"/>
      <c r="O220" s="9"/>
      <c r="P220" s="10" t="s">
        <v>24</v>
      </c>
      <c r="Q220" s="9" t="s">
        <v>22</v>
      </c>
      <c r="S220" s="1" t="s">
        <v>33</v>
      </c>
      <c r="U220" s="1" t="s">
        <v>34</v>
      </c>
    </row>
    <row r="221" spans="2:22" ht="42" hidden="1">
      <c r="B221" s="6" t="str">
        <f>VLOOKUP(C221, [1]Definition!$D$5:$K$5665, 8, FALSE)</f>
        <v>Capital Goods</v>
      </c>
      <c r="C221" s="7">
        <v>842449</v>
      </c>
      <c r="D221" s="8" t="s">
        <v>529</v>
      </c>
      <c r="E221" s="17" t="s">
        <v>19</v>
      </c>
      <c r="F221" s="8" t="s">
        <v>530</v>
      </c>
      <c r="G221" s="8"/>
      <c r="H221" s="9" t="s">
        <v>22</v>
      </c>
      <c r="I221" s="9" t="s">
        <v>38</v>
      </c>
      <c r="J221" s="17" t="str">
        <f>_xlfn.IFNA(VLOOKUP(C221, '[2]Unique HS'!$B$4:$J$999, 9, FALSE), "No")</f>
        <v>Yes</v>
      </c>
      <c r="K221" s="18">
        <f>VLOOKUP(C221, '[1]India EXIM'!$B$6:$C$580, 2, FALSE)</f>
        <v>2.8313323357999999E-2</v>
      </c>
      <c r="L221" s="11">
        <f>VLOOKUP(C221, '[1]China EXIM'!$B$6:$D$580, 3, FALSE)</f>
        <v>1.171731022301</v>
      </c>
      <c r="M221" s="6" t="s">
        <v>160</v>
      </c>
      <c r="N221" s="6"/>
      <c r="O221" s="6"/>
      <c r="P221" s="10" t="s">
        <v>24</v>
      </c>
      <c r="Q221" s="9" t="s">
        <v>161</v>
      </c>
      <c r="U221" s="1" t="s">
        <v>25</v>
      </c>
    </row>
    <row r="222" spans="2:22" ht="27.95" hidden="1">
      <c r="B222" s="6" t="str">
        <f>VLOOKUP(C222, [1]Definition!$D$5:$K$5665, 8, FALSE)</f>
        <v>Capital Goods</v>
      </c>
      <c r="C222" s="7">
        <v>820740</v>
      </c>
      <c r="D222" s="8" t="s">
        <v>531</v>
      </c>
      <c r="E222" s="17" t="s">
        <v>19</v>
      </c>
      <c r="F222" s="8"/>
      <c r="G222" s="8"/>
      <c r="H222" s="9" t="s">
        <v>65</v>
      </c>
      <c r="I222" s="9" t="s">
        <v>532</v>
      </c>
      <c r="J222" s="17" t="str">
        <f>_xlfn.IFNA(VLOOKUP(C222, '[2]Unique HS'!$B$4:$J$999, 9, FALSE), "No")</f>
        <v>Yes</v>
      </c>
      <c r="K222" s="18">
        <f>VLOOKUP(C222, '[1]India EXIM'!$B$6:$C$580, 2, FALSE)</f>
        <v>2.8154091685E-2</v>
      </c>
      <c r="L222" s="11">
        <f>VLOOKUP(C222, '[1]China EXIM'!$B$6:$D$580, 3, FALSE)</f>
        <v>1.1744374112390001</v>
      </c>
      <c r="M222" s="6" t="s">
        <v>201</v>
      </c>
      <c r="N222" s="6"/>
      <c r="O222" s="6"/>
      <c r="P222" s="10" t="s">
        <v>24</v>
      </c>
      <c r="Q222" s="11" t="s">
        <v>202</v>
      </c>
      <c r="U222" s="1" t="s">
        <v>25</v>
      </c>
    </row>
    <row r="223" spans="2:22" ht="69.95" hidden="1">
      <c r="B223" s="6" t="str">
        <f>VLOOKUP(C223, [1]Definition!$D$5:$K$5665, 8, FALSE)</f>
        <v>Capital Goods</v>
      </c>
      <c r="C223" s="7">
        <v>846226</v>
      </c>
      <c r="D223" s="8" t="s">
        <v>533</v>
      </c>
      <c r="E223" s="17" t="s">
        <v>19</v>
      </c>
      <c r="F223" s="8"/>
      <c r="G223" s="8"/>
      <c r="H223" s="9" t="s">
        <v>65</v>
      </c>
      <c r="I223" s="9" t="s">
        <v>31</v>
      </c>
      <c r="J223" s="17" t="str">
        <f>_xlfn.IFNA(VLOOKUP(C223, '[2]Unique HS'!$B$4:$J$999, 9, FALSE), "No")</f>
        <v>No</v>
      </c>
      <c r="K223" s="18">
        <f>VLOOKUP(C223, '[1]India EXIM'!$B$6:$C$580, 2, FALSE)</f>
        <v>2.7504413798000001E-2</v>
      </c>
      <c r="L223" s="11">
        <f>VLOOKUP(C223, '[1]China EXIM'!$B$6:$D$580, 3, FALSE)</f>
        <v>0.602499278699</v>
      </c>
      <c r="M223" s="6"/>
      <c r="N223" s="6"/>
      <c r="O223" s="6"/>
      <c r="P223" s="10" t="s">
        <v>24</v>
      </c>
      <c r="Q223" s="9" t="s">
        <v>65</v>
      </c>
      <c r="U223" s="1" t="s">
        <v>25</v>
      </c>
    </row>
    <row r="224" spans="2:22" ht="27.95" hidden="1">
      <c r="B224" s="6" t="str">
        <f>VLOOKUP(C224, [1]Definition!$D$5:$K$5665, 8, FALSE)</f>
        <v>Capital Goods</v>
      </c>
      <c r="C224" s="7">
        <v>845690</v>
      </c>
      <c r="D224" s="8" t="s">
        <v>534</v>
      </c>
      <c r="E224" s="17" t="s">
        <v>19</v>
      </c>
      <c r="F224" s="8"/>
      <c r="G224" s="8"/>
      <c r="H224" s="9" t="s">
        <v>65</v>
      </c>
      <c r="I224" s="9" t="s">
        <v>31</v>
      </c>
      <c r="J224" s="17" t="str">
        <f>_xlfn.IFNA(VLOOKUP(C224, '[2]Unique HS'!$B$4:$J$999, 9, FALSE), "No")</f>
        <v>Yes</v>
      </c>
      <c r="K224" s="18">
        <f>VLOOKUP(C224, '[1]India EXIM'!$B$6:$C$580, 2, FALSE)</f>
        <v>2.7341981206999998E-2</v>
      </c>
      <c r="L224" s="11">
        <f>VLOOKUP(C224, '[1]China EXIM'!$B$6:$D$580, 3, FALSE)</f>
        <v>0.28861160058399998</v>
      </c>
      <c r="M224" s="6"/>
      <c r="N224" s="6"/>
      <c r="O224" s="6"/>
      <c r="P224" s="10" t="s">
        <v>24</v>
      </c>
      <c r="Q224" s="9" t="s">
        <v>65</v>
      </c>
      <c r="U224" s="1" t="s">
        <v>25</v>
      </c>
    </row>
    <row r="225" spans="2:22" ht="27.95" hidden="1">
      <c r="B225" s="6" t="str">
        <f>VLOOKUP(C225, [1]Definition!$D$5:$K$5665, 8, FALSE)</f>
        <v>Capital Goods</v>
      </c>
      <c r="C225" s="7">
        <v>853540</v>
      </c>
      <c r="D225" s="8" t="s">
        <v>535</v>
      </c>
      <c r="E225" s="17" t="s">
        <v>27</v>
      </c>
      <c r="F225" s="8" t="s">
        <v>536</v>
      </c>
      <c r="G225" s="8" t="s">
        <v>171</v>
      </c>
      <c r="H225" s="9" t="s">
        <v>30</v>
      </c>
      <c r="I225" s="9" t="s">
        <v>172</v>
      </c>
      <c r="J225" s="17" t="str">
        <f>_xlfn.IFNA(VLOOKUP(C225, '[2]Unique HS'!$B$4:$J$999, 9, FALSE), "No")</f>
        <v>Yes</v>
      </c>
      <c r="K225" s="22">
        <f>VLOOKUP(C225, '[1]India EXIM'!$B$6:$C$580, 2, FALSE)</f>
        <v>2.7255916562E-2</v>
      </c>
      <c r="L225" s="11">
        <f>VLOOKUP(C225, '[1]China EXIM'!$B$6:$D$580, 3, FALSE)</f>
        <v>0.60129648877800002</v>
      </c>
      <c r="M225" s="6"/>
      <c r="N225" s="6"/>
      <c r="O225" s="6"/>
      <c r="P225" s="10" t="s">
        <v>24</v>
      </c>
      <c r="Q225" s="9" t="s">
        <v>30</v>
      </c>
      <c r="S225" s="1" t="s">
        <v>43</v>
      </c>
      <c r="U225" s="1" t="s">
        <v>25</v>
      </c>
    </row>
    <row r="226" spans="2:22" ht="27.95" hidden="1">
      <c r="B226" s="6" t="str">
        <f>VLOOKUP(C226, [1]Definition!$D$5:$K$5665, 8, FALSE)</f>
        <v>Capital Goods</v>
      </c>
      <c r="C226" s="7">
        <v>962000</v>
      </c>
      <c r="D226" s="8" t="s">
        <v>537</v>
      </c>
      <c r="E226" s="17" t="s">
        <v>205</v>
      </c>
      <c r="F226" s="8" t="s">
        <v>538</v>
      </c>
      <c r="G226" s="8" t="s">
        <v>539</v>
      </c>
      <c r="H226" s="9" t="s">
        <v>166</v>
      </c>
      <c r="I226" s="9" t="s">
        <v>201</v>
      </c>
      <c r="J226" s="17" t="str">
        <f>_xlfn.IFNA(VLOOKUP(C226, '[2]Unique HS'!$B$4:$J$999, 9, FALSE), "No")</f>
        <v>Yes</v>
      </c>
      <c r="K226" s="18">
        <f>VLOOKUP(C226, '[1]India EXIM'!$B$6:$C$580, 2, FALSE)</f>
        <v>2.7167896565000002E-2</v>
      </c>
      <c r="L226" s="11">
        <f>VLOOKUP(C226, '[1]China EXIM'!$B$6:$D$580, 3, FALSE)</f>
        <v>0.94283574407699999</v>
      </c>
      <c r="M226" s="6"/>
      <c r="N226" s="6"/>
      <c r="O226" s="6"/>
      <c r="P226" s="10" t="s">
        <v>24</v>
      </c>
      <c r="Q226" s="11" t="s">
        <v>466</v>
      </c>
      <c r="U226" s="1" t="s">
        <v>25</v>
      </c>
    </row>
    <row r="227" spans="2:22" ht="27.95" hidden="1">
      <c r="B227" s="6" t="str">
        <f>VLOOKUP(C227, [1]Definition!$D$5:$K$5665, 8, FALSE)</f>
        <v>Capital Goods</v>
      </c>
      <c r="C227" s="7">
        <v>846269</v>
      </c>
      <c r="D227" s="8" t="s">
        <v>540</v>
      </c>
      <c r="E227" s="17" t="s">
        <v>19</v>
      </c>
      <c r="F227" s="8"/>
      <c r="G227" s="8"/>
      <c r="H227" s="9" t="s">
        <v>65</v>
      </c>
      <c r="I227" s="9" t="s">
        <v>31</v>
      </c>
      <c r="J227" s="17" t="str">
        <f>_xlfn.IFNA(VLOOKUP(C227, '[2]Unique HS'!$B$4:$J$999, 9, FALSE), "No")</f>
        <v>No</v>
      </c>
      <c r="K227" s="18">
        <f>VLOOKUP(C227, '[1]India EXIM'!$B$6:$C$580, 2, FALSE)</f>
        <v>2.6760975469000001E-2</v>
      </c>
      <c r="L227" s="11">
        <f>VLOOKUP(C227, '[1]China EXIM'!$B$6:$D$580, 3, FALSE)</f>
        <v>0.114848270037</v>
      </c>
      <c r="M227" s="6"/>
      <c r="N227" s="6"/>
      <c r="O227" s="6"/>
      <c r="P227" s="10" t="s">
        <v>24</v>
      </c>
      <c r="Q227" s="9" t="s">
        <v>65</v>
      </c>
      <c r="U227" s="1" t="s">
        <v>25</v>
      </c>
    </row>
    <row r="228" spans="2:22" ht="27.95" hidden="1">
      <c r="B228" s="6" t="str">
        <f>VLOOKUP(C228, [1]Definition!$D$5:$K$5665, 8, FALSE)</f>
        <v>Capital Goods</v>
      </c>
      <c r="C228" s="7">
        <v>845819</v>
      </c>
      <c r="D228" s="8" t="s">
        <v>541</v>
      </c>
      <c r="E228" s="17" t="s">
        <v>19</v>
      </c>
      <c r="F228" s="8"/>
      <c r="G228" s="8"/>
      <c r="H228" s="9" t="s">
        <v>65</v>
      </c>
      <c r="I228" s="9" t="s">
        <v>174</v>
      </c>
      <c r="J228" s="17" t="str">
        <f>_xlfn.IFNA(VLOOKUP(C228, '[2]Unique HS'!$B$4:$J$999, 9, FALSE), "No")</f>
        <v>No</v>
      </c>
      <c r="K228" s="18">
        <f>VLOOKUP(C228, '[1]India EXIM'!$B$6:$C$580, 2, FALSE)</f>
        <v>2.6459069801999999E-2</v>
      </c>
      <c r="L228" s="11">
        <f>VLOOKUP(C228, '[1]China EXIM'!$B$6:$D$580, 3, FALSE)</f>
        <v>0.38012057104900004</v>
      </c>
      <c r="M228" s="6"/>
      <c r="N228" s="6"/>
      <c r="O228" s="6"/>
      <c r="P228" s="10" t="s">
        <v>24</v>
      </c>
      <c r="Q228" s="9" t="s">
        <v>65</v>
      </c>
      <c r="U228" s="1" t="s">
        <v>34</v>
      </c>
      <c r="V228" s="1" t="s">
        <v>542</v>
      </c>
    </row>
    <row r="229" spans="2:22" ht="27.95" hidden="1">
      <c r="B229" s="6" t="str">
        <f>VLOOKUP(C229, [1]Definition!$D$5:$K$5665, 8, FALSE)</f>
        <v>Capital Goods</v>
      </c>
      <c r="C229" s="7">
        <v>844010</v>
      </c>
      <c r="D229" s="8" t="s">
        <v>543</v>
      </c>
      <c r="E229" s="17" t="s">
        <v>19</v>
      </c>
      <c r="F229" s="8"/>
      <c r="G229" s="8"/>
      <c r="H229" s="9" t="s">
        <v>180</v>
      </c>
      <c r="I229" s="9" t="s">
        <v>544</v>
      </c>
      <c r="J229" s="17" t="str">
        <f>_xlfn.IFNA(VLOOKUP(C229, '[2]Unique HS'!$B$4:$J$999, 9, FALSE), "No")</f>
        <v>No</v>
      </c>
      <c r="K229" s="18">
        <f>VLOOKUP(C229, '[1]India EXIM'!$B$6:$C$580, 2, FALSE)</f>
        <v>2.6268873905999999E-2</v>
      </c>
      <c r="L229" s="11">
        <f>VLOOKUP(C229, '[1]China EXIM'!$B$6:$D$580, 3, FALSE)</f>
        <v>0.67765983825199994</v>
      </c>
      <c r="M229" s="6"/>
      <c r="N229" s="6"/>
      <c r="O229" s="6"/>
      <c r="P229" s="10" t="s">
        <v>24</v>
      </c>
      <c r="Q229" s="11" t="s">
        <v>182</v>
      </c>
      <c r="U229" s="1" t="s">
        <v>25</v>
      </c>
    </row>
    <row r="230" spans="2:22">
      <c r="B230" s="6" t="str">
        <f>VLOOKUP(C230, [1]Definition!$D$5:$K$5665, 8, FALSE)</f>
        <v>Capital Goods</v>
      </c>
      <c r="C230" s="7">
        <v>821300</v>
      </c>
      <c r="D230" s="8" t="s">
        <v>545</v>
      </c>
      <c r="E230" s="17" t="s">
        <v>119</v>
      </c>
      <c r="F230" s="8"/>
      <c r="G230" s="8"/>
      <c r="H230" s="9" t="s">
        <v>55</v>
      </c>
      <c r="I230" s="9" t="s">
        <v>546</v>
      </c>
      <c r="J230" s="17" t="str">
        <f>_xlfn.IFNA(VLOOKUP(C230, '[2]Unique HS'!$B$4:$J$999, 9, FALSE), "No")</f>
        <v>Yes</v>
      </c>
      <c r="K230" s="18">
        <f>VLOOKUP(C230, '[1]India EXIM'!$B$6:$C$580, 2, FALSE)</f>
        <v>1.2219486073999999E-2</v>
      </c>
      <c r="L230" s="11">
        <f>VLOOKUP(C230, '[1]China EXIM'!$B$6:$D$580, 3, FALSE)</f>
        <v>1.0500670898539999</v>
      </c>
      <c r="M230" s="6" t="s">
        <v>210</v>
      </c>
      <c r="N230" s="6"/>
      <c r="O230" s="6" t="s">
        <v>547</v>
      </c>
      <c r="P230" s="10" t="s">
        <v>24</v>
      </c>
      <c r="Q230" s="11" t="s">
        <v>55</v>
      </c>
      <c r="U230" s="1" t="s">
        <v>34</v>
      </c>
    </row>
    <row r="231" spans="2:22" ht="27.95" hidden="1">
      <c r="B231" s="6" t="str">
        <f>VLOOKUP(C231, [1]Definition!$D$5:$K$5665, 8, FALSE)</f>
        <v>Capital Goods</v>
      </c>
      <c r="C231" s="7">
        <v>903220</v>
      </c>
      <c r="D231" s="8" t="s">
        <v>548</v>
      </c>
      <c r="E231" s="17" t="s">
        <v>27</v>
      </c>
      <c r="F231" s="8" t="s">
        <v>549</v>
      </c>
      <c r="G231" s="8" t="s">
        <v>381</v>
      </c>
      <c r="H231" s="9" t="s">
        <v>30</v>
      </c>
      <c r="I231" s="9" t="s">
        <v>42</v>
      </c>
      <c r="J231" s="17" t="str">
        <f>_xlfn.IFNA(VLOOKUP(C231, '[2]Unique HS'!$B$4:$J$999, 9, FALSE), "No")</f>
        <v>Yes</v>
      </c>
      <c r="K231" s="22">
        <f>VLOOKUP(C231, '[1]India EXIM'!$B$6:$C$580, 2, FALSE)</f>
        <v>2.6152454889999999E-2</v>
      </c>
      <c r="L231" s="11">
        <f>VLOOKUP(C231, '[1]China EXIM'!$B$6:$D$580, 3, FALSE)</f>
        <v>0.96828691626100005</v>
      </c>
      <c r="M231" s="6"/>
      <c r="N231" s="6"/>
      <c r="O231" s="6"/>
      <c r="P231" s="10" t="s">
        <v>24</v>
      </c>
      <c r="Q231" s="9" t="s">
        <v>30</v>
      </c>
      <c r="S231" s="1" t="s">
        <v>43</v>
      </c>
      <c r="U231" s="1" t="s">
        <v>25</v>
      </c>
    </row>
    <row r="232" spans="2:22" ht="56.1" hidden="1">
      <c r="B232" s="6" t="str">
        <f>VLOOKUP(C232, [1]Definition!$D$5:$K$5665, 8, FALSE)</f>
        <v>Capital Goods</v>
      </c>
      <c r="C232" s="7">
        <v>847521</v>
      </c>
      <c r="D232" s="8" t="s">
        <v>550</v>
      </c>
      <c r="E232" s="17" t="s">
        <v>19</v>
      </c>
      <c r="F232" s="8"/>
      <c r="G232" s="8"/>
      <c r="H232" s="9" t="s">
        <v>22</v>
      </c>
      <c r="I232" s="9" t="s">
        <v>294</v>
      </c>
      <c r="J232" s="17" t="str">
        <f>_xlfn.IFNA(VLOOKUP(C232, '[2]Unique HS'!$B$4:$J$999, 9, FALSE), "No")</f>
        <v>No</v>
      </c>
      <c r="K232" s="18">
        <f>VLOOKUP(C232, '[1]India EXIM'!$B$6:$C$580, 2, FALSE)</f>
        <v>2.6140251361999999E-2</v>
      </c>
      <c r="L232" s="11">
        <f>VLOOKUP(C232, '[1]China EXIM'!$B$6:$D$580, 3, FALSE)</f>
        <v>8.8111445949E-2</v>
      </c>
      <c r="M232" s="6"/>
      <c r="N232" s="6"/>
      <c r="O232" s="6"/>
      <c r="P232" s="10" t="s">
        <v>24</v>
      </c>
      <c r="Q232" s="9" t="s">
        <v>22</v>
      </c>
      <c r="U232" s="1" t="s">
        <v>34</v>
      </c>
    </row>
    <row r="233" spans="2:22" ht="27.95">
      <c r="B233" s="6" t="str">
        <f>VLOOKUP(C233, [1]Definition!$D$5:$K$5665, 8, FALSE)</f>
        <v>Capital Goods</v>
      </c>
      <c r="C233" s="7">
        <v>842219</v>
      </c>
      <c r="D233" s="16" t="s">
        <v>551</v>
      </c>
      <c r="E233" s="17" t="s">
        <v>119</v>
      </c>
      <c r="F233" s="8"/>
      <c r="G233" s="8"/>
      <c r="H233" s="9" t="s">
        <v>61</v>
      </c>
      <c r="I233" s="9" t="s">
        <v>552</v>
      </c>
      <c r="J233" s="17" t="str">
        <f>_xlfn.IFNA(VLOOKUP(C233, '[2]Unique HS'!$B$4:$J$999, 9, FALSE), "No")</f>
        <v>No</v>
      </c>
      <c r="K233" s="18">
        <f>VLOOKUP(C233, '[1]India EXIM'!$B$6:$C$580, 2, FALSE)</f>
        <v>1.447851518E-2</v>
      </c>
      <c r="L233" s="11">
        <f>VLOOKUP(C233, '[1]China EXIM'!$B$6:$D$580, 3, FALSE)</f>
        <v>1.0412079485670001</v>
      </c>
      <c r="M233" s="6"/>
      <c r="N233" s="6"/>
      <c r="O233" s="6"/>
      <c r="P233" s="10" t="s">
        <v>24</v>
      </c>
      <c r="Q233" s="9" t="s">
        <v>61</v>
      </c>
      <c r="U233" s="1" t="s">
        <v>25</v>
      </c>
    </row>
    <row r="234" spans="2:22" ht="27.95" hidden="1">
      <c r="B234" s="6" t="str">
        <f>VLOOKUP(C234, [1]Definition!$D$5:$K$5665, 8, FALSE)</f>
        <v>Capital Goods</v>
      </c>
      <c r="C234" s="7">
        <v>820780</v>
      </c>
      <c r="D234" s="8" t="s">
        <v>553</v>
      </c>
      <c r="E234" s="17" t="s">
        <v>19</v>
      </c>
      <c r="F234" s="8"/>
      <c r="G234" s="8"/>
      <c r="H234" s="9" t="s">
        <v>65</v>
      </c>
      <c r="I234" s="9" t="s">
        <v>554</v>
      </c>
      <c r="J234" s="17" t="str">
        <f>_xlfn.IFNA(VLOOKUP(C234, '[2]Unique HS'!$B$4:$J$999, 9, FALSE), "No")</f>
        <v>Yes</v>
      </c>
      <c r="K234" s="18">
        <f>VLOOKUP(C234, '[1]India EXIM'!$B$6:$C$580, 2, FALSE)</f>
        <v>2.6028204888999998E-2</v>
      </c>
      <c r="L234" s="11">
        <f>VLOOKUP(C234, '[1]China EXIM'!$B$6:$D$580, 3, FALSE)</f>
        <v>0.78998360665400003</v>
      </c>
      <c r="M234" s="6" t="s">
        <v>201</v>
      </c>
      <c r="N234" s="6"/>
      <c r="O234" s="6"/>
      <c r="P234" s="10" t="s">
        <v>24</v>
      </c>
      <c r="Q234" s="11" t="s">
        <v>202</v>
      </c>
      <c r="U234" s="1" t="s">
        <v>25</v>
      </c>
    </row>
    <row r="235" spans="2:22" ht="56.1" hidden="1">
      <c r="B235" s="6" t="str">
        <f>VLOOKUP(C235, [1]Definition!$D$5:$K$5665, 8, FALSE)</f>
        <v>Capital Goods</v>
      </c>
      <c r="C235" s="7">
        <v>903084</v>
      </c>
      <c r="D235" s="8" t="s">
        <v>555</v>
      </c>
      <c r="E235" s="17" t="s">
        <v>19</v>
      </c>
      <c r="F235" s="8" t="s">
        <v>556</v>
      </c>
      <c r="G235" s="8" t="s">
        <v>557</v>
      </c>
      <c r="H235" s="9" t="s">
        <v>166</v>
      </c>
      <c r="I235" s="9" t="s">
        <v>201</v>
      </c>
      <c r="J235" s="17" t="str">
        <f>_xlfn.IFNA(VLOOKUP(C235, '[2]Unique HS'!$B$4:$J$999, 9, FALSE), "No")</f>
        <v>Yes</v>
      </c>
      <c r="K235" s="18">
        <f>VLOOKUP(C235, '[1]India EXIM'!$B$6:$C$580, 2, FALSE)</f>
        <v>2.5846311043000003E-2</v>
      </c>
      <c r="L235" s="11">
        <f>VLOOKUP(C235, '[1]China EXIM'!$B$6:$D$580, 3, FALSE)</f>
        <v>1.597133981352</v>
      </c>
      <c r="M235" s="6"/>
      <c r="N235" s="6"/>
      <c r="O235" s="6"/>
      <c r="P235" s="10" t="s">
        <v>24</v>
      </c>
      <c r="Q235" s="11" t="s">
        <v>39</v>
      </c>
      <c r="U235" s="1" t="s">
        <v>25</v>
      </c>
    </row>
    <row r="236" spans="2:22" ht="42" hidden="1">
      <c r="B236" s="6" t="str">
        <f>VLOOKUP(C236, [1]Definition!$D$5:$K$5665, 8, FALSE)</f>
        <v>Capital Goods</v>
      </c>
      <c r="C236" s="7">
        <v>841620</v>
      </c>
      <c r="D236" s="8" t="s">
        <v>558</v>
      </c>
      <c r="E236" s="17" t="s">
        <v>19</v>
      </c>
      <c r="F236" s="8"/>
      <c r="G236" s="8" t="s">
        <v>559</v>
      </c>
      <c r="H236" s="9" t="s">
        <v>22</v>
      </c>
      <c r="I236" s="9" t="s">
        <v>560</v>
      </c>
      <c r="J236" s="17" t="str">
        <f>_xlfn.IFNA(VLOOKUP(C236, '[2]Unique HS'!$B$4:$J$999, 9, FALSE), "No")</f>
        <v>No</v>
      </c>
      <c r="K236" s="18">
        <f>VLOOKUP(C236, '[1]India EXIM'!$B$6:$C$580, 2, FALSE)</f>
        <v>2.5789905868E-2</v>
      </c>
      <c r="L236" s="11">
        <f>VLOOKUP(C236, '[1]China EXIM'!$B$6:$D$580, 3, FALSE)</f>
        <v>0.90618732547699998</v>
      </c>
      <c r="M236" s="9" t="s">
        <v>82</v>
      </c>
      <c r="N236" s="9"/>
      <c r="O236" s="6"/>
      <c r="P236" s="10" t="s">
        <v>24</v>
      </c>
      <c r="Q236" s="9" t="s">
        <v>22</v>
      </c>
      <c r="U236" s="1" t="s">
        <v>25</v>
      </c>
    </row>
    <row r="237" spans="2:22" ht="27.95" hidden="1">
      <c r="B237" s="6" t="str">
        <f>VLOOKUP(C237, [1]Definition!$D$5:$K$5665, 8, FALSE)</f>
        <v>Capital Goods</v>
      </c>
      <c r="C237" s="7">
        <v>842919</v>
      </c>
      <c r="D237" s="8" t="s">
        <v>561</v>
      </c>
      <c r="E237" s="17" t="s">
        <v>19</v>
      </c>
      <c r="F237" s="8"/>
      <c r="G237" s="8"/>
      <c r="H237" s="9" t="s">
        <v>58</v>
      </c>
      <c r="I237" s="9" t="s">
        <v>31</v>
      </c>
      <c r="J237" s="17" t="str">
        <f>_xlfn.IFNA(VLOOKUP(C237, '[2]Unique HS'!$B$4:$J$999, 9, FALSE), "No")</f>
        <v>No</v>
      </c>
      <c r="K237" s="18">
        <f>VLOOKUP(C237, '[1]India EXIM'!$B$6:$C$580, 2, FALSE)</f>
        <v>2.562460473E-2</v>
      </c>
      <c r="L237" s="11">
        <f>VLOOKUP(C237, '[1]China EXIM'!$B$6:$D$580, 3, FALSE)</f>
        <v>0.26171949981799997</v>
      </c>
      <c r="M237" s="9" t="s">
        <v>117</v>
      </c>
      <c r="N237" s="9"/>
      <c r="O237" s="6"/>
      <c r="P237" s="10" t="s">
        <v>24</v>
      </c>
      <c r="Q237" s="9" t="s">
        <v>58</v>
      </c>
      <c r="U237" s="1" t="s">
        <v>25</v>
      </c>
    </row>
    <row r="238" spans="2:22" ht="42" hidden="1">
      <c r="B238" s="6" t="str">
        <f>VLOOKUP(C238, [1]Definition!$D$5:$K$5665, 8, FALSE)</f>
        <v>Capital Goods</v>
      </c>
      <c r="C238" s="7">
        <v>850239</v>
      </c>
      <c r="D238" s="8" t="s">
        <v>562</v>
      </c>
      <c r="E238" s="17" t="s">
        <v>27</v>
      </c>
      <c r="F238" s="8" t="s">
        <v>563</v>
      </c>
      <c r="G238" s="8" t="s">
        <v>564</v>
      </c>
      <c r="H238" s="9" t="s">
        <v>30</v>
      </c>
      <c r="I238" s="9" t="s">
        <v>31</v>
      </c>
      <c r="J238" s="17" t="str">
        <f>_xlfn.IFNA(VLOOKUP(C238, '[2]Unique HS'!$B$4:$J$999, 9, FALSE), "No")</f>
        <v>No</v>
      </c>
      <c r="K238" s="22">
        <f>VLOOKUP(C238, '[1]India EXIM'!$B$6:$C$580, 2, FALSE)</f>
        <v>2.541252594E-2</v>
      </c>
      <c r="L238" s="11">
        <f>VLOOKUP(C238, '[1]China EXIM'!$B$6:$D$580, 3, FALSE)</f>
        <v>2.2943463484810001</v>
      </c>
      <c r="M238" s="6"/>
      <c r="N238" s="6"/>
      <c r="O238" s="6"/>
      <c r="P238" s="10" t="s">
        <v>24</v>
      </c>
      <c r="Q238" s="9" t="s">
        <v>30</v>
      </c>
      <c r="S238" s="1" t="s">
        <v>136</v>
      </c>
      <c r="U238" s="1" t="s">
        <v>137</v>
      </c>
    </row>
    <row r="239" spans="2:22" ht="42" hidden="1">
      <c r="B239" s="6" t="str">
        <f>VLOOKUP(C239, [1]Definition!$D$5:$K$5665, 8, FALSE)</f>
        <v>Capital Goods</v>
      </c>
      <c r="C239" s="7">
        <v>846222</v>
      </c>
      <c r="D239" s="8" t="s">
        <v>565</v>
      </c>
      <c r="E239" s="17" t="s">
        <v>19</v>
      </c>
      <c r="F239" s="8"/>
      <c r="G239" s="8"/>
      <c r="H239" s="9" t="s">
        <v>65</v>
      </c>
      <c r="I239" s="9" t="s">
        <v>31</v>
      </c>
      <c r="J239" s="17" t="str">
        <f>_xlfn.IFNA(VLOOKUP(C239, '[2]Unique HS'!$B$4:$J$999, 9, FALSE), "No")</f>
        <v>No</v>
      </c>
      <c r="K239" s="18">
        <f>VLOOKUP(C239, '[1]India EXIM'!$B$6:$C$580, 2, FALSE)</f>
        <v>2.5342439256999999E-2</v>
      </c>
      <c r="L239" s="11">
        <f>VLOOKUP(C239, '[1]China EXIM'!$B$6:$D$580, 3, FALSE)</f>
        <v>0.45144876837499998</v>
      </c>
      <c r="M239" s="6"/>
      <c r="N239" s="6"/>
      <c r="O239" s="6"/>
      <c r="P239" s="10" t="s">
        <v>24</v>
      </c>
      <c r="Q239" s="9" t="s">
        <v>65</v>
      </c>
      <c r="U239" s="1" t="s">
        <v>25</v>
      </c>
    </row>
    <row r="240" spans="2:22" ht="27.95" hidden="1">
      <c r="B240" s="6" t="str">
        <f>VLOOKUP(C240, [1]Definition!$D$5:$K$5665, 8, FALSE)</f>
        <v>Capital Goods</v>
      </c>
      <c r="C240" s="7">
        <v>844519</v>
      </c>
      <c r="D240" s="8" t="s">
        <v>566</v>
      </c>
      <c r="E240" s="17" t="s">
        <v>19</v>
      </c>
      <c r="F240" s="8"/>
      <c r="G240" s="8"/>
      <c r="H240" s="9" t="s">
        <v>55</v>
      </c>
      <c r="I240" s="9" t="s">
        <v>56</v>
      </c>
      <c r="J240" s="17" t="str">
        <f>_xlfn.IFNA(VLOOKUP(C240, '[2]Unique HS'!$B$4:$J$999, 9, FALSE), "No")</f>
        <v>No</v>
      </c>
      <c r="K240" s="18">
        <f>VLOOKUP(C240, '[1]India EXIM'!$B$6:$C$580, 2, FALSE)</f>
        <v>2.4988518561000001E-2</v>
      </c>
      <c r="L240" s="11">
        <f>VLOOKUP(C240, '[1]China EXIM'!$B$6:$D$580, 3, FALSE)</f>
        <v>0.35633849525900002</v>
      </c>
      <c r="M240" s="6"/>
      <c r="N240" s="6"/>
      <c r="O240" s="6"/>
      <c r="P240" s="10" t="s">
        <v>24</v>
      </c>
      <c r="Q240" s="9" t="s">
        <v>55</v>
      </c>
      <c r="U240" s="1" t="s">
        <v>25</v>
      </c>
    </row>
    <row r="241" spans="2:22" ht="27.95" hidden="1">
      <c r="B241" s="6" t="str">
        <f>VLOOKUP(C241, [1]Definition!$D$5:$K$5665, 8, FALSE)</f>
        <v>Capital Goods</v>
      </c>
      <c r="C241" s="7">
        <v>843610</v>
      </c>
      <c r="D241" s="8" t="s">
        <v>567</v>
      </c>
      <c r="E241" s="17" t="s">
        <v>19</v>
      </c>
      <c r="F241" s="8"/>
      <c r="G241" s="8"/>
      <c r="H241" s="9" t="s">
        <v>61</v>
      </c>
      <c r="I241" s="9" t="s">
        <v>568</v>
      </c>
      <c r="J241" s="17" t="str">
        <f>_xlfn.IFNA(VLOOKUP(C241, '[2]Unique HS'!$B$4:$J$999, 9, FALSE), "No")</f>
        <v>No</v>
      </c>
      <c r="K241" s="18">
        <f>VLOOKUP(C241, '[1]India EXIM'!$B$6:$C$580, 2, FALSE)</f>
        <v>2.4411253250999999E-2</v>
      </c>
      <c r="L241" s="11">
        <f>VLOOKUP(C241, '[1]China EXIM'!$B$6:$D$580, 3, FALSE)</f>
        <v>1.2184339111559999</v>
      </c>
      <c r="M241" s="6"/>
      <c r="N241" s="6"/>
      <c r="O241" s="6"/>
      <c r="P241" s="10" t="s">
        <v>24</v>
      </c>
      <c r="Q241" s="9" t="s">
        <v>61</v>
      </c>
      <c r="U241" s="1" t="s">
        <v>25</v>
      </c>
    </row>
    <row r="242" spans="2:22" ht="27.95" hidden="1">
      <c r="B242" s="6" t="str">
        <f>VLOOKUP(C242, [1]Definition!$D$5:$K$5665, 8, FALSE)</f>
        <v>Capital Goods</v>
      </c>
      <c r="C242" s="7">
        <v>901811</v>
      </c>
      <c r="D242" s="8" t="s">
        <v>569</v>
      </c>
      <c r="E242" s="17" t="s">
        <v>205</v>
      </c>
      <c r="F242" s="8"/>
      <c r="G242" s="8"/>
      <c r="H242" s="9" t="s">
        <v>166</v>
      </c>
      <c r="I242" s="9" t="s">
        <v>570</v>
      </c>
      <c r="J242" s="17" t="str">
        <f>_xlfn.IFNA(VLOOKUP(C242, '[2]Unique HS'!$B$4:$J$999, 9, FALSE), "No")</f>
        <v>No</v>
      </c>
      <c r="K242" s="18">
        <f>VLOOKUP(C242, '[1]India EXIM'!$B$6:$C$580, 2, FALSE)</f>
        <v>2.4196861005E-2</v>
      </c>
      <c r="L242" s="11">
        <f>VLOOKUP(C242, '[1]China EXIM'!$B$6:$D$580, 3, FALSE)</f>
        <v>1.3136859153429998</v>
      </c>
      <c r="M242" s="6"/>
      <c r="N242" s="6"/>
      <c r="O242" s="6"/>
      <c r="P242" s="10" t="s">
        <v>24</v>
      </c>
      <c r="Q242" s="11" t="s">
        <v>70</v>
      </c>
      <c r="U242" s="1" t="s">
        <v>25</v>
      </c>
    </row>
    <row r="243" spans="2:22" ht="42" hidden="1">
      <c r="B243" s="6" t="str">
        <f>VLOOKUP(C243, [1]Definition!$D$5:$K$5665, 8, FALSE)</f>
        <v>Capital Goods</v>
      </c>
      <c r="C243" s="7">
        <v>847740</v>
      </c>
      <c r="D243" s="8" t="s">
        <v>571</v>
      </c>
      <c r="E243" s="17" t="s">
        <v>19</v>
      </c>
      <c r="F243" s="8"/>
      <c r="G243" s="8"/>
      <c r="H243" s="9" t="s">
        <v>52</v>
      </c>
      <c r="I243" s="9" t="s">
        <v>53</v>
      </c>
      <c r="J243" s="17" t="str">
        <f>_xlfn.IFNA(VLOOKUP(C243, '[2]Unique HS'!$B$4:$J$999, 9, FALSE), "No")</f>
        <v>Yes</v>
      </c>
      <c r="K243" s="18">
        <f>VLOOKUP(C243, '[1]India EXIM'!$B$6:$C$580, 2, FALSE)</f>
        <v>2.3991636124000001E-2</v>
      </c>
      <c r="L243" s="11">
        <f>VLOOKUP(C243, '[1]China EXIM'!$B$6:$D$580, 3, FALSE)</f>
        <v>1.0125384192209999</v>
      </c>
      <c r="M243" s="6"/>
      <c r="N243" s="6"/>
      <c r="O243" s="6"/>
      <c r="P243" s="10" t="s">
        <v>24</v>
      </c>
      <c r="Q243" s="9" t="s">
        <v>52</v>
      </c>
      <c r="S243" s="1" t="s">
        <v>136</v>
      </c>
      <c r="U243" s="1" t="s">
        <v>137</v>
      </c>
    </row>
    <row r="244" spans="2:22" ht="56.1" hidden="1">
      <c r="B244" s="6" t="str">
        <f>VLOOKUP(C244, [1]Definition!$D$5:$K$5665, 8, FALSE)</f>
        <v>Capital Goods</v>
      </c>
      <c r="C244" s="7">
        <v>903031</v>
      </c>
      <c r="D244" s="8" t="s">
        <v>572</v>
      </c>
      <c r="E244" s="17" t="s">
        <v>163</v>
      </c>
      <c r="F244" s="8" t="s">
        <v>573</v>
      </c>
      <c r="G244" s="8" t="s">
        <v>574</v>
      </c>
      <c r="H244" s="9" t="s">
        <v>30</v>
      </c>
      <c r="I244" s="9" t="s">
        <v>225</v>
      </c>
      <c r="J244" s="17" t="str">
        <f>_xlfn.IFNA(VLOOKUP(C244, '[2]Unique HS'!$B$4:$J$999, 9, FALSE), "No")</f>
        <v>Yes</v>
      </c>
      <c r="K244" s="18">
        <f>VLOOKUP(C244, '[1]India EXIM'!$B$6:$C$580, 2, FALSE)</f>
        <v>2.3806969264E-2</v>
      </c>
      <c r="L244" s="11">
        <f>VLOOKUP(C244, '[1]China EXIM'!$B$6:$D$580, 3, FALSE)</f>
        <v>0.91721026553499996</v>
      </c>
      <c r="M244" s="6"/>
      <c r="N244" s="6"/>
      <c r="O244" s="6"/>
      <c r="P244" s="10" t="s">
        <v>24</v>
      </c>
      <c r="Q244" s="9" t="s">
        <v>30</v>
      </c>
      <c r="S244" s="1" t="s">
        <v>43</v>
      </c>
      <c r="U244" s="1" t="s">
        <v>25</v>
      </c>
    </row>
    <row r="245" spans="2:22" ht="27.95" hidden="1">
      <c r="B245" s="6" t="str">
        <f>VLOOKUP(C245, [1]Definition!$D$5:$K$5665, 8, FALSE)</f>
        <v>Capital Goods</v>
      </c>
      <c r="C245" s="7">
        <v>844140</v>
      </c>
      <c r="D245" s="8" t="s">
        <v>575</v>
      </c>
      <c r="E245" s="17" t="s">
        <v>19</v>
      </c>
      <c r="F245" s="8"/>
      <c r="G245" s="8"/>
      <c r="H245" s="9" t="s">
        <v>22</v>
      </c>
      <c r="I245" s="9" t="s">
        <v>262</v>
      </c>
      <c r="J245" s="17" t="str">
        <f>_xlfn.IFNA(VLOOKUP(C245, '[2]Unique HS'!$B$4:$J$999, 9, FALSE), "No")</f>
        <v>No</v>
      </c>
      <c r="K245" s="18">
        <f>VLOOKUP(C245, '[1]India EXIM'!$B$6:$C$580, 2, FALSE)</f>
        <v>2.3793220885999999E-2</v>
      </c>
      <c r="L245" s="11">
        <f>VLOOKUP(C245, '[1]China EXIM'!$B$6:$D$580, 3, FALSE)</f>
        <v>0.381606533503</v>
      </c>
      <c r="M245" s="6" t="s">
        <v>253</v>
      </c>
      <c r="N245" s="6"/>
      <c r="O245" s="6"/>
      <c r="P245" s="10" t="s">
        <v>24</v>
      </c>
      <c r="Q245" s="11" t="s">
        <v>182</v>
      </c>
      <c r="U245" s="1" t="s">
        <v>25</v>
      </c>
    </row>
    <row r="246" spans="2:22" ht="42" hidden="1">
      <c r="B246" s="6" t="str">
        <f>VLOOKUP(C246, [1]Definition!$D$5:$K$5665, 8, FALSE)</f>
        <v>Capital Goods</v>
      </c>
      <c r="C246" s="7">
        <v>842330</v>
      </c>
      <c r="D246" s="8" t="s">
        <v>576</v>
      </c>
      <c r="E246" s="17" t="s">
        <v>19</v>
      </c>
      <c r="F246" s="8" t="s">
        <v>577</v>
      </c>
      <c r="G246" s="8" t="s">
        <v>578</v>
      </c>
      <c r="H246" s="9" t="s">
        <v>22</v>
      </c>
      <c r="I246" s="9" t="s">
        <v>486</v>
      </c>
      <c r="J246" s="17" t="str">
        <f>_xlfn.IFNA(VLOOKUP(C246, '[2]Unique HS'!$B$4:$J$999, 9, FALSE), "No")</f>
        <v>Yes</v>
      </c>
      <c r="K246" s="18">
        <f>VLOOKUP(C246, '[1]India EXIM'!$B$6:$C$580, 2, FALSE)</f>
        <v>2.3756191811999998E-2</v>
      </c>
      <c r="L246" s="11">
        <f>VLOOKUP(C246, '[1]China EXIM'!$B$6:$D$580, 3, FALSE)</f>
        <v>0.68045448207799997</v>
      </c>
      <c r="M246" s="6"/>
      <c r="N246" s="6"/>
      <c r="O246" s="6"/>
      <c r="P246" s="10" t="s">
        <v>24</v>
      </c>
      <c r="Q246" s="9" t="s">
        <v>22</v>
      </c>
      <c r="U246" s="1" t="s">
        <v>25</v>
      </c>
    </row>
    <row r="247" spans="2:22" ht="27.95" hidden="1">
      <c r="B247" s="6" t="str">
        <f>VLOOKUP(C247, [1]Definition!$D$5:$K$5665, 8, FALSE)</f>
        <v>Capital Goods</v>
      </c>
      <c r="C247" s="7">
        <v>902920</v>
      </c>
      <c r="D247" s="8" t="s">
        <v>579</v>
      </c>
      <c r="E247" s="17" t="s">
        <v>163</v>
      </c>
      <c r="F247" s="8" t="s">
        <v>580</v>
      </c>
      <c r="G247" s="8" t="s">
        <v>581</v>
      </c>
      <c r="H247" s="9" t="s">
        <v>166</v>
      </c>
      <c r="I247" s="9" t="s">
        <v>201</v>
      </c>
      <c r="J247" s="17" t="str">
        <f>_xlfn.IFNA(VLOOKUP(C247, '[2]Unique HS'!$B$4:$J$999, 9, FALSE), "No")</f>
        <v>Yes</v>
      </c>
      <c r="K247" s="18">
        <f>VLOOKUP(C247, '[1]India EXIM'!$B$6:$C$580, 2, FALSE)</f>
        <v>2.3719099362E-2</v>
      </c>
      <c r="L247" s="11">
        <f>VLOOKUP(C247, '[1]China EXIM'!$B$6:$D$580, 3, FALSE)</f>
        <v>7.0633904884999996</v>
      </c>
      <c r="M247" s="6"/>
      <c r="N247" s="6"/>
      <c r="O247" s="6"/>
      <c r="P247" s="10" t="s">
        <v>24</v>
      </c>
      <c r="Q247" s="11" t="s">
        <v>39</v>
      </c>
      <c r="U247" s="1" t="s">
        <v>25</v>
      </c>
    </row>
    <row r="248" spans="2:22" ht="42" hidden="1">
      <c r="B248" s="6" t="str">
        <f>VLOOKUP(C248, [1]Definition!$D$5:$K$5665, 8, FALSE)</f>
        <v>Capital Goods</v>
      </c>
      <c r="C248" s="7">
        <v>841319</v>
      </c>
      <c r="D248" s="8" t="s">
        <v>582</v>
      </c>
      <c r="E248" s="17" t="s">
        <v>19</v>
      </c>
      <c r="F248" s="8"/>
      <c r="G248" s="8" t="s">
        <v>583</v>
      </c>
      <c r="H248" s="9" t="s">
        <v>22</v>
      </c>
      <c r="I248" s="9" t="s">
        <v>584</v>
      </c>
      <c r="J248" s="17" t="str">
        <f>_xlfn.IFNA(VLOOKUP(C248, '[2]Unique HS'!$B$4:$J$999, 9, FALSE), "No")</f>
        <v>Yes</v>
      </c>
      <c r="K248" s="18">
        <f>VLOOKUP(C248, '[1]India EXIM'!$B$6:$C$580, 2, FALSE)</f>
        <v>2.3554523824000001E-2</v>
      </c>
      <c r="L248" s="11">
        <f>VLOOKUP(C248, '[1]China EXIM'!$B$6:$D$580, 3, FALSE)</f>
        <v>1.5739793182569999</v>
      </c>
      <c r="M248" s="6" t="s">
        <v>103</v>
      </c>
      <c r="N248" s="6"/>
      <c r="O248" s="6"/>
      <c r="P248" s="10" t="s">
        <v>24</v>
      </c>
      <c r="Q248" s="9" t="s">
        <v>22</v>
      </c>
      <c r="U248" s="1" t="s">
        <v>25</v>
      </c>
    </row>
    <row r="249" spans="2:22" ht="42" hidden="1">
      <c r="B249" s="6" t="str">
        <f>VLOOKUP(C249, [1]Definition!$D$5:$K$5665, 8, FALSE)</f>
        <v>Capital Goods</v>
      </c>
      <c r="C249" s="7">
        <v>851610</v>
      </c>
      <c r="D249" s="8" t="s">
        <v>585</v>
      </c>
      <c r="E249" s="17" t="s">
        <v>27</v>
      </c>
      <c r="F249" s="8"/>
      <c r="G249" s="8" t="s">
        <v>586</v>
      </c>
      <c r="H249" s="9" t="s">
        <v>22</v>
      </c>
      <c r="I249" s="9" t="s">
        <v>587</v>
      </c>
      <c r="J249" s="17" t="str">
        <f>_xlfn.IFNA(VLOOKUP(C249, '[2]Unique HS'!$B$4:$J$999, 9, FALSE), "No")</f>
        <v>Yes</v>
      </c>
      <c r="K249" s="22">
        <f>VLOOKUP(C249, '[1]India EXIM'!$B$6:$C$580, 2, FALSE)</f>
        <v>2.3548812299999999E-2</v>
      </c>
      <c r="L249" s="11">
        <f>VLOOKUP(C249, '[1]China EXIM'!$B$6:$D$580, 3, FALSE)</f>
        <v>3.6109116999590003</v>
      </c>
      <c r="M249" s="6"/>
      <c r="N249" s="6"/>
      <c r="O249" s="6"/>
      <c r="P249" s="10" t="s">
        <v>24</v>
      </c>
      <c r="Q249" s="11" t="s">
        <v>22</v>
      </c>
      <c r="S249" s="1" t="s">
        <v>136</v>
      </c>
      <c r="U249" s="1" t="s">
        <v>137</v>
      </c>
    </row>
    <row r="250" spans="2:22" ht="42" hidden="1">
      <c r="B250" s="6" t="str">
        <f>VLOOKUP(C250, [1]Definition!$D$5:$K$5665, 8, FALSE)</f>
        <v>Capital Goods</v>
      </c>
      <c r="C250" s="7">
        <v>846410</v>
      </c>
      <c r="D250" s="8" t="s">
        <v>588</v>
      </c>
      <c r="E250" s="17" t="s">
        <v>19</v>
      </c>
      <c r="F250" s="8"/>
      <c r="G250" s="8"/>
      <c r="H250" s="9" t="s">
        <v>65</v>
      </c>
      <c r="I250" s="9" t="s">
        <v>31</v>
      </c>
      <c r="J250" s="17" t="str">
        <f>_xlfn.IFNA(VLOOKUP(C250, '[2]Unique HS'!$B$4:$J$999, 9, FALSE), "No")</f>
        <v>No</v>
      </c>
      <c r="K250" s="18">
        <f>VLOOKUP(C250, '[1]India EXIM'!$B$6:$C$580, 2, FALSE)</f>
        <v>2.3380765152999999E-2</v>
      </c>
      <c r="L250" s="11">
        <f>VLOOKUP(C250, '[1]China EXIM'!$B$6:$D$580, 3, FALSE)</f>
        <v>0.62192466377199995</v>
      </c>
      <c r="M250" s="6"/>
      <c r="N250" s="6"/>
      <c r="O250" s="6"/>
      <c r="P250" s="10" t="s">
        <v>24</v>
      </c>
      <c r="Q250" s="9" t="s">
        <v>65</v>
      </c>
      <c r="S250" s="1" t="s">
        <v>136</v>
      </c>
      <c r="U250" s="1" t="s">
        <v>34</v>
      </c>
    </row>
    <row r="251" spans="2:22" ht="27.95" hidden="1">
      <c r="B251" s="6" t="str">
        <f>VLOOKUP(C251, [1]Definition!$D$5:$K$5665, 8, FALSE)</f>
        <v>Capital Goods</v>
      </c>
      <c r="C251" s="7">
        <v>851519</v>
      </c>
      <c r="D251" s="8" t="s">
        <v>589</v>
      </c>
      <c r="E251" s="17" t="s">
        <v>19</v>
      </c>
      <c r="F251" s="8"/>
      <c r="G251" s="8"/>
      <c r="H251" s="9" t="s">
        <v>65</v>
      </c>
      <c r="I251" s="9" t="s">
        <v>590</v>
      </c>
      <c r="J251" s="17" t="str">
        <f>_xlfn.IFNA(VLOOKUP(C251, '[2]Unique HS'!$B$4:$J$999, 9, FALSE), "No")</f>
        <v>Yes</v>
      </c>
      <c r="K251" s="18">
        <f>VLOOKUP(C251, '[1]India EXIM'!$B$6:$C$580, 2, FALSE)</f>
        <v>2.3043982052999998E-2</v>
      </c>
      <c r="L251" s="11">
        <f>VLOOKUP(C251, '[1]China EXIM'!$B$6:$D$580, 3, FALSE)</f>
        <v>0.66475508838899999</v>
      </c>
      <c r="M251" s="6"/>
      <c r="N251" s="6"/>
      <c r="O251" s="6"/>
      <c r="P251" s="10" t="s">
        <v>24</v>
      </c>
      <c r="Q251" s="9" t="s">
        <v>65</v>
      </c>
      <c r="S251" s="1" t="s">
        <v>136</v>
      </c>
      <c r="U251" s="1" t="s">
        <v>137</v>
      </c>
    </row>
    <row r="252" spans="2:22" ht="42" hidden="1">
      <c r="B252" s="6" t="str">
        <f>VLOOKUP(C252, [1]Definition!$D$5:$K$5665, 8, FALSE)</f>
        <v>Capital Goods</v>
      </c>
      <c r="C252" s="7">
        <v>902410</v>
      </c>
      <c r="D252" s="8" t="s">
        <v>591</v>
      </c>
      <c r="E252" s="17" t="s">
        <v>19</v>
      </c>
      <c r="F252" s="8"/>
      <c r="G252" s="8"/>
      <c r="H252" s="9" t="s">
        <v>82</v>
      </c>
      <c r="I252" s="9" t="s">
        <v>592</v>
      </c>
      <c r="J252" s="17" t="str">
        <f>_xlfn.IFNA(VLOOKUP(C252, '[2]Unique HS'!$B$4:$J$999, 9, FALSE), "No")</f>
        <v>Yes</v>
      </c>
      <c r="K252" s="18">
        <f>VLOOKUP(C252, '[1]India EXIM'!$B$6:$C$580, 2, FALSE)</f>
        <v>2.2885620214999999E-2</v>
      </c>
      <c r="L252" s="11">
        <f>VLOOKUP(C252, '[1]China EXIM'!$B$6:$D$580, 3, FALSE)</f>
        <v>0.67026651880700006</v>
      </c>
      <c r="M252" s="6"/>
      <c r="N252" s="6"/>
      <c r="O252" s="6"/>
      <c r="P252" s="10" t="s">
        <v>24</v>
      </c>
      <c r="Q252" s="9" t="s">
        <v>82</v>
      </c>
      <c r="U252" s="1" t="s">
        <v>25</v>
      </c>
    </row>
    <row r="253" spans="2:22" ht="27.95" hidden="1">
      <c r="B253" s="6" t="str">
        <f>VLOOKUP(C253, [1]Definition!$D$5:$K$5665, 8, FALSE)</f>
        <v>Capital Goods</v>
      </c>
      <c r="C253" s="7">
        <v>853010</v>
      </c>
      <c r="D253" s="8" t="s">
        <v>593</v>
      </c>
      <c r="E253" s="17" t="s">
        <v>27</v>
      </c>
      <c r="F253" s="8"/>
      <c r="G253" s="8" t="s">
        <v>594</v>
      </c>
      <c r="H253" s="9" t="s">
        <v>166</v>
      </c>
      <c r="I253" s="9" t="s">
        <v>201</v>
      </c>
      <c r="J253" s="17" t="str">
        <f>_xlfn.IFNA(VLOOKUP(C253, '[2]Unique HS'!$B$4:$J$999, 9, FALSE), "No")</f>
        <v>No</v>
      </c>
      <c r="K253" s="22">
        <f>VLOOKUP(C253, '[1]India EXIM'!$B$6:$C$580, 2, FALSE)</f>
        <v>2.2789096136000001E-2</v>
      </c>
      <c r="L253" s="11">
        <f>VLOOKUP(C253, '[1]China EXIM'!$B$6:$D$580, 3, FALSE)</f>
        <v>0.67286980689199993</v>
      </c>
      <c r="M253" s="6" t="s">
        <v>389</v>
      </c>
      <c r="N253" s="6"/>
      <c r="O253" s="6"/>
      <c r="P253" s="10" t="s">
        <v>24</v>
      </c>
      <c r="Q253" s="11" t="s">
        <v>390</v>
      </c>
      <c r="U253" s="1" t="s">
        <v>25</v>
      </c>
    </row>
    <row r="254" spans="2:22" ht="27.95" hidden="1">
      <c r="B254" s="6" t="str">
        <f>VLOOKUP(C254, [1]Definition!$D$5:$K$5665, 8, FALSE)</f>
        <v>Capital Goods</v>
      </c>
      <c r="C254" s="7">
        <v>846330</v>
      </c>
      <c r="D254" s="8" t="s">
        <v>595</v>
      </c>
      <c r="E254" s="17" t="s">
        <v>19</v>
      </c>
      <c r="F254" s="8"/>
      <c r="G254" s="8"/>
      <c r="H254" s="9" t="s">
        <v>65</v>
      </c>
      <c r="I254" s="9" t="s">
        <v>31</v>
      </c>
      <c r="J254" s="17" t="str">
        <f>_xlfn.IFNA(VLOOKUP(C254, '[2]Unique HS'!$B$4:$J$999, 9, FALSE), "No")</f>
        <v>No</v>
      </c>
      <c r="K254" s="18">
        <f>VLOOKUP(C254, '[1]India EXIM'!$B$6:$C$580, 2, FALSE)</f>
        <v>2.2755831717999997E-2</v>
      </c>
      <c r="L254" s="11">
        <f>VLOOKUP(C254, '[1]China EXIM'!$B$6:$D$580, 3, FALSE)</f>
        <v>0.474833037836</v>
      </c>
      <c r="M254" s="6"/>
      <c r="N254" s="6"/>
      <c r="O254" s="6"/>
      <c r="P254" s="10" t="s">
        <v>24</v>
      </c>
      <c r="Q254" s="9" t="s">
        <v>65</v>
      </c>
      <c r="U254" s="1" t="s">
        <v>34</v>
      </c>
      <c r="V254" s="1" t="s">
        <v>596</v>
      </c>
    </row>
    <row r="255" spans="2:22" ht="42" hidden="1">
      <c r="B255" s="6" t="str">
        <f>VLOOKUP(C255, [1]Definition!$D$5:$K$5665, 8, FALSE)</f>
        <v>Capital Goods</v>
      </c>
      <c r="C255" s="7">
        <v>902000</v>
      </c>
      <c r="D255" s="8" t="s">
        <v>597</v>
      </c>
      <c r="E255" s="17" t="s">
        <v>163</v>
      </c>
      <c r="F255" s="8" t="s">
        <v>598</v>
      </c>
      <c r="G255" s="8" t="s">
        <v>599</v>
      </c>
      <c r="H255" s="9" t="s">
        <v>166</v>
      </c>
      <c r="I255" s="9" t="s">
        <v>570</v>
      </c>
      <c r="J255" s="17" t="str">
        <f>_xlfn.IFNA(VLOOKUP(C255, '[2]Unique HS'!$B$4:$J$999, 9, FALSE), "No")</f>
        <v>Yes</v>
      </c>
      <c r="K255" s="18">
        <f>VLOOKUP(C255, '[1]India EXIM'!$B$6:$C$580, 2, FALSE)</f>
        <v>2.2340444381E-2</v>
      </c>
      <c r="L255" s="11">
        <f>VLOOKUP(C255, '[1]China EXIM'!$B$6:$D$580, 3, FALSE)</f>
        <v>2.1000296261389999</v>
      </c>
      <c r="M255" s="6"/>
      <c r="N255" s="6"/>
      <c r="O255" s="6"/>
      <c r="P255" s="10" t="s">
        <v>24</v>
      </c>
      <c r="Q255" s="11" t="s">
        <v>70</v>
      </c>
      <c r="U255" s="1" t="s">
        <v>34</v>
      </c>
      <c r="V255" s="1" t="s">
        <v>600</v>
      </c>
    </row>
    <row r="256" spans="2:22" ht="56.1" hidden="1">
      <c r="B256" s="6" t="str">
        <f>VLOOKUP(C256, [1]Definition!$D$5:$K$5665, 8, FALSE)</f>
        <v>Capital Goods</v>
      </c>
      <c r="C256" s="7">
        <v>903281</v>
      </c>
      <c r="D256" s="8" t="s">
        <v>601</v>
      </c>
      <c r="E256" s="17" t="s">
        <v>19</v>
      </c>
      <c r="F256" s="8" t="s">
        <v>602</v>
      </c>
      <c r="G256" s="8" t="s">
        <v>603</v>
      </c>
      <c r="H256" s="9" t="s">
        <v>22</v>
      </c>
      <c r="I256" s="9" t="s">
        <v>604</v>
      </c>
      <c r="J256" s="17" t="str">
        <f>_xlfn.IFNA(VLOOKUP(C256, '[2]Unique HS'!$B$4:$J$999, 9, FALSE), "No")</f>
        <v>Yes</v>
      </c>
      <c r="K256" s="18">
        <f>VLOOKUP(C256, '[1]India EXIM'!$B$6:$C$580, 2, FALSE)</f>
        <v>2.1977981149E-2</v>
      </c>
      <c r="L256" s="11">
        <f>VLOOKUP(C256, '[1]China EXIM'!$B$6:$D$580, 3, FALSE)</f>
        <v>2.8815482427569998</v>
      </c>
      <c r="M256" s="6"/>
      <c r="N256" s="6"/>
      <c r="O256" s="6"/>
      <c r="P256" s="10" t="s">
        <v>24</v>
      </c>
      <c r="Q256" s="11" t="s">
        <v>22</v>
      </c>
      <c r="S256" s="1" t="s">
        <v>136</v>
      </c>
      <c r="U256" s="1" t="s">
        <v>137</v>
      </c>
    </row>
    <row r="257" spans="2:23" ht="69.95" hidden="1">
      <c r="B257" s="6" t="str">
        <f>VLOOKUP(C257, [1]Definition!$D$5:$K$5665, 8, FALSE)</f>
        <v>Capital Goods</v>
      </c>
      <c r="C257" s="7">
        <v>901540</v>
      </c>
      <c r="D257" s="8" t="s">
        <v>605</v>
      </c>
      <c r="E257" s="17" t="s">
        <v>163</v>
      </c>
      <c r="F257" s="8" t="s">
        <v>606</v>
      </c>
      <c r="G257" s="8" t="s">
        <v>607</v>
      </c>
      <c r="H257" s="9" t="s">
        <v>166</v>
      </c>
      <c r="I257" s="9" t="s">
        <v>167</v>
      </c>
      <c r="J257" s="17" t="str">
        <f>_xlfn.IFNA(VLOOKUP(C257, '[2]Unique HS'!$B$4:$J$999, 9, FALSE), "No")</f>
        <v>Yes</v>
      </c>
      <c r="K257" s="18">
        <f>VLOOKUP(C257, '[1]India EXIM'!$B$6:$C$580, 2, FALSE)</f>
        <v>2.1685819835000002E-2</v>
      </c>
      <c r="L257" s="11">
        <f>VLOOKUP(C257, '[1]China EXIM'!$B$6:$D$580, 3, FALSE)</f>
        <v>0.235014388219</v>
      </c>
      <c r="M257" s="6"/>
      <c r="N257" s="6"/>
      <c r="O257" s="6"/>
      <c r="P257" s="10" t="s">
        <v>24</v>
      </c>
      <c r="Q257" s="11" t="s">
        <v>168</v>
      </c>
      <c r="S257" s="1" t="s">
        <v>25</v>
      </c>
      <c r="U257" s="1" t="s">
        <v>25</v>
      </c>
    </row>
    <row r="258" spans="2:23" ht="27.95" hidden="1">
      <c r="B258" s="6" t="str">
        <f>VLOOKUP(C258, [1]Definition!$D$5:$K$5665, 8, FALSE)</f>
        <v>Capital Goods</v>
      </c>
      <c r="C258" s="7">
        <v>850172</v>
      </c>
      <c r="D258" s="8" t="s">
        <v>608</v>
      </c>
      <c r="E258" s="17" t="s">
        <v>27</v>
      </c>
      <c r="F258" s="8" t="s">
        <v>609</v>
      </c>
      <c r="G258" s="8" t="s">
        <v>610</v>
      </c>
      <c r="H258" s="9" t="s">
        <v>30</v>
      </c>
      <c r="I258" s="9" t="s">
        <v>31</v>
      </c>
      <c r="J258" s="17" t="str">
        <f>_xlfn.IFNA(VLOOKUP(C258, '[2]Unique HS'!$B$4:$J$999, 9, FALSE), "No")</f>
        <v>Yes</v>
      </c>
      <c r="K258" s="22">
        <f>VLOOKUP(C258, '[1]India EXIM'!$B$6:$C$580, 2, FALSE)</f>
        <v>2.1581466842000002E-2</v>
      </c>
      <c r="L258" s="11">
        <f>VLOOKUP(C258, '[1]China EXIM'!$B$6:$D$580, 3, FALSE)</f>
        <v>0.32134535011400001</v>
      </c>
      <c r="M258" s="9" t="s">
        <v>129</v>
      </c>
      <c r="N258" s="9"/>
      <c r="O258" s="6"/>
      <c r="P258" s="10" t="s">
        <v>24</v>
      </c>
      <c r="Q258" s="9" t="s">
        <v>30</v>
      </c>
      <c r="S258" s="1" t="s">
        <v>33</v>
      </c>
      <c r="U258" s="1" t="s">
        <v>34</v>
      </c>
    </row>
    <row r="259" spans="2:23" ht="27.95" hidden="1">
      <c r="B259" s="6" t="str">
        <f>VLOOKUP(C259, [1]Definition!$D$5:$K$5665, 8, FALSE)</f>
        <v>Capital Goods</v>
      </c>
      <c r="C259" s="7">
        <v>850161</v>
      </c>
      <c r="D259" s="8" t="s">
        <v>611</v>
      </c>
      <c r="E259" s="17" t="s">
        <v>27</v>
      </c>
      <c r="F259" s="8" t="s">
        <v>612</v>
      </c>
      <c r="G259" s="8" t="s">
        <v>613</v>
      </c>
      <c r="H259" s="9" t="s">
        <v>30</v>
      </c>
      <c r="I259" s="9" t="s">
        <v>31</v>
      </c>
      <c r="J259" s="17" t="str">
        <f>_xlfn.IFNA(VLOOKUP(C259, '[2]Unique HS'!$B$4:$J$999, 9, FALSE), "No")</f>
        <v>Yes</v>
      </c>
      <c r="K259" s="22">
        <f>VLOOKUP(C259, '[1]India EXIM'!$B$6:$C$580, 2, FALSE)</f>
        <v>2.1354297857E-2</v>
      </c>
      <c r="L259" s="11">
        <f>VLOOKUP(C259, '[1]China EXIM'!$B$6:$D$580, 3, FALSE)</f>
        <v>1.0933227636240002</v>
      </c>
      <c r="M259" s="9" t="s">
        <v>129</v>
      </c>
      <c r="N259" s="9"/>
      <c r="O259" s="6"/>
      <c r="P259" s="10" t="s">
        <v>24</v>
      </c>
      <c r="Q259" s="9" t="s">
        <v>30</v>
      </c>
      <c r="S259" s="1" t="s">
        <v>136</v>
      </c>
      <c r="U259" s="1" t="s">
        <v>34</v>
      </c>
    </row>
    <row r="260" spans="2:23" ht="42" hidden="1">
      <c r="B260" s="6" t="str">
        <f>VLOOKUP(C260, [1]Definition!$D$5:$K$5665, 8, FALSE)</f>
        <v>Capital Goods</v>
      </c>
      <c r="C260" s="7">
        <v>841861</v>
      </c>
      <c r="D260" s="8" t="s">
        <v>614</v>
      </c>
      <c r="E260" s="17" t="s">
        <v>19</v>
      </c>
      <c r="F260" s="8" t="s">
        <v>615</v>
      </c>
      <c r="G260" s="8" t="s">
        <v>616</v>
      </c>
      <c r="H260" s="9" t="s">
        <v>22</v>
      </c>
      <c r="I260" s="9" t="s">
        <v>74</v>
      </c>
      <c r="J260" s="17" t="str">
        <f>_xlfn.IFNA(VLOOKUP(C260, '[2]Unique HS'!$B$4:$J$999, 9, FALSE), "No")</f>
        <v>No</v>
      </c>
      <c r="K260" s="18">
        <f>VLOOKUP(C260, '[1]India EXIM'!$B$6:$C$580, 2, FALSE)</f>
        <v>2.1237211850999999E-2</v>
      </c>
      <c r="L260" s="11">
        <f>VLOOKUP(C260, '[1]China EXIM'!$B$6:$D$580, 3, FALSE)</f>
        <v>6.0951450327869994</v>
      </c>
      <c r="M260" s="6"/>
      <c r="N260" s="6"/>
      <c r="O260" s="6"/>
      <c r="P260" s="10" t="s">
        <v>24</v>
      </c>
      <c r="Q260" s="9" t="s">
        <v>22</v>
      </c>
      <c r="U260" s="1" t="s">
        <v>25</v>
      </c>
    </row>
    <row r="261" spans="2:23" ht="27.95" hidden="1">
      <c r="B261" s="6" t="str">
        <f>VLOOKUP(C261, [1]Definition!$D$5:$K$5665, 8, FALSE)</f>
        <v>Capital Goods</v>
      </c>
      <c r="C261" s="7">
        <v>901814</v>
      </c>
      <c r="D261" s="8" t="s">
        <v>617</v>
      </c>
      <c r="E261" s="17" t="s">
        <v>205</v>
      </c>
      <c r="F261" s="8"/>
      <c r="G261" s="8"/>
      <c r="H261" s="9" t="s">
        <v>166</v>
      </c>
      <c r="I261" s="9" t="s">
        <v>570</v>
      </c>
      <c r="J261" s="17" t="str">
        <f>_xlfn.IFNA(VLOOKUP(C261, '[2]Unique HS'!$B$4:$J$999, 9, FALSE), "No")</f>
        <v>No</v>
      </c>
      <c r="K261" s="18">
        <f>VLOOKUP(C261, '[1]India EXIM'!$B$6:$C$580, 2, FALSE)</f>
        <v>2.1199022812E-2</v>
      </c>
      <c r="L261" s="11">
        <f>VLOOKUP(C261, '[1]China EXIM'!$B$6:$D$580, 3, FALSE)</f>
        <v>0.28272592158199999</v>
      </c>
      <c r="M261" s="6"/>
      <c r="N261" s="6"/>
      <c r="O261" s="6"/>
      <c r="P261" s="10" t="s">
        <v>24</v>
      </c>
      <c r="Q261" s="11" t="s">
        <v>70</v>
      </c>
      <c r="S261" s="1" t="s">
        <v>618</v>
      </c>
      <c r="U261" s="1" t="s">
        <v>34</v>
      </c>
    </row>
    <row r="262" spans="2:23" ht="27.95">
      <c r="B262" s="6" t="str">
        <f>VLOOKUP(C262, [1]Definition!$D$5:$K$5665, 8, FALSE)</f>
        <v>Capital Goods</v>
      </c>
      <c r="C262" s="7">
        <v>820220</v>
      </c>
      <c r="D262" s="8" t="s">
        <v>619</v>
      </c>
      <c r="E262" s="17" t="s">
        <v>119</v>
      </c>
      <c r="F262" s="8" t="s">
        <v>620</v>
      </c>
      <c r="G262" s="8" t="s">
        <v>621</v>
      </c>
      <c r="H262" s="9" t="s">
        <v>65</v>
      </c>
      <c r="I262" s="9" t="s">
        <v>209</v>
      </c>
      <c r="J262" s="17" t="str">
        <f>_xlfn.IFNA(VLOOKUP(C262, '[2]Unique HS'!$B$4:$J$999, 9, FALSE), "No")</f>
        <v>No</v>
      </c>
      <c r="K262" s="18">
        <f>VLOOKUP(C262, '[1]India EXIM'!$B$6:$C$580, 2, FALSE)</f>
        <v>3.2898870078999998E-2</v>
      </c>
      <c r="L262" s="11">
        <f>VLOOKUP(C262, '[1]China EXIM'!$B$6:$D$580, 3, FALSE)</f>
        <v>0.73188064745699999</v>
      </c>
      <c r="M262" s="6" t="s">
        <v>210</v>
      </c>
      <c r="N262" s="6"/>
      <c r="O262" s="9"/>
      <c r="P262" s="10" t="s">
        <v>24</v>
      </c>
      <c r="Q262" s="11" t="s">
        <v>210</v>
      </c>
      <c r="U262" s="1" t="s">
        <v>211</v>
      </c>
    </row>
    <row r="263" spans="2:23" ht="42" hidden="1">
      <c r="B263" s="6" t="str">
        <f>VLOOKUP(C263, [1]Definition!$D$5:$K$5665, 8, FALSE)</f>
        <v>Capital Goods</v>
      </c>
      <c r="C263" s="7">
        <v>847439</v>
      </c>
      <c r="D263" s="8" t="s">
        <v>622</v>
      </c>
      <c r="E263" s="17" t="s">
        <v>19</v>
      </c>
      <c r="F263" s="8"/>
      <c r="G263" s="8"/>
      <c r="H263" s="9" t="s">
        <v>58</v>
      </c>
      <c r="I263" s="9" t="s">
        <v>623</v>
      </c>
      <c r="J263" s="17" t="str">
        <f>_xlfn.IFNA(VLOOKUP(C263, '[2]Unique HS'!$B$4:$J$999, 9, FALSE), "No")</f>
        <v>Yes</v>
      </c>
      <c r="K263" s="18">
        <f>VLOOKUP(C263, '[1]India EXIM'!$B$6:$C$580, 2, FALSE)</f>
        <v>2.1030613242E-2</v>
      </c>
      <c r="L263" s="11">
        <f>VLOOKUP(C263, '[1]China EXIM'!$B$6:$D$580, 3, FALSE)</f>
        <v>0.57140625548899993</v>
      </c>
      <c r="M263" s="6"/>
      <c r="N263" s="6"/>
      <c r="O263" s="6"/>
      <c r="P263" s="10" t="s">
        <v>24</v>
      </c>
      <c r="Q263" s="9" t="s">
        <v>58</v>
      </c>
      <c r="U263" s="1" t="s">
        <v>25</v>
      </c>
    </row>
    <row r="264" spans="2:23" ht="56.1">
      <c r="B264" s="6" t="str">
        <f>VLOOKUP(C264, [1]Definition!$D$5:$K$5665, 8, FALSE)</f>
        <v>Capital Goods</v>
      </c>
      <c r="C264" s="7">
        <v>843330</v>
      </c>
      <c r="D264" s="8" t="s">
        <v>624</v>
      </c>
      <c r="E264" s="17" t="s">
        <v>119</v>
      </c>
      <c r="F264" s="8"/>
      <c r="G264" s="8" t="s">
        <v>625</v>
      </c>
      <c r="H264" s="9" t="s">
        <v>22</v>
      </c>
      <c r="I264" s="9" t="s">
        <v>626</v>
      </c>
      <c r="J264" s="17" t="str">
        <f>_xlfn.IFNA(VLOOKUP(C264, '[2]Unique HS'!$B$4:$J$999, 9, FALSE), "No")</f>
        <v>No</v>
      </c>
      <c r="K264" s="18">
        <f>VLOOKUP(C264, '[1]India EXIM'!$B$6:$C$580, 2, FALSE)</f>
        <v>6.3183544129999996E-3</v>
      </c>
      <c r="L264" s="11">
        <f>VLOOKUP(C264, '[1]China EXIM'!$B$6:$D$580, 3, FALSE)</f>
        <v>0.88480695283400002</v>
      </c>
      <c r="M264" s="6" t="s">
        <v>160</v>
      </c>
      <c r="N264" s="6"/>
      <c r="O264" s="6"/>
      <c r="P264" s="10" t="s">
        <v>24</v>
      </c>
      <c r="Q264" s="11" t="s">
        <v>161</v>
      </c>
    </row>
    <row r="265" spans="2:23" ht="27.95" hidden="1">
      <c r="B265" s="6" t="str">
        <f>VLOOKUP(C265, [1]Definition!$D$5:$K$5665, 8, FALSE)</f>
        <v>Capital Goods</v>
      </c>
      <c r="C265" s="7">
        <v>847810</v>
      </c>
      <c r="D265" s="8" t="s">
        <v>627</v>
      </c>
      <c r="E265" s="17" t="s">
        <v>19</v>
      </c>
      <c r="F265" s="8"/>
      <c r="G265" s="8"/>
      <c r="H265" s="9" t="s">
        <v>22</v>
      </c>
      <c r="I265" s="9" t="s">
        <v>628</v>
      </c>
      <c r="J265" s="17" t="str">
        <f>_xlfn.IFNA(VLOOKUP(C265, '[2]Unique HS'!$B$4:$J$999, 9, FALSE), "No")</f>
        <v>No</v>
      </c>
      <c r="K265" s="18">
        <f>VLOOKUP(C265, '[1]India EXIM'!$B$6:$C$580, 2, FALSE)</f>
        <v>2.0497804056000001E-2</v>
      </c>
      <c r="L265" s="11">
        <f>VLOOKUP(C265, '[1]China EXIM'!$B$6:$D$580, 3, FALSE)</f>
        <v>0.69600618403699999</v>
      </c>
      <c r="M265" s="6"/>
      <c r="N265" s="6"/>
      <c r="O265" s="6"/>
      <c r="P265" s="10" t="s">
        <v>24</v>
      </c>
      <c r="Q265" s="9" t="s">
        <v>22</v>
      </c>
      <c r="U265" s="1" t="s">
        <v>25</v>
      </c>
    </row>
    <row r="266" spans="2:23" ht="56.1" hidden="1">
      <c r="B266" s="6" t="str">
        <f>VLOOKUP(C266, [1]Definition!$D$5:$K$5665, 8, FALSE)</f>
        <v>Capital Goods</v>
      </c>
      <c r="C266" s="7">
        <v>844230</v>
      </c>
      <c r="D266" s="8" t="s">
        <v>629</v>
      </c>
      <c r="E266" s="17" t="s">
        <v>19</v>
      </c>
      <c r="F266" s="8"/>
      <c r="G266" s="8"/>
      <c r="H266" s="9" t="s">
        <v>180</v>
      </c>
      <c r="I266" s="9" t="s">
        <v>630</v>
      </c>
      <c r="J266" s="17" t="str">
        <f>_xlfn.IFNA(VLOOKUP(C266, '[2]Unique HS'!$B$4:$J$999, 9, FALSE), "No")</f>
        <v>No</v>
      </c>
      <c r="K266" s="18">
        <f>VLOOKUP(C266, '[1]India EXIM'!$B$6:$C$580, 2, FALSE)</f>
        <v>2.0441231136999999E-2</v>
      </c>
      <c r="L266" s="11">
        <f>VLOOKUP(C266, '[1]China EXIM'!$B$6:$D$580, 3, FALSE)</f>
        <v>0.35168459129599999</v>
      </c>
      <c r="M266" s="6"/>
      <c r="N266" s="6"/>
      <c r="O266" s="6"/>
      <c r="P266" s="10" t="s">
        <v>24</v>
      </c>
      <c r="Q266" s="11" t="s">
        <v>182</v>
      </c>
      <c r="U266" s="1" t="s">
        <v>25</v>
      </c>
    </row>
    <row r="267" spans="2:23" ht="27.95" hidden="1">
      <c r="B267" s="6" t="str">
        <f>VLOOKUP(C267, [1]Definition!$D$5:$K$5665, 8, FALSE)</f>
        <v>Capital Goods</v>
      </c>
      <c r="C267" s="7">
        <v>843360</v>
      </c>
      <c r="D267" s="8" t="s">
        <v>631</v>
      </c>
      <c r="E267" s="17" t="s">
        <v>19</v>
      </c>
      <c r="F267" s="8"/>
      <c r="G267" s="8"/>
      <c r="H267" s="9" t="s">
        <v>61</v>
      </c>
      <c r="I267" s="9" t="s">
        <v>632</v>
      </c>
      <c r="J267" s="17" t="str">
        <f>_xlfn.IFNA(VLOOKUP(C267, '[2]Unique HS'!$B$4:$J$999, 9, FALSE), "No")</f>
        <v>No</v>
      </c>
      <c r="K267" s="18">
        <f>VLOOKUP(C267, '[1]India EXIM'!$B$6:$C$580, 2, FALSE)</f>
        <v>2.0369429528999998E-2</v>
      </c>
      <c r="L267" s="11">
        <f>VLOOKUP(C267, '[1]China EXIM'!$B$6:$D$580, 3, FALSE)</f>
        <v>1.2080283842000001</v>
      </c>
      <c r="M267" s="6"/>
      <c r="N267" s="6"/>
      <c r="O267" s="6"/>
      <c r="P267" s="10" t="s">
        <v>24</v>
      </c>
      <c r="Q267" s="9" t="s">
        <v>61</v>
      </c>
      <c r="S267" s="1" t="s">
        <v>33</v>
      </c>
      <c r="U267" s="1" t="s">
        <v>34</v>
      </c>
      <c r="W267" s="1" t="s">
        <v>633</v>
      </c>
    </row>
    <row r="268" spans="2:23" ht="42" hidden="1">
      <c r="B268" s="6" t="str">
        <f>VLOOKUP(C268, [1]Definition!$D$5:$K$5665, 8, FALSE)</f>
        <v>Capital Goods</v>
      </c>
      <c r="C268" s="7">
        <v>853529</v>
      </c>
      <c r="D268" s="8" t="s">
        <v>634</v>
      </c>
      <c r="E268" s="17" t="s">
        <v>205</v>
      </c>
      <c r="F268" s="8" t="s">
        <v>635</v>
      </c>
      <c r="G268" s="8" t="s">
        <v>171</v>
      </c>
      <c r="H268" s="9" t="s">
        <v>30</v>
      </c>
      <c r="I268" s="9" t="s">
        <v>201</v>
      </c>
      <c r="J268" s="17" t="str">
        <f>_xlfn.IFNA(VLOOKUP(C268, '[2]Unique HS'!$B$4:$J$999, 9, FALSE), "No")</f>
        <v>No</v>
      </c>
      <c r="K268" s="22">
        <f>VLOOKUP(C268, '[1]India EXIM'!$B$6:$C$580, 2, FALSE)</f>
        <v>2.0290498439E-2</v>
      </c>
      <c r="L268" s="11">
        <f>VLOOKUP(C268, '[1]China EXIM'!$B$6:$D$580, 3, FALSE)</f>
        <v>0.84946158776799996</v>
      </c>
      <c r="M268" s="6"/>
      <c r="N268" s="6"/>
      <c r="O268" s="6"/>
      <c r="P268" s="10" t="s">
        <v>24</v>
      </c>
      <c r="Q268" s="9" t="s">
        <v>30</v>
      </c>
      <c r="S268" s="1" t="s">
        <v>33</v>
      </c>
      <c r="U268" s="1" t="s">
        <v>34</v>
      </c>
    </row>
    <row r="269" spans="2:23" ht="27.95" hidden="1">
      <c r="B269" s="6" t="str">
        <f>VLOOKUP(C269, [1]Definition!$D$5:$K$5665, 8, FALSE)</f>
        <v>Capital Goods</v>
      </c>
      <c r="C269" s="7">
        <v>844120</v>
      </c>
      <c r="D269" s="8" t="s">
        <v>636</v>
      </c>
      <c r="E269" s="17" t="s">
        <v>19</v>
      </c>
      <c r="F269" s="8"/>
      <c r="G269" s="8"/>
      <c r="H269" s="9" t="s">
        <v>22</v>
      </c>
      <c r="I269" s="9" t="s">
        <v>281</v>
      </c>
      <c r="J269" s="17" t="str">
        <f>_xlfn.IFNA(VLOOKUP(C269, '[2]Unique HS'!$B$4:$J$999, 9, FALSE), "No")</f>
        <v>No</v>
      </c>
      <c r="K269" s="18">
        <f>VLOOKUP(C269, '[1]India EXIM'!$B$6:$C$580, 2, FALSE)</f>
        <v>2.0258815359000003E-2</v>
      </c>
      <c r="L269" s="11">
        <f>VLOOKUP(C269, '[1]China EXIM'!$B$6:$D$580, 3, FALSE)</f>
        <v>0.43859306065699999</v>
      </c>
      <c r="M269" s="6" t="s">
        <v>253</v>
      </c>
      <c r="N269" s="6"/>
      <c r="O269" s="6"/>
      <c r="P269" s="10" t="s">
        <v>24</v>
      </c>
      <c r="Q269" s="11" t="s">
        <v>182</v>
      </c>
      <c r="S269" s="1" t="s">
        <v>33</v>
      </c>
      <c r="U269" s="1" t="s">
        <v>34</v>
      </c>
    </row>
    <row r="270" spans="2:23" ht="27.95" hidden="1">
      <c r="B270" s="6" t="str">
        <f>VLOOKUP(C270, [1]Definition!$D$5:$K$5665, 8, FALSE)</f>
        <v>Capital Goods</v>
      </c>
      <c r="C270" s="7">
        <v>842630</v>
      </c>
      <c r="D270" s="8" t="s">
        <v>637</v>
      </c>
      <c r="E270" s="17" t="s">
        <v>19</v>
      </c>
      <c r="F270" s="8"/>
      <c r="G270" s="8"/>
      <c r="H270" s="9" t="s">
        <v>58</v>
      </c>
      <c r="I270" s="9" t="s">
        <v>31</v>
      </c>
      <c r="J270" s="17" t="str">
        <f>_xlfn.IFNA(VLOOKUP(C270, '[2]Unique HS'!$B$4:$J$999, 9, FALSE), "No")</f>
        <v>No</v>
      </c>
      <c r="K270" s="18">
        <f>VLOOKUP(C270, '[1]India EXIM'!$B$6:$C$580, 2, FALSE)</f>
        <v>2.0068890871E-2</v>
      </c>
      <c r="L270" s="11">
        <f>VLOOKUP(C270, '[1]China EXIM'!$B$6:$D$580, 3, FALSE)</f>
        <v>0.66918608881899999</v>
      </c>
      <c r="M270" s="9" t="s">
        <v>80</v>
      </c>
      <c r="N270" s="9"/>
      <c r="O270" s="6"/>
      <c r="P270" s="10" t="s">
        <v>24</v>
      </c>
      <c r="Q270" s="9" t="s">
        <v>58</v>
      </c>
      <c r="U270" s="1" t="s">
        <v>25</v>
      </c>
    </row>
    <row r="271" spans="2:23" ht="27.95" hidden="1">
      <c r="B271" s="6" t="str">
        <f>VLOOKUP(C271, [1]Definition!$D$5:$K$5665, 8, FALSE)</f>
        <v>Capital Goods</v>
      </c>
      <c r="C271" s="7">
        <v>846722</v>
      </c>
      <c r="D271" s="8" t="s">
        <v>638</v>
      </c>
      <c r="E271" s="17" t="s">
        <v>19</v>
      </c>
      <c r="F271" s="8"/>
      <c r="G271" s="8"/>
      <c r="H271" s="9" t="s">
        <v>65</v>
      </c>
      <c r="I271" s="9" t="s">
        <v>31</v>
      </c>
      <c r="J271" s="17" t="str">
        <f>_xlfn.IFNA(VLOOKUP(C271, '[2]Unique HS'!$B$4:$J$999, 9, FALSE), "No")</f>
        <v>Yes</v>
      </c>
      <c r="K271" s="18">
        <f>VLOOKUP(C271, '[1]India EXIM'!$B$6:$C$580, 2, FALSE)</f>
        <v>1.9746395931000003E-2</v>
      </c>
      <c r="L271" s="11">
        <f>VLOOKUP(C271, '[1]China EXIM'!$B$6:$D$580, 3, FALSE)</f>
        <v>3.4022948934770003</v>
      </c>
      <c r="M271" s="6"/>
      <c r="N271" s="6"/>
      <c r="O271" s="6"/>
      <c r="P271" s="10" t="s">
        <v>24</v>
      </c>
      <c r="Q271" s="9" t="s">
        <v>65</v>
      </c>
      <c r="S271" s="1" t="s">
        <v>33</v>
      </c>
      <c r="U271" s="1" t="s">
        <v>34</v>
      </c>
    </row>
    <row r="272" spans="2:23" ht="41.45" hidden="1" customHeight="1">
      <c r="B272" s="6" t="str">
        <f>VLOOKUP(C272, [1]Definition!$D$5:$K$5665, 8, FALSE)</f>
        <v>Capital Goods</v>
      </c>
      <c r="C272" s="7">
        <v>846223</v>
      </c>
      <c r="D272" s="8" t="s">
        <v>639</v>
      </c>
      <c r="E272" s="17" t="s">
        <v>19</v>
      </c>
      <c r="F272" s="8"/>
      <c r="G272" s="8"/>
      <c r="H272" s="9" t="s">
        <v>65</v>
      </c>
      <c r="I272" s="9" t="s">
        <v>31</v>
      </c>
      <c r="J272" s="17" t="str">
        <f>_xlfn.IFNA(VLOOKUP(C272, '[2]Unique HS'!$B$4:$J$999, 9, FALSE), "No")</f>
        <v>No</v>
      </c>
      <c r="K272" s="18">
        <f>VLOOKUP(C272, '[1]India EXIM'!$B$6:$C$580, 2, FALSE)</f>
        <v>1.9475821181000001E-2</v>
      </c>
      <c r="L272" s="11">
        <f>VLOOKUP(C272, '[1]China EXIM'!$B$6:$D$580, 3, FALSE)</f>
        <v>1.0837698496050001</v>
      </c>
      <c r="M272" s="6"/>
      <c r="N272" s="6"/>
      <c r="O272" s="6"/>
      <c r="P272" s="10" t="s">
        <v>24</v>
      </c>
      <c r="Q272" s="9" t="s">
        <v>65</v>
      </c>
      <c r="U272" s="1" t="s">
        <v>25</v>
      </c>
    </row>
    <row r="273" spans="2:21" ht="27.95">
      <c r="B273" s="6" t="str">
        <f>VLOOKUP(C273, [1]Definition!$D$5:$K$5665, 8, FALSE)</f>
        <v>Capital Goods</v>
      </c>
      <c r="C273" s="7">
        <v>820299</v>
      </c>
      <c r="D273" s="8" t="s">
        <v>640</v>
      </c>
      <c r="E273" s="17" t="s">
        <v>119</v>
      </c>
      <c r="F273" s="8"/>
      <c r="G273" s="8"/>
      <c r="H273" s="9" t="s">
        <v>65</v>
      </c>
      <c r="I273" s="9" t="s">
        <v>209</v>
      </c>
      <c r="J273" s="17" t="str">
        <f>_xlfn.IFNA(VLOOKUP(C273, '[2]Unique HS'!$B$4:$J$999, 9, FALSE), "No")</f>
        <v>Yes</v>
      </c>
      <c r="K273" s="18">
        <f>VLOOKUP(C273, '[1]India EXIM'!$B$6:$C$580, 2, FALSE)</f>
        <v>2.6763827530000003E-2</v>
      </c>
      <c r="L273" s="11">
        <f>VLOOKUP(C273, '[1]China EXIM'!$B$6:$D$580, 3, FALSE)</f>
        <v>1.006735677967</v>
      </c>
      <c r="M273" s="6" t="s">
        <v>210</v>
      </c>
      <c r="N273" s="6"/>
      <c r="O273" s="9"/>
      <c r="P273" s="10" t="s">
        <v>24</v>
      </c>
      <c r="Q273" s="11" t="s">
        <v>210</v>
      </c>
      <c r="U273" s="1" t="s">
        <v>211</v>
      </c>
    </row>
    <row r="274" spans="2:21" ht="27.95" hidden="1">
      <c r="B274" s="6" t="str">
        <f>VLOOKUP(C274, [1]Definition!$D$5:$K$5665, 8, FALSE)</f>
        <v>Capital Goods</v>
      </c>
      <c r="C274" s="7">
        <v>853530</v>
      </c>
      <c r="D274" s="8" t="s">
        <v>641</v>
      </c>
      <c r="E274" s="17" t="s">
        <v>27</v>
      </c>
      <c r="F274" s="8" t="s">
        <v>642</v>
      </c>
      <c r="G274" s="8" t="s">
        <v>171</v>
      </c>
      <c r="H274" s="9" t="s">
        <v>30</v>
      </c>
      <c r="I274" s="9" t="s">
        <v>172</v>
      </c>
      <c r="J274" s="17" t="str">
        <f>_xlfn.IFNA(VLOOKUP(C274, '[2]Unique HS'!$B$4:$J$999, 9, FALSE), "No")</f>
        <v>Yes</v>
      </c>
      <c r="K274" s="22">
        <f>VLOOKUP(C274, '[1]India EXIM'!$B$6:$C$580, 2, FALSE)</f>
        <v>1.8822590954999999E-2</v>
      </c>
      <c r="L274" s="11">
        <f>VLOOKUP(C274, '[1]China EXIM'!$B$6:$D$580, 3, FALSE)</f>
        <v>2.5505714633839998</v>
      </c>
      <c r="M274" s="6"/>
      <c r="N274" s="6"/>
      <c r="O274" s="6"/>
      <c r="P274" s="10" t="s">
        <v>24</v>
      </c>
      <c r="Q274" s="9" t="s">
        <v>30</v>
      </c>
      <c r="S274" s="1" t="s">
        <v>33</v>
      </c>
      <c r="U274" s="1" t="s">
        <v>34</v>
      </c>
    </row>
    <row r="275" spans="2:21" ht="27.95" hidden="1">
      <c r="B275" s="6" t="str">
        <f>VLOOKUP(C275, [1]Definition!$D$5:$K$5665, 8, FALSE)</f>
        <v>Capital Goods</v>
      </c>
      <c r="C275" s="7">
        <v>845969</v>
      </c>
      <c r="D275" s="8" t="s">
        <v>643</v>
      </c>
      <c r="E275" s="17" t="s">
        <v>19</v>
      </c>
      <c r="F275" s="8"/>
      <c r="G275" s="8"/>
      <c r="H275" s="9" t="s">
        <v>65</v>
      </c>
      <c r="I275" s="9" t="s">
        <v>31</v>
      </c>
      <c r="J275" s="17" t="str">
        <f>_xlfn.IFNA(VLOOKUP(C275, '[2]Unique HS'!$B$4:$J$999, 9, FALSE), "No")</f>
        <v>No</v>
      </c>
      <c r="K275" s="18">
        <f>VLOOKUP(C275, '[1]India EXIM'!$B$6:$C$580, 2, FALSE)</f>
        <v>1.8598575374999999E-2</v>
      </c>
      <c r="L275" s="11">
        <f>VLOOKUP(C275, '[1]China EXIM'!$B$6:$D$580, 3, FALSE)</f>
        <v>0.30442855307300004</v>
      </c>
      <c r="M275" s="6"/>
      <c r="N275" s="6"/>
      <c r="O275" s="6"/>
      <c r="P275" s="10" t="s">
        <v>24</v>
      </c>
      <c r="Q275" s="9" t="s">
        <v>65</v>
      </c>
      <c r="U275" s="1" t="s">
        <v>137</v>
      </c>
    </row>
    <row r="276" spans="2:21" ht="56.1" hidden="1">
      <c r="B276" s="6" t="str">
        <f>VLOOKUP(C276, [1]Definition!$D$5:$K$5665, 8, FALSE)</f>
        <v>Capital Goods</v>
      </c>
      <c r="C276" s="7">
        <v>846242</v>
      </c>
      <c r="D276" s="8" t="s">
        <v>644</v>
      </c>
      <c r="E276" s="17" t="s">
        <v>19</v>
      </c>
      <c r="F276" s="8"/>
      <c r="G276" s="8"/>
      <c r="H276" s="9" t="s">
        <v>65</v>
      </c>
      <c r="I276" s="9" t="s">
        <v>31</v>
      </c>
      <c r="J276" s="17" t="str">
        <f>_xlfn.IFNA(VLOOKUP(C276, '[2]Unique HS'!$B$4:$J$999, 9, FALSE), "No")</f>
        <v>No</v>
      </c>
      <c r="K276" s="18">
        <f>VLOOKUP(C276, '[1]India EXIM'!$B$6:$C$580, 2, FALSE)</f>
        <v>1.855601497E-2</v>
      </c>
      <c r="L276" s="11">
        <f>VLOOKUP(C276, '[1]China EXIM'!$B$6:$D$580, 3, FALSE)</f>
        <v>1.0136742219500001</v>
      </c>
      <c r="M276" s="6"/>
      <c r="N276" s="6"/>
      <c r="O276" s="6"/>
      <c r="P276" s="10" t="s">
        <v>24</v>
      </c>
      <c r="Q276" s="9" t="s">
        <v>65</v>
      </c>
      <c r="U276" s="1" t="s">
        <v>25</v>
      </c>
    </row>
    <row r="277" spans="2:21" ht="27.95" hidden="1">
      <c r="B277" s="6" t="str">
        <f>VLOOKUP(C277, [1]Definition!$D$5:$K$5665, 8, FALSE)</f>
        <v>Capital Goods</v>
      </c>
      <c r="C277" s="7">
        <v>842612</v>
      </c>
      <c r="D277" s="8" t="s">
        <v>645</v>
      </c>
      <c r="E277" s="17" t="s">
        <v>19</v>
      </c>
      <c r="F277" s="8"/>
      <c r="G277" s="8"/>
      <c r="H277" s="9" t="s">
        <v>58</v>
      </c>
      <c r="I277" s="9" t="s">
        <v>31</v>
      </c>
      <c r="J277" s="17" t="str">
        <f>_xlfn.IFNA(VLOOKUP(C277, '[2]Unique HS'!$B$4:$J$999, 9, FALSE), "No")</f>
        <v>No</v>
      </c>
      <c r="K277" s="18">
        <f>VLOOKUP(C277, '[1]India EXIM'!$B$6:$C$580, 2, FALSE)</f>
        <v>1.8546175695E-2</v>
      </c>
      <c r="L277" s="11">
        <f>VLOOKUP(C277, '[1]China EXIM'!$B$6:$D$580, 3, FALSE)</f>
        <v>0.63700656155099999</v>
      </c>
      <c r="M277" s="9" t="s">
        <v>80</v>
      </c>
      <c r="N277" s="9"/>
      <c r="O277" s="6"/>
      <c r="P277" s="10" t="s">
        <v>24</v>
      </c>
      <c r="Q277" s="9" t="s">
        <v>58</v>
      </c>
      <c r="S277" s="1" t="s">
        <v>136</v>
      </c>
      <c r="U277" s="1" t="s">
        <v>137</v>
      </c>
    </row>
    <row r="278" spans="2:21" ht="27.95" hidden="1">
      <c r="B278" s="6" t="str">
        <f>VLOOKUP(C278, [1]Definition!$D$5:$K$5665, 8, FALSE)</f>
        <v>Capital Goods</v>
      </c>
      <c r="C278" s="7">
        <v>842959</v>
      </c>
      <c r="D278" s="8" t="s">
        <v>646</v>
      </c>
      <c r="E278" s="17" t="s">
        <v>19</v>
      </c>
      <c r="F278" s="8"/>
      <c r="G278" s="8"/>
      <c r="H278" s="9" t="s">
        <v>58</v>
      </c>
      <c r="I278" s="9" t="s">
        <v>31</v>
      </c>
      <c r="J278" s="17" t="str">
        <f>_xlfn.IFNA(VLOOKUP(C278, '[2]Unique HS'!$B$4:$J$999, 9, FALSE), "No")</f>
        <v>No</v>
      </c>
      <c r="K278" s="18">
        <f>VLOOKUP(C278, '[1]India EXIM'!$B$6:$C$580, 2, FALSE)</f>
        <v>1.843313945E-2</v>
      </c>
      <c r="L278" s="11">
        <f>VLOOKUP(C278, '[1]China EXIM'!$B$6:$D$580, 3, FALSE)</f>
        <v>3.9751319922199997</v>
      </c>
      <c r="M278" s="9" t="s">
        <v>117</v>
      </c>
      <c r="N278" s="9"/>
      <c r="O278" s="6"/>
      <c r="P278" s="10" t="s">
        <v>24</v>
      </c>
      <c r="Q278" s="9" t="s">
        <v>58</v>
      </c>
      <c r="U278" s="1" t="s">
        <v>25</v>
      </c>
    </row>
    <row r="279" spans="2:21" ht="27.95" hidden="1">
      <c r="B279" s="6" t="str">
        <f>VLOOKUP(C279, [1]Definition!$D$5:$K$5665, 8, FALSE)</f>
        <v>Capital Goods</v>
      </c>
      <c r="C279" s="7">
        <v>845929</v>
      </c>
      <c r="D279" s="8" t="s">
        <v>647</v>
      </c>
      <c r="E279" s="17" t="s">
        <v>19</v>
      </c>
      <c r="F279" s="8"/>
      <c r="G279" s="8"/>
      <c r="H279" s="9" t="s">
        <v>65</v>
      </c>
      <c r="I279" s="9" t="s">
        <v>31</v>
      </c>
      <c r="J279" s="17" t="str">
        <f>_xlfn.IFNA(VLOOKUP(C279, '[2]Unique HS'!$B$4:$J$999, 9, FALSE), "No")</f>
        <v>Yes</v>
      </c>
      <c r="K279" s="18">
        <f>VLOOKUP(C279, '[1]India EXIM'!$B$6:$C$580, 2, FALSE)</f>
        <v>1.8214169145E-2</v>
      </c>
      <c r="L279" s="11">
        <f>VLOOKUP(C279, '[1]China EXIM'!$B$6:$D$580, 3, FALSE)</f>
        <v>0.33413212411100002</v>
      </c>
      <c r="M279" s="6"/>
      <c r="N279" s="6"/>
      <c r="O279" s="6"/>
      <c r="P279" s="10" t="s">
        <v>24</v>
      </c>
      <c r="Q279" s="9" t="s">
        <v>65</v>
      </c>
      <c r="U279" s="1" t="s">
        <v>25</v>
      </c>
    </row>
    <row r="280" spans="2:21" ht="27.95" hidden="1">
      <c r="B280" s="6" t="str">
        <f>VLOOKUP(C280, [1]Definition!$D$5:$K$5665, 8, FALSE)</f>
        <v>Capital Goods</v>
      </c>
      <c r="C280" s="7">
        <v>846031</v>
      </c>
      <c r="D280" s="8" t="s">
        <v>648</v>
      </c>
      <c r="E280" s="17" t="s">
        <v>19</v>
      </c>
      <c r="F280" s="8"/>
      <c r="G280" s="8"/>
      <c r="H280" s="9" t="s">
        <v>65</v>
      </c>
      <c r="I280" s="9" t="s">
        <v>31</v>
      </c>
      <c r="J280" s="17" t="str">
        <f>_xlfn.IFNA(VLOOKUP(C280, '[2]Unique HS'!$B$4:$J$999, 9, FALSE), "No")</f>
        <v>No</v>
      </c>
      <c r="K280" s="18">
        <f>VLOOKUP(C280, '[1]India EXIM'!$B$6:$C$580, 2, FALSE)</f>
        <v>1.8177315651999999E-2</v>
      </c>
      <c r="L280" s="11">
        <f>VLOOKUP(C280, '[1]China EXIM'!$B$6:$D$580, 3, FALSE)</f>
        <v>0.39964715150500002</v>
      </c>
      <c r="M280" s="6"/>
      <c r="N280" s="6"/>
      <c r="O280" s="6"/>
      <c r="P280" s="10" t="s">
        <v>24</v>
      </c>
      <c r="Q280" s="9" t="s">
        <v>65</v>
      </c>
      <c r="U280" s="1" t="s">
        <v>25</v>
      </c>
    </row>
    <row r="281" spans="2:21" ht="27.95">
      <c r="B281" s="6" t="str">
        <f>VLOOKUP(C281, [1]Definition!$D$5:$K$5665, 8, FALSE)</f>
        <v>Capital Goods</v>
      </c>
      <c r="C281" s="7">
        <v>820720</v>
      </c>
      <c r="D281" s="8" t="s">
        <v>649</v>
      </c>
      <c r="E281" s="17" t="s">
        <v>119</v>
      </c>
      <c r="F281" s="8"/>
      <c r="G281" s="8"/>
      <c r="H281" s="9" t="s">
        <v>149</v>
      </c>
      <c r="I281" s="9" t="s">
        <v>650</v>
      </c>
      <c r="J281" s="17" t="str">
        <f>_xlfn.IFNA(VLOOKUP(C281, '[2]Unique HS'!$B$4:$J$999, 9, FALSE), "No")</f>
        <v>Yes</v>
      </c>
      <c r="K281" s="18">
        <f>VLOOKUP(C281, '[1]India EXIM'!$B$6:$C$580, 2, FALSE)</f>
        <v>3.6606259057999996E-2</v>
      </c>
      <c r="L281" s="11">
        <f>VLOOKUP(C281, '[1]China EXIM'!$B$6:$D$580, 3, FALSE)</f>
        <v>0.78806860611600005</v>
      </c>
      <c r="M281" s="6" t="s">
        <v>151</v>
      </c>
      <c r="N281" s="6"/>
      <c r="O281" s="6" t="s">
        <v>152</v>
      </c>
      <c r="P281" s="10" t="s">
        <v>24</v>
      </c>
      <c r="Q281" s="9" t="s">
        <v>149</v>
      </c>
      <c r="U281" s="1" t="s">
        <v>34</v>
      </c>
    </row>
    <row r="282" spans="2:21" ht="27.95">
      <c r="B282" s="6" t="str">
        <f>VLOOKUP(C282, [1]Definition!$D$5:$K$5665, 8, FALSE)</f>
        <v>Capital Goods</v>
      </c>
      <c r="C282" s="7">
        <v>843231</v>
      </c>
      <c r="D282" s="8" t="s">
        <v>651</v>
      </c>
      <c r="E282" s="17" t="s">
        <v>119</v>
      </c>
      <c r="F282" s="8" t="s">
        <v>652</v>
      </c>
      <c r="G282" s="8" t="s">
        <v>625</v>
      </c>
      <c r="H282" s="9" t="s">
        <v>22</v>
      </c>
      <c r="I282" s="9" t="s">
        <v>38</v>
      </c>
      <c r="J282" s="17" t="str">
        <f>_xlfn.IFNA(VLOOKUP(C282, '[2]Unique HS'!$B$4:$J$999, 9, FALSE), "No")</f>
        <v>No</v>
      </c>
      <c r="K282" s="18">
        <f>VLOOKUP(C282, '[1]India EXIM'!$B$6:$C$580, 2, FALSE)</f>
        <v>1.026334563E-2</v>
      </c>
      <c r="L282" s="11">
        <f>VLOOKUP(C282, '[1]China EXIM'!$B$6:$D$580, 3, FALSE)</f>
        <v>0.786365078873</v>
      </c>
      <c r="M282" s="6" t="s">
        <v>160</v>
      </c>
      <c r="N282" s="6"/>
      <c r="O282" s="6"/>
      <c r="P282" s="10" t="s">
        <v>24</v>
      </c>
      <c r="Q282" s="11" t="s">
        <v>161</v>
      </c>
    </row>
    <row r="283" spans="2:21" ht="27.95" hidden="1">
      <c r="B283" s="6" t="str">
        <f>VLOOKUP(C283, [1]Definition!$D$5:$K$5665, 8, FALSE)</f>
        <v>Capital Goods</v>
      </c>
      <c r="C283" s="7">
        <v>843420</v>
      </c>
      <c r="D283" s="8" t="s">
        <v>653</v>
      </c>
      <c r="E283" s="17" t="s">
        <v>19</v>
      </c>
      <c r="F283" s="8"/>
      <c r="G283" s="8"/>
      <c r="H283" s="9" t="s">
        <v>61</v>
      </c>
      <c r="I283" s="9" t="s">
        <v>632</v>
      </c>
      <c r="J283" s="17" t="str">
        <f>_xlfn.IFNA(VLOOKUP(C283, '[2]Unique HS'!$B$4:$J$999, 9, FALSE), "No")</f>
        <v>No</v>
      </c>
      <c r="K283" s="18">
        <f>VLOOKUP(C283, '[1]India EXIM'!$B$6:$C$580, 2, FALSE)</f>
        <v>1.812502719E-2</v>
      </c>
      <c r="L283" s="11">
        <f>VLOOKUP(C283, '[1]China EXIM'!$B$6:$D$580, 3, FALSE)</f>
        <v>0.54070258566700002</v>
      </c>
      <c r="M283" s="6"/>
      <c r="N283" s="6"/>
      <c r="O283" s="6"/>
      <c r="P283" s="10" t="s">
        <v>24</v>
      </c>
      <c r="Q283" s="9" t="s">
        <v>61</v>
      </c>
      <c r="U283" s="1" t="s">
        <v>25</v>
      </c>
    </row>
    <row r="284" spans="2:21" ht="69.95" hidden="1">
      <c r="B284" s="6" t="str">
        <f>VLOOKUP(C284, [1]Definition!$D$5:$K$5665, 8, FALSE)</f>
        <v>Capital Goods</v>
      </c>
      <c r="C284" s="7">
        <v>850520</v>
      </c>
      <c r="D284" s="8" t="s">
        <v>654</v>
      </c>
      <c r="E284" s="17" t="s">
        <v>163</v>
      </c>
      <c r="F284" s="8" t="s">
        <v>655</v>
      </c>
      <c r="G284" s="8" t="s">
        <v>656</v>
      </c>
      <c r="H284" s="9" t="s">
        <v>30</v>
      </c>
      <c r="I284" s="9" t="s">
        <v>266</v>
      </c>
      <c r="J284" s="17" t="str">
        <f>_xlfn.IFNA(VLOOKUP(C284, '[2]Unique HS'!$B$4:$J$999, 9, FALSE), "No")</f>
        <v>Yes</v>
      </c>
      <c r="K284" s="18">
        <f>VLOOKUP(C284, '[1]India EXIM'!$B$6:$C$580, 2, FALSE)</f>
        <v>1.7929759885999999E-2</v>
      </c>
      <c r="L284" s="11">
        <f>VLOOKUP(C284, '[1]China EXIM'!$B$6:$D$580, 3, FALSE)</f>
        <v>0.96731026323899993</v>
      </c>
      <c r="M284" s="6"/>
      <c r="N284" s="6"/>
      <c r="O284" s="6"/>
      <c r="P284" s="10" t="s">
        <v>24</v>
      </c>
      <c r="Q284" s="9" t="s">
        <v>30</v>
      </c>
      <c r="S284" s="1" t="s">
        <v>33</v>
      </c>
      <c r="U284" s="1" t="s">
        <v>34</v>
      </c>
    </row>
    <row r="285" spans="2:21" ht="56.1" hidden="1">
      <c r="B285" s="6" t="str">
        <f>VLOOKUP(C285, [1]Definition!$D$5:$K$5665, 8, FALSE)</f>
        <v>Capital Goods</v>
      </c>
      <c r="C285" s="7">
        <v>903141</v>
      </c>
      <c r="D285" s="8" t="s">
        <v>657</v>
      </c>
      <c r="E285" s="17" t="s">
        <v>19</v>
      </c>
      <c r="F285" s="8" t="s">
        <v>658</v>
      </c>
      <c r="G285" s="8"/>
      <c r="H285" s="9" t="s">
        <v>46</v>
      </c>
      <c r="I285" s="9" t="s">
        <v>273</v>
      </c>
      <c r="J285" s="17" t="str">
        <f>_xlfn.IFNA(VLOOKUP(C285, '[2]Unique HS'!$B$4:$J$999, 9, FALSE), "No")</f>
        <v>Yes</v>
      </c>
      <c r="K285" s="18">
        <f>VLOOKUP(C285, '[1]India EXIM'!$B$6:$C$580, 2, FALSE)</f>
        <v>1.7660330815E-2</v>
      </c>
      <c r="L285" s="11">
        <f>VLOOKUP(C285, '[1]China EXIM'!$B$6:$D$580, 3, FALSE)</f>
        <v>8.930551534419001</v>
      </c>
      <c r="M285" s="6"/>
      <c r="N285" s="6"/>
      <c r="O285" s="6"/>
      <c r="P285" s="10" t="s">
        <v>24</v>
      </c>
      <c r="Q285" s="9" t="s">
        <v>46</v>
      </c>
      <c r="U285" s="1" t="s">
        <v>25</v>
      </c>
    </row>
    <row r="286" spans="2:21" ht="27.95" hidden="1">
      <c r="B286" s="6" t="str">
        <f>VLOOKUP(C286, [1]Definition!$D$5:$K$5665, 8, FALSE)</f>
        <v>Capital Goods</v>
      </c>
      <c r="C286" s="7">
        <v>845720</v>
      </c>
      <c r="D286" s="8" t="s">
        <v>659</v>
      </c>
      <c r="E286" s="17" t="s">
        <v>19</v>
      </c>
      <c r="F286" s="8"/>
      <c r="G286" s="8"/>
      <c r="H286" s="9" t="s">
        <v>65</v>
      </c>
      <c r="I286" s="9" t="s">
        <v>31</v>
      </c>
      <c r="J286" s="17" t="str">
        <f>_xlfn.IFNA(VLOOKUP(C286, '[2]Unique HS'!$B$4:$J$999, 9, FALSE), "No")</f>
        <v>No</v>
      </c>
      <c r="K286" s="18">
        <f>VLOOKUP(C286, '[1]India EXIM'!$B$6:$C$580, 2, FALSE)</f>
        <v>1.7629745007E-2</v>
      </c>
      <c r="L286" s="11">
        <f>VLOOKUP(C286, '[1]China EXIM'!$B$6:$D$580, 3, FALSE)</f>
        <v>6.0701960588000002E-2</v>
      </c>
      <c r="M286" s="6"/>
      <c r="N286" s="6"/>
      <c r="O286" s="6"/>
      <c r="P286" s="10" t="s">
        <v>24</v>
      </c>
      <c r="Q286" s="9" t="s">
        <v>65</v>
      </c>
      <c r="U286" s="1" t="s">
        <v>25</v>
      </c>
    </row>
    <row r="287" spans="2:21" hidden="1">
      <c r="B287" s="6" t="str">
        <f>VLOOKUP(C287, [1]Definition!$D$5:$K$5665, 8, FALSE)</f>
        <v>Capital Goods</v>
      </c>
      <c r="C287" s="7">
        <v>845130</v>
      </c>
      <c r="D287" s="8" t="s">
        <v>660</v>
      </c>
      <c r="E287" s="17" t="s">
        <v>19</v>
      </c>
      <c r="F287" s="8"/>
      <c r="G287" s="8"/>
      <c r="H287" s="9" t="s">
        <v>55</v>
      </c>
      <c r="I287" s="9" t="s">
        <v>234</v>
      </c>
      <c r="J287" s="17" t="str">
        <f>_xlfn.IFNA(VLOOKUP(C287, '[2]Unique HS'!$B$4:$J$999, 9, FALSE), "No")</f>
        <v>Yes</v>
      </c>
      <c r="K287" s="18">
        <f>VLOOKUP(C287, '[1]India EXIM'!$B$6:$C$580, 2, FALSE)</f>
        <v>1.7510714486000001E-2</v>
      </c>
      <c r="L287" s="11">
        <f>VLOOKUP(C287, '[1]China EXIM'!$B$6:$D$580, 3, FALSE)</f>
        <v>0.46330159517400005</v>
      </c>
      <c r="M287" s="6"/>
      <c r="N287" s="6"/>
      <c r="O287" s="6"/>
      <c r="P287" s="10" t="s">
        <v>24</v>
      </c>
      <c r="Q287" s="9" t="s">
        <v>55</v>
      </c>
      <c r="U287" s="1" t="s">
        <v>25</v>
      </c>
    </row>
    <row r="288" spans="2:21" ht="27.95" hidden="1">
      <c r="B288" s="6" t="str">
        <f>VLOOKUP(C288, [1]Definition!$D$5:$K$5665, 8, FALSE)</f>
        <v>Capital Goods</v>
      </c>
      <c r="C288" s="7">
        <v>846012</v>
      </c>
      <c r="D288" s="8" t="s">
        <v>661</v>
      </c>
      <c r="E288" s="17" t="s">
        <v>19</v>
      </c>
      <c r="F288" s="8"/>
      <c r="G288" s="8"/>
      <c r="H288" s="9" t="s">
        <v>65</v>
      </c>
      <c r="I288" s="9" t="s">
        <v>31</v>
      </c>
      <c r="J288" s="17" t="str">
        <f>_xlfn.IFNA(VLOOKUP(C288, '[2]Unique HS'!$B$4:$J$999, 9, FALSE), "No")</f>
        <v>No</v>
      </c>
      <c r="K288" s="18">
        <f>VLOOKUP(C288, '[1]India EXIM'!$B$6:$C$580, 2, FALSE)</f>
        <v>1.7226516718999999E-2</v>
      </c>
      <c r="L288" s="11">
        <f>VLOOKUP(C288, '[1]China EXIM'!$B$6:$D$580, 3, FALSE)</f>
        <v>0.44105261386299999</v>
      </c>
      <c r="M288" s="6"/>
      <c r="N288" s="6"/>
      <c r="O288" s="6"/>
      <c r="P288" s="10" t="s">
        <v>24</v>
      </c>
      <c r="Q288" s="9" t="s">
        <v>65</v>
      </c>
      <c r="U288" s="1" t="s">
        <v>25</v>
      </c>
    </row>
    <row r="289" spans="2:22" ht="27.95" hidden="1">
      <c r="B289" s="6" t="str">
        <f>VLOOKUP(C289, [1]Definition!$D$5:$K$5665, 8, FALSE)</f>
        <v>Capital Goods</v>
      </c>
      <c r="C289" s="7">
        <v>842539</v>
      </c>
      <c r="D289" s="8" t="s">
        <v>662</v>
      </c>
      <c r="E289" s="17" t="s">
        <v>19</v>
      </c>
      <c r="F289" s="8"/>
      <c r="G289" s="8"/>
      <c r="H289" s="9" t="s">
        <v>58</v>
      </c>
      <c r="I289" s="9" t="s">
        <v>31</v>
      </c>
      <c r="J289" s="17" t="str">
        <f>_xlfn.IFNA(VLOOKUP(C289, '[2]Unique HS'!$B$4:$J$999, 9, FALSE), "No")</f>
        <v>No</v>
      </c>
      <c r="K289" s="18">
        <f>VLOOKUP(C289, '[1]India EXIM'!$B$6:$C$580, 2, FALSE)</f>
        <v>1.7221554305000001E-2</v>
      </c>
      <c r="L289" s="11">
        <f>VLOOKUP(C289, '[1]China EXIM'!$B$6:$D$580, 3, FALSE)</f>
        <v>1.1166606162769999</v>
      </c>
      <c r="M289" s="9" t="s">
        <v>59</v>
      </c>
      <c r="N289" s="9"/>
      <c r="O289" s="6" t="s">
        <v>663</v>
      </c>
      <c r="P289" s="10" t="s">
        <v>24</v>
      </c>
      <c r="Q289" s="9" t="s">
        <v>58</v>
      </c>
      <c r="U289" s="1" t="s">
        <v>25</v>
      </c>
    </row>
    <row r="290" spans="2:22" ht="27.95" hidden="1">
      <c r="B290" s="6" t="str">
        <f>VLOOKUP(C290, [1]Definition!$D$5:$K$5665, 8, FALSE)</f>
        <v>Capital Goods</v>
      </c>
      <c r="C290" s="7">
        <v>842930</v>
      </c>
      <c r="D290" s="8" t="s">
        <v>664</v>
      </c>
      <c r="E290" s="17" t="s">
        <v>19</v>
      </c>
      <c r="F290" s="8"/>
      <c r="G290" s="8"/>
      <c r="H290" s="9" t="s">
        <v>58</v>
      </c>
      <c r="I290" s="9" t="s">
        <v>31</v>
      </c>
      <c r="J290" s="17" t="str">
        <f>_xlfn.IFNA(VLOOKUP(C290, '[2]Unique HS'!$B$4:$J$999, 9, FALSE), "No")</f>
        <v>No</v>
      </c>
      <c r="K290" s="18">
        <f>VLOOKUP(C290, '[1]India EXIM'!$B$6:$C$580, 2, FALSE)</f>
        <v>1.7137022530999999E-2</v>
      </c>
      <c r="L290" s="11">
        <f>VLOOKUP(C290, '[1]China EXIM'!$B$6:$D$580, 3, FALSE)</f>
        <v>0.17903210250999999</v>
      </c>
      <c r="M290" s="9" t="s">
        <v>117</v>
      </c>
      <c r="N290" s="9"/>
      <c r="O290" s="6" t="s">
        <v>665</v>
      </c>
      <c r="P290" s="10" t="s">
        <v>24</v>
      </c>
      <c r="Q290" s="9" t="s">
        <v>58</v>
      </c>
      <c r="U290" s="1" t="s">
        <v>25</v>
      </c>
    </row>
    <row r="291" spans="2:22" ht="56.1">
      <c r="B291" s="6" t="str">
        <f>VLOOKUP(C291, [1]Definition!$D$5:$K$5665, 8, FALSE)</f>
        <v>Capital Goods</v>
      </c>
      <c r="C291" s="7">
        <v>854151</v>
      </c>
      <c r="D291" s="8" t="s">
        <v>666</v>
      </c>
      <c r="E291" s="17" t="s">
        <v>119</v>
      </c>
      <c r="F291" s="8" t="s">
        <v>667</v>
      </c>
      <c r="G291" s="8" t="s">
        <v>668</v>
      </c>
      <c r="H291" s="9" t="s">
        <v>46</v>
      </c>
      <c r="I291" s="9" t="s">
        <v>303</v>
      </c>
      <c r="J291" s="17" t="str">
        <f>_xlfn.IFNA(VLOOKUP(C291, '[2]Unique HS'!$B$4:$J$999, 9, FALSE), "No")</f>
        <v>Yes</v>
      </c>
      <c r="K291" s="19">
        <f>VLOOKUP(C291, '[1]India EXIM'!$B$6:$C$580, 2, FALSE)</f>
        <v>4.5499528200000005E-3</v>
      </c>
      <c r="L291" s="11">
        <f>VLOOKUP(C291, '[1]China EXIM'!$B$6:$D$580, 3, FALSE)</f>
        <v>0.74864945711100006</v>
      </c>
      <c r="M291" s="6"/>
      <c r="N291" s="6"/>
      <c r="O291" s="6"/>
      <c r="P291" s="10" t="s">
        <v>24</v>
      </c>
      <c r="Q291" s="9" t="s">
        <v>46</v>
      </c>
      <c r="U291" s="1" t="s">
        <v>211</v>
      </c>
      <c r="V291" s="1" t="s">
        <v>542</v>
      </c>
    </row>
    <row r="292" spans="2:22" ht="27.95" hidden="1">
      <c r="B292" s="6" t="str">
        <f>VLOOKUP(C292, [1]Definition!$D$5:$K$5665, 8, FALSE)</f>
        <v>Capital Goods</v>
      </c>
      <c r="C292" s="7">
        <v>847920</v>
      </c>
      <c r="D292" s="8" t="s">
        <v>669</v>
      </c>
      <c r="E292" s="17" t="s">
        <v>19</v>
      </c>
      <c r="F292" s="8"/>
      <c r="G292" s="8"/>
      <c r="H292" s="9" t="s">
        <v>22</v>
      </c>
      <c r="I292" s="9" t="s">
        <v>670</v>
      </c>
      <c r="J292" s="17" t="str">
        <f>_xlfn.IFNA(VLOOKUP(C292, '[2]Unique HS'!$B$4:$J$999, 9, FALSE), "No")</f>
        <v>No</v>
      </c>
      <c r="K292" s="18">
        <f>VLOOKUP(C292, '[1]India EXIM'!$B$6:$C$580, 2, FALSE)</f>
        <v>1.7111225274000001E-2</v>
      </c>
      <c r="L292" s="11">
        <f>VLOOKUP(C292, '[1]China EXIM'!$B$6:$D$580, 3, FALSE)</f>
        <v>1.0022013841749999</v>
      </c>
      <c r="M292" s="6"/>
      <c r="N292" s="6"/>
      <c r="O292" s="6"/>
      <c r="P292" s="10" t="s">
        <v>24</v>
      </c>
      <c r="Q292" s="9" t="s">
        <v>22</v>
      </c>
      <c r="U292" s="1" t="s">
        <v>25</v>
      </c>
    </row>
    <row r="293" spans="2:22" ht="27.95" hidden="1">
      <c r="B293" s="6" t="str">
        <f>VLOOKUP(C293, [1]Definition!$D$5:$K$5665, 8, FALSE)</f>
        <v>Capital Goods</v>
      </c>
      <c r="C293" s="7">
        <v>842611</v>
      </c>
      <c r="D293" s="8" t="s">
        <v>671</v>
      </c>
      <c r="E293" s="17" t="s">
        <v>19</v>
      </c>
      <c r="F293" s="8"/>
      <c r="G293" s="8"/>
      <c r="H293" s="9" t="s">
        <v>58</v>
      </c>
      <c r="I293" s="9" t="s">
        <v>31</v>
      </c>
      <c r="J293" s="17" t="str">
        <f>_xlfn.IFNA(VLOOKUP(C293, '[2]Unique HS'!$B$4:$J$999, 9, FALSE), "No")</f>
        <v>No</v>
      </c>
      <c r="K293" s="18">
        <f>VLOOKUP(C293, '[1]India EXIM'!$B$6:$C$580, 2, FALSE)</f>
        <v>1.7102620940999999E-2</v>
      </c>
      <c r="L293" s="11">
        <f>VLOOKUP(C293, '[1]China EXIM'!$B$6:$D$580, 3, FALSE)</f>
        <v>1.018463931266</v>
      </c>
      <c r="M293" s="9" t="s">
        <v>80</v>
      </c>
      <c r="N293" s="9"/>
      <c r="O293" s="6"/>
      <c r="P293" s="10" t="s">
        <v>24</v>
      </c>
      <c r="Q293" s="9" t="s">
        <v>58</v>
      </c>
      <c r="U293" s="1" t="s">
        <v>25</v>
      </c>
    </row>
    <row r="294" spans="2:22" ht="27.95">
      <c r="B294" s="6" t="str">
        <f>VLOOKUP(C294, [1]Definition!$D$5:$K$5665, 8, FALSE)</f>
        <v>Capital Goods</v>
      </c>
      <c r="C294" s="7">
        <v>842441</v>
      </c>
      <c r="D294" s="8" t="s">
        <v>672</v>
      </c>
      <c r="E294" s="17" t="s">
        <v>119</v>
      </c>
      <c r="F294" s="8" t="s">
        <v>673</v>
      </c>
      <c r="G294" s="8"/>
      <c r="H294" s="9" t="s">
        <v>22</v>
      </c>
      <c r="I294" s="9" t="s">
        <v>38</v>
      </c>
      <c r="J294" s="17" t="str">
        <f>_xlfn.IFNA(VLOOKUP(C294, '[2]Unique HS'!$B$4:$J$999, 9, FALSE), "No")</f>
        <v>No</v>
      </c>
      <c r="K294" s="18">
        <f>VLOOKUP(C294, '[1]India EXIM'!$B$6:$C$580, 2, FALSE)</f>
        <v>2.4586809636999999E-2</v>
      </c>
      <c r="L294" s="11">
        <f>VLOOKUP(C294, '[1]China EXIM'!$B$6:$D$580, 3, FALSE)</f>
        <v>0.74577324205100004</v>
      </c>
      <c r="M294" s="6" t="s">
        <v>160</v>
      </c>
      <c r="N294" s="6"/>
      <c r="O294" s="6"/>
      <c r="P294" s="10" t="s">
        <v>24</v>
      </c>
      <c r="Q294" s="9" t="s">
        <v>161</v>
      </c>
      <c r="U294" s="1" t="s">
        <v>137</v>
      </c>
    </row>
    <row r="295" spans="2:22" ht="27.95" hidden="1">
      <c r="B295" s="6" t="str">
        <f>VLOOKUP(C295, [1]Definition!$D$5:$K$5665, 8, FALSE)</f>
        <v>Capital Goods</v>
      </c>
      <c r="C295" s="7">
        <v>846022</v>
      </c>
      <c r="D295" s="8" t="s">
        <v>674</v>
      </c>
      <c r="E295" s="17" t="s">
        <v>19</v>
      </c>
      <c r="F295" s="8"/>
      <c r="G295" s="8"/>
      <c r="H295" s="9" t="s">
        <v>65</v>
      </c>
      <c r="I295" s="9" t="s">
        <v>31</v>
      </c>
      <c r="J295" s="17" t="str">
        <f>_xlfn.IFNA(VLOOKUP(C295, '[2]Unique HS'!$B$4:$J$999, 9, FALSE), "No")</f>
        <v>No</v>
      </c>
      <c r="K295" s="18">
        <f>VLOOKUP(C295, '[1]India EXIM'!$B$6:$C$580, 2, FALSE)</f>
        <v>1.6848597728E-2</v>
      </c>
      <c r="L295" s="11">
        <f>VLOOKUP(C295, '[1]China EXIM'!$B$6:$D$580, 3, FALSE)</f>
        <v>0.154975347584</v>
      </c>
      <c r="M295" s="6"/>
      <c r="N295" s="6"/>
      <c r="O295" s="6"/>
      <c r="P295" s="10" t="s">
        <v>24</v>
      </c>
      <c r="Q295" s="9" t="s">
        <v>65</v>
      </c>
      <c r="U295" s="1" t="s">
        <v>25</v>
      </c>
    </row>
    <row r="296" spans="2:22" ht="27.95" hidden="1">
      <c r="B296" s="6" t="str">
        <f>VLOOKUP(C296, [1]Definition!$D$5:$K$5665, 8, FALSE)</f>
        <v>Capital Goods</v>
      </c>
      <c r="C296" s="7">
        <v>842911</v>
      </c>
      <c r="D296" s="8" t="s">
        <v>675</v>
      </c>
      <c r="E296" s="17" t="s">
        <v>19</v>
      </c>
      <c r="F296" s="8"/>
      <c r="G296" s="8"/>
      <c r="H296" s="9" t="s">
        <v>58</v>
      </c>
      <c r="I296" s="9" t="s">
        <v>31</v>
      </c>
      <c r="J296" s="17" t="str">
        <f>_xlfn.IFNA(VLOOKUP(C296, '[2]Unique HS'!$B$4:$J$999, 9, FALSE), "No")</f>
        <v>No</v>
      </c>
      <c r="K296" s="18">
        <f>VLOOKUP(C296, '[1]India EXIM'!$B$6:$C$580, 2, FALSE)</f>
        <v>1.6836266425999998E-2</v>
      </c>
      <c r="L296" s="11">
        <f>VLOOKUP(C296, '[1]China EXIM'!$B$6:$D$580, 3, FALSE)</f>
        <v>5.2632638940979994</v>
      </c>
      <c r="M296" s="9" t="s">
        <v>117</v>
      </c>
      <c r="N296" s="9"/>
      <c r="O296" s="6"/>
      <c r="P296" s="10" t="s">
        <v>24</v>
      </c>
      <c r="Q296" s="9" t="s">
        <v>58</v>
      </c>
      <c r="U296" s="1" t="s">
        <v>25</v>
      </c>
    </row>
    <row r="297" spans="2:22" ht="42" hidden="1">
      <c r="B297" s="6" t="str">
        <f>VLOOKUP(C297, [1]Definition!$D$5:$K$5665, 8, FALSE)</f>
        <v>Capital Goods</v>
      </c>
      <c r="C297" s="7">
        <v>851420</v>
      </c>
      <c r="D297" s="8" t="s">
        <v>676</v>
      </c>
      <c r="E297" s="17" t="s">
        <v>19</v>
      </c>
      <c r="F297" s="8"/>
      <c r="G297" s="8"/>
      <c r="H297" s="9" t="s">
        <v>82</v>
      </c>
      <c r="I297" s="9" t="s">
        <v>677</v>
      </c>
      <c r="J297" s="17" t="str">
        <f>_xlfn.IFNA(VLOOKUP(C297, '[2]Unique HS'!$B$4:$J$999, 9, FALSE), "No")</f>
        <v>No</v>
      </c>
      <c r="K297" s="18">
        <f>VLOOKUP(C297, '[1]India EXIM'!$B$6:$C$580, 2, FALSE)</f>
        <v>1.6811100624999999E-2</v>
      </c>
      <c r="L297" s="11">
        <f>VLOOKUP(C297, '[1]China EXIM'!$B$6:$D$580, 3, FALSE)</f>
        <v>0.52533891815199996</v>
      </c>
      <c r="M297" s="9" t="s">
        <v>439</v>
      </c>
      <c r="N297" s="9"/>
      <c r="O297" s="9" t="s">
        <v>678</v>
      </c>
      <c r="P297" s="10" t="s">
        <v>24</v>
      </c>
      <c r="Q297" s="9" t="s">
        <v>82</v>
      </c>
      <c r="U297" s="1" t="s">
        <v>25</v>
      </c>
    </row>
    <row r="298" spans="2:22" ht="69.95" hidden="1">
      <c r="B298" s="6" t="str">
        <f>VLOOKUP(C298, [1]Definition!$D$5:$K$5665, 8, FALSE)</f>
        <v>Capital Goods</v>
      </c>
      <c r="C298" s="7">
        <v>901520</v>
      </c>
      <c r="D298" s="8" t="s">
        <v>679</v>
      </c>
      <c r="E298" s="17" t="s">
        <v>163</v>
      </c>
      <c r="F298" s="8" t="s">
        <v>680</v>
      </c>
      <c r="G298" s="8" t="s">
        <v>607</v>
      </c>
      <c r="H298" s="9" t="s">
        <v>166</v>
      </c>
      <c r="I298" s="9" t="s">
        <v>167</v>
      </c>
      <c r="J298" s="17" t="str">
        <f>_xlfn.IFNA(VLOOKUP(C298, '[2]Unique HS'!$B$4:$J$999, 9, FALSE), "No")</f>
        <v>No</v>
      </c>
      <c r="K298" s="22">
        <f>VLOOKUP(C298, '[1]India EXIM'!$B$6:$C$580, 2, FALSE)</f>
        <v>1.6802813107000002E-2</v>
      </c>
      <c r="L298" s="11">
        <f>VLOOKUP(C298, '[1]China EXIM'!$B$6:$D$580, 3, FALSE)</f>
        <v>0.87679933888299999</v>
      </c>
      <c r="M298" s="6"/>
      <c r="N298" s="6"/>
      <c r="O298" s="6"/>
      <c r="P298" s="10" t="s">
        <v>24</v>
      </c>
      <c r="Q298" s="11" t="s">
        <v>168</v>
      </c>
      <c r="S298" s="1" t="s">
        <v>33</v>
      </c>
      <c r="U298" s="1" t="s">
        <v>34</v>
      </c>
    </row>
    <row r="299" spans="2:22" ht="27.95" hidden="1">
      <c r="B299" s="6" t="str">
        <f>VLOOKUP(C299, [1]Definition!$D$5:$K$5665, 8, FALSE)</f>
        <v>Capital Goods</v>
      </c>
      <c r="C299" s="7">
        <v>846591</v>
      </c>
      <c r="D299" s="8" t="s">
        <v>681</v>
      </c>
      <c r="E299" s="17" t="s">
        <v>19</v>
      </c>
      <c r="F299" s="8"/>
      <c r="G299" s="8"/>
      <c r="H299" s="9" t="s">
        <v>65</v>
      </c>
      <c r="I299" s="9" t="s">
        <v>31</v>
      </c>
      <c r="J299" s="17" t="str">
        <f>_xlfn.IFNA(VLOOKUP(C299, '[2]Unique HS'!$B$4:$J$999, 9, FALSE), "No")</f>
        <v>No</v>
      </c>
      <c r="K299" s="18">
        <f>VLOOKUP(C299, '[1]India EXIM'!$B$6:$C$580, 2, FALSE)</f>
        <v>1.6697005773000002E-2</v>
      </c>
      <c r="L299" s="11">
        <f>VLOOKUP(C299, '[1]China EXIM'!$B$6:$D$580, 3, FALSE)</f>
        <v>2.1957360485419999</v>
      </c>
      <c r="M299" s="6"/>
      <c r="N299" s="6"/>
      <c r="O299" s="6"/>
      <c r="P299" s="10" t="s">
        <v>24</v>
      </c>
      <c r="Q299" s="9" t="s">
        <v>65</v>
      </c>
      <c r="U299" s="1" t="s">
        <v>25</v>
      </c>
    </row>
    <row r="300" spans="2:22" ht="27.95">
      <c r="B300" s="6" t="str">
        <f>VLOOKUP(C300, [1]Definition!$D$5:$K$5665, 8, FALSE)</f>
        <v>Capital Goods</v>
      </c>
      <c r="C300" s="7">
        <v>902910</v>
      </c>
      <c r="D300" s="8" t="s">
        <v>682</v>
      </c>
      <c r="E300" s="17" t="s">
        <v>119</v>
      </c>
      <c r="F300" s="8" t="s">
        <v>683</v>
      </c>
      <c r="G300" s="8" t="s">
        <v>684</v>
      </c>
      <c r="H300" s="9" t="s">
        <v>166</v>
      </c>
      <c r="I300" s="9" t="s">
        <v>201</v>
      </c>
      <c r="J300" s="17" t="str">
        <f>_xlfn.IFNA(VLOOKUP(C300, '[2]Unique HS'!$B$4:$J$999, 9, FALSE), "No")</f>
        <v>Yes</v>
      </c>
      <c r="K300" s="18">
        <f>VLOOKUP(C300, '[1]India EXIM'!$B$6:$C$580, 2, FALSE)</f>
        <v>1.1068616083000001E-2</v>
      </c>
      <c r="L300" s="11">
        <f>VLOOKUP(C300, '[1]China EXIM'!$B$6:$D$580, 3, FALSE)</f>
        <v>0.71351973504499999</v>
      </c>
      <c r="M300" s="6"/>
      <c r="N300" s="6"/>
      <c r="O300" s="6"/>
      <c r="P300" s="10" t="s">
        <v>24</v>
      </c>
      <c r="Q300" s="11" t="s">
        <v>39</v>
      </c>
      <c r="U300" s="1" t="s">
        <v>211</v>
      </c>
      <c r="V300" s="1" t="s">
        <v>685</v>
      </c>
    </row>
    <row r="301" spans="2:22" ht="56.1" hidden="1">
      <c r="B301" s="6" t="str">
        <f>VLOOKUP(C301, [1]Definition!$D$5:$K$5665, 8, FALSE)</f>
        <v>Capital Goods</v>
      </c>
      <c r="C301" s="7">
        <v>903110</v>
      </c>
      <c r="D301" s="8" t="s">
        <v>686</v>
      </c>
      <c r="E301" s="17" t="s">
        <v>205</v>
      </c>
      <c r="F301" s="8" t="s">
        <v>687</v>
      </c>
      <c r="G301" s="8" t="s">
        <v>688</v>
      </c>
      <c r="H301" s="9" t="s">
        <v>22</v>
      </c>
      <c r="I301" s="9" t="s">
        <v>319</v>
      </c>
      <c r="J301" s="17" t="str">
        <f>_xlfn.IFNA(VLOOKUP(C301, '[2]Unique HS'!$B$4:$J$999, 9, FALSE), "No")</f>
        <v>No</v>
      </c>
      <c r="K301" s="22">
        <f>VLOOKUP(C301, '[1]India EXIM'!$B$6:$C$580, 2, FALSE)</f>
        <v>1.6636235433E-2</v>
      </c>
      <c r="L301" s="11">
        <f>VLOOKUP(C301, '[1]China EXIM'!$B$6:$D$580, 3, FALSE)</f>
        <v>0.489244696448</v>
      </c>
      <c r="M301" s="6"/>
      <c r="N301" s="6"/>
      <c r="O301" s="6"/>
      <c r="P301" s="10" t="s">
        <v>24</v>
      </c>
      <c r="Q301" s="9" t="s">
        <v>22</v>
      </c>
      <c r="U301" s="1" t="s">
        <v>25</v>
      </c>
    </row>
    <row r="302" spans="2:22" ht="56.1" hidden="1">
      <c r="B302" s="6" t="str">
        <f>VLOOKUP(C302, [1]Definition!$D$5:$K$5665, 8, FALSE)</f>
        <v>Capital Goods</v>
      </c>
      <c r="C302" s="7">
        <v>820411</v>
      </c>
      <c r="D302" s="8" t="s">
        <v>689</v>
      </c>
      <c r="E302" s="17" t="s">
        <v>19</v>
      </c>
      <c r="F302" s="8"/>
      <c r="G302" s="8"/>
      <c r="H302" s="9" t="s">
        <v>65</v>
      </c>
      <c r="I302" s="9" t="s">
        <v>690</v>
      </c>
      <c r="J302" s="17" t="str">
        <f>_xlfn.IFNA(VLOOKUP(C302, '[2]Unique HS'!$B$4:$J$999, 9, FALSE), "No")</f>
        <v>Yes</v>
      </c>
      <c r="K302" s="18">
        <f>VLOOKUP(C302, '[1]India EXIM'!$B$6:$C$580, 2, FALSE)</f>
        <v>1.6606013154E-2</v>
      </c>
      <c r="L302" s="11">
        <f>VLOOKUP(C302, '[1]China EXIM'!$B$6:$D$580, 3, FALSE)</f>
        <v>1.788504010017</v>
      </c>
      <c r="M302" s="6" t="s">
        <v>210</v>
      </c>
      <c r="N302" s="6"/>
      <c r="O302" s="9"/>
      <c r="P302" s="10" t="s">
        <v>24</v>
      </c>
      <c r="Q302" s="11" t="s">
        <v>210</v>
      </c>
      <c r="U302" s="1" t="s">
        <v>25</v>
      </c>
    </row>
    <row r="303" spans="2:22" ht="27.95">
      <c r="B303" s="6" t="str">
        <f>VLOOKUP(C303, [1]Definition!$D$5:$K$5665, 8, FALSE)</f>
        <v>Capital Goods</v>
      </c>
      <c r="C303" s="7">
        <v>846791</v>
      </c>
      <c r="D303" s="8" t="s">
        <v>691</v>
      </c>
      <c r="E303" s="17" t="s">
        <v>119</v>
      </c>
      <c r="F303" s="8" t="s">
        <v>692</v>
      </c>
      <c r="G303" s="8" t="s">
        <v>693</v>
      </c>
      <c r="H303" s="9" t="s">
        <v>65</v>
      </c>
      <c r="I303" s="9" t="s">
        <v>31</v>
      </c>
      <c r="J303" s="17" t="str">
        <f>_xlfn.IFNA(VLOOKUP(C303, '[2]Unique HS'!$B$4:$J$999, 9, FALSE), "No")</f>
        <v>No</v>
      </c>
      <c r="K303" s="18">
        <f>VLOOKUP(C303, '[1]India EXIM'!$B$6:$C$580, 2, FALSE)</f>
        <v>2.0811422419000001E-2</v>
      </c>
      <c r="L303" s="11">
        <f>VLOOKUP(C303, '[1]China EXIM'!$B$6:$D$580, 3, FALSE)</f>
        <v>0.37471774780800005</v>
      </c>
      <c r="M303" s="6"/>
      <c r="N303" s="6"/>
      <c r="O303" s="6"/>
      <c r="P303" s="10" t="s">
        <v>24</v>
      </c>
      <c r="Q303" s="9" t="s">
        <v>65</v>
      </c>
      <c r="U303" s="1" t="s">
        <v>34</v>
      </c>
    </row>
    <row r="304" spans="2:22" ht="56.1" hidden="1">
      <c r="B304" s="6" t="str">
        <f>VLOOKUP(C304, [1]Definition!$D$5:$K$5665, 8, FALSE)</f>
        <v>Capital Goods</v>
      </c>
      <c r="C304" s="7">
        <v>761100</v>
      </c>
      <c r="D304" s="8" t="s">
        <v>694</v>
      </c>
      <c r="E304" s="17" t="s">
        <v>19</v>
      </c>
      <c r="F304" s="8"/>
      <c r="G304" s="8" t="s">
        <v>695</v>
      </c>
      <c r="H304" s="9" t="s">
        <v>22</v>
      </c>
      <c r="I304" s="9" t="s">
        <v>528</v>
      </c>
      <c r="J304" s="17" t="str">
        <f>_xlfn.IFNA(VLOOKUP(C304, '[2]Unique HS'!$B$4:$J$999, 9, FALSE), "No")</f>
        <v>No</v>
      </c>
      <c r="K304" s="18">
        <f>VLOOKUP(C304, '[1]India EXIM'!$B$6:$C$580, 2, FALSE)</f>
        <v>1.6419606212999999E-2</v>
      </c>
      <c r="L304" s="11">
        <f>VLOOKUP(C304, '[1]China EXIM'!$B$6:$D$580, 3, FALSE)</f>
        <v>0.27677543251700004</v>
      </c>
      <c r="M304" s="6" t="s">
        <v>201</v>
      </c>
      <c r="N304" s="6"/>
      <c r="O304" s="9"/>
      <c r="P304" s="10" t="s">
        <v>24</v>
      </c>
      <c r="Q304" s="9" t="s">
        <v>22</v>
      </c>
      <c r="U304" s="1" t="s">
        <v>25</v>
      </c>
    </row>
    <row r="305" spans="2:22" ht="27.95" hidden="1">
      <c r="B305" s="6" t="str">
        <f>VLOOKUP(C305, [1]Definition!$D$5:$K$5665, 8, FALSE)</f>
        <v>Capital Goods</v>
      </c>
      <c r="C305" s="7">
        <v>843850</v>
      </c>
      <c r="D305" s="8" t="s">
        <v>696</v>
      </c>
      <c r="E305" s="17" t="s">
        <v>19</v>
      </c>
      <c r="F305" s="8"/>
      <c r="G305" s="8"/>
      <c r="H305" s="9" t="s">
        <v>61</v>
      </c>
      <c r="I305" s="9" t="s">
        <v>247</v>
      </c>
      <c r="J305" s="17" t="str">
        <f>_xlfn.IFNA(VLOOKUP(C305, '[2]Unique HS'!$B$4:$J$999, 9, FALSE), "No")</f>
        <v>No</v>
      </c>
      <c r="K305" s="18">
        <f>VLOOKUP(C305, '[1]India EXIM'!$B$6:$C$580, 2, FALSE)</f>
        <v>1.6277129615E-2</v>
      </c>
      <c r="L305" s="11">
        <f>VLOOKUP(C305, '[1]China EXIM'!$B$6:$D$580, 3, FALSE)</f>
        <v>2.895021418901</v>
      </c>
      <c r="M305" s="6"/>
      <c r="N305" s="6"/>
      <c r="O305" s="6"/>
      <c r="P305" s="10" t="s">
        <v>24</v>
      </c>
      <c r="Q305" s="9" t="s">
        <v>61</v>
      </c>
      <c r="U305" s="1" t="s">
        <v>25</v>
      </c>
    </row>
    <row r="306" spans="2:22" ht="27.95" hidden="1">
      <c r="B306" s="6" t="str">
        <f>VLOOKUP(C306, [1]Definition!$D$5:$K$5665, 8, FALSE)</f>
        <v>Capital Goods</v>
      </c>
      <c r="C306" s="7">
        <v>842870</v>
      </c>
      <c r="D306" s="8" t="s">
        <v>697</v>
      </c>
      <c r="E306" s="17" t="s">
        <v>142</v>
      </c>
      <c r="F306" s="8"/>
      <c r="G306" s="8"/>
      <c r="H306" s="9" t="s">
        <v>58</v>
      </c>
      <c r="I306" s="9" t="s">
        <v>31</v>
      </c>
      <c r="J306" s="17" t="str">
        <f>_xlfn.IFNA(VLOOKUP(C306, '[2]Unique HS'!$B$4:$J$999, 9, FALSE), "No")</f>
        <v>Yes</v>
      </c>
      <c r="K306" s="18">
        <f>VLOOKUP(C306, '[1]India EXIM'!$B$6:$C$580, 2, FALSE)</f>
        <v>1.6246014533000001E-2</v>
      </c>
      <c r="L306" s="11">
        <f>VLOOKUP(C306, '[1]China EXIM'!$B$6:$D$580, 3, FALSE)</f>
        <v>1.3345155115899998</v>
      </c>
      <c r="M306" s="9" t="s">
        <v>144</v>
      </c>
      <c r="N306" s="9"/>
      <c r="O306" s="6"/>
      <c r="P306" s="10" t="s">
        <v>24</v>
      </c>
      <c r="Q306" s="11" t="s">
        <v>144</v>
      </c>
      <c r="U306" s="1" t="s">
        <v>25</v>
      </c>
    </row>
    <row r="307" spans="2:22" ht="42" hidden="1">
      <c r="B307" s="6" t="str">
        <f>VLOOKUP(C307, [1]Definition!$D$5:$K$5665, 8, FALSE)</f>
        <v>Capital Goods</v>
      </c>
      <c r="C307" s="7">
        <v>846593</v>
      </c>
      <c r="D307" s="8" t="s">
        <v>698</v>
      </c>
      <c r="E307" s="17" t="s">
        <v>19</v>
      </c>
      <c r="F307" s="8"/>
      <c r="G307" s="8"/>
      <c r="H307" s="9" t="s">
        <v>65</v>
      </c>
      <c r="I307" s="9" t="s">
        <v>31</v>
      </c>
      <c r="J307" s="17" t="str">
        <f>_xlfn.IFNA(VLOOKUP(C307, '[2]Unique HS'!$B$4:$J$999, 9, FALSE), "No")</f>
        <v>Yes</v>
      </c>
      <c r="K307" s="18">
        <f>VLOOKUP(C307, '[1]India EXIM'!$B$6:$C$580, 2, FALSE)</f>
        <v>1.6090745842000001E-2</v>
      </c>
      <c r="L307" s="11">
        <f>VLOOKUP(C307, '[1]China EXIM'!$B$6:$D$580, 3, FALSE)</f>
        <v>0.46200377844099999</v>
      </c>
      <c r="M307" s="6"/>
      <c r="N307" s="6"/>
      <c r="O307" s="6"/>
      <c r="P307" s="10" t="s">
        <v>24</v>
      </c>
      <c r="Q307" s="9" t="s">
        <v>65</v>
      </c>
      <c r="U307" s="1" t="s">
        <v>25</v>
      </c>
    </row>
    <row r="308" spans="2:22" ht="27.95" hidden="1">
      <c r="B308" s="6" t="str">
        <f>VLOOKUP(C308, [1]Definition!$D$5:$K$5665, 8, FALSE)</f>
        <v>Capital Goods</v>
      </c>
      <c r="C308" s="7">
        <v>847090</v>
      </c>
      <c r="D308" s="8" t="s">
        <v>699</v>
      </c>
      <c r="E308" s="17" t="s">
        <v>27</v>
      </c>
      <c r="F308" s="8"/>
      <c r="G308" s="8"/>
      <c r="H308" s="9" t="s">
        <v>496</v>
      </c>
      <c r="I308" s="9" t="s">
        <v>497</v>
      </c>
      <c r="J308" s="17" t="str">
        <f>_xlfn.IFNA(VLOOKUP(C308, '[2]Unique HS'!$B$4:$J$999, 9, FALSE), "No")</f>
        <v>No</v>
      </c>
      <c r="K308" s="22">
        <f>VLOOKUP(C308, '[1]India EXIM'!$B$6:$C$580, 2, FALSE)</f>
        <v>1.6000479211E-2</v>
      </c>
      <c r="L308" s="11">
        <f>VLOOKUP(C308, '[1]China EXIM'!$B$6:$D$580, 3, FALSE)</f>
        <v>0.93761384495700006</v>
      </c>
      <c r="M308" s="6"/>
      <c r="N308" s="6"/>
      <c r="O308" s="6"/>
      <c r="P308" s="10" t="s">
        <v>24</v>
      </c>
      <c r="Q308" s="9" t="s">
        <v>496</v>
      </c>
      <c r="U308" s="1" t="s">
        <v>25</v>
      </c>
    </row>
    <row r="309" spans="2:22" ht="56.1" hidden="1">
      <c r="B309" s="6" t="str">
        <f>VLOOKUP(C309, [1]Definition!$D$5:$K$5665, 8, FALSE)</f>
        <v>Capital Goods</v>
      </c>
      <c r="C309" s="7">
        <v>761210</v>
      </c>
      <c r="D309" s="8" t="s">
        <v>700</v>
      </c>
      <c r="E309" s="17" t="s">
        <v>205</v>
      </c>
      <c r="F309" s="8" t="s">
        <v>701</v>
      </c>
      <c r="G309" s="8"/>
      <c r="H309" s="9" t="s">
        <v>22</v>
      </c>
      <c r="I309" s="9" t="s">
        <v>528</v>
      </c>
      <c r="J309" s="17" t="str">
        <f>_xlfn.IFNA(VLOOKUP(C309, '[2]Unique HS'!$B$4:$J$999, 9, FALSE), "No")</f>
        <v>No</v>
      </c>
      <c r="K309" s="18">
        <f>VLOOKUP(C309, '[1]India EXIM'!$B$6:$C$580, 2, FALSE)</f>
        <v>1.5895091016E-2</v>
      </c>
      <c r="L309" s="11">
        <f>VLOOKUP(C309, '[1]China EXIM'!$B$6:$D$580, 3, FALSE)</f>
        <v>0.534309518845</v>
      </c>
      <c r="M309" s="6" t="s">
        <v>201</v>
      </c>
      <c r="N309" s="6"/>
      <c r="O309" s="9"/>
      <c r="P309" s="10" t="s">
        <v>24</v>
      </c>
      <c r="Q309" s="9" t="s">
        <v>22</v>
      </c>
      <c r="U309" s="1" t="s">
        <v>25</v>
      </c>
    </row>
    <row r="310" spans="2:22" ht="27.95" hidden="1">
      <c r="B310" s="6" t="str">
        <f>VLOOKUP(C310, [1]Definition!$D$5:$K$5665, 8, FALSE)</f>
        <v>Capital Goods</v>
      </c>
      <c r="C310" s="7">
        <v>844711</v>
      </c>
      <c r="D310" s="8" t="s">
        <v>702</v>
      </c>
      <c r="E310" s="17" t="s">
        <v>19</v>
      </c>
      <c r="F310" s="8"/>
      <c r="G310" s="8"/>
      <c r="H310" s="9" t="s">
        <v>55</v>
      </c>
      <c r="I310" s="9" t="s">
        <v>56</v>
      </c>
      <c r="J310" s="17" t="str">
        <f>_xlfn.IFNA(VLOOKUP(C310, '[2]Unique HS'!$B$4:$J$999, 9, FALSE), "No")</f>
        <v>No</v>
      </c>
      <c r="K310" s="18">
        <f>VLOOKUP(C310, '[1]India EXIM'!$B$6:$C$580, 2, FALSE)</f>
        <v>1.5885132451000001E-2</v>
      </c>
      <c r="L310" s="11">
        <f>VLOOKUP(C310, '[1]China EXIM'!$B$6:$D$580, 3, FALSE)</f>
        <v>0.22891004633500001</v>
      </c>
      <c r="M310" s="6"/>
      <c r="N310" s="6"/>
      <c r="O310" s="6"/>
      <c r="P310" s="10" t="s">
        <v>24</v>
      </c>
      <c r="Q310" s="9" t="s">
        <v>55</v>
      </c>
      <c r="U310" s="1" t="s">
        <v>25</v>
      </c>
    </row>
    <row r="311" spans="2:22" ht="42">
      <c r="B311" s="6" t="str">
        <f>VLOOKUP(C311, [1]Definition!$D$5:$K$5665, 8, FALSE)</f>
        <v>Capital Goods</v>
      </c>
      <c r="C311" s="7">
        <v>901820</v>
      </c>
      <c r="D311" s="8" t="s">
        <v>703</v>
      </c>
      <c r="E311" s="17" t="s">
        <v>119</v>
      </c>
      <c r="F311" s="8" t="s">
        <v>704</v>
      </c>
      <c r="G311" s="8" t="s">
        <v>705</v>
      </c>
      <c r="H311" s="9" t="s">
        <v>166</v>
      </c>
      <c r="I311" s="9" t="s">
        <v>570</v>
      </c>
      <c r="J311" s="17" t="str">
        <f>_xlfn.IFNA(VLOOKUP(C311, '[2]Unique HS'!$B$4:$J$999, 9, FALSE), "No")</f>
        <v>Yes</v>
      </c>
      <c r="K311" s="18">
        <f>VLOOKUP(C311, '[1]India EXIM'!$B$6:$C$580, 2, FALSE)</f>
        <v>1.7743136910000001E-3</v>
      </c>
      <c r="L311" s="11">
        <f>VLOOKUP(C311, '[1]China EXIM'!$B$6:$D$580, 3, FALSE)</f>
        <v>0.67993905700000001</v>
      </c>
      <c r="M311" s="6"/>
      <c r="N311" s="6"/>
      <c r="O311" s="6"/>
      <c r="P311" s="10" t="s">
        <v>24</v>
      </c>
      <c r="Q311" s="11" t="s">
        <v>70</v>
      </c>
      <c r="U311" s="1" t="s">
        <v>211</v>
      </c>
      <c r="V311" s="1" t="s">
        <v>542</v>
      </c>
    </row>
    <row r="312" spans="2:22" ht="27.95" hidden="1">
      <c r="B312" s="6" t="str">
        <f>VLOOKUP(C312, [1]Definition!$D$5:$K$5665, 8, FALSE)</f>
        <v>Capital Goods</v>
      </c>
      <c r="C312" s="7">
        <v>820420</v>
      </c>
      <c r="D312" s="8" t="s">
        <v>706</v>
      </c>
      <c r="E312" s="17" t="s">
        <v>19</v>
      </c>
      <c r="F312" s="8"/>
      <c r="G312" s="8"/>
      <c r="H312" s="9" t="s">
        <v>65</v>
      </c>
      <c r="I312" s="9" t="s">
        <v>707</v>
      </c>
      <c r="J312" s="17" t="str">
        <f>_xlfn.IFNA(VLOOKUP(C312, '[2]Unique HS'!$B$4:$J$999, 9, FALSE), "No")</f>
        <v>Yes</v>
      </c>
      <c r="K312" s="18">
        <f>VLOOKUP(C312, '[1]India EXIM'!$B$6:$C$580, 2, FALSE)</f>
        <v>1.554721631E-2</v>
      </c>
      <c r="L312" s="11">
        <f>VLOOKUP(C312, '[1]China EXIM'!$B$6:$D$580, 3, FALSE)</f>
        <v>1.39476596898</v>
      </c>
      <c r="M312" s="6" t="s">
        <v>210</v>
      </c>
      <c r="N312" s="6"/>
      <c r="O312" s="9"/>
      <c r="P312" s="10" t="s">
        <v>24</v>
      </c>
      <c r="Q312" s="11" t="s">
        <v>210</v>
      </c>
      <c r="U312" s="1" t="s">
        <v>25</v>
      </c>
    </row>
    <row r="313" spans="2:22" ht="42" hidden="1">
      <c r="B313" s="6" t="str">
        <f>VLOOKUP(C313, [1]Definition!$D$5:$K$5665, 8, FALSE)</f>
        <v>Capital Goods</v>
      </c>
      <c r="C313" s="7">
        <v>902213</v>
      </c>
      <c r="D313" s="8" t="s">
        <v>708</v>
      </c>
      <c r="E313" s="17" t="s">
        <v>205</v>
      </c>
      <c r="F313" s="8"/>
      <c r="G313" s="8"/>
      <c r="H313" s="9" t="s">
        <v>166</v>
      </c>
      <c r="I313" s="9" t="s">
        <v>570</v>
      </c>
      <c r="J313" s="17" t="str">
        <f>_xlfn.IFNA(VLOOKUP(C313, '[2]Unique HS'!$B$4:$J$999, 9, FALSE), "No")</f>
        <v>No</v>
      </c>
      <c r="K313" s="22">
        <f>VLOOKUP(C313, '[1]India EXIM'!$B$6:$C$580, 2, FALSE)</f>
        <v>1.5046939024E-2</v>
      </c>
      <c r="L313" s="11">
        <f>VLOOKUP(C313, '[1]China EXIM'!$B$6:$D$580, 3, FALSE)</f>
        <v>0.78194236452699994</v>
      </c>
      <c r="M313" s="6"/>
      <c r="N313" s="6"/>
      <c r="O313" s="6"/>
      <c r="P313" s="10" t="s">
        <v>24</v>
      </c>
      <c r="Q313" s="11" t="s">
        <v>70</v>
      </c>
      <c r="U313" s="1" t="s">
        <v>25</v>
      </c>
    </row>
    <row r="314" spans="2:22" ht="56.1" hidden="1">
      <c r="B314" s="6" t="str">
        <f>VLOOKUP(C314, [1]Definition!$D$5:$K$5665, 8, FALSE)</f>
        <v>Capital Goods</v>
      </c>
      <c r="C314" s="7">
        <v>902810</v>
      </c>
      <c r="D314" s="8" t="s">
        <v>709</v>
      </c>
      <c r="E314" s="17" t="s">
        <v>205</v>
      </c>
      <c r="F314" s="8"/>
      <c r="G314" s="8" t="s">
        <v>710</v>
      </c>
      <c r="H314" s="9" t="s">
        <v>22</v>
      </c>
      <c r="I314" s="9" t="s">
        <v>711</v>
      </c>
      <c r="J314" s="17" t="str">
        <f>_xlfn.IFNA(VLOOKUP(C314, '[2]Unique HS'!$B$4:$J$999, 9, FALSE), "No")</f>
        <v>No</v>
      </c>
      <c r="K314" s="22">
        <f>VLOOKUP(C314, '[1]India EXIM'!$B$6:$C$580, 2, FALSE)</f>
        <v>1.5000717320000001E-2</v>
      </c>
      <c r="L314" s="11">
        <f>VLOOKUP(C314, '[1]China EXIM'!$B$6:$D$580, 3, FALSE)</f>
        <v>0.86118053160300001</v>
      </c>
      <c r="M314" s="6"/>
      <c r="N314" s="6"/>
      <c r="O314" s="6"/>
      <c r="P314" s="10" t="s">
        <v>24</v>
      </c>
      <c r="Q314" s="11" t="s">
        <v>22</v>
      </c>
      <c r="S314" s="1" t="s">
        <v>136</v>
      </c>
      <c r="U314" s="1" t="s">
        <v>137</v>
      </c>
    </row>
    <row r="315" spans="2:22" ht="27.95" hidden="1">
      <c r="B315" s="6" t="str">
        <f>VLOOKUP(C315, [1]Definition!$D$5:$K$5665, 8, FALSE)</f>
        <v>Capital Goods</v>
      </c>
      <c r="C315" s="7">
        <v>850133</v>
      </c>
      <c r="D315" s="8" t="s">
        <v>712</v>
      </c>
      <c r="E315" s="17" t="s">
        <v>27</v>
      </c>
      <c r="F315" s="8" t="s">
        <v>713</v>
      </c>
      <c r="G315" s="8" t="s">
        <v>714</v>
      </c>
      <c r="H315" s="9" t="s">
        <v>30</v>
      </c>
      <c r="I315" s="9" t="s">
        <v>31</v>
      </c>
      <c r="J315" s="17" t="str">
        <f>_xlfn.IFNA(VLOOKUP(C315, '[2]Unique HS'!$B$4:$J$999, 9, FALSE), "No")</f>
        <v>No</v>
      </c>
      <c r="K315" s="22">
        <f>VLOOKUP(C315, '[1]India EXIM'!$B$6:$C$580, 2, FALSE)</f>
        <v>1.4969715938999999E-2</v>
      </c>
      <c r="L315" s="11">
        <f>VLOOKUP(C315, '[1]China EXIM'!$B$6:$D$580, 3, FALSE)</f>
        <v>0.53685649164100002</v>
      </c>
      <c r="M315" s="9" t="s">
        <v>129</v>
      </c>
      <c r="N315" s="9"/>
      <c r="O315" s="6"/>
      <c r="P315" s="10" t="s">
        <v>24</v>
      </c>
      <c r="Q315" s="9" t="s">
        <v>30</v>
      </c>
      <c r="S315" s="1" t="s">
        <v>33</v>
      </c>
      <c r="U315" s="1" t="s">
        <v>34</v>
      </c>
    </row>
    <row r="316" spans="2:22" ht="27.95" hidden="1">
      <c r="B316" s="6" t="str">
        <f>VLOOKUP(C316, [1]Definition!$D$5:$K$5665, 8, FALSE)</f>
        <v>Capital Goods</v>
      </c>
      <c r="C316" s="7">
        <v>845410</v>
      </c>
      <c r="D316" s="8" t="s">
        <v>715</v>
      </c>
      <c r="E316" s="17" t="s">
        <v>19</v>
      </c>
      <c r="F316" s="8"/>
      <c r="G316" s="8"/>
      <c r="H316" s="9" t="s">
        <v>82</v>
      </c>
      <c r="I316" s="9" t="s">
        <v>716</v>
      </c>
      <c r="J316" s="17" t="str">
        <f>_xlfn.IFNA(VLOOKUP(C316, '[2]Unique HS'!$B$4:$J$999, 9, FALSE), "No")</f>
        <v>No</v>
      </c>
      <c r="K316" s="18">
        <f>VLOOKUP(C316, '[1]India EXIM'!$B$6:$C$580, 2, FALSE)</f>
        <v>1.4883507964999999E-2</v>
      </c>
      <c r="L316" s="11">
        <f>VLOOKUP(C316, '[1]China EXIM'!$B$6:$D$580, 3, FALSE)</f>
        <v>8.6213125506999999E-2</v>
      </c>
      <c r="M316" s="6"/>
      <c r="N316" s="6"/>
      <c r="O316" s="6"/>
      <c r="P316" s="10" t="s">
        <v>24</v>
      </c>
      <c r="Q316" s="9" t="s">
        <v>82</v>
      </c>
      <c r="U316" s="1" t="s">
        <v>25</v>
      </c>
    </row>
    <row r="317" spans="2:22" ht="27.95" hidden="1">
      <c r="B317" s="6" t="str">
        <f>VLOOKUP(C317, [1]Definition!$D$5:$K$5665, 8, FALSE)</f>
        <v>Capital Goods</v>
      </c>
      <c r="C317" s="7">
        <v>851989</v>
      </c>
      <c r="D317" s="8" t="s">
        <v>717</v>
      </c>
      <c r="E317" s="17" t="s">
        <v>27</v>
      </c>
      <c r="F317" s="8"/>
      <c r="G317" s="8"/>
      <c r="H317" s="9" t="s">
        <v>166</v>
      </c>
      <c r="I317" s="9" t="s">
        <v>201</v>
      </c>
      <c r="J317" s="17" t="str">
        <f>_xlfn.IFNA(VLOOKUP(C317, '[2]Unique HS'!$B$4:$J$999, 9, FALSE), "No")</f>
        <v>No</v>
      </c>
      <c r="K317" s="22">
        <f>VLOOKUP(C317, '[1]India EXIM'!$B$6:$C$580, 2, FALSE)</f>
        <v>1.4830510541E-2</v>
      </c>
      <c r="L317" s="11">
        <f>VLOOKUP(C317, '[1]China EXIM'!$B$6:$D$580, 3, FALSE)</f>
        <v>0.99957464538100005</v>
      </c>
      <c r="M317" s="6" t="s">
        <v>400</v>
      </c>
      <c r="N317" s="6"/>
      <c r="O317" s="6"/>
      <c r="P317" s="10" t="s">
        <v>24</v>
      </c>
      <c r="Q317" s="11" t="s">
        <v>390</v>
      </c>
      <c r="U317" s="1" t="s">
        <v>25</v>
      </c>
    </row>
    <row r="318" spans="2:22" ht="27.95" hidden="1">
      <c r="B318" s="6" t="str">
        <f>VLOOKUP(C318, [1]Definition!$D$5:$K$5665, 8, FALSE)</f>
        <v>Capital Goods</v>
      </c>
      <c r="C318" s="7">
        <v>846719</v>
      </c>
      <c r="D318" s="8" t="s">
        <v>718</v>
      </c>
      <c r="E318" s="17" t="s">
        <v>19</v>
      </c>
      <c r="F318" s="8"/>
      <c r="G318" s="8"/>
      <c r="H318" s="9" t="s">
        <v>65</v>
      </c>
      <c r="I318" s="9" t="s">
        <v>31</v>
      </c>
      <c r="J318" s="17" t="str">
        <f>_xlfn.IFNA(VLOOKUP(C318, '[2]Unique HS'!$B$4:$J$999, 9, FALSE), "No")</f>
        <v>Yes</v>
      </c>
      <c r="K318" s="18">
        <f>VLOOKUP(C318, '[1]India EXIM'!$B$6:$C$580, 2, FALSE)</f>
        <v>1.4527597217000001E-2</v>
      </c>
      <c r="L318" s="11">
        <f>VLOOKUP(C318, '[1]China EXIM'!$B$6:$D$580, 3, FALSE)</f>
        <v>0.84554381550899993</v>
      </c>
      <c r="M318" s="6"/>
      <c r="N318" s="6"/>
      <c r="O318" s="6"/>
      <c r="P318" s="10" t="s">
        <v>24</v>
      </c>
      <c r="Q318" s="9" t="s">
        <v>65</v>
      </c>
      <c r="U318" s="1" t="s">
        <v>25</v>
      </c>
    </row>
    <row r="319" spans="2:22" ht="27.95" hidden="1">
      <c r="B319" s="6" t="str">
        <f>VLOOKUP(C319, [1]Definition!$D$5:$K$5665, 8, FALSE)</f>
        <v>Capital Goods</v>
      </c>
      <c r="C319" s="7">
        <v>820320</v>
      </c>
      <c r="D319" s="8" t="s">
        <v>719</v>
      </c>
      <c r="E319" s="17" t="s">
        <v>19</v>
      </c>
      <c r="F319" s="8"/>
      <c r="G319" s="8"/>
      <c r="H319" s="9" t="s">
        <v>65</v>
      </c>
      <c r="I319" s="9" t="s">
        <v>209</v>
      </c>
      <c r="J319" s="17" t="str">
        <f>_xlfn.IFNA(VLOOKUP(C319, '[2]Unique HS'!$B$4:$J$999, 9, FALSE), "No")</f>
        <v>Yes</v>
      </c>
      <c r="K319" s="18">
        <f>VLOOKUP(C319, '[1]India EXIM'!$B$6:$C$580, 2, FALSE)</f>
        <v>1.4470685642999999E-2</v>
      </c>
      <c r="L319" s="11">
        <f>VLOOKUP(C319, '[1]China EXIM'!$B$6:$D$580, 3, FALSE)</f>
        <v>2.1679671587750002</v>
      </c>
      <c r="M319" s="6" t="s">
        <v>210</v>
      </c>
      <c r="N319" s="6"/>
      <c r="O319" s="9"/>
      <c r="P319" s="10" t="s">
        <v>24</v>
      </c>
      <c r="Q319" s="11" t="s">
        <v>210</v>
      </c>
      <c r="U319" s="1" t="s">
        <v>25</v>
      </c>
    </row>
    <row r="320" spans="2:22" ht="42" hidden="1">
      <c r="B320" s="6" t="str">
        <f>VLOOKUP(C320, [1]Definition!$D$5:$K$5665, 8, FALSE)</f>
        <v>Capital Goods</v>
      </c>
      <c r="C320" s="7">
        <v>846820</v>
      </c>
      <c r="D320" s="8" t="s">
        <v>720</v>
      </c>
      <c r="E320" s="17" t="s">
        <v>19</v>
      </c>
      <c r="F320" s="8"/>
      <c r="G320" s="8"/>
      <c r="H320" s="9" t="s">
        <v>65</v>
      </c>
      <c r="I320" s="9" t="s">
        <v>721</v>
      </c>
      <c r="J320" s="17" t="str">
        <f>_xlfn.IFNA(VLOOKUP(C320, '[2]Unique HS'!$B$4:$J$999, 9, FALSE), "No")</f>
        <v>Yes</v>
      </c>
      <c r="K320" s="18">
        <f>VLOOKUP(C320, '[1]India EXIM'!$B$6:$C$580, 2, FALSE)</f>
        <v>1.4462528816999999E-2</v>
      </c>
      <c r="L320" s="11">
        <f>VLOOKUP(C320, '[1]China EXIM'!$B$6:$D$580, 3, FALSE)</f>
        <v>0.15406347080000002</v>
      </c>
      <c r="M320" s="6"/>
      <c r="N320" s="6"/>
      <c r="O320" s="6"/>
      <c r="P320" s="10" t="s">
        <v>24</v>
      </c>
      <c r="Q320" s="9" t="s">
        <v>65</v>
      </c>
      <c r="S320" s="1" t="s">
        <v>136</v>
      </c>
      <c r="U320" s="1" t="s">
        <v>137</v>
      </c>
      <c r="V320" s="1" t="s">
        <v>349</v>
      </c>
    </row>
    <row r="321" spans="2:22" ht="56.1" hidden="1">
      <c r="B321" s="6" t="str">
        <f>VLOOKUP(C321, [1]Definition!$D$5:$K$5665, 8, FALSE)</f>
        <v>Capital Goods</v>
      </c>
      <c r="C321" s="7">
        <v>820590</v>
      </c>
      <c r="D321" s="8" t="s">
        <v>722</v>
      </c>
      <c r="E321" s="17" t="s">
        <v>19</v>
      </c>
      <c r="F321" s="8"/>
      <c r="G321" s="8"/>
      <c r="H321" s="9" t="s">
        <v>65</v>
      </c>
      <c r="I321" s="9" t="s">
        <v>209</v>
      </c>
      <c r="J321" s="17" t="str">
        <f>_xlfn.IFNA(VLOOKUP(C321, '[2]Unique HS'!$B$4:$J$999, 9, FALSE), "No")</f>
        <v>Yes</v>
      </c>
      <c r="K321" s="18">
        <f>VLOOKUP(C321, '[1]India EXIM'!$B$6:$C$580, 2, FALSE)</f>
        <v>1.4341919346000001E-2</v>
      </c>
      <c r="L321" s="11">
        <f>VLOOKUP(C321, '[1]China EXIM'!$B$6:$D$580, 3, FALSE)</f>
        <v>0.48862769455900001</v>
      </c>
      <c r="M321" s="6" t="s">
        <v>210</v>
      </c>
      <c r="N321" s="6"/>
      <c r="O321" s="6" t="s">
        <v>201</v>
      </c>
      <c r="P321" s="10" t="s">
        <v>24</v>
      </c>
      <c r="Q321" s="11" t="s">
        <v>210</v>
      </c>
      <c r="S321" s="1" t="s">
        <v>136</v>
      </c>
      <c r="U321" s="1" t="s">
        <v>137</v>
      </c>
      <c r="V321" s="1" t="s">
        <v>349</v>
      </c>
    </row>
    <row r="322" spans="2:22" ht="27.95" hidden="1">
      <c r="B322" s="6" t="str">
        <f>VLOOKUP(C322, [1]Definition!$D$5:$K$5665, 8, FALSE)</f>
        <v>Capital Goods</v>
      </c>
      <c r="C322" s="7">
        <v>848010</v>
      </c>
      <c r="D322" s="8" t="s">
        <v>723</v>
      </c>
      <c r="E322" s="17" t="s">
        <v>19</v>
      </c>
      <c r="F322" s="8"/>
      <c r="G322" s="8"/>
      <c r="H322" s="9" t="s">
        <v>82</v>
      </c>
      <c r="I322" s="9" t="s">
        <v>724</v>
      </c>
      <c r="J322" s="17" t="str">
        <f>_xlfn.IFNA(VLOOKUP(C322, '[2]Unique HS'!$B$4:$J$999, 9, FALSE), "No")</f>
        <v>No</v>
      </c>
      <c r="K322" s="18">
        <f>VLOOKUP(C322, '[1]India EXIM'!$B$6:$C$580, 2, FALSE)</f>
        <v>1.4120798823E-2</v>
      </c>
      <c r="L322" s="11">
        <f>VLOOKUP(C322, '[1]China EXIM'!$B$6:$D$580, 3, FALSE)</f>
        <v>0.14399084233000001</v>
      </c>
      <c r="M322" s="6"/>
      <c r="N322" s="6"/>
      <c r="O322" s="6"/>
      <c r="P322" s="10" t="s">
        <v>24</v>
      </c>
      <c r="Q322" s="9" t="s">
        <v>82</v>
      </c>
      <c r="S322" s="1" t="s">
        <v>136</v>
      </c>
      <c r="U322" s="1" t="s">
        <v>137</v>
      </c>
    </row>
    <row r="323" spans="2:22" ht="27.95" hidden="1">
      <c r="B323" s="6" t="str">
        <f>VLOOKUP(C323, [1]Definition!$D$5:$K$5665, 8, FALSE)</f>
        <v>Capital Goods</v>
      </c>
      <c r="C323" s="7">
        <v>841720</v>
      </c>
      <c r="D323" s="8" t="s">
        <v>725</v>
      </c>
      <c r="E323" s="17" t="s">
        <v>19</v>
      </c>
      <c r="F323" s="8"/>
      <c r="G323" s="8"/>
      <c r="H323" s="9" t="s">
        <v>61</v>
      </c>
      <c r="I323" s="9" t="s">
        <v>726</v>
      </c>
      <c r="J323" s="17" t="str">
        <f>_xlfn.IFNA(VLOOKUP(C323, '[2]Unique HS'!$B$4:$J$999, 9, FALSE), "No")</f>
        <v>No</v>
      </c>
      <c r="K323" s="18">
        <f>VLOOKUP(C323, '[1]India EXIM'!$B$6:$C$580, 2, FALSE)</f>
        <v>1.4036316646E-2</v>
      </c>
      <c r="L323" s="11">
        <f>VLOOKUP(C323, '[1]China EXIM'!$B$6:$D$580, 3, FALSE)</f>
        <v>0.48045118946600002</v>
      </c>
      <c r="M323" s="6"/>
      <c r="N323" s="6"/>
      <c r="O323" s="6"/>
      <c r="P323" s="10" t="s">
        <v>24</v>
      </c>
      <c r="Q323" s="9" t="s">
        <v>61</v>
      </c>
      <c r="U323" s="1" t="s">
        <v>25</v>
      </c>
    </row>
    <row r="324" spans="2:22" ht="56.1" hidden="1">
      <c r="B324" s="6" t="str">
        <f>VLOOKUP(C324, [1]Definition!$D$5:$K$5665, 8, FALSE)</f>
        <v>Capital Goods</v>
      </c>
      <c r="C324" s="7">
        <v>910700</v>
      </c>
      <c r="D324" s="8" t="s">
        <v>727</v>
      </c>
      <c r="E324" s="17" t="s">
        <v>27</v>
      </c>
      <c r="F324" s="8" t="s">
        <v>728</v>
      </c>
      <c r="G324" s="8"/>
      <c r="H324" s="9" t="s">
        <v>30</v>
      </c>
      <c r="I324" s="9" t="s">
        <v>729</v>
      </c>
      <c r="J324" s="17" t="str">
        <f>_xlfn.IFNA(VLOOKUP(C324, '[2]Unique HS'!$B$4:$J$999, 9, FALSE), "No")</f>
        <v>Yes</v>
      </c>
      <c r="K324" s="22">
        <f>VLOOKUP(C324, '[1]India EXIM'!$B$6:$C$580, 2, FALSE)</f>
        <v>1.394198411E-2</v>
      </c>
      <c r="L324" s="11">
        <f>VLOOKUP(C324, '[1]China EXIM'!$B$6:$D$580, 3, FALSE)</f>
        <v>0.403731029874</v>
      </c>
      <c r="M324" s="6"/>
      <c r="N324" s="6"/>
      <c r="O324" s="6"/>
      <c r="P324" s="10" t="s">
        <v>24</v>
      </c>
      <c r="Q324" s="9" t="s">
        <v>30</v>
      </c>
      <c r="S324" s="1" t="s">
        <v>33</v>
      </c>
      <c r="U324" s="1" t="s">
        <v>34</v>
      </c>
    </row>
    <row r="325" spans="2:22" ht="27.95" hidden="1">
      <c r="B325" s="6" t="str">
        <f>VLOOKUP(C325, [1]Definition!$D$5:$K$5665, 8, FALSE)</f>
        <v>Capital Goods</v>
      </c>
      <c r="C325" s="7">
        <v>840682</v>
      </c>
      <c r="D325" s="8" t="s">
        <v>730</v>
      </c>
      <c r="E325" s="17" t="s">
        <v>27</v>
      </c>
      <c r="F325" s="8" t="s">
        <v>731</v>
      </c>
      <c r="G325" s="8" t="s">
        <v>732</v>
      </c>
      <c r="H325" s="9" t="s">
        <v>30</v>
      </c>
      <c r="I325" s="9" t="s">
        <v>733</v>
      </c>
      <c r="J325" s="17" t="str">
        <f>_xlfn.IFNA(VLOOKUP(C325, '[2]Unique HS'!$B$4:$J$999, 9, FALSE), "No")</f>
        <v>No</v>
      </c>
      <c r="K325" s="22">
        <f>VLOOKUP(C325, '[1]India EXIM'!$B$6:$C$580, 2, FALSE)</f>
        <v>1.3913999016000001E-2</v>
      </c>
      <c r="L325" s="11">
        <f>VLOOKUP(C325, '[1]China EXIM'!$B$6:$D$580, 3, FALSE)</f>
        <v>0.335480127219</v>
      </c>
      <c r="M325" s="6" t="s">
        <v>733</v>
      </c>
      <c r="N325" s="6"/>
      <c r="O325" s="6"/>
      <c r="P325" s="10" t="s">
        <v>24</v>
      </c>
      <c r="Q325" s="9" t="s">
        <v>30</v>
      </c>
      <c r="S325" s="1" t="s">
        <v>33</v>
      </c>
      <c r="U325" s="1" t="s">
        <v>34</v>
      </c>
    </row>
    <row r="326" spans="2:22" ht="42" hidden="1">
      <c r="B326" s="6" t="str">
        <f>VLOOKUP(C326, [1]Definition!$D$5:$K$5665, 8, FALSE)</f>
        <v>Capital Goods</v>
      </c>
      <c r="C326" s="7">
        <v>902221</v>
      </c>
      <c r="D326" s="8" t="s">
        <v>734</v>
      </c>
      <c r="E326" s="17" t="s">
        <v>205</v>
      </c>
      <c r="F326" s="8"/>
      <c r="G326" s="8"/>
      <c r="H326" s="9" t="s">
        <v>166</v>
      </c>
      <c r="I326" s="9" t="s">
        <v>570</v>
      </c>
      <c r="J326" s="17" t="str">
        <f>_xlfn.IFNA(VLOOKUP(C326, '[2]Unique HS'!$B$4:$J$999, 9, FALSE), "No")</f>
        <v>No</v>
      </c>
      <c r="K326" s="22">
        <f>VLOOKUP(C326, '[1]India EXIM'!$B$6:$C$580, 2, FALSE)</f>
        <v>1.3593771761E-2</v>
      </c>
      <c r="L326" s="11">
        <f>VLOOKUP(C326, '[1]China EXIM'!$B$6:$D$580, 3, FALSE)</f>
        <v>0.23878099554100002</v>
      </c>
      <c r="M326" s="6"/>
      <c r="N326" s="6"/>
      <c r="O326" s="6"/>
      <c r="P326" s="10" t="s">
        <v>24</v>
      </c>
      <c r="Q326" s="11" t="s">
        <v>70</v>
      </c>
      <c r="U326" s="1" t="s">
        <v>25</v>
      </c>
    </row>
    <row r="327" spans="2:22" ht="42" hidden="1">
      <c r="B327" s="6" t="str">
        <f>VLOOKUP(C327, [1]Definition!$D$5:$K$5665, 8, FALSE)</f>
        <v>Capital Goods</v>
      </c>
      <c r="C327" s="7">
        <v>830300</v>
      </c>
      <c r="D327" s="8" t="s">
        <v>735</v>
      </c>
      <c r="E327" s="17" t="s">
        <v>205</v>
      </c>
      <c r="F327" s="8"/>
      <c r="G327" s="9" t="s">
        <v>736</v>
      </c>
      <c r="H327" s="9" t="s">
        <v>496</v>
      </c>
      <c r="I327" s="9" t="s">
        <v>736</v>
      </c>
      <c r="J327" s="17" t="str">
        <f>_xlfn.IFNA(VLOOKUP(C327, '[2]Unique HS'!$B$4:$J$999, 9, FALSE), "No")</f>
        <v>No</v>
      </c>
      <c r="K327" s="22">
        <f>VLOOKUP(C327, '[1]India EXIM'!$B$6:$C$580, 2, FALSE)</f>
        <v>1.3582398096999999E-2</v>
      </c>
      <c r="L327" s="11">
        <f>VLOOKUP(C327, '[1]China EXIM'!$B$6:$D$580, 3, FALSE)</f>
        <v>1.4064380931760001</v>
      </c>
      <c r="M327" s="6" t="s">
        <v>201</v>
      </c>
      <c r="N327" s="6"/>
      <c r="O327" s="6"/>
      <c r="P327" s="10" t="s">
        <v>24</v>
      </c>
      <c r="Q327" s="11" t="s">
        <v>496</v>
      </c>
      <c r="U327" s="1" t="s">
        <v>25</v>
      </c>
    </row>
    <row r="328" spans="2:22" ht="27.95">
      <c r="B328" s="6" t="str">
        <f>VLOOKUP(C328, [1]Definition!$D$5:$K$5665, 8, FALSE)</f>
        <v>Capital Goods</v>
      </c>
      <c r="C328" s="7">
        <v>843353</v>
      </c>
      <c r="D328" s="8" t="s">
        <v>737</v>
      </c>
      <c r="E328" s="17" t="s">
        <v>119</v>
      </c>
      <c r="F328" s="8" t="s">
        <v>738</v>
      </c>
      <c r="G328" s="8"/>
      <c r="H328" s="9" t="s">
        <v>22</v>
      </c>
      <c r="I328" s="9" t="s">
        <v>316</v>
      </c>
      <c r="J328" s="17" t="str">
        <f>_xlfn.IFNA(VLOOKUP(C328, '[2]Unique HS'!$B$4:$J$999, 9, FALSE), "No")</f>
        <v>No</v>
      </c>
      <c r="K328" s="18">
        <f>VLOOKUP(C328, '[1]India EXIM'!$B$6:$C$580, 2, FALSE)</f>
        <v>2.7115549099999996E-4</v>
      </c>
      <c r="L328" s="11">
        <f>VLOOKUP(C328, '[1]China EXIM'!$B$6:$D$580, 3, FALSE)</f>
        <v>0.62521515595499999</v>
      </c>
      <c r="M328" s="6" t="s">
        <v>160</v>
      </c>
      <c r="N328" s="6"/>
      <c r="O328" s="6"/>
      <c r="P328" s="10" t="s">
        <v>24</v>
      </c>
      <c r="Q328" s="11" t="s">
        <v>161</v>
      </c>
    </row>
    <row r="329" spans="2:22" ht="27.95" hidden="1">
      <c r="B329" s="6" t="str">
        <f>VLOOKUP(C329, [1]Definition!$D$5:$K$5665, 8, FALSE)</f>
        <v>Capital Goods</v>
      </c>
      <c r="C329" s="7">
        <v>845959</v>
      </c>
      <c r="D329" s="8" t="s">
        <v>739</v>
      </c>
      <c r="E329" s="17" t="s">
        <v>19</v>
      </c>
      <c r="F329" s="8"/>
      <c r="G329" s="8"/>
      <c r="H329" s="9" t="s">
        <v>65</v>
      </c>
      <c r="I329" s="9" t="s">
        <v>31</v>
      </c>
      <c r="J329" s="17" t="str">
        <f>_xlfn.IFNA(VLOOKUP(C329, '[2]Unique HS'!$B$4:$J$999, 9, FALSE), "No")</f>
        <v>No</v>
      </c>
      <c r="K329" s="18">
        <f>VLOOKUP(C329, '[1]India EXIM'!$B$6:$C$580, 2, FALSE)</f>
        <v>1.3541398991E-2</v>
      </c>
      <c r="L329" s="11">
        <f>VLOOKUP(C329, '[1]China EXIM'!$B$6:$D$580, 3, FALSE)</f>
        <v>6.7902212363999986E-2</v>
      </c>
      <c r="M329" s="6"/>
      <c r="N329" s="6"/>
      <c r="O329" s="6"/>
      <c r="P329" s="10" t="s">
        <v>24</v>
      </c>
      <c r="Q329" s="9" t="s">
        <v>65</v>
      </c>
      <c r="U329" s="1" t="s">
        <v>25</v>
      </c>
    </row>
    <row r="330" spans="2:22" ht="42" hidden="1">
      <c r="B330" s="6" t="str">
        <f>VLOOKUP(C330, [1]Definition!$D$5:$K$5665, 8, FALSE)</f>
        <v>Capital Goods</v>
      </c>
      <c r="C330" s="7">
        <v>850162</v>
      </c>
      <c r="D330" s="8" t="s">
        <v>740</v>
      </c>
      <c r="E330" s="17" t="s">
        <v>27</v>
      </c>
      <c r="F330" s="8" t="s">
        <v>741</v>
      </c>
      <c r="G330" s="8" t="s">
        <v>742</v>
      </c>
      <c r="H330" s="9" t="s">
        <v>30</v>
      </c>
      <c r="I330" s="9" t="s">
        <v>31</v>
      </c>
      <c r="J330" s="17" t="str">
        <f>_xlfn.IFNA(VLOOKUP(C330, '[2]Unique HS'!$B$4:$J$999, 9, FALSE), "No")</f>
        <v>No</v>
      </c>
      <c r="K330" s="22">
        <f>VLOOKUP(C330, '[1]India EXIM'!$B$6:$C$580, 2, FALSE)</f>
        <v>1.3393040312999999E-2</v>
      </c>
      <c r="L330" s="11">
        <f>VLOOKUP(C330, '[1]China EXIM'!$B$6:$D$580, 3, FALSE)</f>
        <v>1.3617081918210001</v>
      </c>
      <c r="M330" s="9" t="s">
        <v>129</v>
      </c>
      <c r="N330" s="9"/>
      <c r="O330" s="6"/>
      <c r="P330" s="10" t="s">
        <v>24</v>
      </c>
      <c r="Q330" s="9" t="s">
        <v>30</v>
      </c>
      <c r="S330" s="1" t="s">
        <v>33</v>
      </c>
      <c r="U330" s="1" t="s">
        <v>25</v>
      </c>
    </row>
    <row r="331" spans="2:22" ht="42" hidden="1">
      <c r="B331" s="6" t="str">
        <f>VLOOKUP(C331, [1]Definition!$D$5:$K$5665, 8, FALSE)</f>
        <v>Capital Goods</v>
      </c>
      <c r="C331" s="7">
        <v>846592</v>
      </c>
      <c r="D331" s="8" t="s">
        <v>743</v>
      </c>
      <c r="E331" s="17" t="s">
        <v>19</v>
      </c>
      <c r="F331" s="8"/>
      <c r="G331" s="8"/>
      <c r="H331" s="9" t="s">
        <v>65</v>
      </c>
      <c r="I331" s="9" t="s">
        <v>31</v>
      </c>
      <c r="J331" s="17" t="str">
        <f>_xlfn.IFNA(VLOOKUP(C331, '[2]Unique HS'!$B$4:$J$999, 9, FALSE), "No")</f>
        <v>Yes</v>
      </c>
      <c r="K331" s="18">
        <f>VLOOKUP(C331, '[1]India EXIM'!$B$6:$C$580, 2, FALSE)</f>
        <v>1.3392149016000001E-2</v>
      </c>
      <c r="L331" s="11">
        <f>VLOOKUP(C331, '[1]China EXIM'!$B$6:$D$580, 3, FALSE)</f>
        <v>0.830239783432</v>
      </c>
      <c r="M331" s="6"/>
      <c r="N331" s="6"/>
      <c r="O331" s="6"/>
      <c r="P331" s="10" t="s">
        <v>24</v>
      </c>
      <c r="Q331" s="9" t="s">
        <v>65</v>
      </c>
      <c r="U331" s="1" t="s">
        <v>25</v>
      </c>
    </row>
    <row r="332" spans="2:22" ht="42" hidden="1">
      <c r="B332" s="6" t="str">
        <f>VLOOKUP(C332, [1]Definition!$D$5:$K$5665, 8, FALSE)</f>
        <v>Capital Goods</v>
      </c>
      <c r="C332" s="7">
        <v>846880</v>
      </c>
      <c r="D332" s="8" t="s">
        <v>744</v>
      </c>
      <c r="E332" s="17" t="s">
        <v>19</v>
      </c>
      <c r="F332" s="8"/>
      <c r="G332" s="8"/>
      <c r="H332" s="9" t="s">
        <v>65</v>
      </c>
      <c r="I332" s="9" t="s">
        <v>721</v>
      </c>
      <c r="J332" s="17" t="str">
        <f>_xlfn.IFNA(VLOOKUP(C332, '[2]Unique HS'!$B$4:$J$999, 9, FALSE), "No")</f>
        <v>Yes</v>
      </c>
      <c r="K332" s="18">
        <f>VLOOKUP(C332, '[1]India EXIM'!$B$6:$C$580, 2, FALSE)</f>
        <v>1.3335155652E-2</v>
      </c>
      <c r="L332" s="11">
        <f>VLOOKUP(C332, '[1]China EXIM'!$B$6:$D$580, 3, FALSE)</f>
        <v>0.31306515985299999</v>
      </c>
      <c r="M332" s="6"/>
      <c r="N332" s="6"/>
      <c r="O332" s="6"/>
      <c r="P332" s="10" t="s">
        <v>24</v>
      </c>
      <c r="Q332" s="9" t="s">
        <v>65</v>
      </c>
      <c r="S332" s="1" t="s">
        <v>136</v>
      </c>
      <c r="U332" s="1" t="s">
        <v>137</v>
      </c>
    </row>
    <row r="333" spans="2:22" ht="27.95">
      <c r="B333" s="6" t="str">
        <f>VLOOKUP(C333, [1]Definition!$D$5:$K$5665, 8, FALSE)</f>
        <v>Capital Goods</v>
      </c>
      <c r="C333" s="7">
        <v>820231</v>
      </c>
      <c r="D333" s="8" t="s">
        <v>745</v>
      </c>
      <c r="E333" s="17" t="s">
        <v>119</v>
      </c>
      <c r="F333" s="8"/>
      <c r="G333" s="8"/>
      <c r="H333" s="9" t="s">
        <v>65</v>
      </c>
      <c r="I333" s="9" t="s">
        <v>209</v>
      </c>
      <c r="J333" s="17" t="str">
        <f>_xlfn.IFNA(VLOOKUP(C333, '[2]Unique HS'!$B$4:$J$999, 9, FALSE), "No")</f>
        <v>No</v>
      </c>
      <c r="K333" s="18">
        <f>VLOOKUP(C333, '[1]India EXIM'!$B$6:$C$580, 2, FALSE)</f>
        <v>1.7495762100999998E-2</v>
      </c>
      <c r="L333" s="11">
        <f>VLOOKUP(C333, '[1]China EXIM'!$B$6:$D$580, 3, FALSE)</f>
        <v>0.56286728058400004</v>
      </c>
      <c r="M333" s="6" t="s">
        <v>210</v>
      </c>
      <c r="N333" s="6"/>
      <c r="O333" s="9"/>
      <c r="P333" s="10" t="s">
        <v>24</v>
      </c>
      <c r="Q333" s="11" t="s">
        <v>210</v>
      </c>
      <c r="U333" s="1" t="s">
        <v>211</v>
      </c>
    </row>
    <row r="334" spans="2:22" ht="56.1">
      <c r="B334" s="6" t="str">
        <f>VLOOKUP(C334, [1]Definition!$D$5:$K$5665, 8, FALSE)</f>
        <v>Capital Goods</v>
      </c>
      <c r="C334" s="15">
        <v>840510</v>
      </c>
      <c r="D334" s="16" t="s">
        <v>746</v>
      </c>
      <c r="E334" s="17" t="s">
        <v>119</v>
      </c>
      <c r="F334" s="8" t="s">
        <v>747</v>
      </c>
      <c r="G334" s="8" t="s">
        <v>748</v>
      </c>
      <c r="H334" s="9" t="s">
        <v>22</v>
      </c>
      <c r="I334" s="9" t="s">
        <v>749</v>
      </c>
      <c r="J334" s="17" t="str">
        <f>_xlfn.IFNA(VLOOKUP(C334, '[2]Unique HS'!$B$4:$J$999, 9, FALSE), "No")</f>
        <v>Yes</v>
      </c>
      <c r="K334" s="18">
        <f>VLOOKUP(C334, '[1]India EXIM'!$B$6:$C$580, 2, FALSE)</f>
        <v>3.5147464731999999E-2</v>
      </c>
      <c r="L334" s="11">
        <f>VLOOKUP(C334, '[1]China EXIM'!$B$6:$D$580, 3, FALSE)</f>
        <v>0.60610802675600006</v>
      </c>
      <c r="M334" s="6" t="s">
        <v>201</v>
      </c>
      <c r="N334" s="6"/>
      <c r="O334" s="6"/>
      <c r="P334" s="10" t="s">
        <v>24</v>
      </c>
      <c r="Q334" s="9" t="s">
        <v>22</v>
      </c>
      <c r="U334" s="1" t="s">
        <v>211</v>
      </c>
      <c r="V334" s="1" t="s">
        <v>750</v>
      </c>
    </row>
    <row r="335" spans="2:22" ht="27.95" hidden="1">
      <c r="B335" s="6" t="str">
        <f>VLOOKUP(C335, [1]Definition!$D$5:$K$5665, 8, FALSE)</f>
        <v>Capital Goods</v>
      </c>
      <c r="C335" s="7">
        <v>842220</v>
      </c>
      <c r="D335" s="8" t="s">
        <v>751</v>
      </c>
      <c r="E335" s="17" t="s">
        <v>19</v>
      </c>
      <c r="F335" s="8"/>
      <c r="G335" s="8"/>
      <c r="H335" s="9" t="s">
        <v>61</v>
      </c>
      <c r="I335" s="9" t="s">
        <v>62</v>
      </c>
      <c r="J335" s="17" t="str">
        <f>_xlfn.IFNA(VLOOKUP(C335, '[2]Unique HS'!$B$4:$J$999, 9, FALSE), "No")</f>
        <v>Yes</v>
      </c>
      <c r="K335" s="18">
        <f>VLOOKUP(C335, '[1]India EXIM'!$B$6:$C$580, 2, FALSE)</f>
        <v>1.3176121281E-2</v>
      </c>
      <c r="L335" s="11">
        <f>VLOOKUP(C335, '[1]China EXIM'!$B$6:$D$580, 3, FALSE)</f>
        <v>0.99618588906799999</v>
      </c>
      <c r="M335" s="6"/>
      <c r="N335" s="6"/>
      <c r="O335" s="6"/>
      <c r="P335" s="10" t="s">
        <v>24</v>
      </c>
      <c r="Q335" s="9" t="s">
        <v>61</v>
      </c>
      <c r="S335" s="1" t="s">
        <v>136</v>
      </c>
      <c r="U335" s="1" t="s">
        <v>137</v>
      </c>
    </row>
    <row r="336" spans="2:22" ht="42" hidden="1">
      <c r="B336" s="6" t="str">
        <f>VLOOKUP(C336, [1]Definition!$D$5:$K$5665, 8, FALSE)</f>
        <v>Capital Goods</v>
      </c>
      <c r="C336" s="7">
        <v>846594</v>
      </c>
      <c r="D336" s="8" t="s">
        <v>752</v>
      </c>
      <c r="E336" s="17" t="s">
        <v>19</v>
      </c>
      <c r="F336" s="8"/>
      <c r="G336" s="8"/>
      <c r="H336" s="9" t="s">
        <v>65</v>
      </c>
      <c r="I336" s="9" t="s">
        <v>31</v>
      </c>
      <c r="J336" s="17" t="str">
        <f>_xlfn.IFNA(VLOOKUP(C336, '[2]Unique HS'!$B$4:$J$999, 9, FALSE), "No")</f>
        <v>No</v>
      </c>
      <c r="K336" s="18">
        <f>VLOOKUP(C336, '[1]India EXIM'!$B$6:$C$580, 2, FALSE)</f>
        <v>1.3162167999E-2</v>
      </c>
      <c r="L336" s="11">
        <f>VLOOKUP(C336, '[1]China EXIM'!$B$6:$D$580, 3, FALSE)</f>
        <v>0.52046420449099995</v>
      </c>
      <c r="M336" s="6"/>
      <c r="N336" s="6"/>
      <c r="O336" s="6"/>
      <c r="P336" s="10" t="s">
        <v>24</v>
      </c>
      <c r="Q336" s="9" t="s">
        <v>65</v>
      </c>
      <c r="U336" s="1" t="s">
        <v>25</v>
      </c>
    </row>
    <row r="337" spans="2:21" ht="56.1" hidden="1">
      <c r="B337" s="6" t="str">
        <f>VLOOKUP(C337, [1]Definition!$D$5:$K$5665, 8, FALSE)</f>
        <v>Capital Goods</v>
      </c>
      <c r="C337" s="7">
        <v>902229</v>
      </c>
      <c r="D337" s="8" t="s">
        <v>753</v>
      </c>
      <c r="E337" s="17" t="s">
        <v>205</v>
      </c>
      <c r="F337" s="8" t="s">
        <v>754</v>
      </c>
      <c r="G337" s="8"/>
      <c r="H337" s="9" t="s">
        <v>22</v>
      </c>
      <c r="I337" s="9" t="s">
        <v>214</v>
      </c>
      <c r="J337" s="17" t="str">
        <f>_xlfn.IFNA(VLOOKUP(C337, '[2]Unique HS'!$B$4:$J$999, 9, FALSE), "No")</f>
        <v>No</v>
      </c>
      <c r="K337" s="22">
        <f>VLOOKUP(C337, '[1]India EXIM'!$B$6:$C$580, 2, FALSE)</f>
        <v>1.3157796492000001E-2</v>
      </c>
      <c r="L337" s="11">
        <f>VLOOKUP(C337, '[1]China EXIM'!$B$6:$D$580, 3, FALSE)</f>
        <v>0.28884891755000003</v>
      </c>
      <c r="M337" s="6"/>
      <c r="N337" s="6"/>
      <c r="O337" s="6"/>
      <c r="P337" s="10" t="s">
        <v>24</v>
      </c>
      <c r="Q337" s="11" t="s">
        <v>22</v>
      </c>
      <c r="S337" s="1" t="s">
        <v>136</v>
      </c>
      <c r="U337" s="1" t="s">
        <v>137</v>
      </c>
    </row>
    <row r="338" spans="2:21" ht="27.95" hidden="1">
      <c r="B338" s="6" t="str">
        <f>VLOOKUP(C338, [1]Definition!$D$5:$K$5665, 8, FALSE)</f>
        <v>Capital Goods</v>
      </c>
      <c r="C338" s="7">
        <v>850819</v>
      </c>
      <c r="D338" s="8" t="s">
        <v>755</v>
      </c>
      <c r="E338" s="17" t="s">
        <v>19</v>
      </c>
      <c r="F338" s="8" t="s">
        <v>756</v>
      </c>
      <c r="G338" s="8"/>
      <c r="H338" s="9" t="s">
        <v>22</v>
      </c>
      <c r="I338" s="9" t="s">
        <v>38</v>
      </c>
      <c r="J338" s="17" t="str">
        <f>_xlfn.IFNA(VLOOKUP(C338, '[2]Unique HS'!$B$4:$J$999, 9, FALSE), "No")</f>
        <v>Yes</v>
      </c>
      <c r="K338" s="18">
        <f>VLOOKUP(C338, '[1]India EXIM'!$B$6:$C$580, 2, FALSE)</f>
        <v>1.3131796731000001E-2</v>
      </c>
      <c r="L338" s="11">
        <f>VLOOKUP(C338, '[1]China EXIM'!$B$6:$D$580, 3, FALSE)</f>
        <v>1.565520479136</v>
      </c>
      <c r="M338" s="6" t="s">
        <v>757</v>
      </c>
      <c r="N338" s="6"/>
      <c r="O338" s="6"/>
      <c r="P338" s="10" t="s">
        <v>24</v>
      </c>
      <c r="Q338" s="11" t="s">
        <v>22</v>
      </c>
      <c r="U338" s="1" t="s">
        <v>25</v>
      </c>
    </row>
    <row r="339" spans="2:21" ht="42" hidden="1">
      <c r="B339" s="6" t="str">
        <f>VLOOKUP(C339, [1]Definition!$D$5:$K$5665, 8, FALSE)</f>
        <v>Capital Goods</v>
      </c>
      <c r="C339" s="7">
        <v>846190</v>
      </c>
      <c r="D339" s="8" t="s">
        <v>758</v>
      </c>
      <c r="E339" s="17" t="s">
        <v>19</v>
      </c>
      <c r="F339" s="8"/>
      <c r="G339" s="8"/>
      <c r="H339" s="9" t="s">
        <v>65</v>
      </c>
      <c r="I339" s="9" t="s">
        <v>31</v>
      </c>
      <c r="J339" s="17" t="str">
        <f>_xlfn.IFNA(VLOOKUP(C339, '[2]Unique HS'!$B$4:$J$999, 9, FALSE), "No")</f>
        <v>Yes</v>
      </c>
      <c r="K339" s="18">
        <f>VLOOKUP(C339, '[1]India EXIM'!$B$6:$C$580, 2, FALSE)</f>
        <v>1.2926780814E-2</v>
      </c>
      <c r="L339" s="11">
        <f>VLOOKUP(C339, '[1]China EXIM'!$B$6:$D$580, 3, FALSE)</f>
        <v>0.20224366631099999</v>
      </c>
      <c r="M339" s="6"/>
      <c r="N339" s="6"/>
      <c r="O339" s="6"/>
      <c r="P339" s="10" t="s">
        <v>24</v>
      </c>
      <c r="Q339" s="9" t="s">
        <v>65</v>
      </c>
      <c r="U339" s="1" t="s">
        <v>25</v>
      </c>
    </row>
    <row r="340" spans="2:21" ht="27.95" hidden="1">
      <c r="B340" s="6" t="str">
        <f>VLOOKUP(C340, [1]Definition!$D$5:$K$5665, 8, FALSE)</f>
        <v>Capital Goods</v>
      </c>
      <c r="C340" s="7">
        <v>843629</v>
      </c>
      <c r="D340" s="16" t="s">
        <v>759</v>
      </c>
      <c r="E340" s="17" t="s">
        <v>19</v>
      </c>
      <c r="F340" s="8"/>
      <c r="G340" s="8"/>
      <c r="H340" s="9" t="s">
        <v>61</v>
      </c>
      <c r="I340" s="9" t="s">
        <v>760</v>
      </c>
      <c r="J340" s="17" t="str">
        <f>_xlfn.IFNA(VLOOKUP(C340, '[2]Unique HS'!$B$4:$J$999, 9, FALSE), "No")</f>
        <v>No</v>
      </c>
      <c r="K340" s="18">
        <f>VLOOKUP(C340, '[1]India EXIM'!$B$6:$C$580, 2, FALSE)</f>
        <v>1.2762712698999999E-2</v>
      </c>
      <c r="L340" s="11">
        <f>VLOOKUP(C340, '[1]China EXIM'!$B$6:$D$580, 3, FALSE)</f>
        <v>1.3829968884799999</v>
      </c>
      <c r="M340" s="6"/>
      <c r="N340" s="6"/>
      <c r="O340" s="6"/>
      <c r="P340" s="10" t="s">
        <v>24</v>
      </c>
      <c r="Q340" s="9" t="s">
        <v>61</v>
      </c>
      <c r="U340" s="1" t="s">
        <v>25</v>
      </c>
    </row>
    <row r="341" spans="2:21" hidden="1">
      <c r="B341" s="6" t="str">
        <f>VLOOKUP(C341, [1]Definition!$D$5:$K$5665, 8, FALSE)</f>
        <v>Capital Goods</v>
      </c>
      <c r="C341" s="7">
        <v>845129</v>
      </c>
      <c r="D341" s="8" t="s">
        <v>761</v>
      </c>
      <c r="E341" s="17" t="s">
        <v>19</v>
      </c>
      <c r="F341" s="8"/>
      <c r="G341" s="8"/>
      <c r="H341" s="9" t="s">
        <v>55</v>
      </c>
      <c r="I341" s="9" t="s">
        <v>234</v>
      </c>
      <c r="J341" s="17" t="str">
        <f>_xlfn.IFNA(VLOOKUP(C341, '[2]Unique HS'!$B$4:$J$999, 9, FALSE), "No")</f>
        <v>No</v>
      </c>
      <c r="K341" s="18">
        <f>VLOOKUP(C341, '[1]India EXIM'!$B$6:$C$580, 2, FALSE)</f>
        <v>1.2386961129E-2</v>
      </c>
      <c r="L341" s="11">
        <f>VLOOKUP(C341, '[1]China EXIM'!$B$6:$D$580, 3, FALSE)</f>
        <v>1.69457222031</v>
      </c>
      <c r="M341" s="6"/>
      <c r="N341" s="6"/>
      <c r="O341" s="6"/>
      <c r="P341" s="10" t="s">
        <v>24</v>
      </c>
      <c r="Q341" s="9" t="s">
        <v>55</v>
      </c>
      <c r="U341" s="1" t="s">
        <v>25</v>
      </c>
    </row>
    <row r="342" spans="2:21" ht="42" hidden="1">
      <c r="B342" s="6" t="str">
        <f>VLOOKUP(C342, [1]Definition!$D$5:$K$5665, 8, FALSE)</f>
        <v>Capital Goods</v>
      </c>
      <c r="C342" s="7">
        <v>761300</v>
      </c>
      <c r="D342" s="8" t="s">
        <v>762</v>
      </c>
      <c r="E342" s="17" t="s">
        <v>19</v>
      </c>
      <c r="F342" s="8" t="s">
        <v>763</v>
      </c>
      <c r="G342" s="8"/>
      <c r="H342" s="9" t="s">
        <v>22</v>
      </c>
      <c r="I342" s="9" t="s">
        <v>528</v>
      </c>
      <c r="J342" s="17" t="str">
        <f>_xlfn.IFNA(VLOOKUP(C342, '[2]Unique HS'!$B$4:$J$999, 9, FALSE), "No")</f>
        <v>No</v>
      </c>
      <c r="K342" s="18">
        <f>VLOOKUP(C342, '[1]India EXIM'!$B$6:$C$580, 2, FALSE)</f>
        <v>1.2344889826999999E-2</v>
      </c>
      <c r="L342" s="11">
        <f>VLOOKUP(C342, '[1]China EXIM'!$B$6:$D$580, 3, FALSE)</f>
        <v>0.68340405238399993</v>
      </c>
      <c r="M342" s="6" t="s">
        <v>201</v>
      </c>
      <c r="N342" s="6"/>
      <c r="O342" s="9"/>
      <c r="P342" s="10" t="s">
        <v>24</v>
      </c>
      <c r="Q342" s="9" t="s">
        <v>22</v>
      </c>
      <c r="U342" s="1" t="s">
        <v>25</v>
      </c>
    </row>
    <row r="343" spans="2:21" ht="42" hidden="1">
      <c r="B343" s="6" t="str">
        <f>VLOOKUP(C343, [1]Definition!$D$5:$K$5665, 8, FALSE)</f>
        <v>Capital Goods</v>
      </c>
      <c r="C343" s="7">
        <v>846233</v>
      </c>
      <c r="D343" s="8" t="s">
        <v>764</v>
      </c>
      <c r="E343" s="17" t="s">
        <v>19</v>
      </c>
      <c r="F343" s="8"/>
      <c r="G343" s="8"/>
      <c r="H343" s="9" t="s">
        <v>65</v>
      </c>
      <c r="I343" s="9" t="s">
        <v>31</v>
      </c>
      <c r="J343" s="17" t="str">
        <f>_xlfn.IFNA(VLOOKUP(C343, '[2]Unique HS'!$B$4:$J$999, 9, FALSE), "No")</f>
        <v>No</v>
      </c>
      <c r="K343" s="18">
        <f>VLOOKUP(C343, '[1]India EXIM'!$B$6:$C$580, 2, FALSE)</f>
        <v>1.1885505051999999E-2</v>
      </c>
      <c r="L343" s="11">
        <f>VLOOKUP(C343, '[1]China EXIM'!$B$6:$D$580, 3, FALSE)</f>
        <v>0.14139328349399999</v>
      </c>
      <c r="M343" s="6"/>
      <c r="N343" s="6"/>
      <c r="O343" s="6"/>
      <c r="P343" s="10" t="s">
        <v>24</v>
      </c>
      <c r="Q343" s="9" t="s">
        <v>65</v>
      </c>
      <c r="S343" s="1" t="s">
        <v>136</v>
      </c>
      <c r="U343" s="1" t="s">
        <v>137</v>
      </c>
    </row>
    <row r="344" spans="2:21" ht="27.95">
      <c r="B344" s="6" t="str">
        <f>VLOOKUP(C344, [1]Definition!$D$5:$K$5665, 8, FALSE)</f>
        <v>Capital Goods</v>
      </c>
      <c r="C344" s="7">
        <v>842840</v>
      </c>
      <c r="D344" s="8" t="s">
        <v>765</v>
      </c>
      <c r="E344" s="17" t="s">
        <v>119</v>
      </c>
      <c r="F344" s="8"/>
      <c r="G344" s="8"/>
      <c r="H344" s="9" t="s">
        <v>58</v>
      </c>
      <c r="I344" s="9" t="s">
        <v>31</v>
      </c>
      <c r="J344" s="17" t="str">
        <f>_xlfn.IFNA(VLOOKUP(C344, '[2]Unique HS'!$B$4:$J$999, 9, FALSE), "No")</f>
        <v>No</v>
      </c>
      <c r="K344" s="18">
        <f>VLOOKUP(C344, '[1]India EXIM'!$B$6:$C$580, 2, FALSE)</f>
        <v>2.6543323905999998E-2</v>
      </c>
      <c r="L344" s="11">
        <f>VLOOKUP(C344, '[1]China EXIM'!$B$6:$D$580, 3, FALSE)</f>
        <v>0.57540366947099997</v>
      </c>
      <c r="M344" s="9" t="s">
        <v>155</v>
      </c>
      <c r="N344" s="9"/>
      <c r="O344" s="6"/>
      <c r="P344" s="10" t="s">
        <v>24</v>
      </c>
      <c r="Q344" s="9" t="s">
        <v>58</v>
      </c>
    </row>
    <row r="345" spans="2:21" ht="27.95" hidden="1">
      <c r="B345" s="6" t="str">
        <f>VLOOKUP(C345, [1]Definition!$D$5:$K$5665, 8, FALSE)</f>
        <v>Capital Goods</v>
      </c>
      <c r="C345" s="7">
        <v>845921</v>
      </c>
      <c r="D345" s="8" t="s">
        <v>766</v>
      </c>
      <c r="E345" s="17" t="s">
        <v>19</v>
      </c>
      <c r="F345" s="8"/>
      <c r="G345" s="8"/>
      <c r="H345" s="9" t="s">
        <v>65</v>
      </c>
      <c r="I345" s="9" t="s">
        <v>31</v>
      </c>
      <c r="J345" s="17" t="str">
        <f>_xlfn.IFNA(VLOOKUP(C345, '[2]Unique HS'!$B$4:$J$999, 9, FALSE), "No")</f>
        <v>No</v>
      </c>
      <c r="K345" s="18">
        <f>VLOOKUP(C345, '[1]India EXIM'!$B$6:$C$580, 2, FALSE)</f>
        <v>1.1754759929E-2</v>
      </c>
      <c r="L345" s="11">
        <f>VLOOKUP(C345, '[1]China EXIM'!$B$6:$D$580, 3, FALSE)</f>
        <v>0.28959708055599998</v>
      </c>
      <c r="M345" s="6"/>
      <c r="N345" s="6"/>
      <c r="O345" s="6"/>
      <c r="P345" s="10" t="s">
        <v>24</v>
      </c>
      <c r="Q345" s="9" t="s">
        <v>65</v>
      </c>
      <c r="U345" s="1" t="s">
        <v>25</v>
      </c>
    </row>
    <row r="346" spans="2:21" ht="27.95" hidden="1">
      <c r="B346" s="6" t="str">
        <f>VLOOKUP(C346, [1]Definition!$D$5:$K$5665, 8, FALSE)</f>
        <v>Capital Goods</v>
      </c>
      <c r="C346" s="7">
        <v>843010</v>
      </c>
      <c r="D346" s="8" t="s">
        <v>767</v>
      </c>
      <c r="E346" s="17" t="s">
        <v>19</v>
      </c>
      <c r="F346" s="8"/>
      <c r="G346" s="8"/>
      <c r="H346" s="9" t="s">
        <v>58</v>
      </c>
      <c r="I346" s="9" t="s">
        <v>31</v>
      </c>
      <c r="J346" s="17" t="str">
        <f>_xlfn.IFNA(VLOOKUP(C346, '[2]Unique HS'!$B$4:$J$999, 9, FALSE), "No")</f>
        <v>No</v>
      </c>
      <c r="K346" s="18">
        <f>VLOOKUP(C346, '[1]India EXIM'!$B$6:$C$580, 2, FALSE)</f>
        <v>1.1747595123E-2</v>
      </c>
      <c r="L346" s="11">
        <f>VLOOKUP(C346, '[1]China EXIM'!$B$6:$D$580, 3, FALSE)</f>
        <v>0.56993954137199998</v>
      </c>
      <c r="M346" s="9" t="s">
        <v>768</v>
      </c>
      <c r="N346" s="9"/>
      <c r="O346" s="6" t="s">
        <v>769</v>
      </c>
      <c r="P346" s="10" t="s">
        <v>24</v>
      </c>
      <c r="Q346" s="9" t="s">
        <v>58</v>
      </c>
      <c r="U346" s="1" t="s">
        <v>25</v>
      </c>
    </row>
    <row r="347" spans="2:21" ht="42" hidden="1">
      <c r="B347" s="6" t="str">
        <f>VLOOKUP(C347, [1]Definition!$D$5:$K$5665, 8, FALSE)</f>
        <v>Capital Goods</v>
      </c>
      <c r="C347" s="7">
        <v>842519</v>
      </c>
      <c r="D347" s="8" t="s">
        <v>770</v>
      </c>
      <c r="E347" s="17" t="s">
        <v>19</v>
      </c>
      <c r="F347" s="8"/>
      <c r="G347" s="8"/>
      <c r="H347" s="9" t="s">
        <v>58</v>
      </c>
      <c r="I347" s="9" t="s">
        <v>31</v>
      </c>
      <c r="J347" s="17" t="str">
        <f>_xlfn.IFNA(VLOOKUP(C347, '[2]Unique HS'!$B$4:$J$999, 9, FALSE), "No")</f>
        <v>No</v>
      </c>
      <c r="K347" s="18">
        <f>VLOOKUP(C347, '[1]India EXIM'!$B$6:$C$580, 2, FALSE)</f>
        <v>1.1692425219E-2</v>
      </c>
      <c r="L347" s="11">
        <f>VLOOKUP(C347, '[1]China EXIM'!$B$6:$D$580, 3, FALSE)</f>
        <v>0.71327302342799992</v>
      </c>
      <c r="M347" s="9" t="s">
        <v>59</v>
      </c>
      <c r="N347" s="9"/>
      <c r="O347" s="6"/>
      <c r="P347" s="10" t="s">
        <v>24</v>
      </c>
      <c r="Q347" s="9" t="s">
        <v>58</v>
      </c>
      <c r="S347" s="1" t="s">
        <v>33</v>
      </c>
      <c r="U347" s="1" t="s">
        <v>34</v>
      </c>
    </row>
    <row r="348" spans="2:21" ht="27.95" hidden="1">
      <c r="B348" s="6" t="str">
        <f>VLOOKUP(C348, [1]Definition!$D$5:$K$5665, 8, FALSE)</f>
        <v>Capital Goods</v>
      </c>
      <c r="C348" s="7">
        <v>841919</v>
      </c>
      <c r="D348" s="8" t="s">
        <v>771</v>
      </c>
      <c r="E348" s="17" t="s">
        <v>163</v>
      </c>
      <c r="F348" s="8"/>
      <c r="G348" s="8" t="s">
        <v>772</v>
      </c>
      <c r="H348" s="9" t="s">
        <v>22</v>
      </c>
      <c r="I348" s="9" t="s">
        <v>74</v>
      </c>
      <c r="J348" s="17" t="str">
        <f>_xlfn.IFNA(VLOOKUP(C348, '[2]Unique HS'!$B$4:$J$999, 9, FALSE), "No")</f>
        <v>No</v>
      </c>
      <c r="K348" s="18">
        <f>VLOOKUP(C348, '[1]India EXIM'!$B$6:$C$580, 2, FALSE)</f>
        <v>1.1676974742000001E-2</v>
      </c>
      <c r="L348" s="11">
        <f>VLOOKUP(C348, '[1]China EXIM'!$B$6:$D$580, 3, FALSE)</f>
        <v>2.4065180322010002</v>
      </c>
      <c r="M348" s="6"/>
      <c r="N348" s="6"/>
      <c r="O348" s="6"/>
      <c r="P348" s="10" t="s">
        <v>24</v>
      </c>
      <c r="Q348" s="9" t="s">
        <v>22</v>
      </c>
      <c r="U348" s="1" t="s">
        <v>25</v>
      </c>
    </row>
    <row r="349" spans="2:21" hidden="1">
      <c r="B349" s="6" t="str">
        <f>VLOOKUP(C349, [1]Definition!$D$5:$K$5665, 8, FALSE)</f>
        <v>Capital Goods</v>
      </c>
      <c r="C349" s="7">
        <v>844511</v>
      </c>
      <c r="D349" s="8" t="s">
        <v>773</v>
      </c>
      <c r="E349" s="17" t="s">
        <v>19</v>
      </c>
      <c r="F349" s="8"/>
      <c r="G349" s="8"/>
      <c r="H349" s="9" t="s">
        <v>55</v>
      </c>
      <c r="I349" s="9" t="s">
        <v>56</v>
      </c>
      <c r="J349" s="17" t="str">
        <f>_xlfn.IFNA(VLOOKUP(C349, '[2]Unique HS'!$B$4:$J$999, 9, FALSE), "No")</f>
        <v>No</v>
      </c>
      <c r="K349" s="18">
        <f>VLOOKUP(C349, '[1]India EXIM'!$B$6:$C$580, 2, FALSE)</f>
        <v>1.1493970186000001E-2</v>
      </c>
      <c r="L349" s="11">
        <f>VLOOKUP(C349, '[1]China EXIM'!$B$6:$D$580, 3, FALSE)</f>
        <v>0.20230513088400001</v>
      </c>
      <c r="M349" s="6"/>
      <c r="N349" s="6"/>
      <c r="O349" s="6"/>
      <c r="P349" s="10" t="s">
        <v>24</v>
      </c>
      <c r="Q349" s="9" t="s">
        <v>55</v>
      </c>
      <c r="U349" s="1" t="s">
        <v>34</v>
      </c>
    </row>
    <row r="350" spans="2:21" ht="27.95" hidden="1">
      <c r="B350" s="6" t="str">
        <f>VLOOKUP(C350, [1]Definition!$D$5:$K$5665, 8, FALSE)</f>
        <v>Capital Goods</v>
      </c>
      <c r="C350" s="7">
        <v>850421</v>
      </c>
      <c r="D350" s="8" t="s">
        <v>774</v>
      </c>
      <c r="E350" s="17" t="s">
        <v>27</v>
      </c>
      <c r="F350" s="8" t="s">
        <v>775</v>
      </c>
      <c r="G350" s="8" t="s">
        <v>776</v>
      </c>
      <c r="H350" s="9" t="s">
        <v>30</v>
      </c>
      <c r="I350" s="9" t="s">
        <v>31</v>
      </c>
      <c r="J350" s="17" t="str">
        <f>_xlfn.IFNA(VLOOKUP(C350, '[2]Unique HS'!$B$4:$J$999, 9, FALSE), "No")</f>
        <v>Yes</v>
      </c>
      <c r="K350" s="22">
        <f>VLOOKUP(C350, '[1]India EXIM'!$B$6:$C$580, 2, FALSE)</f>
        <v>1.1319657554999999E-2</v>
      </c>
      <c r="L350" s="11">
        <f>VLOOKUP(C350, '[1]China EXIM'!$B$6:$D$580, 3, FALSE)</f>
        <v>3.309885401296</v>
      </c>
      <c r="M350" s="6" t="s">
        <v>32</v>
      </c>
      <c r="N350" s="6"/>
      <c r="O350" s="6"/>
      <c r="P350" s="10" t="s">
        <v>24</v>
      </c>
      <c r="Q350" s="9" t="s">
        <v>30</v>
      </c>
      <c r="S350" s="1" t="s">
        <v>136</v>
      </c>
      <c r="U350" s="1" t="s">
        <v>137</v>
      </c>
    </row>
    <row r="351" spans="2:21" ht="27.95" hidden="1">
      <c r="B351" s="6" t="str">
        <f>VLOOKUP(C351, [1]Definition!$D$5:$K$5665, 8, FALSE)</f>
        <v>Capital Goods</v>
      </c>
      <c r="C351" s="7">
        <v>848510</v>
      </c>
      <c r="D351" s="8" t="s">
        <v>777</v>
      </c>
      <c r="E351" s="17" t="s">
        <v>19</v>
      </c>
      <c r="F351" s="8"/>
      <c r="G351" s="8"/>
      <c r="H351" s="9" t="s">
        <v>65</v>
      </c>
      <c r="I351" s="9" t="s">
        <v>778</v>
      </c>
      <c r="J351" s="17" t="str">
        <f>_xlfn.IFNA(VLOOKUP(C351, '[2]Unique HS'!$B$4:$J$999, 9, FALSE), "No")</f>
        <v>No</v>
      </c>
      <c r="K351" s="18">
        <f>VLOOKUP(C351, '[1]India EXIM'!$B$6:$C$580, 2, FALSE)</f>
        <v>1.1317817186000001E-2</v>
      </c>
      <c r="L351" s="11">
        <f>VLOOKUP(C351, '[1]China EXIM'!$B$6:$D$580, 3, FALSE)</f>
        <v>0.39446926355099998</v>
      </c>
      <c r="M351" s="6"/>
      <c r="N351" s="6"/>
      <c r="O351" s="6"/>
      <c r="P351" s="10" t="s">
        <v>24</v>
      </c>
      <c r="Q351" s="9" t="s">
        <v>65</v>
      </c>
      <c r="U351" s="1" t="s">
        <v>25</v>
      </c>
    </row>
    <row r="352" spans="2:21" ht="69.95" hidden="1">
      <c r="B352" s="6" t="str">
        <f>VLOOKUP(C352, [1]Definition!$D$5:$K$5665, 8, FALSE)</f>
        <v>Capital Goods</v>
      </c>
      <c r="C352" s="7">
        <v>901510</v>
      </c>
      <c r="D352" s="8" t="s">
        <v>779</v>
      </c>
      <c r="E352" s="17" t="s">
        <v>205</v>
      </c>
      <c r="F352" s="8"/>
      <c r="G352" s="8"/>
      <c r="H352" s="9" t="s">
        <v>166</v>
      </c>
      <c r="I352" s="9" t="s">
        <v>167</v>
      </c>
      <c r="J352" s="17" t="str">
        <f>_xlfn.IFNA(VLOOKUP(C352, '[2]Unique HS'!$B$4:$J$999, 9, FALSE), "No")</f>
        <v>No</v>
      </c>
      <c r="K352" s="22">
        <f>VLOOKUP(C352, '[1]India EXIM'!$B$6:$C$580, 2, FALSE)</f>
        <v>1.1099123467E-2</v>
      </c>
      <c r="L352" s="11">
        <f>VLOOKUP(C352, '[1]China EXIM'!$B$6:$D$580, 3, FALSE)</f>
        <v>1.1931809578450001</v>
      </c>
      <c r="M352" s="6"/>
      <c r="N352" s="6"/>
      <c r="O352" s="6"/>
      <c r="P352" s="10" t="s">
        <v>24</v>
      </c>
      <c r="Q352" s="11" t="s">
        <v>168</v>
      </c>
      <c r="U352" s="1" t="s">
        <v>25</v>
      </c>
    </row>
    <row r="353" spans="2:21" ht="42" hidden="1">
      <c r="B353" s="6" t="str">
        <f>VLOOKUP(C353, [1]Definition!$D$5:$K$5665, 8, FALSE)</f>
        <v>Capital Goods</v>
      </c>
      <c r="C353" s="7">
        <v>940210</v>
      </c>
      <c r="D353" s="8" t="s">
        <v>780</v>
      </c>
      <c r="E353" s="17" t="s">
        <v>163</v>
      </c>
      <c r="F353" s="8"/>
      <c r="G353" s="8"/>
      <c r="H353" s="9" t="s">
        <v>496</v>
      </c>
      <c r="I353" s="9" t="s">
        <v>781</v>
      </c>
      <c r="J353" s="17" t="str">
        <f>_xlfn.IFNA(VLOOKUP(C353, '[2]Unique HS'!$B$4:$J$999, 9, FALSE), "No")</f>
        <v>Yes</v>
      </c>
      <c r="K353" s="18">
        <f>VLOOKUP(C353, '[1]India EXIM'!$B$6:$C$580, 2, FALSE)</f>
        <v>1.1074181006999998E-2</v>
      </c>
      <c r="L353" s="11">
        <f>VLOOKUP(C353, '[1]China EXIM'!$B$6:$D$580, 3, FALSE)</f>
        <v>0.65169036718100004</v>
      </c>
      <c r="M353" s="6"/>
      <c r="N353" s="6"/>
      <c r="O353" s="6"/>
      <c r="P353" s="10" t="s">
        <v>24</v>
      </c>
      <c r="Q353" s="9" t="s">
        <v>496</v>
      </c>
      <c r="U353" s="1" t="s">
        <v>25</v>
      </c>
    </row>
    <row r="354" spans="2:21" ht="27.95" hidden="1">
      <c r="B354" s="6" t="str">
        <f>VLOOKUP(C354, [1]Definition!$D$5:$K$5665, 8, FALSE)</f>
        <v>Capital Goods</v>
      </c>
      <c r="C354" s="7">
        <v>842699</v>
      </c>
      <c r="D354" s="8" t="s">
        <v>782</v>
      </c>
      <c r="E354" s="17" t="s">
        <v>19</v>
      </c>
      <c r="F354" s="8"/>
      <c r="G354" s="8"/>
      <c r="H354" s="9" t="s">
        <v>58</v>
      </c>
      <c r="I354" s="9" t="s">
        <v>31</v>
      </c>
      <c r="J354" s="17" t="str">
        <f>_xlfn.IFNA(VLOOKUP(C354, '[2]Unique HS'!$B$4:$J$999, 9, FALSE), "No")</f>
        <v>No</v>
      </c>
      <c r="K354" s="18">
        <f>VLOOKUP(C354, '[1]India EXIM'!$B$6:$C$580, 2, FALSE)</f>
        <v>1.1022219622E-2</v>
      </c>
      <c r="L354" s="11">
        <f>VLOOKUP(C354, '[1]China EXIM'!$B$6:$D$580, 3, FALSE)</f>
        <v>0.71119894577800002</v>
      </c>
      <c r="M354" s="9" t="s">
        <v>80</v>
      </c>
      <c r="N354" s="9"/>
      <c r="O354" s="6"/>
      <c r="P354" s="10" t="s">
        <v>24</v>
      </c>
      <c r="Q354" s="9" t="s">
        <v>58</v>
      </c>
      <c r="U354" s="1" t="s">
        <v>25</v>
      </c>
    </row>
    <row r="355" spans="2:21" ht="27.95" hidden="1">
      <c r="B355" s="6" t="str">
        <f>VLOOKUP(C355, [1]Definition!$D$5:$K$5665, 8, FALSE)</f>
        <v>Capital Goods</v>
      </c>
      <c r="C355" s="7">
        <v>840211</v>
      </c>
      <c r="D355" s="8" t="s">
        <v>783</v>
      </c>
      <c r="E355" s="17" t="s">
        <v>142</v>
      </c>
      <c r="F355" s="8"/>
      <c r="G355" s="8"/>
      <c r="H355" s="9" t="s">
        <v>30</v>
      </c>
      <c r="I355" s="9" t="s">
        <v>784</v>
      </c>
      <c r="J355" s="17" t="str">
        <f>_xlfn.IFNA(VLOOKUP(C355, '[2]Unique HS'!$B$4:$J$999, 9, FALSE), "No")</f>
        <v>No</v>
      </c>
      <c r="K355" s="18">
        <f>VLOOKUP(C355, '[1]India EXIM'!$B$6:$C$580, 2, FALSE)</f>
        <v>1.0988167665E-2</v>
      </c>
      <c r="L355" s="11">
        <f>VLOOKUP(C355, '[1]China EXIM'!$B$6:$D$580, 3, FALSE)</f>
        <v>0.40087449295700001</v>
      </c>
      <c r="M355" s="9" t="s">
        <v>785</v>
      </c>
      <c r="N355" s="9"/>
      <c r="O355" s="6"/>
      <c r="P355" s="10" t="s">
        <v>24</v>
      </c>
      <c r="Q355" s="9" t="s">
        <v>30</v>
      </c>
      <c r="S355" s="1" t="s">
        <v>136</v>
      </c>
      <c r="U355" s="1" t="s">
        <v>34</v>
      </c>
    </row>
    <row r="356" spans="2:21" ht="42" hidden="1">
      <c r="B356" s="6" t="str">
        <f>VLOOKUP(C356, [1]Definition!$D$5:$K$5665, 8, FALSE)</f>
        <v>Capital Goods</v>
      </c>
      <c r="C356" s="7">
        <v>850231</v>
      </c>
      <c r="D356" s="8" t="s">
        <v>786</v>
      </c>
      <c r="E356" s="17" t="s">
        <v>27</v>
      </c>
      <c r="F356" s="8" t="s">
        <v>787</v>
      </c>
      <c r="G356" s="8" t="s">
        <v>788</v>
      </c>
      <c r="H356" s="9" t="s">
        <v>30</v>
      </c>
      <c r="I356" s="9" t="s">
        <v>31</v>
      </c>
      <c r="J356" s="17" t="str">
        <f>_xlfn.IFNA(VLOOKUP(C356, '[2]Unique HS'!$B$4:$J$999, 9, FALSE), "No")</f>
        <v>No</v>
      </c>
      <c r="K356" s="22">
        <f>VLOOKUP(C356, '[1]India EXIM'!$B$6:$C$580, 2, FALSE)</f>
        <v>1.0939294332000001E-2</v>
      </c>
      <c r="L356" s="11">
        <f>VLOOKUP(C356, '[1]China EXIM'!$B$6:$D$580, 3, FALSE)</f>
        <v>5.2178171173220012</v>
      </c>
      <c r="M356" s="6"/>
      <c r="N356" s="6"/>
      <c r="O356" s="6"/>
      <c r="P356" s="10" t="s">
        <v>24</v>
      </c>
      <c r="Q356" s="9" t="s">
        <v>30</v>
      </c>
      <c r="S356" s="1" t="s">
        <v>136</v>
      </c>
      <c r="U356" s="1" t="s">
        <v>137</v>
      </c>
    </row>
    <row r="357" spans="2:21" ht="27.95" hidden="1">
      <c r="B357" s="6" t="str">
        <f>VLOOKUP(C357, [1]Definition!$D$5:$K$5665, 8, FALSE)</f>
        <v>Capital Goods</v>
      </c>
      <c r="C357" s="7">
        <v>845310</v>
      </c>
      <c r="D357" s="8" t="s">
        <v>789</v>
      </c>
      <c r="E357" s="17" t="s">
        <v>19</v>
      </c>
      <c r="F357" s="8"/>
      <c r="G357" s="8"/>
      <c r="H357" s="9" t="s">
        <v>55</v>
      </c>
      <c r="I357" s="9" t="s">
        <v>790</v>
      </c>
      <c r="J357" s="17" t="str">
        <f>_xlfn.IFNA(VLOOKUP(C357, '[2]Unique HS'!$B$4:$J$999, 9, FALSE), "No")</f>
        <v>No</v>
      </c>
      <c r="K357" s="18">
        <f>VLOOKUP(C357, '[1]India EXIM'!$B$6:$C$580, 2, FALSE)</f>
        <v>1.0884678294E-2</v>
      </c>
      <c r="L357" s="11">
        <f>VLOOKUP(C357, '[1]China EXIM'!$B$6:$D$580, 3, FALSE)</f>
        <v>0.23774777932899999</v>
      </c>
      <c r="M357" s="6"/>
      <c r="N357" s="6"/>
      <c r="O357" s="6"/>
      <c r="P357" s="10" t="s">
        <v>24</v>
      </c>
      <c r="Q357" s="9" t="s">
        <v>55</v>
      </c>
      <c r="U357" s="1" t="s">
        <v>25</v>
      </c>
    </row>
    <row r="358" spans="2:21" ht="27.95" hidden="1">
      <c r="B358" s="6" t="str">
        <f>VLOOKUP(C358, [1]Definition!$D$5:$K$5665, 8, FALSE)</f>
        <v>Capital Goods</v>
      </c>
      <c r="C358" s="7">
        <v>846019</v>
      </c>
      <c r="D358" s="8" t="s">
        <v>791</v>
      </c>
      <c r="E358" s="17" t="s">
        <v>19</v>
      </c>
      <c r="F358" s="8"/>
      <c r="G358" s="8"/>
      <c r="H358" s="9" t="s">
        <v>65</v>
      </c>
      <c r="I358" s="9" t="s">
        <v>31</v>
      </c>
      <c r="J358" s="17" t="str">
        <f>_xlfn.IFNA(VLOOKUP(C358, '[2]Unique HS'!$B$4:$J$999, 9, FALSE), "No")</f>
        <v>No</v>
      </c>
      <c r="K358" s="18">
        <f>VLOOKUP(C358, '[1]India EXIM'!$B$6:$C$580, 2, FALSE)</f>
        <v>1.0822878317E-2</v>
      </c>
      <c r="L358" s="11">
        <f>VLOOKUP(C358, '[1]China EXIM'!$B$6:$D$580, 3, FALSE)</f>
        <v>0.179783676128</v>
      </c>
      <c r="M358" s="6"/>
      <c r="N358" s="6"/>
      <c r="O358" s="6"/>
      <c r="P358" s="10" t="s">
        <v>24</v>
      </c>
      <c r="Q358" s="9" t="s">
        <v>65</v>
      </c>
      <c r="U358" s="1" t="s">
        <v>25</v>
      </c>
    </row>
    <row r="359" spans="2:21" ht="27.95" hidden="1">
      <c r="B359" s="6" t="str">
        <f>VLOOKUP(C359, [1]Definition!$D$5:$K$5665, 8, FALSE)</f>
        <v>Capital Goods</v>
      </c>
      <c r="C359" s="7">
        <v>846039</v>
      </c>
      <c r="D359" s="8" t="s">
        <v>792</v>
      </c>
      <c r="E359" s="17" t="s">
        <v>19</v>
      </c>
      <c r="F359" s="8" t="s">
        <v>793</v>
      </c>
      <c r="G359" s="8"/>
      <c r="H359" s="9" t="s">
        <v>65</v>
      </c>
      <c r="I359" s="9" t="s">
        <v>31</v>
      </c>
      <c r="J359" s="17" t="str">
        <f>_xlfn.IFNA(VLOOKUP(C359, '[2]Unique HS'!$B$4:$J$999, 9, FALSE), "No")</f>
        <v>No</v>
      </c>
      <c r="K359" s="18">
        <f>VLOOKUP(C359, '[1]India EXIM'!$B$6:$C$580, 2, FALSE)</f>
        <v>1.0690990198000001E-2</v>
      </c>
      <c r="L359" s="11">
        <f>VLOOKUP(C359, '[1]China EXIM'!$B$6:$D$580, 3, FALSE)</f>
        <v>0.19471443838899999</v>
      </c>
      <c r="M359" s="6"/>
      <c r="N359" s="6"/>
      <c r="O359" s="6"/>
      <c r="P359" s="10" t="s">
        <v>24</v>
      </c>
      <c r="Q359" s="9" t="s">
        <v>65</v>
      </c>
      <c r="U359" s="1" t="s">
        <v>25</v>
      </c>
    </row>
    <row r="360" spans="2:21" ht="42" hidden="1">
      <c r="B360" s="6" t="str">
        <f>VLOOKUP(C360, [1]Definition!$D$5:$K$5665, 8, FALSE)</f>
        <v>Capital Goods</v>
      </c>
      <c r="C360" s="7">
        <v>846596</v>
      </c>
      <c r="D360" s="8" t="s">
        <v>794</v>
      </c>
      <c r="E360" s="17" t="s">
        <v>19</v>
      </c>
      <c r="F360" s="8"/>
      <c r="G360" s="8"/>
      <c r="H360" s="9" t="s">
        <v>65</v>
      </c>
      <c r="I360" s="9" t="s">
        <v>31</v>
      </c>
      <c r="J360" s="17" t="str">
        <f>_xlfn.IFNA(VLOOKUP(C360, '[2]Unique HS'!$B$4:$J$999, 9, FALSE), "No")</f>
        <v>Yes</v>
      </c>
      <c r="K360" s="18">
        <f>VLOOKUP(C360, '[1]India EXIM'!$B$6:$C$580, 2, FALSE)</f>
        <v>1.0670088027000001E-2</v>
      </c>
      <c r="L360" s="11">
        <f>VLOOKUP(C360, '[1]China EXIM'!$B$6:$D$580, 3, FALSE)</f>
        <v>0.69202842178400004</v>
      </c>
      <c r="M360" s="6"/>
      <c r="N360" s="6"/>
      <c r="O360" s="6"/>
      <c r="P360" s="10" t="s">
        <v>24</v>
      </c>
      <c r="Q360" s="9" t="s">
        <v>65</v>
      </c>
      <c r="U360" s="1" t="s">
        <v>25</v>
      </c>
    </row>
    <row r="361" spans="2:21" ht="27.95" hidden="1">
      <c r="B361" s="6" t="str">
        <f>VLOOKUP(C361, [1]Definition!$D$5:$K$5665, 8, FALSE)</f>
        <v>Capital Goods</v>
      </c>
      <c r="C361" s="7">
        <v>845939</v>
      </c>
      <c r="D361" s="8" t="s">
        <v>795</v>
      </c>
      <c r="E361" s="17" t="s">
        <v>19</v>
      </c>
      <c r="F361" s="8"/>
      <c r="G361" s="8"/>
      <c r="H361" s="9" t="s">
        <v>65</v>
      </c>
      <c r="I361" s="9" t="s">
        <v>31</v>
      </c>
      <c r="J361" s="17" t="str">
        <f>_xlfn.IFNA(VLOOKUP(C361, '[2]Unique HS'!$B$4:$J$999, 9, FALSE), "No")</f>
        <v>No</v>
      </c>
      <c r="K361" s="18">
        <f>VLOOKUP(C361, '[1]India EXIM'!$B$6:$C$580, 2, FALSE)</f>
        <v>1.06513435E-2</v>
      </c>
      <c r="L361" s="11">
        <f>VLOOKUP(C361, '[1]China EXIM'!$B$6:$D$580, 3, FALSE)</f>
        <v>6.4032458902999995E-2</v>
      </c>
      <c r="M361" s="6"/>
      <c r="N361" s="6"/>
      <c r="O361" s="6"/>
      <c r="P361" s="10" t="s">
        <v>24</v>
      </c>
      <c r="Q361" s="9" t="s">
        <v>65</v>
      </c>
      <c r="U361" s="1" t="s">
        <v>25</v>
      </c>
    </row>
    <row r="362" spans="2:21" ht="27.95" hidden="1">
      <c r="B362" s="6" t="str">
        <f>VLOOKUP(C362, [1]Definition!$D$5:$K$5665, 8, FALSE)</f>
        <v>Capital Goods</v>
      </c>
      <c r="C362" s="7">
        <v>820570</v>
      </c>
      <c r="D362" s="8" t="s">
        <v>796</v>
      </c>
      <c r="E362" s="17" t="s">
        <v>19</v>
      </c>
      <c r="F362" s="8"/>
      <c r="G362" s="8"/>
      <c r="H362" s="9" t="s">
        <v>65</v>
      </c>
      <c r="I362" s="9" t="s">
        <v>797</v>
      </c>
      <c r="J362" s="17" t="str">
        <f>_xlfn.IFNA(VLOOKUP(C362, '[2]Unique HS'!$B$4:$J$999, 9, FALSE), "No")</f>
        <v>Yes</v>
      </c>
      <c r="K362" s="18">
        <f>VLOOKUP(C362, '[1]India EXIM'!$B$6:$C$580, 2, FALSE)</f>
        <v>1.0614685003E-2</v>
      </c>
      <c r="L362" s="11">
        <f>VLOOKUP(C362, '[1]China EXIM'!$B$6:$D$580, 3, FALSE)</f>
        <v>0.71002200190499998</v>
      </c>
      <c r="M362" s="6" t="s">
        <v>210</v>
      </c>
      <c r="N362" s="6"/>
      <c r="O362" s="9"/>
      <c r="P362" s="10" t="s">
        <v>24</v>
      </c>
      <c r="Q362" s="11" t="s">
        <v>210</v>
      </c>
      <c r="U362" s="1" t="s">
        <v>25</v>
      </c>
    </row>
    <row r="363" spans="2:21" ht="42" hidden="1">
      <c r="B363" s="6" t="str">
        <f>VLOOKUP(C363, [1]Definition!$D$5:$K$5665, 8, FALSE)</f>
        <v>Capital Goods</v>
      </c>
      <c r="C363" s="7">
        <v>846224</v>
      </c>
      <c r="D363" s="8" t="s">
        <v>798</v>
      </c>
      <c r="E363" s="17" t="s">
        <v>19</v>
      </c>
      <c r="F363" s="8"/>
      <c r="G363" s="8"/>
      <c r="H363" s="9" t="s">
        <v>65</v>
      </c>
      <c r="I363" s="9" t="s">
        <v>31</v>
      </c>
      <c r="J363" s="17" t="str">
        <f>_xlfn.IFNA(VLOOKUP(C363, '[2]Unique HS'!$B$4:$J$999, 9, FALSE), "No")</f>
        <v>No</v>
      </c>
      <c r="K363" s="18">
        <f>VLOOKUP(C363, '[1]India EXIM'!$B$6:$C$580, 2, FALSE)</f>
        <v>1.0568701468E-2</v>
      </c>
      <c r="L363" s="11">
        <f>VLOOKUP(C363, '[1]China EXIM'!$B$6:$D$580, 3, FALSE)</f>
        <v>0.35972161594300001</v>
      </c>
      <c r="M363" s="6"/>
      <c r="N363" s="6"/>
      <c r="O363" s="6"/>
      <c r="P363" s="10" t="s">
        <v>24</v>
      </c>
      <c r="Q363" s="9" t="s">
        <v>65</v>
      </c>
      <c r="U363" s="1" t="s">
        <v>25</v>
      </c>
    </row>
    <row r="364" spans="2:21" ht="69.95">
      <c r="B364" s="6" t="str">
        <f>VLOOKUP(C364, [1]Definition!$D$5:$K$5665, 8, FALSE)</f>
        <v>Capital Goods</v>
      </c>
      <c r="C364" s="7">
        <v>847960</v>
      </c>
      <c r="D364" s="8" t="s">
        <v>799</v>
      </c>
      <c r="E364" s="17" t="s">
        <v>119</v>
      </c>
      <c r="F364" s="8" t="s">
        <v>800</v>
      </c>
      <c r="G364" s="8" t="s">
        <v>801</v>
      </c>
      <c r="H364" s="9" t="s">
        <v>22</v>
      </c>
      <c r="I364" s="9" t="s">
        <v>802</v>
      </c>
      <c r="J364" s="17" t="str">
        <f>_xlfn.IFNA(VLOOKUP(C364, '[2]Unique HS'!$B$4:$J$999, 9, FALSE), "No")</f>
        <v>No</v>
      </c>
      <c r="K364" s="18">
        <f>VLOOKUP(C364, '[1]India EXIM'!$B$6:$C$580, 2, FALSE)</f>
        <v>5.5642388499999992E-3</v>
      </c>
      <c r="L364" s="11">
        <f>VLOOKUP(C364, '[1]China EXIM'!$B$6:$D$580, 3, FALSE)</f>
        <v>0.49887506184800001</v>
      </c>
      <c r="M364" s="6"/>
      <c r="N364" s="6"/>
      <c r="O364" s="6"/>
      <c r="P364" s="10" t="s">
        <v>24</v>
      </c>
      <c r="Q364" s="11" t="s">
        <v>22</v>
      </c>
    </row>
    <row r="365" spans="2:21" hidden="1">
      <c r="B365" s="6" t="str">
        <f>VLOOKUP(C365, [1]Definition!$D$5:$K$5665, 8, FALSE)</f>
        <v>Capital Goods</v>
      </c>
      <c r="C365" s="7">
        <v>845970</v>
      </c>
      <c r="D365" s="8" t="s">
        <v>803</v>
      </c>
      <c r="E365" s="17" t="s">
        <v>19</v>
      </c>
      <c r="F365" s="8"/>
      <c r="G365" s="8"/>
      <c r="H365" s="9" t="s">
        <v>65</v>
      </c>
      <c r="I365" s="9" t="s">
        <v>31</v>
      </c>
      <c r="J365" s="17" t="str">
        <f>_xlfn.IFNA(VLOOKUP(C365, '[2]Unique HS'!$B$4:$J$999, 9, FALSE), "No")</f>
        <v>Yes</v>
      </c>
      <c r="K365" s="18">
        <f>VLOOKUP(C365, '[1]India EXIM'!$B$6:$C$580, 2, FALSE)</f>
        <v>1.0429799848999999E-2</v>
      </c>
      <c r="L365" s="11">
        <f>VLOOKUP(C365, '[1]China EXIM'!$B$6:$D$580, 3, FALSE)</f>
        <v>0.14641238812400001</v>
      </c>
      <c r="M365" s="6"/>
      <c r="N365" s="6"/>
      <c r="O365" s="6"/>
      <c r="P365" s="10" t="s">
        <v>24</v>
      </c>
      <c r="Q365" s="9" t="s">
        <v>65</v>
      </c>
      <c r="U365" s="1" t="s">
        <v>25</v>
      </c>
    </row>
    <row r="366" spans="2:21" ht="27.95" hidden="1">
      <c r="B366" s="6" t="str">
        <f>VLOOKUP(C366, [1]Definition!$D$5:$K$5665, 8, FALSE)</f>
        <v>Capital Goods</v>
      </c>
      <c r="C366" s="7">
        <v>848520</v>
      </c>
      <c r="D366" s="8" t="s">
        <v>804</v>
      </c>
      <c r="E366" s="17" t="s">
        <v>19</v>
      </c>
      <c r="F366" s="8"/>
      <c r="G366" s="8"/>
      <c r="H366" s="9" t="s">
        <v>52</v>
      </c>
      <c r="I366" s="9" t="s">
        <v>31</v>
      </c>
      <c r="J366" s="17" t="str">
        <f>_xlfn.IFNA(VLOOKUP(C366, '[2]Unique HS'!$B$4:$J$999, 9, FALSE), "No")</f>
        <v>No</v>
      </c>
      <c r="K366" s="18">
        <f>VLOOKUP(C366, '[1]India EXIM'!$B$6:$C$580, 2, FALSE)</f>
        <v>1.0299531886E-2</v>
      </c>
      <c r="L366" s="11">
        <f>VLOOKUP(C366, '[1]China EXIM'!$B$6:$D$580, 3, FALSE)</f>
        <v>1.3224036971240001</v>
      </c>
      <c r="M366" s="6"/>
      <c r="N366" s="6"/>
      <c r="O366" s="6"/>
      <c r="P366" s="10" t="s">
        <v>24</v>
      </c>
      <c r="Q366" s="9" t="s">
        <v>52</v>
      </c>
      <c r="S366" s="1" t="s">
        <v>136</v>
      </c>
      <c r="U366" s="1" t="s">
        <v>34</v>
      </c>
    </row>
    <row r="367" spans="2:21" ht="27.95" hidden="1">
      <c r="B367" s="6" t="str">
        <f>VLOOKUP(C367, [1]Definition!$D$5:$K$5665, 8, FALSE)</f>
        <v>Capital Goods</v>
      </c>
      <c r="C367" s="7">
        <v>844512</v>
      </c>
      <c r="D367" s="8" t="s">
        <v>805</v>
      </c>
      <c r="E367" s="17" t="s">
        <v>19</v>
      </c>
      <c r="F367" s="8"/>
      <c r="G367" s="8"/>
      <c r="H367" s="9" t="s">
        <v>55</v>
      </c>
      <c r="I367" s="9" t="s">
        <v>56</v>
      </c>
      <c r="J367" s="17" t="str">
        <f>_xlfn.IFNA(VLOOKUP(C367, '[2]Unique HS'!$B$4:$J$999, 9, FALSE), "No")</f>
        <v>No</v>
      </c>
      <c r="K367" s="18">
        <f>VLOOKUP(C367, '[1]India EXIM'!$B$6:$C$580, 2, FALSE)</f>
        <v>1.0156202186000001E-2</v>
      </c>
      <c r="L367" s="11">
        <f>VLOOKUP(C367, '[1]China EXIM'!$B$6:$D$580, 3, FALSE)</f>
        <v>8.4837781619000005E-2</v>
      </c>
      <c r="M367" s="6"/>
      <c r="N367" s="6"/>
      <c r="O367" s="6"/>
      <c r="P367" s="10" t="s">
        <v>24</v>
      </c>
      <c r="Q367" s="9" t="s">
        <v>55</v>
      </c>
      <c r="U367" s="1" t="s">
        <v>25</v>
      </c>
    </row>
    <row r="368" spans="2:21" ht="27.95" hidden="1">
      <c r="B368" s="6" t="str">
        <f>VLOOKUP(C368, [1]Definition!$D$5:$K$5665, 8, FALSE)</f>
        <v>Capital Goods</v>
      </c>
      <c r="C368" s="7">
        <v>820760</v>
      </c>
      <c r="D368" s="8" t="s">
        <v>806</v>
      </c>
      <c r="E368" s="17" t="s">
        <v>19</v>
      </c>
      <c r="F368" s="8"/>
      <c r="G368" s="8"/>
      <c r="H368" s="9" t="s">
        <v>65</v>
      </c>
      <c r="I368" s="9" t="s">
        <v>807</v>
      </c>
      <c r="J368" s="17" t="str">
        <f>_xlfn.IFNA(VLOOKUP(C368, '[2]Unique HS'!$B$4:$J$999, 9, FALSE), "No")</f>
        <v>No</v>
      </c>
      <c r="K368" s="18">
        <f>VLOOKUP(C368, '[1]India EXIM'!$B$6:$C$580, 2, FALSE)</f>
        <v>1.0096554509999999E-2</v>
      </c>
      <c r="L368" s="11">
        <f>VLOOKUP(C368, '[1]China EXIM'!$B$6:$D$580, 3, FALSE)</f>
        <v>0.48196138775700004</v>
      </c>
      <c r="M368" s="6" t="s">
        <v>201</v>
      </c>
      <c r="N368" s="6"/>
      <c r="O368" s="6"/>
      <c r="P368" s="10" t="s">
        <v>24</v>
      </c>
      <c r="Q368" s="11" t="s">
        <v>202</v>
      </c>
      <c r="U368" s="1" t="s">
        <v>25</v>
      </c>
    </row>
    <row r="369" spans="2:22" ht="27.95" hidden="1">
      <c r="B369" s="6" t="str">
        <f>VLOOKUP(C369, [1]Definition!$D$5:$K$5665, 8, FALSE)</f>
        <v>Capital Goods</v>
      </c>
      <c r="C369" s="7">
        <v>840420</v>
      </c>
      <c r="D369" s="8" t="s">
        <v>808</v>
      </c>
      <c r="E369" s="17" t="s">
        <v>142</v>
      </c>
      <c r="F369" s="8"/>
      <c r="G369" s="8"/>
      <c r="H369" s="9" t="s">
        <v>30</v>
      </c>
      <c r="I369" s="9" t="s">
        <v>784</v>
      </c>
      <c r="J369" s="17" t="str">
        <f>_xlfn.IFNA(VLOOKUP(C369, '[2]Unique HS'!$B$4:$J$999, 9, FALSE), "No")</f>
        <v>No</v>
      </c>
      <c r="K369" s="18">
        <f>VLOOKUP(C369, '[1]India EXIM'!$B$6:$C$580, 2, FALSE)</f>
        <v>1.0091391779999999E-2</v>
      </c>
      <c r="L369" s="11">
        <f>VLOOKUP(C369, '[1]China EXIM'!$B$6:$D$580, 3, FALSE)</f>
        <v>0.17124725090599999</v>
      </c>
      <c r="M369" s="9" t="s">
        <v>785</v>
      </c>
      <c r="N369" s="9"/>
      <c r="O369" s="6"/>
      <c r="P369" s="10" t="s">
        <v>24</v>
      </c>
      <c r="Q369" s="9" t="s">
        <v>30</v>
      </c>
      <c r="U369" s="1" t="s">
        <v>25</v>
      </c>
    </row>
    <row r="370" spans="2:22" ht="27.95" hidden="1">
      <c r="B370" s="6" t="str">
        <f>VLOOKUP(C370, [1]Definition!$D$5:$K$5665, 8, FALSE)</f>
        <v>Capital Goods</v>
      </c>
      <c r="C370" s="7">
        <v>842531</v>
      </c>
      <c r="D370" s="8" t="s">
        <v>809</v>
      </c>
      <c r="E370" s="17" t="s">
        <v>19</v>
      </c>
      <c r="F370" s="8"/>
      <c r="G370" s="8"/>
      <c r="H370" s="9" t="s">
        <v>58</v>
      </c>
      <c r="I370" s="9" t="s">
        <v>31</v>
      </c>
      <c r="J370" s="17" t="str">
        <f>_xlfn.IFNA(VLOOKUP(C370, '[2]Unique HS'!$B$4:$J$999, 9, FALSE), "No")</f>
        <v>No</v>
      </c>
      <c r="K370" s="18">
        <f>VLOOKUP(C370, '[1]India EXIM'!$B$6:$C$580, 2, FALSE)</f>
        <v>9.8695740139999998E-3</v>
      </c>
      <c r="L370" s="11">
        <f>VLOOKUP(C370, '[1]China EXIM'!$B$6:$D$580, 3, FALSE)</f>
        <v>1.4555112935280001</v>
      </c>
      <c r="M370" s="9" t="s">
        <v>59</v>
      </c>
      <c r="N370" s="9"/>
      <c r="O370" s="6" t="s">
        <v>663</v>
      </c>
      <c r="P370" s="10" t="s">
        <v>24</v>
      </c>
      <c r="Q370" s="9" t="s">
        <v>58</v>
      </c>
      <c r="U370" s="1" t="s">
        <v>25</v>
      </c>
    </row>
    <row r="371" spans="2:22" ht="27.95" hidden="1">
      <c r="B371" s="6" t="str">
        <f>VLOOKUP(C371, [1]Definition!$D$5:$K$5665, 8, FALSE)</f>
        <v>Capital Goods</v>
      </c>
      <c r="C371" s="7">
        <v>845931</v>
      </c>
      <c r="D371" s="8" t="s">
        <v>810</v>
      </c>
      <c r="E371" s="17" t="s">
        <v>19</v>
      </c>
      <c r="F371" s="8"/>
      <c r="G371" s="8"/>
      <c r="H371" s="9" t="s">
        <v>65</v>
      </c>
      <c r="I371" s="9" t="s">
        <v>31</v>
      </c>
      <c r="J371" s="17" t="str">
        <f>_xlfn.IFNA(VLOOKUP(C371, '[2]Unique HS'!$B$4:$J$999, 9, FALSE), "No")</f>
        <v>No</v>
      </c>
      <c r="K371" s="18">
        <f>VLOOKUP(C371, '[1]India EXIM'!$B$6:$C$580, 2, FALSE)</f>
        <v>9.8121450859999983E-3</v>
      </c>
      <c r="L371" s="11">
        <f>VLOOKUP(C371, '[1]China EXIM'!$B$6:$D$580, 3, FALSE)</f>
        <v>0.62877440420599995</v>
      </c>
      <c r="M371" s="6"/>
      <c r="N371" s="6"/>
      <c r="O371" s="6"/>
      <c r="P371" s="10" t="s">
        <v>24</v>
      </c>
      <c r="Q371" s="9" t="s">
        <v>65</v>
      </c>
      <c r="U371" s="1" t="s">
        <v>25</v>
      </c>
    </row>
    <row r="372" spans="2:22" ht="27.95" hidden="1">
      <c r="B372" s="6" t="str">
        <f>VLOOKUP(C372, [1]Definition!$D$5:$K$5665, 8, FALSE)</f>
        <v>Capital Goods</v>
      </c>
      <c r="C372" s="7">
        <v>845951</v>
      </c>
      <c r="D372" s="8" t="s">
        <v>811</v>
      </c>
      <c r="E372" s="17" t="s">
        <v>19</v>
      </c>
      <c r="F372" s="8"/>
      <c r="G372" s="8"/>
      <c r="H372" s="9" t="s">
        <v>65</v>
      </c>
      <c r="I372" s="9" t="s">
        <v>31</v>
      </c>
      <c r="J372" s="17" t="str">
        <f>_xlfn.IFNA(VLOOKUP(C372, '[2]Unique HS'!$B$4:$J$999, 9, FALSE), "No")</f>
        <v>No</v>
      </c>
      <c r="K372" s="18">
        <f>VLOOKUP(C372, '[1]India EXIM'!$B$6:$C$580, 2, FALSE)</f>
        <v>9.7398915349999997E-3</v>
      </c>
      <c r="L372" s="11">
        <f>VLOOKUP(C372, '[1]China EXIM'!$B$6:$D$580, 3, FALSE)</f>
        <v>5.3653980487999998E-2</v>
      </c>
      <c r="M372" s="6"/>
      <c r="N372" s="6"/>
      <c r="O372" s="6"/>
      <c r="P372" s="10" t="s">
        <v>24</v>
      </c>
      <c r="Q372" s="9" t="s">
        <v>65</v>
      </c>
      <c r="U372" s="1" t="s">
        <v>25</v>
      </c>
    </row>
    <row r="373" spans="2:22" ht="56.1" hidden="1">
      <c r="B373" s="6" t="str">
        <f>VLOOKUP(C373, [1]Definition!$D$5:$K$5665, 8, FALSE)</f>
        <v>Capital Goods</v>
      </c>
      <c r="C373" s="7">
        <v>902830</v>
      </c>
      <c r="D373" s="8" t="s">
        <v>812</v>
      </c>
      <c r="E373" s="17" t="s">
        <v>27</v>
      </c>
      <c r="F373" s="8" t="s">
        <v>813</v>
      </c>
      <c r="G373" s="8"/>
      <c r="H373" s="9" t="s">
        <v>30</v>
      </c>
      <c r="I373" s="9" t="s">
        <v>814</v>
      </c>
      <c r="J373" s="17" t="str">
        <f>_xlfn.IFNA(VLOOKUP(C373, '[2]Unique HS'!$B$4:$J$999, 9, FALSE), "No")</f>
        <v>Yes</v>
      </c>
      <c r="K373" s="22">
        <f>VLOOKUP(C373, '[1]India EXIM'!$B$6:$C$580, 2, FALSE)</f>
        <v>9.6717872309999998E-3</v>
      </c>
      <c r="L373" s="11">
        <f>VLOOKUP(C373, '[1]China EXIM'!$B$6:$D$580, 3, FALSE)</f>
        <v>4.5150932140920004</v>
      </c>
      <c r="M373" s="6"/>
      <c r="N373" s="6"/>
      <c r="O373" s="6"/>
      <c r="P373" s="10" t="s">
        <v>24</v>
      </c>
      <c r="Q373" s="11" t="s">
        <v>30</v>
      </c>
      <c r="S373" s="1" t="s">
        <v>43</v>
      </c>
      <c r="U373" s="1" t="s">
        <v>25</v>
      </c>
    </row>
    <row r="374" spans="2:22" ht="27.95" hidden="1">
      <c r="B374" s="6" t="str">
        <f>VLOOKUP(C374, [1]Definition!$D$5:$K$5665, 8, FALSE)</f>
        <v>Capital Goods</v>
      </c>
      <c r="C374" s="7">
        <v>843069</v>
      </c>
      <c r="D374" s="8" t="s">
        <v>815</v>
      </c>
      <c r="E374" s="17" t="s">
        <v>19</v>
      </c>
      <c r="F374" s="8"/>
      <c r="G374" s="8"/>
      <c r="H374" s="9" t="s">
        <v>58</v>
      </c>
      <c r="I374" s="9" t="s">
        <v>31</v>
      </c>
      <c r="J374" s="17" t="str">
        <f>_xlfn.IFNA(VLOOKUP(C374, '[2]Unique HS'!$B$4:$J$999, 9, FALSE), "No")</f>
        <v>No</v>
      </c>
      <c r="K374" s="18">
        <f>VLOOKUP(C374, '[1]India EXIM'!$B$6:$C$580, 2, FALSE)</f>
        <v>9.615186789999999E-3</v>
      </c>
      <c r="L374" s="11">
        <f>VLOOKUP(C374, '[1]China EXIM'!$B$6:$D$580, 3, FALSE)</f>
        <v>1.265461331684</v>
      </c>
      <c r="M374" s="9" t="s">
        <v>117</v>
      </c>
      <c r="N374" s="9"/>
      <c r="O374" s="6"/>
      <c r="P374" s="10" t="s">
        <v>24</v>
      </c>
      <c r="Q374" s="9" t="s">
        <v>58</v>
      </c>
      <c r="U374" s="1" t="s">
        <v>25</v>
      </c>
    </row>
    <row r="375" spans="2:22" ht="27.95" hidden="1">
      <c r="B375" s="6" t="str">
        <f>VLOOKUP(C375, [1]Definition!$D$5:$K$5665, 8, FALSE)</f>
        <v>Capital Goods</v>
      </c>
      <c r="C375" s="7">
        <v>841340</v>
      </c>
      <c r="D375" s="8" t="s">
        <v>816</v>
      </c>
      <c r="E375" s="17" t="s">
        <v>19</v>
      </c>
      <c r="F375" s="8"/>
      <c r="G375" s="8"/>
      <c r="H375" s="9" t="s">
        <v>58</v>
      </c>
      <c r="I375" s="9" t="s">
        <v>817</v>
      </c>
      <c r="J375" s="17" t="str">
        <f>_xlfn.IFNA(VLOOKUP(C375, '[2]Unique HS'!$B$4:$J$999, 9, FALSE), "No")</f>
        <v>No</v>
      </c>
      <c r="K375" s="18">
        <f>VLOOKUP(C375, '[1]India EXIM'!$B$6:$C$580, 2, FALSE)</f>
        <v>9.5851393980000005E-3</v>
      </c>
      <c r="L375" s="11">
        <f>VLOOKUP(C375, '[1]China EXIM'!$B$6:$D$580, 3, FALSE)</f>
        <v>0.5957925747870001</v>
      </c>
      <c r="M375" s="6" t="s">
        <v>103</v>
      </c>
      <c r="N375" s="6"/>
      <c r="O375" s="6"/>
      <c r="P375" s="10" t="s">
        <v>24</v>
      </c>
      <c r="Q375" s="9" t="s">
        <v>22</v>
      </c>
      <c r="U375" s="1" t="s">
        <v>25</v>
      </c>
    </row>
    <row r="376" spans="2:22" ht="27.95" hidden="1">
      <c r="B376" s="6" t="str">
        <f>VLOOKUP(C376, [1]Definition!$D$5:$K$5665, 8, FALSE)</f>
        <v>Capital Goods</v>
      </c>
      <c r="C376" s="7">
        <v>854310</v>
      </c>
      <c r="D376" s="8" t="s">
        <v>818</v>
      </c>
      <c r="E376" s="17" t="s">
        <v>142</v>
      </c>
      <c r="F376" s="8" t="s">
        <v>819</v>
      </c>
      <c r="G376" s="8" t="s">
        <v>820</v>
      </c>
      <c r="H376" s="9" t="s">
        <v>30</v>
      </c>
      <c r="I376" s="9" t="s">
        <v>417</v>
      </c>
      <c r="J376" s="17" t="str">
        <f>_xlfn.IFNA(VLOOKUP(C376, '[2]Unique HS'!$B$4:$J$999, 9, FALSE), "No")</f>
        <v>Yes</v>
      </c>
      <c r="K376" s="18">
        <f>VLOOKUP(C376, '[1]India EXIM'!$B$6:$C$580, 2, FALSE)</f>
        <v>9.4955832819999999E-3</v>
      </c>
      <c r="L376" s="11">
        <f>VLOOKUP(C376, '[1]China EXIM'!$B$6:$D$580, 3, FALSE)</f>
        <v>0.23980954883199998</v>
      </c>
      <c r="M376" s="6"/>
      <c r="N376" s="6"/>
      <c r="O376" s="6"/>
      <c r="P376" s="10" t="s">
        <v>24</v>
      </c>
      <c r="Q376" s="9" t="s">
        <v>30</v>
      </c>
      <c r="S376" s="1" t="s">
        <v>25</v>
      </c>
      <c r="U376" s="1" t="s">
        <v>25</v>
      </c>
    </row>
    <row r="377" spans="2:22" ht="27.95">
      <c r="B377" s="6" t="str">
        <f>VLOOKUP(C377, [1]Definition!$D$5:$K$5665, 8, FALSE)</f>
        <v>Capital Goods</v>
      </c>
      <c r="C377" s="7">
        <v>843242</v>
      </c>
      <c r="D377" s="8" t="s">
        <v>821</v>
      </c>
      <c r="E377" s="17" t="s">
        <v>119</v>
      </c>
      <c r="F377" s="8"/>
      <c r="G377" s="8" t="s">
        <v>822</v>
      </c>
      <c r="H377" s="9" t="s">
        <v>22</v>
      </c>
      <c r="I377" s="9" t="s">
        <v>823</v>
      </c>
      <c r="J377" s="17" t="str">
        <f>_xlfn.IFNA(VLOOKUP(C377, '[2]Unique HS'!$B$4:$J$999, 9, FALSE), "No")</f>
        <v>No</v>
      </c>
      <c r="K377" s="18">
        <f>VLOOKUP(C377, '[1]India EXIM'!$B$6:$C$580, 2, FALSE)</f>
        <v>3.6125402399999999E-4</v>
      </c>
      <c r="L377" s="11">
        <f>VLOOKUP(C377, '[1]China EXIM'!$B$6:$D$580, 3, FALSE)</f>
        <v>0.45849022075700002</v>
      </c>
      <c r="M377" s="6" t="s">
        <v>160</v>
      </c>
      <c r="N377" s="6"/>
      <c r="O377" s="6"/>
      <c r="P377" s="10" t="s">
        <v>24</v>
      </c>
      <c r="Q377" s="11" t="s">
        <v>161</v>
      </c>
    </row>
    <row r="378" spans="2:22" ht="27.95">
      <c r="B378" s="6" t="str">
        <f>VLOOKUP(C378, [1]Definition!$D$5:$K$5665, 8, FALSE)</f>
        <v>Capital Goods</v>
      </c>
      <c r="C378" s="7">
        <v>901720</v>
      </c>
      <c r="D378" s="8" t="s">
        <v>824</v>
      </c>
      <c r="E378" s="17" t="s">
        <v>119</v>
      </c>
      <c r="F378" s="8" t="s">
        <v>825</v>
      </c>
      <c r="G378" s="8" t="s">
        <v>826</v>
      </c>
      <c r="H378" s="9" t="s">
        <v>166</v>
      </c>
      <c r="I378" s="9" t="s">
        <v>471</v>
      </c>
      <c r="J378" s="17" t="str">
        <f>_xlfn.IFNA(VLOOKUP(C378, '[2]Unique HS'!$B$4:$J$999, 9, FALSE), "No")</f>
        <v>Yes</v>
      </c>
      <c r="K378" s="18">
        <f>VLOOKUP(C378, '[1]India EXIM'!$B$6:$C$580, 2, FALSE)</f>
        <v>1.810888068E-3</v>
      </c>
      <c r="L378" s="11">
        <f>VLOOKUP(C378, '[1]China EXIM'!$B$6:$D$580, 3, FALSE)</f>
        <v>0.45148516662900001</v>
      </c>
      <c r="M378" s="6"/>
      <c r="N378" s="6"/>
      <c r="O378" s="6"/>
      <c r="P378" s="10" t="s">
        <v>24</v>
      </c>
      <c r="Q378" s="11" t="s">
        <v>39</v>
      </c>
      <c r="U378" s="1" t="s">
        <v>211</v>
      </c>
      <c r="V378" s="1" t="s">
        <v>542</v>
      </c>
    </row>
    <row r="379" spans="2:22" ht="27.95" hidden="1">
      <c r="B379" s="6" t="str">
        <f>VLOOKUP(C379, [1]Definition!$D$5:$K$5665, 8, FALSE)</f>
        <v>Capital Goods</v>
      </c>
      <c r="C379" s="7">
        <v>840219</v>
      </c>
      <c r="D379" s="8" t="s">
        <v>827</v>
      </c>
      <c r="E379" s="17" t="s">
        <v>142</v>
      </c>
      <c r="F379" s="8"/>
      <c r="G379" s="8"/>
      <c r="H379" s="9" t="s">
        <v>30</v>
      </c>
      <c r="I379" s="9" t="s">
        <v>784</v>
      </c>
      <c r="J379" s="17" t="str">
        <f>_xlfn.IFNA(VLOOKUP(C379, '[2]Unique HS'!$B$4:$J$999, 9, FALSE), "No")</f>
        <v>No</v>
      </c>
      <c r="K379" s="18">
        <f>VLOOKUP(C379, '[1]India EXIM'!$B$6:$C$580, 2, FALSE)</f>
        <v>9.4500841539999995E-3</v>
      </c>
      <c r="L379" s="11">
        <f>VLOOKUP(C379, '[1]China EXIM'!$B$6:$D$580, 3, FALSE)</f>
        <v>0.76130414471500008</v>
      </c>
      <c r="M379" s="9" t="s">
        <v>785</v>
      </c>
      <c r="N379" s="9"/>
      <c r="O379" s="6"/>
      <c r="P379" s="10" t="s">
        <v>24</v>
      </c>
      <c r="Q379" s="9" t="s">
        <v>30</v>
      </c>
      <c r="U379" s="1" t="s">
        <v>25</v>
      </c>
    </row>
    <row r="380" spans="2:22" ht="27.95" hidden="1">
      <c r="B380" s="6" t="str">
        <f>VLOOKUP(C380, [1]Definition!$D$5:$K$5665, 8, FALSE)</f>
        <v>Capital Goods</v>
      </c>
      <c r="C380" s="7">
        <v>845949</v>
      </c>
      <c r="D380" s="8" t="s">
        <v>828</v>
      </c>
      <c r="E380" s="17" t="s">
        <v>19</v>
      </c>
      <c r="F380" s="8"/>
      <c r="G380" s="8"/>
      <c r="H380" s="9" t="s">
        <v>65</v>
      </c>
      <c r="I380" s="9" t="s">
        <v>31</v>
      </c>
      <c r="J380" s="17" t="str">
        <f>_xlfn.IFNA(VLOOKUP(C380, '[2]Unique HS'!$B$4:$J$999, 9, FALSE), "No")</f>
        <v>No</v>
      </c>
      <c r="K380" s="18">
        <f>VLOOKUP(C380, '[1]India EXIM'!$B$6:$C$580, 2, FALSE)</f>
        <v>9.4043554600000013E-3</v>
      </c>
      <c r="L380" s="11">
        <f>VLOOKUP(C380, '[1]China EXIM'!$B$6:$D$580, 3, FALSE)</f>
        <v>3.7659043289999999E-2</v>
      </c>
      <c r="M380" s="6"/>
      <c r="N380" s="6"/>
      <c r="O380" s="6"/>
      <c r="P380" s="10" t="s">
        <v>24</v>
      </c>
      <c r="Q380" s="9" t="s">
        <v>65</v>
      </c>
      <c r="U380" s="1" t="s">
        <v>25</v>
      </c>
    </row>
    <row r="381" spans="2:22" ht="27.95" hidden="1">
      <c r="B381" s="6" t="str">
        <f>VLOOKUP(C381, [1]Definition!$D$5:$K$5665, 8, FALSE)</f>
        <v>Capital Goods</v>
      </c>
      <c r="C381" s="7">
        <v>846320</v>
      </c>
      <c r="D381" s="8" t="s">
        <v>829</v>
      </c>
      <c r="E381" s="17" t="s">
        <v>19</v>
      </c>
      <c r="F381" s="8"/>
      <c r="G381" s="8"/>
      <c r="H381" s="9" t="s">
        <v>65</v>
      </c>
      <c r="I381" s="9" t="s">
        <v>31</v>
      </c>
      <c r="J381" s="17" t="str">
        <f>_xlfn.IFNA(VLOOKUP(C381, '[2]Unique HS'!$B$4:$J$999, 9, FALSE), "No")</f>
        <v>No</v>
      </c>
      <c r="K381" s="18">
        <f>VLOOKUP(C381, '[1]India EXIM'!$B$6:$C$580, 2, FALSE)</f>
        <v>9.3504416889999987E-3</v>
      </c>
      <c r="L381" s="11">
        <f>VLOOKUP(C381, '[1]China EXIM'!$B$6:$D$580, 3, FALSE)</f>
        <v>0.111215654331</v>
      </c>
      <c r="M381" s="6"/>
      <c r="N381" s="6"/>
      <c r="O381" s="6"/>
      <c r="P381" s="10" t="s">
        <v>24</v>
      </c>
      <c r="Q381" s="9" t="s">
        <v>65</v>
      </c>
      <c r="U381" s="1" t="s">
        <v>25</v>
      </c>
    </row>
    <row r="382" spans="2:22" ht="39" hidden="1" customHeight="1">
      <c r="B382" s="6" t="str">
        <f>VLOOKUP(C382, [1]Definition!$D$5:$K$5665, 8, FALSE)</f>
        <v>Capital Goods</v>
      </c>
      <c r="C382" s="7">
        <v>846792</v>
      </c>
      <c r="D382" s="8" t="s">
        <v>830</v>
      </c>
      <c r="E382" s="17" t="s">
        <v>19</v>
      </c>
      <c r="F382" s="8"/>
      <c r="G382" s="8"/>
      <c r="H382" s="9" t="s">
        <v>65</v>
      </c>
      <c r="I382" s="9" t="s">
        <v>31</v>
      </c>
      <c r="J382" s="17" t="str">
        <f>_xlfn.IFNA(VLOOKUP(C382, '[2]Unique HS'!$B$4:$J$999, 9, FALSE), "No")</f>
        <v>Yes</v>
      </c>
      <c r="K382" s="18">
        <f>VLOOKUP(C382, '[1]India EXIM'!$B$6:$C$580, 2, FALSE)</f>
        <v>9.33247517E-3</v>
      </c>
      <c r="L382" s="11">
        <f>VLOOKUP(C382, '[1]China EXIM'!$B$6:$D$580, 3, FALSE)</f>
        <v>0.57857817113999999</v>
      </c>
      <c r="M382" s="6"/>
      <c r="N382" s="6"/>
      <c r="O382" s="6"/>
      <c r="P382" s="10" t="s">
        <v>24</v>
      </c>
      <c r="Q382" s="9" t="s">
        <v>65</v>
      </c>
      <c r="U382" s="1" t="s">
        <v>25</v>
      </c>
    </row>
    <row r="383" spans="2:22" ht="27.95" hidden="1">
      <c r="B383" s="6" t="str">
        <f>VLOOKUP(C383, [1]Definition!$D$5:$K$5665, 8, FALSE)</f>
        <v>Capital Goods</v>
      </c>
      <c r="C383" s="7">
        <v>820713</v>
      </c>
      <c r="D383" s="8" t="s">
        <v>831</v>
      </c>
      <c r="E383" s="17" t="s">
        <v>19</v>
      </c>
      <c r="F383" s="8"/>
      <c r="G383" s="8"/>
      <c r="H383" s="9" t="s">
        <v>58</v>
      </c>
      <c r="I383" s="9" t="s">
        <v>371</v>
      </c>
      <c r="J383" s="17" t="str">
        <f>_xlfn.IFNA(VLOOKUP(C383, '[2]Unique HS'!$B$4:$J$999, 9, FALSE), "No")</f>
        <v>No</v>
      </c>
      <c r="K383" s="18">
        <f>VLOOKUP(C383, '[1]India EXIM'!$B$6:$C$580, 2, FALSE)</f>
        <v>9.2165323129999987E-3</v>
      </c>
      <c r="L383" s="11">
        <f>VLOOKUP(C383, '[1]China EXIM'!$B$6:$D$580, 3, FALSE)</f>
        <v>0.6508552407</v>
      </c>
      <c r="M383" s="6" t="s">
        <v>201</v>
      </c>
      <c r="N383" s="6"/>
      <c r="O383" s="6" t="s">
        <v>201</v>
      </c>
      <c r="P383" s="10" t="s">
        <v>24</v>
      </c>
      <c r="Q383" s="9" t="s">
        <v>58</v>
      </c>
      <c r="U383" s="1" t="s">
        <v>137</v>
      </c>
    </row>
    <row r="384" spans="2:22" ht="37.700000000000003" hidden="1" customHeight="1">
      <c r="B384" s="6" t="str">
        <f>VLOOKUP(C384, [1]Definition!$D$5:$K$5665, 8, FALSE)</f>
        <v>Capital Goods</v>
      </c>
      <c r="C384" s="7">
        <v>845941</v>
      </c>
      <c r="D384" s="8" t="s">
        <v>832</v>
      </c>
      <c r="E384" s="17" t="s">
        <v>19</v>
      </c>
      <c r="F384" s="8"/>
      <c r="G384" s="8"/>
      <c r="H384" s="9" t="s">
        <v>65</v>
      </c>
      <c r="I384" s="9" t="s">
        <v>31</v>
      </c>
      <c r="J384" s="17" t="str">
        <f>_xlfn.IFNA(VLOOKUP(C384, '[2]Unique HS'!$B$4:$J$999, 9, FALSE), "No")</f>
        <v>No</v>
      </c>
      <c r="K384" s="18">
        <f>VLOOKUP(C384, '[1]India EXIM'!$B$6:$C$580, 2, FALSE)</f>
        <v>9.1793842660000003E-3</v>
      </c>
      <c r="L384" s="11">
        <f>VLOOKUP(C384, '[1]China EXIM'!$B$6:$D$580, 3, FALSE)</f>
        <v>9.3900105080999996E-2</v>
      </c>
      <c r="M384" s="6"/>
      <c r="N384" s="6"/>
      <c r="O384" s="6"/>
      <c r="P384" s="10" t="s">
        <v>24</v>
      </c>
      <c r="Q384" s="9" t="s">
        <v>65</v>
      </c>
      <c r="U384" s="1" t="s">
        <v>25</v>
      </c>
    </row>
    <row r="385" spans="2:22" ht="42" hidden="1">
      <c r="B385" s="6" t="str">
        <f>VLOOKUP(C385, [1]Definition!$D$5:$K$5665, 8, FALSE)</f>
        <v>Capital Goods</v>
      </c>
      <c r="C385" s="7">
        <v>851529</v>
      </c>
      <c r="D385" s="8" t="s">
        <v>833</v>
      </c>
      <c r="E385" s="17" t="s">
        <v>19</v>
      </c>
      <c r="F385" s="8"/>
      <c r="G385" s="8"/>
      <c r="H385" s="9" t="s">
        <v>65</v>
      </c>
      <c r="I385" s="9" t="s">
        <v>232</v>
      </c>
      <c r="J385" s="17" t="str">
        <f>_xlfn.IFNA(VLOOKUP(C385, '[2]Unique HS'!$B$4:$J$999, 9, FALSE), "No")</f>
        <v>Yes</v>
      </c>
      <c r="K385" s="18">
        <f>VLOOKUP(C385, '[1]India EXIM'!$B$6:$C$580, 2, FALSE)</f>
        <v>9.1409723680000009E-3</v>
      </c>
      <c r="L385" s="11">
        <f>VLOOKUP(C385, '[1]China EXIM'!$B$6:$D$580, 3, FALSE)</f>
        <v>0.23266553060100001</v>
      </c>
      <c r="M385" s="6"/>
      <c r="N385" s="6"/>
      <c r="O385" s="6"/>
      <c r="P385" s="10" t="s">
        <v>24</v>
      </c>
      <c r="Q385" s="9" t="s">
        <v>65</v>
      </c>
      <c r="U385" s="1" t="s">
        <v>25</v>
      </c>
    </row>
    <row r="386" spans="2:22" ht="56.1" hidden="1">
      <c r="B386" s="6" t="str">
        <f>VLOOKUP(C386, [1]Definition!$D$5:$K$5665, 8, FALSE)</f>
        <v>Capital Goods</v>
      </c>
      <c r="C386" s="7">
        <v>847979</v>
      </c>
      <c r="D386" s="8" t="s">
        <v>834</v>
      </c>
      <c r="E386" s="17" t="s">
        <v>27</v>
      </c>
      <c r="F386" s="8" t="s">
        <v>835</v>
      </c>
      <c r="G386" s="8"/>
      <c r="H386" s="9" t="s">
        <v>166</v>
      </c>
      <c r="I386" s="9" t="s">
        <v>836</v>
      </c>
      <c r="J386" s="17" t="str">
        <f>_xlfn.IFNA(VLOOKUP(C386, '[2]Unique HS'!$B$4:$J$999, 9, FALSE), "No")</f>
        <v>Yes</v>
      </c>
      <c r="K386" s="18">
        <f>VLOOKUP(C386, '[1]India EXIM'!$B$6:$C$580, 2, FALSE)</f>
        <v>8.9969498149999987E-3</v>
      </c>
      <c r="L386" s="11">
        <f>VLOOKUP(C386, '[1]China EXIM'!$B$6:$D$580, 3, FALSE)</f>
        <v>0.14272605113999998</v>
      </c>
      <c r="M386" s="6" t="s">
        <v>389</v>
      </c>
      <c r="N386" s="6"/>
      <c r="O386" s="6"/>
      <c r="P386" s="10" t="s">
        <v>24</v>
      </c>
      <c r="Q386" s="9" t="s">
        <v>389</v>
      </c>
      <c r="U386" s="1" t="s">
        <v>34</v>
      </c>
      <c r="V386" s="1" t="s">
        <v>837</v>
      </c>
    </row>
    <row r="387" spans="2:22" ht="56.1" hidden="1">
      <c r="B387" s="6" t="str">
        <f>VLOOKUP(C387, [1]Definition!$D$5:$K$5665, 8, FALSE)</f>
        <v>Capital Goods</v>
      </c>
      <c r="C387" s="7">
        <v>841280</v>
      </c>
      <c r="D387" s="8" t="s">
        <v>838</v>
      </c>
      <c r="E387" s="17" t="s">
        <v>205</v>
      </c>
      <c r="F387" s="8"/>
      <c r="G387" s="8" t="s">
        <v>839</v>
      </c>
      <c r="H387" s="9" t="s">
        <v>22</v>
      </c>
      <c r="I387" s="9" t="s">
        <v>444</v>
      </c>
      <c r="J387" s="17" t="str">
        <f>_xlfn.IFNA(VLOOKUP(C387, '[2]Unique HS'!$B$4:$J$999, 9, FALSE), "No")</f>
        <v>Yes</v>
      </c>
      <c r="K387" s="18">
        <f>VLOOKUP(C387, '[1]India EXIM'!$B$6:$C$580, 2, FALSE)</f>
        <v>8.9221272129999998E-3</v>
      </c>
      <c r="L387" s="11">
        <f>VLOOKUP(C387, '[1]China EXIM'!$B$6:$D$580, 3, FALSE)</f>
        <v>1.064322781522</v>
      </c>
      <c r="M387" s="6"/>
      <c r="N387" s="6"/>
      <c r="O387" s="6"/>
      <c r="P387" s="10" t="s">
        <v>24</v>
      </c>
      <c r="Q387" s="9" t="s">
        <v>22</v>
      </c>
      <c r="U387" s="1" t="s">
        <v>25</v>
      </c>
    </row>
    <row r="388" spans="2:22" ht="27.95" hidden="1">
      <c r="B388" s="6" t="str">
        <f>VLOOKUP(C388, [1]Definition!$D$5:$K$5665, 8, FALSE)</f>
        <v>Capital Goods</v>
      </c>
      <c r="C388" s="7">
        <v>843210</v>
      </c>
      <c r="D388" s="8" t="s">
        <v>840</v>
      </c>
      <c r="E388" s="17" t="s">
        <v>19</v>
      </c>
      <c r="F388" s="8"/>
      <c r="G388" s="8"/>
      <c r="H388" s="9" t="s">
        <v>58</v>
      </c>
      <c r="I388" s="9" t="s">
        <v>361</v>
      </c>
      <c r="J388" s="17" t="str">
        <f>_xlfn.IFNA(VLOOKUP(C388, '[2]Unique HS'!$B$4:$J$999, 9, FALSE), "No")</f>
        <v>No</v>
      </c>
      <c r="K388" s="18">
        <f>VLOOKUP(C388, '[1]India EXIM'!$B$6:$C$580, 2, FALSE)</f>
        <v>8.8997210220000001E-3</v>
      </c>
      <c r="L388" s="11">
        <f>VLOOKUP(C388, '[1]China EXIM'!$B$6:$D$580, 3, FALSE)</f>
        <v>0.47624062479400003</v>
      </c>
      <c r="M388" s="6" t="s">
        <v>160</v>
      </c>
      <c r="N388" s="6"/>
      <c r="O388" s="6"/>
      <c r="P388" s="10" t="s">
        <v>24</v>
      </c>
      <c r="Q388" s="9" t="s">
        <v>58</v>
      </c>
      <c r="S388" s="1" t="s">
        <v>362</v>
      </c>
      <c r="U388" s="1" t="s">
        <v>34</v>
      </c>
    </row>
    <row r="389" spans="2:22" ht="56.1" hidden="1">
      <c r="B389" s="6" t="str">
        <f>VLOOKUP(C389, [1]Definition!$D$5:$K$5665, 8, FALSE)</f>
        <v>Capital Goods</v>
      </c>
      <c r="C389" s="7">
        <v>820412</v>
      </c>
      <c r="D389" s="8" t="s">
        <v>841</v>
      </c>
      <c r="E389" s="17" t="s">
        <v>19</v>
      </c>
      <c r="F389" s="8"/>
      <c r="G389" s="8"/>
      <c r="H389" s="9" t="s">
        <v>65</v>
      </c>
      <c r="I389" s="9" t="s">
        <v>690</v>
      </c>
      <c r="J389" s="17" t="str">
        <f>_xlfn.IFNA(VLOOKUP(C389, '[2]Unique HS'!$B$4:$J$999, 9, FALSE), "No")</f>
        <v>Yes</v>
      </c>
      <c r="K389" s="18">
        <f>VLOOKUP(C389, '[1]India EXIM'!$B$6:$C$580, 2, FALSE)</f>
        <v>8.8509458469999986E-3</v>
      </c>
      <c r="L389" s="11">
        <f>VLOOKUP(C389, '[1]China EXIM'!$B$6:$D$580, 3, FALSE)</f>
        <v>0.74652295927300005</v>
      </c>
      <c r="M389" s="6" t="s">
        <v>210</v>
      </c>
      <c r="N389" s="6"/>
      <c r="O389" s="9"/>
      <c r="P389" s="10" t="s">
        <v>24</v>
      </c>
      <c r="Q389" s="11" t="s">
        <v>210</v>
      </c>
      <c r="U389" s="1" t="s">
        <v>25</v>
      </c>
      <c r="V389" s="1" t="s">
        <v>842</v>
      </c>
    </row>
    <row r="390" spans="2:22" ht="27.95" hidden="1">
      <c r="B390" s="6" t="str">
        <f>VLOOKUP(C390, [1]Definition!$D$5:$K$5665, 8, FALSE)</f>
        <v>Capital Goods</v>
      </c>
      <c r="C390" s="7">
        <v>845640</v>
      </c>
      <c r="D390" s="8" t="s">
        <v>843</v>
      </c>
      <c r="E390" s="17" t="s">
        <v>19</v>
      </c>
      <c r="F390" s="8"/>
      <c r="G390" s="8"/>
      <c r="H390" s="9" t="s">
        <v>65</v>
      </c>
      <c r="I390" s="9" t="s">
        <v>31</v>
      </c>
      <c r="J390" s="17" t="str">
        <f>_xlfn.IFNA(VLOOKUP(C390, '[2]Unique HS'!$B$4:$J$999, 9, FALSE), "No")</f>
        <v>No</v>
      </c>
      <c r="K390" s="18">
        <f>VLOOKUP(C390, '[1]India EXIM'!$B$6:$C$580, 2, FALSE)</f>
        <v>8.5975756339999997E-3</v>
      </c>
      <c r="L390" s="11">
        <f>VLOOKUP(C390, '[1]China EXIM'!$B$6:$D$580, 3, FALSE)</f>
        <v>0.51588565378700002</v>
      </c>
      <c r="M390" s="6"/>
      <c r="N390" s="6"/>
      <c r="O390" s="6"/>
      <c r="P390" s="10" t="s">
        <v>24</v>
      </c>
      <c r="Q390" s="9" t="s">
        <v>65</v>
      </c>
      <c r="U390" s="1" t="s">
        <v>25</v>
      </c>
    </row>
    <row r="391" spans="2:22" ht="42" hidden="1">
      <c r="B391" s="6" t="str">
        <f>VLOOKUP(C391, [1]Definition!$D$5:$K$5665, 8, FALSE)</f>
        <v>Capital Goods</v>
      </c>
      <c r="C391" s="7">
        <v>846595</v>
      </c>
      <c r="D391" s="8" t="s">
        <v>844</v>
      </c>
      <c r="E391" s="17" t="s">
        <v>19</v>
      </c>
      <c r="F391" s="8"/>
      <c r="G391" s="8"/>
      <c r="H391" s="9" t="s">
        <v>65</v>
      </c>
      <c r="I391" s="9" t="s">
        <v>31</v>
      </c>
      <c r="J391" s="17" t="str">
        <f>_xlfn.IFNA(VLOOKUP(C391, '[2]Unique HS'!$B$4:$J$999, 9, FALSE), "No")</f>
        <v>No</v>
      </c>
      <c r="K391" s="18">
        <f>VLOOKUP(C391, '[1]India EXIM'!$B$6:$C$580, 2, FALSE)</f>
        <v>8.5850920129999994E-3</v>
      </c>
      <c r="L391" s="11">
        <f>VLOOKUP(C391, '[1]China EXIM'!$B$6:$D$580, 3, FALSE)</f>
        <v>0.52546282407400002</v>
      </c>
      <c r="M391" s="6"/>
      <c r="N391" s="6"/>
      <c r="O391" s="6"/>
      <c r="P391" s="10" t="s">
        <v>24</v>
      </c>
      <c r="Q391" s="9" t="s">
        <v>65</v>
      </c>
      <c r="U391" s="1" t="s">
        <v>25</v>
      </c>
    </row>
    <row r="392" spans="2:22" ht="42" hidden="1">
      <c r="B392" s="6" t="str">
        <f>VLOOKUP(C392, [1]Definition!$D$5:$K$5665, 8, FALSE)</f>
        <v>Capital Goods</v>
      </c>
      <c r="C392" s="7">
        <v>830790</v>
      </c>
      <c r="D392" s="16" t="s">
        <v>845</v>
      </c>
      <c r="E392" s="17" t="s">
        <v>27</v>
      </c>
      <c r="F392" s="8" t="s">
        <v>846</v>
      </c>
      <c r="G392" s="8" t="s">
        <v>847</v>
      </c>
      <c r="H392" s="9" t="s">
        <v>22</v>
      </c>
      <c r="I392" s="9" t="s">
        <v>848</v>
      </c>
      <c r="J392" s="17" t="str">
        <f>_xlfn.IFNA(VLOOKUP(C392, '[2]Unique HS'!$B$4:$J$999, 9, FALSE), "No")</f>
        <v>Yes</v>
      </c>
      <c r="K392" s="18">
        <f>VLOOKUP(C392, '[1]India EXIM'!$B$6:$C$580, 2, FALSE)</f>
        <v>8.4821992919999999E-3</v>
      </c>
      <c r="L392" s="11">
        <f>VLOOKUP(C392, '[1]China EXIM'!$B$6:$D$580, 3, FALSE)</f>
        <v>0.419475972556</v>
      </c>
      <c r="M392" s="6" t="s">
        <v>201</v>
      </c>
      <c r="N392" s="6"/>
      <c r="O392" s="6"/>
      <c r="P392" s="10" t="s">
        <v>24</v>
      </c>
      <c r="Q392" s="9" t="s">
        <v>22</v>
      </c>
      <c r="U392" s="1" t="s">
        <v>25</v>
      </c>
    </row>
    <row r="393" spans="2:22" ht="27.95" hidden="1">
      <c r="B393" s="6" t="str">
        <f>VLOOKUP(C393, [1]Definition!$D$5:$K$5665, 8, FALSE)</f>
        <v>Capital Goods</v>
      </c>
      <c r="C393" s="7">
        <v>841934</v>
      </c>
      <c r="D393" s="8" t="s">
        <v>849</v>
      </c>
      <c r="E393" s="17" t="s">
        <v>19</v>
      </c>
      <c r="F393" s="8"/>
      <c r="G393" s="8"/>
      <c r="H393" s="9" t="s">
        <v>61</v>
      </c>
      <c r="I393" s="9" t="s">
        <v>850</v>
      </c>
      <c r="J393" s="17" t="str">
        <f>_xlfn.IFNA(VLOOKUP(C393, '[2]Unique HS'!$B$4:$J$999, 9, FALSE), "No")</f>
        <v>No</v>
      </c>
      <c r="K393" s="18">
        <f>VLOOKUP(C393, '[1]India EXIM'!$B$6:$C$580, 2, FALSE)</f>
        <v>8.3558803799999998E-3</v>
      </c>
      <c r="L393" s="11">
        <f>VLOOKUP(C393, '[1]China EXIM'!$B$6:$D$580, 3, FALSE)</f>
        <v>0.32773246788300003</v>
      </c>
      <c r="M393" s="6" t="s">
        <v>160</v>
      </c>
      <c r="N393" s="6"/>
      <c r="O393" s="6"/>
      <c r="P393" s="10" t="s">
        <v>24</v>
      </c>
      <c r="Q393" s="9" t="s">
        <v>61</v>
      </c>
      <c r="U393" s="1" t="s">
        <v>25</v>
      </c>
    </row>
    <row r="394" spans="2:22" ht="27.95" hidden="1">
      <c r="B394" s="6" t="str">
        <f>VLOOKUP(C394, [1]Definition!$D$5:$K$5665, 8, FALSE)</f>
        <v>Capital Goods</v>
      </c>
      <c r="C394" s="7">
        <v>845380</v>
      </c>
      <c r="D394" s="8" t="s">
        <v>851</v>
      </c>
      <c r="E394" s="17" t="s">
        <v>19</v>
      </c>
      <c r="F394" s="8"/>
      <c r="G394" s="8"/>
      <c r="H394" s="9" t="s">
        <v>55</v>
      </c>
      <c r="I394" s="9" t="s">
        <v>431</v>
      </c>
      <c r="J394" s="17" t="str">
        <f>_xlfn.IFNA(VLOOKUP(C394, '[2]Unique HS'!$B$4:$J$999, 9, FALSE), "No")</f>
        <v>No</v>
      </c>
      <c r="K394" s="18">
        <f>VLOOKUP(C394, '[1]India EXIM'!$B$6:$C$580, 2, FALSE)</f>
        <v>8.2228574660000008E-3</v>
      </c>
      <c r="L394" s="11">
        <f>VLOOKUP(C394, '[1]China EXIM'!$B$6:$D$580, 3, FALSE)</f>
        <v>9.9836082310000004E-2</v>
      </c>
      <c r="M394" s="6"/>
      <c r="N394" s="6"/>
      <c r="O394" s="6"/>
      <c r="P394" s="10" t="s">
        <v>24</v>
      </c>
      <c r="Q394" s="9" t="s">
        <v>55</v>
      </c>
      <c r="U394" s="1" t="s">
        <v>25</v>
      </c>
    </row>
    <row r="395" spans="2:22" ht="27.95" hidden="1">
      <c r="B395" s="6" t="str">
        <f>VLOOKUP(C395, [1]Definition!$D$5:$K$5665, 8, FALSE)</f>
        <v>Capital Goods</v>
      </c>
      <c r="C395" s="7">
        <v>846251</v>
      </c>
      <c r="D395" s="8" t="s">
        <v>852</v>
      </c>
      <c r="E395" s="17" t="s">
        <v>19</v>
      </c>
      <c r="F395" s="8"/>
      <c r="G395" s="8"/>
      <c r="H395" s="9" t="s">
        <v>65</v>
      </c>
      <c r="I395" s="9" t="s">
        <v>31</v>
      </c>
      <c r="J395" s="17" t="str">
        <f>_xlfn.IFNA(VLOOKUP(C395, '[2]Unique HS'!$B$4:$J$999, 9, FALSE), "No")</f>
        <v>No</v>
      </c>
      <c r="K395" s="18">
        <f>VLOOKUP(C395, '[1]India EXIM'!$B$6:$C$580, 2, FALSE)</f>
        <v>8.0838840119999995E-3</v>
      </c>
      <c r="L395" s="11">
        <f>VLOOKUP(C395, '[1]China EXIM'!$B$6:$D$580, 3, FALSE)</f>
        <v>0.23315133930199999</v>
      </c>
      <c r="M395" s="6"/>
      <c r="N395" s="6"/>
      <c r="O395" s="6"/>
      <c r="P395" s="10" t="s">
        <v>24</v>
      </c>
      <c r="Q395" s="9" t="s">
        <v>65</v>
      </c>
      <c r="U395" s="1" t="s">
        <v>25</v>
      </c>
    </row>
    <row r="396" spans="2:22" ht="27.95">
      <c r="B396" s="6" t="str">
        <f>VLOOKUP(C396, [1]Definition!$D$5:$K$5665, 8, FALSE)</f>
        <v>Capital Goods</v>
      </c>
      <c r="C396" s="7">
        <v>843241</v>
      </c>
      <c r="D396" s="8" t="s">
        <v>853</v>
      </c>
      <c r="E396" s="17" t="s">
        <v>119</v>
      </c>
      <c r="F396" s="8" t="s">
        <v>854</v>
      </c>
      <c r="G396" s="8"/>
      <c r="H396" s="9" t="s">
        <v>22</v>
      </c>
      <c r="I396" s="9" t="s">
        <v>855</v>
      </c>
      <c r="J396" s="17" t="str">
        <f>_xlfn.IFNA(VLOOKUP(C396, '[2]Unique HS'!$B$4:$J$999, 9, FALSE), "No")</f>
        <v>No</v>
      </c>
      <c r="K396" s="18">
        <f>VLOOKUP(C396, '[1]India EXIM'!$B$6:$C$580, 2, FALSE)</f>
        <v>6.690839200000001E-5</v>
      </c>
      <c r="L396" s="11">
        <f>VLOOKUP(C396, '[1]China EXIM'!$B$6:$D$580, 3, FALSE)</f>
        <v>0.37922891085999999</v>
      </c>
      <c r="M396" s="6" t="s">
        <v>160</v>
      </c>
      <c r="N396" s="6"/>
      <c r="O396" s="6"/>
      <c r="P396" s="10" t="s">
        <v>24</v>
      </c>
      <c r="Q396" s="11" t="s">
        <v>161</v>
      </c>
    </row>
    <row r="397" spans="2:22" ht="69.95" hidden="1">
      <c r="B397" s="6" t="str">
        <f>VLOOKUP(C397, [1]Definition!$D$5:$K$5665, 8, FALSE)</f>
        <v>Capital Goods</v>
      </c>
      <c r="C397" s="7">
        <v>901530</v>
      </c>
      <c r="D397" s="8" t="s">
        <v>856</v>
      </c>
      <c r="E397" s="17" t="s">
        <v>19</v>
      </c>
      <c r="F397" s="8" t="s">
        <v>857</v>
      </c>
      <c r="G397" s="8" t="s">
        <v>858</v>
      </c>
      <c r="H397" s="9" t="s">
        <v>166</v>
      </c>
      <c r="I397" s="9" t="s">
        <v>167</v>
      </c>
      <c r="J397" s="17" t="str">
        <f>_xlfn.IFNA(VLOOKUP(C397, '[2]Unique HS'!$B$4:$J$999, 9, FALSE), "No")</f>
        <v>Yes</v>
      </c>
      <c r="K397" s="18">
        <f>VLOOKUP(C397, '[1]India EXIM'!$B$6:$C$580, 2, FALSE)</f>
        <v>7.9850400869999998E-3</v>
      </c>
      <c r="L397" s="11">
        <f>VLOOKUP(C397, '[1]China EXIM'!$B$6:$D$580, 3, FALSE)</f>
        <v>0.68045336077699992</v>
      </c>
      <c r="M397" s="6"/>
      <c r="N397" s="6"/>
      <c r="O397" s="6"/>
      <c r="P397" s="10" t="s">
        <v>24</v>
      </c>
      <c r="Q397" s="11" t="s">
        <v>168</v>
      </c>
      <c r="U397" s="1" t="s">
        <v>25</v>
      </c>
    </row>
    <row r="398" spans="2:22" ht="56.1" hidden="1">
      <c r="B398" s="6" t="str">
        <f>VLOOKUP(C398, [1]Definition!$D$5:$K$5665, 8, FALSE)</f>
        <v>Capital Goods</v>
      </c>
      <c r="C398" s="7">
        <v>900630</v>
      </c>
      <c r="D398" s="8" t="s">
        <v>859</v>
      </c>
      <c r="E398" s="17" t="s">
        <v>205</v>
      </c>
      <c r="F398" s="8"/>
      <c r="G398" s="8"/>
      <c r="H398" s="9" t="s">
        <v>166</v>
      </c>
      <c r="I398" s="9" t="s">
        <v>201</v>
      </c>
      <c r="J398" s="17" t="str">
        <f>_xlfn.IFNA(VLOOKUP(C398, '[2]Unique HS'!$B$4:$J$999, 9, FALSE), "No")</f>
        <v>No</v>
      </c>
      <c r="K398" s="22">
        <f>VLOOKUP(C398, '[1]India EXIM'!$B$6:$C$580, 2, FALSE)</f>
        <v>7.966317669E-3</v>
      </c>
      <c r="L398" s="11">
        <f>VLOOKUP(C398, '[1]China EXIM'!$B$6:$D$580, 3, FALSE)</f>
        <v>0.28973829151800001</v>
      </c>
      <c r="M398" s="6"/>
      <c r="N398" s="6"/>
      <c r="O398" s="6"/>
      <c r="P398" s="10" t="s">
        <v>24</v>
      </c>
      <c r="Q398" s="11" t="s">
        <v>70</v>
      </c>
      <c r="U398" s="1" t="s">
        <v>25</v>
      </c>
    </row>
    <row r="399" spans="2:22" ht="56.1" hidden="1">
      <c r="B399" s="6" t="str">
        <f>VLOOKUP(C399, [1]Definition!$D$5:$K$5665, 8, FALSE)</f>
        <v>Capital Goods</v>
      </c>
      <c r="C399" s="7">
        <v>841933</v>
      </c>
      <c r="D399" s="8" t="s">
        <v>860</v>
      </c>
      <c r="E399" s="17" t="s">
        <v>163</v>
      </c>
      <c r="F399" s="8" t="s">
        <v>861</v>
      </c>
      <c r="G399" s="8" t="s">
        <v>862</v>
      </c>
      <c r="H399" s="9" t="s">
        <v>22</v>
      </c>
      <c r="I399" s="9" t="s">
        <v>38</v>
      </c>
      <c r="J399" s="17" t="str">
        <f>_xlfn.IFNA(VLOOKUP(C399, '[2]Unique HS'!$B$4:$J$999, 9, FALSE), "No")</f>
        <v>No</v>
      </c>
      <c r="K399" s="18">
        <f>VLOOKUP(C399, '[1]India EXIM'!$B$6:$C$580, 2, FALSE)</f>
        <v>7.9487122560000009E-3</v>
      </c>
      <c r="L399" s="11">
        <f>VLOOKUP(C399, '[1]China EXIM'!$B$6:$D$580, 3, FALSE)</f>
        <v>0.27471570207999996</v>
      </c>
      <c r="M399" s="6"/>
      <c r="N399" s="6"/>
      <c r="O399" s="6"/>
      <c r="P399" s="10" t="s">
        <v>24</v>
      </c>
      <c r="Q399" s="11" t="s">
        <v>22</v>
      </c>
      <c r="U399" s="1" t="s">
        <v>25</v>
      </c>
    </row>
    <row r="400" spans="2:22" ht="56.1" hidden="1">
      <c r="B400" s="6" t="str">
        <f>VLOOKUP(C400, [1]Definition!$D$5:$K$5665, 8, FALSE)</f>
        <v>Capital Goods</v>
      </c>
      <c r="C400" s="7">
        <v>950829</v>
      </c>
      <c r="D400" s="8" t="s">
        <v>863</v>
      </c>
      <c r="E400" s="17" t="s">
        <v>205</v>
      </c>
      <c r="F400" s="8"/>
      <c r="G400" s="8"/>
      <c r="H400" s="9" t="s">
        <v>166</v>
      </c>
      <c r="I400" s="9" t="s">
        <v>201</v>
      </c>
      <c r="J400" s="17" t="str">
        <f>_xlfn.IFNA(VLOOKUP(C400, '[2]Unique HS'!$B$4:$J$999, 9, FALSE), "No")</f>
        <v>No</v>
      </c>
      <c r="K400" s="22">
        <f>VLOOKUP(C400, '[1]India EXIM'!$B$6:$C$580, 2, FALSE)</f>
        <v>7.9431392830000003E-3</v>
      </c>
      <c r="L400" s="11">
        <f>VLOOKUP(C400, '[1]China EXIM'!$B$6:$D$580, 3, FALSE)</f>
        <v>0.33739343674699995</v>
      </c>
      <c r="M400" s="6"/>
      <c r="N400" s="6"/>
      <c r="O400" s="6"/>
      <c r="P400" s="10" t="s">
        <v>24</v>
      </c>
      <c r="Q400" s="11" t="s">
        <v>864</v>
      </c>
      <c r="U400" s="1" t="s">
        <v>25</v>
      </c>
    </row>
    <row r="401" spans="2:22" ht="27.95" hidden="1">
      <c r="B401" s="6" t="str">
        <f>VLOOKUP(C401, [1]Definition!$D$5:$K$5665, 8, FALSE)</f>
        <v>Capital Goods</v>
      </c>
      <c r="C401" s="7">
        <v>842832</v>
      </c>
      <c r="D401" s="8" t="s">
        <v>865</v>
      </c>
      <c r="E401" s="17" t="s">
        <v>163</v>
      </c>
      <c r="F401" s="8"/>
      <c r="G401" s="8"/>
      <c r="H401" s="9" t="s">
        <v>58</v>
      </c>
      <c r="I401" s="9" t="s">
        <v>31</v>
      </c>
      <c r="J401" s="17" t="str">
        <f>_xlfn.IFNA(VLOOKUP(C401, '[2]Unique HS'!$B$4:$J$999, 9, FALSE), "No")</f>
        <v>No</v>
      </c>
      <c r="K401" s="18">
        <f>VLOOKUP(C401, '[1]India EXIM'!$B$6:$C$580, 2, FALSE)</f>
        <v>7.9054458070000003E-3</v>
      </c>
      <c r="L401" s="11">
        <f>VLOOKUP(C401, '[1]China EXIM'!$B$6:$D$580, 3, FALSE)</f>
        <v>0.32305859716099999</v>
      </c>
      <c r="M401" s="9" t="s">
        <v>59</v>
      </c>
      <c r="N401" s="9"/>
      <c r="O401" s="6"/>
      <c r="P401" s="10" t="s">
        <v>24</v>
      </c>
      <c r="Q401" s="9" t="s">
        <v>58</v>
      </c>
      <c r="U401" s="1" t="s">
        <v>25</v>
      </c>
      <c r="V401" s="1" t="s">
        <v>842</v>
      </c>
    </row>
    <row r="402" spans="2:22" ht="27.95" hidden="1">
      <c r="B402" s="6" t="str">
        <f>VLOOKUP(C402, [1]Definition!$D$5:$K$5665, 8, FALSE)</f>
        <v>Capital Goods</v>
      </c>
      <c r="C402" s="7">
        <v>844610</v>
      </c>
      <c r="D402" s="8" t="s">
        <v>866</v>
      </c>
      <c r="E402" s="17" t="s">
        <v>19</v>
      </c>
      <c r="F402" s="8"/>
      <c r="G402" s="8"/>
      <c r="H402" s="9" t="s">
        <v>55</v>
      </c>
      <c r="I402" s="9" t="s">
        <v>56</v>
      </c>
      <c r="J402" s="17" t="str">
        <f>_xlfn.IFNA(VLOOKUP(C402, '[2]Unique HS'!$B$4:$J$999, 9, FALSE), "No")</f>
        <v>No</v>
      </c>
      <c r="K402" s="18">
        <f>VLOOKUP(C402, '[1]India EXIM'!$B$6:$C$580, 2, FALSE)</f>
        <v>7.6721218969999999E-3</v>
      </c>
      <c r="L402" s="11">
        <f>VLOOKUP(C402, '[1]China EXIM'!$B$6:$D$580, 3, FALSE)</f>
        <v>8.8625011005999996E-2</v>
      </c>
      <c r="M402" s="6"/>
      <c r="N402" s="6"/>
      <c r="O402" s="6"/>
      <c r="P402" s="10" t="s">
        <v>24</v>
      </c>
      <c r="Q402" s="9" t="s">
        <v>55</v>
      </c>
      <c r="U402" s="1" t="s">
        <v>25</v>
      </c>
    </row>
    <row r="403" spans="2:22" ht="42" hidden="1">
      <c r="B403" s="6" t="str">
        <f>VLOOKUP(C403, [1]Definition!$D$5:$K$5665, 8, FALSE)</f>
        <v>Capital Goods</v>
      </c>
      <c r="C403" s="7">
        <v>842389</v>
      </c>
      <c r="D403" s="8" t="s">
        <v>867</v>
      </c>
      <c r="E403" s="17" t="s">
        <v>163</v>
      </c>
      <c r="F403" s="8" t="s">
        <v>868</v>
      </c>
      <c r="G403" s="8" t="s">
        <v>869</v>
      </c>
      <c r="H403" s="9" t="s">
        <v>22</v>
      </c>
      <c r="I403" s="9" t="s">
        <v>486</v>
      </c>
      <c r="J403" s="17" t="str">
        <f>_xlfn.IFNA(VLOOKUP(C403, '[2]Unique HS'!$B$4:$J$999, 9, FALSE), "No")</f>
        <v>No</v>
      </c>
      <c r="K403" s="18">
        <f>VLOOKUP(C403, '[1]India EXIM'!$B$6:$C$580, 2, FALSE)</f>
        <v>7.6521632790000002E-3</v>
      </c>
      <c r="L403" s="11">
        <f>VLOOKUP(C403, '[1]China EXIM'!$B$6:$D$580, 3, FALSE)</f>
        <v>0.22441687813800001</v>
      </c>
      <c r="M403" s="6"/>
      <c r="N403" s="6"/>
      <c r="O403" s="6"/>
      <c r="P403" s="10" t="s">
        <v>24</v>
      </c>
      <c r="Q403" s="9" t="s">
        <v>22</v>
      </c>
      <c r="U403" s="1" t="s">
        <v>25</v>
      </c>
    </row>
    <row r="404" spans="2:22" ht="27.95" hidden="1">
      <c r="B404" s="6" t="str">
        <f>VLOOKUP(C404, [1]Definition!$D$5:$K$5665, 8, FALSE)</f>
        <v>Capital Goods</v>
      </c>
      <c r="C404" s="7">
        <v>842111</v>
      </c>
      <c r="D404" s="8" t="s">
        <v>870</v>
      </c>
      <c r="E404" s="17" t="s">
        <v>19</v>
      </c>
      <c r="F404" s="8"/>
      <c r="G404" s="8"/>
      <c r="H404" s="9" t="s">
        <v>61</v>
      </c>
      <c r="I404" s="9" t="s">
        <v>871</v>
      </c>
      <c r="J404" s="17" t="str">
        <f>_xlfn.IFNA(VLOOKUP(C404, '[2]Unique HS'!$B$4:$J$999, 9, FALSE), "No")</f>
        <v>Yes</v>
      </c>
      <c r="K404" s="18">
        <f>VLOOKUP(C404, '[1]India EXIM'!$B$6:$C$580, 2, FALSE)</f>
        <v>7.5978792000000002E-3</v>
      </c>
      <c r="L404" s="11">
        <f>VLOOKUP(C404, '[1]China EXIM'!$B$6:$D$580, 3, FALSE)</f>
        <v>5.3507848977999997E-2</v>
      </c>
      <c r="M404" s="9"/>
      <c r="N404" s="9"/>
      <c r="O404" s="6"/>
      <c r="P404" s="10" t="s">
        <v>24</v>
      </c>
      <c r="Q404" s="9" t="s">
        <v>61</v>
      </c>
      <c r="U404" s="1" t="s">
        <v>25</v>
      </c>
    </row>
    <row r="405" spans="2:22" ht="42">
      <c r="B405" s="6" t="str">
        <f>VLOOKUP(C405, [1]Definition!$D$5:$K$5665, 8, FALSE)</f>
        <v>Capital Goods</v>
      </c>
      <c r="C405" s="7">
        <v>853670</v>
      </c>
      <c r="D405" s="8" t="s">
        <v>872</v>
      </c>
      <c r="E405" s="17" t="s">
        <v>119</v>
      </c>
      <c r="F405" s="8" t="s">
        <v>873</v>
      </c>
      <c r="G405" s="8" t="s">
        <v>874</v>
      </c>
      <c r="H405" s="9" t="s">
        <v>46</v>
      </c>
      <c r="I405" s="9" t="s">
        <v>875</v>
      </c>
      <c r="J405" s="17" t="str">
        <f>_xlfn.IFNA(VLOOKUP(C405, '[2]Unique HS'!$B$4:$J$999, 9, FALSE), "No")</f>
        <v>Yes</v>
      </c>
      <c r="K405" s="22">
        <f>VLOOKUP(C405, '[1]India EXIM'!$B$6:$C$580, 2, FALSE)</f>
        <v>4.5656064144000003E-2</v>
      </c>
      <c r="L405" s="11">
        <f>VLOOKUP(C405, '[1]China EXIM'!$B$6:$D$580, 3, FALSE)</f>
        <v>2.0770471989520001</v>
      </c>
      <c r="M405" s="6"/>
      <c r="N405" s="6"/>
      <c r="O405" s="6"/>
      <c r="P405" s="10" t="s">
        <v>24</v>
      </c>
      <c r="Q405" s="9" t="s">
        <v>46</v>
      </c>
      <c r="U405" s="1" t="s">
        <v>211</v>
      </c>
      <c r="V405" s="1" t="s">
        <v>600</v>
      </c>
    </row>
    <row r="406" spans="2:22" ht="42" hidden="1">
      <c r="B406" s="6" t="str">
        <f>VLOOKUP(C406, [1]Definition!$D$5:$K$5665, 8, FALSE)</f>
        <v>Capital Goods</v>
      </c>
      <c r="C406" s="7">
        <v>841320</v>
      </c>
      <c r="D406" s="8" t="s">
        <v>876</v>
      </c>
      <c r="E406" s="17" t="s">
        <v>19</v>
      </c>
      <c r="F406" s="8"/>
      <c r="G406" s="8" t="s">
        <v>877</v>
      </c>
      <c r="H406" s="9" t="s">
        <v>22</v>
      </c>
      <c r="I406" s="9" t="s">
        <v>878</v>
      </c>
      <c r="J406" s="17" t="str">
        <f>_xlfn.IFNA(VLOOKUP(C406, '[2]Unique HS'!$B$4:$J$999, 9, FALSE), "No")</f>
        <v>Yes</v>
      </c>
      <c r="K406" s="18">
        <f>VLOOKUP(C406, '[1]India EXIM'!$B$6:$C$580, 2, FALSE)</f>
        <v>7.5312262609999996E-3</v>
      </c>
      <c r="L406" s="11">
        <f>VLOOKUP(C406, '[1]China EXIM'!$B$6:$D$580, 3, FALSE)</f>
        <v>1.2280170536600001</v>
      </c>
      <c r="M406" s="6" t="s">
        <v>103</v>
      </c>
      <c r="N406" s="6"/>
      <c r="O406" s="6"/>
      <c r="P406" s="10" t="s">
        <v>24</v>
      </c>
      <c r="Q406" s="9" t="s">
        <v>22</v>
      </c>
      <c r="U406" s="1" t="s">
        <v>25</v>
      </c>
    </row>
    <row r="407" spans="2:22" ht="42" hidden="1">
      <c r="B407" s="6" t="str">
        <f>VLOOKUP(C407, [1]Definition!$D$5:$K$5665, 8, FALSE)</f>
        <v>Capital Goods</v>
      </c>
      <c r="C407" s="7">
        <v>903032</v>
      </c>
      <c r="D407" s="8" t="s">
        <v>879</v>
      </c>
      <c r="E407" s="17" t="s">
        <v>163</v>
      </c>
      <c r="F407" s="8" t="s">
        <v>880</v>
      </c>
      <c r="G407" s="8" t="s">
        <v>574</v>
      </c>
      <c r="H407" s="9" t="s">
        <v>30</v>
      </c>
      <c r="I407" s="9" t="s">
        <v>225</v>
      </c>
      <c r="J407" s="17" t="str">
        <f>_xlfn.IFNA(VLOOKUP(C407, '[2]Unique HS'!$B$4:$J$999, 9, FALSE), "No")</f>
        <v>Yes</v>
      </c>
      <c r="K407" s="18">
        <f>VLOOKUP(C407, '[1]India EXIM'!$B$6:$C$580, 2, FALSE)</f>
        <v>7.5312118709999999E-3</v>
      </c>
      <c r="L407" s="11">
        <f>VLOOKUP(C407, '[1]China EXIM'!$B$6:$D$580, 3, FALSE)</f>
        <v>0.606064966318</v>
      </c>
      <c r="M407" s="6"/>
      <c r="N407" s="6"/>
      <c r="O407" s="6"/>
      <c r="P407" s="10" t="s">
        <v>24</v>
      </c>
      <c r="Q407" s="9" t="s">
        <v>30</v>
      </c>
      <c r="S407" s="1" t="s">
        <v>43</v>
      </c>
      <c r="U407" s="1" t="s">
        <v>25</v>
      </c>
    </row>
    <row r="408" spans="2:22" ht="42" hidden="1">
      <c r="B408" s="6" t="str">
        <f>VLOOKUP(C408, [1]Definition!$D$5:$K$5665, 8, FALSE)</f>
        <v>Capital Goods</v>
      </c>
      <c r="C408" s="7">
        <v>840410</v>
      </c>
      <c r="D408" s="8" t="s">
        <v>881</v>
      </c>
      <c r="E408" s="17" t="s">
        <v>142</v>
      </c>
      <c r="F408" s="8"/>
      <c r="G408" s="8"/>
      <c r="H408" s="9" t="s">
        <v>30</v>
      </c>
      <c r="I408" s="9" t="s">
        <v>784</v>
      </c>
      <c r="J408" s="17" t="str">
        <f>_xlfn.IFNA(VLOOKUP(C408, '[2]Unique HS'!$B$4:$J$999, 9, FALSE), "No")</f>
        <v>No</v>
      </c>
      <c r="K408" s="18">
        <f>VLOOKUP(C408, '[1]India EXIM'!$B$6:$C$580, 2, FALSE)</f>
        <v>7.523214294E-3</v>
      </c>
      <c r="L408" s="11">
        <f>VLOOKUP(C408, '[1]China EXIM'!$B$6:$D$580, 3, FALSE)</f>
        <v>0.63232031817000001</v>
      </c>
      <c r="M408" s="9" t="s">
        <v>785</v>
      </c>
      <c r="N408" s="9"/>
      <c r="O408" s="6"/>
      <c r="P408" s="10" t="s">
        <v>24</v>
      </c>
      <c r="Q408" s="9" t="s">
        <v>30</v>
      </c>
      <c r="S408" s="1" t="s">
        <v>43</v>
      </c>
      <c r="U408" s="1" t="s">
        <v>25</v>
      </c>
    </row>
    <row r="409" spans="2:22" ht="42" hidden="1">
      <c r="B409" s="6" t="str">
        <f>VLOOKUP(C409, [1]Definition!$D$5:$K$5665, 8, FALSE)</f>
        <v>Capital Goods</v>
      </c>
      <c r="C409" s="7">
        <v>731010</v>
      </c>
      <c r="D409" s="8" t="s">
        <v>882</v>
      </c>
      <c r="E409" s="17" t="s">
        <v>19</v>
      </c>
      <c r="F409" s="8"/>
      <c r="G409" s="8"/>
      <c r="H409" s="9" t="s">
        <v>22</v>
      </c>
      <c r="I409" s="9" t="s">
        <v>883</v>
      </c>
      <c r="J409" s="17" t="str">
        <f>_xlfn.IFNA(VLOOKUP(C409, '[2]Unique HS'!$B$4:$J$999, 9, FALSE), "No")</f>
        <v>Yes</v>
      </c>
      <c r="K409" s="18">
        <f>VLOOKUP(C409, '[1]India EXIM'!$B$6:$C$580, 2, FALSE)</f>
        <v>7.4184006500000003E-3</v>
      </c>
      <c r="L409" s="11">
        <f>VLOOKUP(C409, '[1]China EXIM'!$B$6:$D$580, 3, FALSE)</f>
        <v>2.0570130888699998</v>
      </c>
      <c r="M409" s="6" t="s">
        <v>201</v>
      </c>
      <c r="N409" s="6"/>
      <c r="O409" s="9"/>
      <c r="P409" s="10" t="s">
        <v>24</v>
      </c>
      <c r="Q409" s="9" t="s">
        <v>22</v>
      </c>
      <c r="U409" s="1" t="s">
        <v>25</v>
      </c>
    </row>
    <row r="410" spans="2:22" ht="27.95" hidden="1">
      <c r="B410" s="6" t="str">
        <f>VLOOKUP(C410, [1]Definition!$D$5:$K$5665, 8, FALSE)</f>
        <v>Capital Goods</v>
      </c>
      <c r="C410" s="7">
        <v>820600</v>
      </c>
      <c r="D410" s="8" t="s">
        <v>884</v>
      </c>
      <c r="E410" s="17" t="s">
        <v>19</v>
      </c>
      <c r="F410" s="8"/>
      <c r="G410" s="8"/>
      <c r="H410" s="9" t="s">
        <v>65</v>
      </c>
      <c r="I410" s="9" t="s">
        <v>209</v>
      </c>
      <c r="J410" s="17" t="str">
        <f>_xlfn.IFNA(VLOOKUP(C410, '[2]Unique HS'!$B$4:$J$999, 9, FALSE), "No")</f>
        <v>Yes</v>
      </c>
      <c r="K410" s="18">
        <f>VLOOKUP(C410, '[1]India EXIM'!$B$6:$C$580, 2, FALSE)</f>
        <v>7.2351876019999999E-3</v>
      </c>
      <c r="L410" s="11">
        <f>VLOOKUP(C410, '[1]China EXIM'!$B$6:$D$580, 3, FALSE)</f>
        <v>1.8768980583479999</v>
      </c>
      <c r="M410" s="6" t="s">
        <v>210</v>
      </c>
      <c r="N410" s="6"/>
      <c r="O410" s="6" t="s">
        <v>201</v>
      </c>
      <c r="P410" s="10" t="s">
        <v>24</v>
      </c>
      <c r="Q410" s="11" t="s">
        <v>210</v>
      </c>
      <c r="U410" s="1" t="s">
        <v>25</v>
      </c>
    </row>
    <row r="411" spans="2:22" ht="27.95" hidden="1">
      <c r="B411" s="6" t="str">
        <f>VLOOKUP(C411, [1]Definition!$D$5:$K$5665, 8, FALSE)</f>
        <v>Capital Goods</v>
      </c>
      <c r="C411" s="7">
        <v>843039</v>
      </c>
      <c r="D411" s="8" t="s">
        <v>885</v>
      </c>
      <c r="E411" s="17" t="s">
        <v>19</v>
      </c>
      <c r="F411" s="8"/>
      <c r="G411" s="8"/>
      <c r="H411" s="9" t="s">
        <v>58</v>
      </c>
      <c r="I411" s="9" t="s">
        <v>31</v>
      </c>
      <c r="J411" s="17" t="str">
        <f>_xlfn.IFNA(VLOOKUP(C411, '[2]Unique HS'!$B$4:$J$999, 9, FALSE), "No")</f>
        <v>No</v>
      </c>
      <c r="K411" s="18">
        <f>VLOOKUP(C411, '[1]India EXIM'!$B$6:$C$580, 2, FALSE)</f>
        <v>7.1597729280000006E-3</v>
      </c>
      <c r="L411" s="11">
        <f>VLOOKUP(C411, '[1]China EXIM'!$B$6:$D$580, 3, FALSE)</f>
        <v>0.53373622704099999</v>
      </c>
      <c r="M411" s="9" t="s">
        <v>117</v>
      </c>
      <c r="N411" s="9"/>
      <c r="O411" s="6"/>
      <c r="P411" s="10" t="s">
        <v>24</v>
      </c>
      <c r="Q411" s="9" t="s">
        <v>58</v>
      </c>
      <c r="U411" s="1" t="s">
        <v>25</v>
      </c>
    </row>
    <row r="412" spans="2:22" ht="56.1" hidden="1">
      <c r="B412" s="6" t="str">
        <f>VLOOKUP(C412, [1]Definition!$D$5:$K$5665, 8, FALSE)</f>
        <v>Capital Goods</v>
      </c>
      <c r="C412" s="7">
        <v>846510</v>
      </c>
      <c r="D412" s="8" t="s">
        <v>886</v>
      </c>
      <c r="E412" s="17" t="s">
        <v>19</v>
      </c>
      <c r="F412" s="8"/>
      <c r="G412" s="8"/>
      <c r="H412" s="9" t="s">
        <v>65</v>
      </c>
      <c r="I412" s="9" t="s">
        <v>31</v>
      </c>
      <c r="J412" s="17" t="str">
        <f>_xlfn.IFNA(VLOOKUP(C412, '[2]Unique HS'!$B$4:$J$999, 9, FALSE), "No")</f>
        <v>No</v>
      </c>
      <c r="K412" s="18">
        <f>VLOOKUP(C412, '[1]India EXIM'!$B$6:$C$580, 2, FALSE)</f>
        <v>7.0830125650000004E-3</v>
      </c>
      <c r="L412" s="11">
        <f>VLOOKUP(C412, '[1]China EXIM'!$B$6:$D$580, 3, FALSE)</f>
        <v>1.3173001751089999</v>
      </c>
      <c r="M412" s="6"/>
      <c r="N412" s="6"/>
      <c r="O412" s="6"/>
      <c r="P412" s="10" t="s">
        <v>24</v>
      </c>
      <c r="Q412" s="9" t="s">
        <v>65</v>
      </c>
      <c r="S412" s="1" t="s">
        <v>136</v>
      </c>
      <c r="U412" s="1" t="s">
        <v>137</v>
      </c>
    </row>
    <row r="413" spans="2:22" ht="27.95">
      <c r="B413" s="6" t="str">
        <f>VLOOKUP(C413, [1]Definition!$D$5:$K$5665, 8, FALSE)</f>
        <v>Capital Goods</v>
      </c>
      <c r="C413" s="7">
        <v>820240</v>
      </c>
      <c r="D413" s="8" t="s">
        <v>887</v>
      </c>
      <c r="E413" s="17" t="s">
        <v>119</v>
      </c>
      <c r="F413" s="8"/>
      <c r="G413" s="8"/>
      <c r="H413" s="9" t="s">
        <v>65</v>
      </c>
      <c r="I413" s="9" t="s">
        <v>209</v>
      </c>
      <c r="J413" s="17" t="str">
        <f>_xlfn.IFNA(VLOOKUP(C413, '[2]Unique HS'!$B$4:$J$999, 9, FALSE), "No")</f>
        <v>Yes</v>
      </c>
      <c r="K413" s="18">
        <f>VLOOKUP(C413, '[1]India EXIM'!$B$6:$C$580, 2, FALSE)</f>
        <v>1.0103856092000001E-2</v>
      </c>
      <c r="L413" s="11">
        <f>VLOOKUP(C413, '[1]China EXIM'!$B$6:$D$580, 3, FALSE)</f>
        <v>0.75877359668799993</v>
      </c>
      <c r="M413" s="6" t="s">
        <v>210</v>
      </c>
      <c r="N413" s="6"/>
      <c r="O413" s="9"/>
      <c r="P413" s="10" t="s">
        <v>24</v>
      </c>
      <c r="Q413" s="11" t="s">
        <v>210</v>
      </c>
      <c r="U413" s="1" t="s">
        <v>211</v>
      </c>
    </row>
    <row r="414" spans="2:22" ht="27.95" hidden="1">
      <c r="B414" s="6" t="str">
        <f>VLOOKUP(C414, [1]Definition!$D$5:$K$5665, 8, FALSE)</f>
        <v>Capital Goods</v>
      </c>
      <c r="C414" s="7">
        <v>847971</v>
      </c>
      <c r="D414" s="8" t="s">
        <v>888</v>
      </c>
      <c r="E414" s="17" t="s">
        <v>205</v>
      </c>
      <c r="F414" s="8"/>
      <c r="G414" s="8"/>
      <c r="H414" s="9" t="s">
        <v>166</v>
      </c>
      <c r="I414" s="9" t="s">
        <v>889</v>
      </c>
      <c r="J414" s="17" t="str">
        <f>_xlfn.IFNA(VLOOKUP(C414, '[2]Unique HS'!$B$4:$J$999, 9, FALSE), "No")</f>
        <v>No</v>
      </c>
      <c r="K414" s="22">
        <f>VLOOKUP(C414, '[1]India EXIM'!$B$6:$C$580, 2, FALSE)</f>
        <v>7.0562575060000004E-3</v>
      </c>
      <c r="L414" s="11">
        <f>VLOOKUP(C414, '[1]China EXIM'!$B$6:$D$580, 3, FALSE)</f>
        <v>0.11317481021600001</v>
      </c>
      <c r="M414" s="6" t="s">
        <v>389</v>
      </c>
      <c r="N414" s="6"/>
      <c r="O414" s="6"/>
      <c r="P414" s="10" t="s">
        <v>24</v>
      </c>
      <c r="Q414" s="9" t="s">
        <v>389</v>
      </c>
      <c r="S414" s="1" t="s">
        <v>136</v>
      </c>
      <c r="U414" s="1" t="s">
        <v>137</v>
      </c>
    </row>
    <row r="415" spans="2:22" ht="42" hidden="1">
      <c r="B415" s="6" t="str">
        <f>VLOOKUP(C415, [1]Definition!$D$5:$K$5665, 8, FALSE)</f>
        <v>Capital Goods</v>
      </c>
      <c r="C415" s="7">
        <v>848630</v>
      </c>
      <c r="D415" s="8" t="s">
        <v>890</v>
      </c>
      <c r="E415" s="17" t="s">
        <v>19</v>
      </c>
      <c r="F415" s="8"/>
      <c r="G415" s="21"/>
      <c r="H415" s="9" t="s">
        <v>46</v>
      </c>
      <c r="I415" s="9" t="s">
        <v>31</v>
      </c>
      <c r="J415" s="17" t="str">
        <f>_xlfn.IFNA(VLOOKUP(C415, '[2]Unique HS'!$B$4:$J$999, 9, FALSE), "No")</f>
        <v>No</v>
      </c>
      <c r="K415" s="18">
        <f>VLOOKUP(C415, '[1]India EXIM'!$B$6:$C$580, 2, FALSE)</f>
        <v>6.9807884809999993E-3</v>
      </c>
      <c r="L415" s="11">
        <f>VLOOKUP(C415, '[1]China EXIM'!$B$6:$D$580, 3, FALSE)</f>
        <v>2.3410384889019999</v>
      </c>
      <c r="M415" s="6"/>
      <c r="N415" s="6"/>
      <c r="O415" s="6"/>
      <c r="P415" s="10" t="s">
        <v>24</v>
      </c>
      <c r="Q415" s="9" t="s">
        <v>46</v>
      </c>
      <c r="U415" s="1" t="s">
        <v>25</v>
      </c>
    </row>
    <row r="416" spans="2:22" ht="27.95" hidden="1">
      <c r="B416" s="6" t="str">
        <f>VLOOKUP(C416, [1]Definition!$D$5:$K$5665, 8, FALSE)</f>
        <v>Capital Goods</v>
      </c>
      <c r="C416" s="7">
        <v>848580</v>
      </c>
      <c r="D416" s="8" t="s">
        <v>891</v>
      </c>
      <c r="E416" s="17" t="s">
        <v>19</v>
      </c>
      <c r="F416" s="8"/>
      <c r="G416" s="8"/>
      <c r="H416" s="9" t="s">
        <v>65</v>
      </c>
      <c r="I416" s="9" t="s">
        <v>892</v>
      </c>
      <c r="J416" s="17" t="str">
        <f>_xlfn.IFNA(VLOOKUP(C416, '[2]Unique HS'!$B$4:$J$999, 9, FALSE), "No")</f>
        <v>No</v>
      </c>
      <c r="K416" s="18">
        <f>VLOOKUP(C416, '[1]India EXIM'!$B$6:$C$580, 2, FALSE)</f>
        <v>6.8783455270000002E-3</v>
      </c>
      <c r="L416" s="11">
        <f>VLOOKUP(C416, '[1]China EXIM'!$B$6:$D$580, 3, FALSE)</f>
        <v>0.10475965274400001</v>
      </c>
      <c r="M416" s="6"/>
      <c r="N416" s="6"/>
      <c r="O416" s="6"/>
      <c r="P416" s="10" t="s">
        <v>24</v>
      </c>
      <c r="Q416" s="9" t="s">
        <v>65</v>
      </c>
      <c r="U416" s="1" t="s">
        <v>25</v>
      </c>
    </row>
    <row r="417" spans="2:22" ht="27.95" hidden="1">
      <c r="B417" s="6" t="str">
        <f>VLOOKUP(C417, [1]Definition!$D$5:$K$5665, 8, FALSE)</f>
        <v>Capital Goods</v>
      </c>
      <c r="C417" s="7">
        <v>843621</v>
      </c>
      <c r="D417" s="16" t="s">
        <v>893</v>
      </c>
      <c r="E417" s="17" t="s">
        <v>19</v>
      </c>
      <c r="F417" s="8"/>
      <c r="G417" s="8"/>
      <c r="H417" s="9" t="s">
        <v>61</v>
      </c>
      <c r="I417" s="9" t="s">
        <v>894</v>
      </c>
      <c r="J417" s="17" t="str">
        <f>_xlfn.IFNA(VLOOKUP(C417, '[2]Unique HS'!$B$4:$J$999, 9, FALSE), "No")</f>
        <v>No</v>
      </c>
      <c r="K417" s="18">
        <f>VLOOKUP(C417, '[1]India EXIM'!$B$6:$C$580, 2, FALSE)</f>
        <v>6.839239964E-3</v>
      </c>
      <c r="L417" s="11">
        <f>VLOOKUP(C417, '[1]China EXIM'!$B$6:$D$580, 3, FALSE)</f>
        <v>0.27866290154000001</v>
      </c>
      <c r="M417" s="6"/>
      <c r="N417" s="6"/>
      <c r="O417" s="6"/>
      <c r="P417" s="10" t="s">
        <v>24</v>
      </c>
      <c r="Q417" s="9" t="s">
        <v>61</v>
      </c>
      <c r="U417" s="1" t="s">
        <v>25</v>
      </c>
    </row>
    <row r="418" spans="2:22" ht="27.95" hidden="1">
      <c r="B418" s="6" t="str">
        <f>VLOOKUP(C418, [1]Definition!$D$5:$K$5665, 8, FALSE)</f>
        <v>Capital Goods</v>
      </c>
      <c r="C418" s="7">
        <v>910690</v>
      </c>
      <c r="D418" s="8" t="s">
        <v>895</v>
      </c>
      <c r="E418" s="17" t="s">
        <v>19</v>
      </c>
      <c r="F418" s="8"/>
      <c r="G418" s="8"/>
      <c r="H418" s="9" t="s">
        <v>496</v>
      </c>
      <c r="I418" s="9" t="s">
        <v>781</v>
      </c>
      <c r="J418" s="17" t="str">
        <f>_xlfn.IFNA(VLOOKUP(C418, '[2]Unique HS'!$B$4:$J$999, 9, FALSE), "No")</f>
        <v>Yes</v>
      </c>
      <c r="K418" s="18">
        <f>VLOOKUP(C418, '[1]India EXIM'!$B$6:$C$580, 2, FALSE)</f>
        <v>6.804530229E-3</v>
      </c>
      <c r="L418" s="11">
        <f>VLOOKUP(C418, '[1]China EXIM'!$B$6:$D$580, 3, FALSE)</f>
        <v>0.23596275968700001</v>
      </c>
      <c r="M418" s="6"/>
      <c r="N418" s="6"/>
      <c r="O418" s="6"/>
      <c r="P418" s="10" t="s">
        <v>24</v>
      </c>
      <c r="Q418" s="9" t="s">
        <v>496</v>
      </c>
      <c r="U418" s="1" t="s">
        <v>25</v>
      </c>
    </row>
    <row r="419" spans="2:22" hidden="1">
      <c r="B419" s="6" t="str">
        <f>VLOOKUP(C419, [1]Definition!$D$5:$K$5665, 8, FALSE)</f>
        <v>Capital Goods</v>
      </c>
      <c r="C419" s="7">
        <v>844530</v>
      </c>
      <c r="D419" s="8" t="s">
        <v>896</v>
      </c>
      <c r="E419" s="17" t="s">
        <v>19</v>
      </c>
      <c r="F419" s="8"/>
      <c r="G419" s="8"/>
      <c r="H419" s="9" t="s">
        <v>55</v>
      </c>
      <c r="I419" s="9" t="s">
        <v>56</v>
      </c>
      <c r="J419" s="17" t="str">
        <f>_xlfn.IFNA(VLOOKUP(C419, '[2]Unique HS'!$B$4:$J$999, 9, FALSE), "No")</f>
        <v>No</v>
      </c>
      <c r="K419" s="18">
        <f>VLOOKUP(C419, '[1]India EXIM'!$B$6:$C$580, 2, FALSE)</f>
        <v>6.6320594960000007E-3</v>
      </c>
      <c r="L419" s="11">
        <f>VLOOKUP(C419, '[1]China EXIM'!$B$6:$D$580, 3, FALSE)</f>
        <v>0.161341095159</v>
      </c>
      <c r="M419" s="6"/>
      <c r="N419" s="6"/>
      <c r="O419" s="6"/>
      <c r="P419" s="10" t="s">
        <v>24</v>
      </c>
      <c r="Q419" s="9" t="s">
        <v>55</v>
      </c>
      <c r="S419" s="1" t="s">
        <v>136</v>
      </c>
      <c r="U419" s="1" t="s">
        <v>137</v>
      </c>
    </row>
    <row r="420" spans="2:22" ht="56.1" hidden="1">
      <c r="B420" s="6" t="str">
        <f>VLOOKUP(C420, [1]Definition!$D$5:$K$5665, 8, FALSE)</f>
        <v>Capital Goods</v>
      </c>
      <c r="C420" s="7">
        <v>820540</v>
      </c>
      <c r="D420" s="8" t="s">
        <v>897</v>
      </c>
      <c r="E420" s="17" t="s">
        <v>19</v>
      </c>
      <c r="F420" s="8"/>
      <c r="G420" s="8"/>
      <c r="H420" s="9" t="s">
        <v>65</v>
      </c>
      <c r="I420" s="9" t="s">
        <v>690</v>
      </c>
      <c r="J420" s="17" t="str">
        <f>_xlfn.IFNA(VLOOKUP(C420, '[2]Unique HS'!$B$4:$J$999, 9, FALSE), "No")</f>
        <v>Yes</v>
      </c>
      <c r="K420" s="18">
        <f>VLOOKUP(C420, '[1]India EXIM'!$B$6:$C$580, 2, FALSE)</f>
        <v>6.3898275439999994E-3</v>
      </c>
      <c r="L420" s="11">
        <f>VLOOKUP(C420, '[1]China EXIM'!$B$6:$D$580, 3, FALSE)</f>
        <v>0.98494840515299997</v>
      </c>
      <c r="M420" s="6" t="s">
        <v>210</v>
      </c>
      <c r="N420" s="6"/>
      <c r="O420" s="9"/>
      <c r="P420" s="10" t="s">
        <v>24</v>
      </c>
      <c r="Q420" s="11" t="s">
        <v>210</v>
      </c>
      <c r="U420" s="1" t="s">
        <v>211</v>
      </c>
    </row>
    <row r="421" spans="2:22" ht="27.95" hidden="1">
      <c r="B421" s="6" t="str">
        <f>VLOOKUP(C421, [1]Definition!$D$5:$K$5665, 8, FALSE)</f>
        <v>Capital Goods</v>
      </c>
      <c r="C421" s="7">
        <v>843280</v>
      </c>
      <c r="D421" s="8" t="s">
        <v>898</v>
      </c>
      <c r="E421" s="17" t="s">
        <v>19</v>
      </c>
      <c r="F421" s="8"/>
      <c r="G421" s="8"/>
      <c r="H421" s="9" t="s">
        <v>58</v>
      </c>
      <c r="I421" s="9" t="s">
        <v>899</v>
      </c>
      <c r="J421" s="17" t="str">
        <f>_xlfn.IFNA(VLOOKUP(C421, '[2]Unique HS'!$B$4:$J$999, 9, FALSE), "No")</f>
        <v>No</v>
      </c>
      <c r="K421" s="18">
        <f>VLOOKUP(C421, '[1]India EXIM'!$B$6:$C$580, 2, FALSE)</f>
        <v>6.3556009110000006E-3</v>
      </c>
      <c r="L421" s="11">
        <f>VLOOKUP(C421, '[1]China EXIM'!$B$6:$D$580, 3, FALSE)</f>
        <v>1.4452164390220001</v>
      </c>
      <c r="M421" s="6" t="s">
        <v>160</v>
      </c>
      <c r="N421" s="6"/>
      <c r="O421" s="6"/>
      <c r="P421" s="10" t="s">
        <v>24</v>
      </c>
      <c r="Q421" s="9" t="s">
        <v>58</v>
      </c>
      <c r="U421" s="1" t="s">
        <v>25</v>
      </c>
    </row>
    <row r="422" spans="2:22" ht="42" hidden="1">
      <c r="B422" s="6" t="str">
        <f>VLOOKUP(C422, [1]Definition!$D$5:$K$5665, 8, FALSE)</f>
        <v>Capital Goods</v>
      </c>
      <c r="C422" s="7">
        <v>848610</v>
      </c>
      <c r="D422" s="8" t="s">
        <v>900</v>
      </c>
      <c r="E422" s="17" t="s">
        <v>19</v>
      </c>
      <c r="F422" s="8"/>
      <c r="G422" s="8" t="s">
        <v>901</v>
      </c>
      <c r="H422" s="9" t="s">
        <v>46</v>
      </c>
      <c r="I422" s="9" t="s">
        <v>31</v>
      </c>
      <c r="J422" s="17" t="str">
        <f>_xlfn.IFNA(VLOOKUP(C422, '[2]Unique HS'!$B$4:$J$999, 9, FALSE), "No")</f>
        <v>No</v>
      </c>
      <c r="K422" s="18">
        <f>VLOOKUP(C422, '[1]India EXIM'!$B$6:$C$580, 2, FALSE)</f>
        <v>6.2009344710000002E-3</v>
      </c>
      <c r="L422" s="11">
        <f>VLOOKUP(C422, '[1]China EXIM'!$B$6:$D$580, 3, FALSE)</f>
        <v>3.2774372175229995</v>
      </c>
      <c r="M422" s="6"/>
      <c r="N422" s="6"/>
      <c r="O422" s="6"/>
      <c r="P422" s="10" t="s">
        <v>24</v>
      </c>
      <c r="Q422" s="9" t="s">
        <v>46</v>
      </c>
      <c r="U422" s="1" t="s">
        <v>25</v>
      </c>
    </row>
    <row r="423" spans="2:22" ht="56.1" hidden="1">
      <c r="B423" s="6" t="str">
        <f>VLOOKUP(C423, [1]Definition!$D$5:$K$5665, 8, FALSE)</f>
        <v>Capital Goods</v>
      </c>
      <c r="C423" s="7">
        <v>902820</v>
      </c>
      <c r="D423" s="8" t="s">
        <v>902</v>
      </c>
      <c r="E423" s="17" t="s">
        <v>19</v>
      </c>
      <c r="F423" s="8" t="s">
        <v>903</v>
      </c>
      <c r="G423" s="8" t="s">
        <v>904</v>
      </c>
      <c r="H423" s="9" t="s">
        <v>22</v>
      </c>
      <c r="I423" s="9" t="s">
        <v>711</v>
      </c>
      <c r="J423" s="17" t="str">
        <f>_xlfn.IFNA(VLOOKUP(C423, '[2]Unique HS'!$B$4:$J$999, 9, FALSE), "No")</f>
        <v>Yes</v>
      </c>
      <c r="K423" s="18">
        <f>VLOOKUP(C423, '[1]India EXIM'!$B$6:$C$580, 2, FALSE)</f>
        <v>6.0392247369999994E-3</v>
      </c>
      <c r="L423" s="11">
        <f>VLOOKUP(C423, '[1]China EXIM'!$B$6:$D$580, 3, FALSE)</f>
        <v>1.6853011760850001</v>
      </c>
      <c r="M423" s="6"/>
      <c r="N423" s="6"/>
      <c r="O423" s="6"/>
      <c r="P423" s="10" t="s">
        <v>24</v>
      </c>
      <c r="Q423" s="11" t="s">
        <v>22</v>
      </c>
      <c r="S423" s="1" t="s">
        <v>136</v>
      </c>
      <c r="U423" s="1" t="s">
        <v>137</v>
      </c>
      <c r="V423" s="1" t="s">
        <v>542</v>
      </c>
    </row>
    <row r="424" spans="2:22" ht="27.95" hidden="1">
      <c r="B424" s="6" t="str">
        <f>VLOOKUP(C424, [1]Definition!$D$5:$K$5665, 8, FALSE)</f>
        <v>Capital Goods</v>
      </c>
      <c r="C424" s="7">
        <v>820810</v>
      </c>
      <c r="D424" s="8" t="s">
        <v>905</v>
      </c>
      <c r="E424" s="17" t="s">
        <v>19</v>
      </c>
      <c r="F424" s="8"/>
      <c r="G424" s="8"/>
      <c r="H424" s="9" t="s">
        <v>65</v>
      </c>
      <c r="I424" s="9" t="s">
        <v>906</v>
      </c>
      <c r="J424" s="17" t="str">
        <f>_xlfn.IFNA(VLOOKUP(C424, '[2]Unique HS'!$B$4:$J$999, 9, FALSE), "No")</f>
        <v>Yes</v>
      </c>
      <c r="K424" s="18">
        <f>VLOOKUP(C424, '[1]India EXIM'!$B$6:$C$580, 2, FALSE)</f>
        <v>5.9598144050000005E-3</v>
      </c>
      <c r="L424" s="11">
        <f>VLOOKUP(C424, '[1]China EXIM'!$B$6:$D$580, 3, FALSE)</f>
        <v>0.75919324810900002</v>
      </c>
      <c r="M424" s="6" t="s">
        <v>210</v>
      </c>
      <c r="N424" s="6"/>
      <c r="O424" s="6"/>
      <c r="P424" s="10" t="s">
        <v>24</v>
      </c>
      <c r="Q424" s="11" t="s">
        <v>202</v>
      </c>
      <c r="S424" s="1" t="s">
        <v>136</v>
      </c>
      <c r="U424" s="1" t="s">
        <v>137</v>
      </c>
    </row>
    <row r="425" spans="2:22" ht="27.95" hidden="1">
      <c r="B425" s="6" t="str">
        <f>VLOOKUP(C425, [1]Definition!$D$5:$K$5665, 8, FALSE)</f>
        <v>Capital Goods</v>
      </c>
      <c r="C425" s="7">
        <v>901060</v>
      </c>
      <c r="D425" s="8" t="s">
        <v>907</v>
      </c>
      <c r="E425" s="17" t="s">
        <v>205</v>
      </c>
      <c r="F425" s="8"/>
      <c r="G425" s="8"/>
      <c r="H425" s="9" t="s">
        <v>166</v>
      </c>
      <c r="I425" s="9" t="s">
        <v>201</v>
      </c>
      <c r="J425" s="17" t="str">
        <f>_xlfn.IFNA(VLOOKUP(C425, '[2]Unique HS'!$B$4:$J$999, 9, FALSE), "No")</f>
        <v>No</v>
      </c>
      <c r="K425" s="22">
        <f>VLOOKUP(C425, '[1]India EXIM'!$B$6:$C$580, 2, FALSE)</f>
        <v>5.8483057359999995E-3</v>
      </c>
      <c r="L425" s="11">
        <f>VLOOKUP(C425, '[1]China EXIM'!$B$6:$D$580, 3, FALSE)</f>
        <v>0.27783130198799999</v>
      </c>
      <c r="M425" s="6"/>
      <c r="N425" s="6"/>
      <c r="O425" s="6"/>
      <c r="P425" s="10" t="s">
        <v>24</v>
      </c>
      <c r="Q425" s="11" t="s">
        <v>466</v>
      </c>
      <c r="U425" s="1" t="s">
        <v>25</v>
      </c>
    </row>
    <row r="426" spans="2:22" ht="27.95" hidden="1">
      <c r="B426" s="6" t="str">
        <f>VLOOKUP(C426, [1]Definition!$D$5:$K$5665, 8, FALSE)</f>
        <v>Capital Goods</v>
      </c>
      <c r="C426" s="7">
        <v>820110</v>
      </c>
      <c r="D426" s="8" t="s">
        <v>908</v>
      </c>
      <c r="E426" s="17" t="s">
        <v>19</v>
      </c>
      <c r="F426" s="8"/>
      <c r="G426" s="8"/>
      <c r="H426" s="9" t="s">
        <v>58</v>
      </c>
      <c r="I426" s="9" t="s">
        <v>909</v>
      </c>
      <c r="J426" s="17" t="str">
        <f>_xlfn.IFNA(VLOOKUP(C426, '[2]Unique HS'!$B$4:$J$999, 9, FALSE), "No")</f>
        <v>No</v>
      </c>
      <c r="K426" s="18">
        <f>VLOOKUP(C426, '[1]India EXIM'!$B$6:$C$580, 2, FALSE)</f>
        <v>5.6399013640000004E-3</v>
      </c>
      <c r="L426" s="11">
        <f>VLOOKUP(C426, '[1]China EXIM'!$B$6:$D$580, 3, FALSE)</f>
        <v>0.53924147599799999</v>
      </c>
      <c r="M426" s="6" t="s">
        <v>210</v>
      </c>
      <c r="N426" s="6"/>
      <c r="O426" s="9"/>
      <c r="P426" s="10" t="s">
        <v>24</v>
      </c>
      <c r="Q426" s="11" t="s">
        <v>210</v>
      </c>
      <c r="U426" s="1" t="s">
        <v>25</v>
      </c>
    </row>
    <row r="427" spans="2:22" ht="27.95" hidden="1">
      <c r="B427" s="6" t="str">
        <f>VLOOKUP(C427, [1]Definition!$D$5:$K$5665, 8, FALSE)</f>
        <v>Capital Goods</v>
      </c>
      <c r="C427" s="7">
        <v>842940</v>
      </c>
      <c r="D427" s="8" t="s">
        <v>910</v>
      </c>
      <c r="E427" s="17" t="s">
        <v>19</v>
      </c>
      <c r="F427" s="8"/>
      <c r="G427" s="8"/>
      <c r="H427" s="9" t="s">
        <v>58</v>
      </c>
      <c r="I427" s="9" t="s">
        <v>31</v>
      </c>
      <c r="J427" s="17" t="str">
        <f>_xlfn.IFNA(VLOOKUP(C427, '[2]Unique HS'!$B$4:$J$999, 9, FALSE), "No")</f>
        <v>No</v>
      </c>
      <c r="K427" s="18">
        <f>VLOOKUP(C427, '[1]India EXIM'!$B$6:$C$580, 2, FALSE)</f>
        <v>5.6295851299999998E-3</v>
      </c>
      <c r="L427" s="11">
        <f>VLOOKUP(C427, '[1]China EXIM'!$B$6:$D$580, 3, FALSE)</f>
        <v>2.8680159760560002</v>
      </c>
      <c r="M427" s="9" t="s">
        <v>768</v>
      </c>
      <c r="N427" s="9"/>
      <c r="O427" s="6"/>
      <c r="P427" s="10" t="s">
        <v>24</v>
      </c>
      <c r="Q427" s="9" t="s">
        <v>58</v>
      </c>
      <c r="U427" s="1" t="s">
        <v>25</v>
      </c>
    </row>
    <row r="428" spans="2:22" ht="27.95" hidden="1">
      <c r="B428" s="6" t="str">
        <f>VLOOKUP(C428, [1]Definition!$D$5:$K$5665, 8, FALSE)</f>
        <v>Capital Goods</v>
      </c>
      <c r="C428" s="7">
        <v>842691</v>
      </c>
      <c r="D428" s="8" t="s">
        <v>911</v>
      </c>
      <c r="E428" s="17" t="s">
        <v>19</v>
      </c>
      <c r="F428" s="8"/>
      <c r="G428" s="8"/>
      <c r="H428" s="9" t="s">
        <v>58</v>
      </c>
      <c r="I428" s="9" t="s">
        <v>31</v>
      </c>
      <c r="J428" s="17" t="str">
        <f>_xlfn.IFNA(VLOOKUP(C428, '[2]Unique HS'!$B$4:$J$999, 9, FALSE), "No")</f>
        <v>No</v>
      </c>
      <c r="K428" s="18">
        <f>VLOOKUP(C428, '[1]India EXIM'!$B$6:$C$580, 2, FALSE)</f>
        <v>5.5424588309999998E-3</v>
      </c>
      <c r="L428" s="11">
        <f>VLOOKUP(C428, '[1]China EXIM'!$B$6:$D$580, 3, FALSE)</f>
        <v>3.0113025509029998</v>
      </c>
      <c r="M428" s="9" t="s">
        <v>80</v>
      </c>
      <c r="N428" s="9"/>
      <c r="O428" s="6"/>
      <c r="P428" s="10" t="s">
        <v>24</v>
      </c>
      <c r="Q428" s="9" t="s">
        <v>58</v>
      </c>
      <c r="U428" s="1" t="s">
        <v>25</v>
      </c>
    </row>
    <row r="429" spans="2:22" ht="42" hidden="1">
      <c r="B429" s="6" t="str">
        <f>VLOOKUP(C429, [1]Definition!$D$5:$K$5665, 8, FALSE)</f>
        <v>Capital Goods</v>
      </c>
      <c r="C429" s="7">
        <v>846259</v>
      </c>
      <c r="D429" s="8" t="s">
        <v>912</v>
      </c>
      <c r="E429" s="17" t="s">
        <v>19</v>
      </c>
      <c r="F429" s="8"/>
      <c r="G429" s="8"/>
      <c r="H429" s="9" t="s">
        <v>65</v>
      </c>
      <c r="I429" s="9" t="s">
        <v>31</v>
      </c>
      <c r="J429" s="17" t="str">
        <f>_xlfn.IFNA(VLOOKUP(C429, '[2]Unique HS'!$B$4:$J$999, 9, FALSE), "No")</f>
        <v>No</v>
      </c>
      <c r="K429" s="18">
        <f>VLOOKUP(C429, '[1]India EXIM'!$B$6:$C$580, 2, FALSE)</f>
        <v>5.3935788679999996E-3</v>
      </c>
      <c r="L429" s="11">
        <f>VLOOKUP(C429, '[1]China EXIM'!$B$6:$D$580, 3, FALSE)</f>
        <v>9.8322923110000002E-2</v>
      </c>
      <c r="M429" s="6"/>
      <c r="N429" s="6"/>
      <c r="O429" s="6"/>
      <c r="P429" s="10" t="s">
        <v>24</v>
      </c>
      <c r="Q429" s="9" t="s">
        <v>65</v>
      </c>
      <c r="U429" s="1" t="s">
        <v>25</v>
      </c>
    </row>
    <row r="430" spans="2:22" ht="42" hidden="1">
      <c r="B430" s="6" t="str">
        <f>VLOOKUP(C430, [1]Definition!$D$5:$K$5665, 8, FALSE)</f>
        <v>Capital Goods</v>
      </c>
      <c r="C430" s="7">
        <v>841311</v>
      </c>
      <c r="D430" s="8" t="s">
        <v>913</v>
      </c>
      <c r="E430" s="17" t="s">
        <v>205</v>
      </c>
      <c r="F430" s="8"/>
      <c r="G430" s="8"/>
      <c r="H430" s="9" t="s">
        <v>22</v>
      </c>
      <c r="I430" s="9" t="s">
        <v>584</v>
      </c>
      <c r="J430" s="17" t="str">
        <f>_xlfn.IFNA(VLOOKUP(C430, '[2]Unique HS'!$B$4:$J$999, 9, FALSE), "No")</f>
        <v>No</v>
      </c>
      <c r="K430" s="18">
        <f>VLOOKUP(C430, '[1]India EXIM'!$B$6:$C$580, 2, FALSE)</f>
        <v>5.3934718390000001E-3</v>
      </c>
      <c r="L430" s="11">
        <f>VLOOKUP(C430, '[1]China EXIM'!$B$6:$D$580, 3, FALSE)</f>
        <v>0.810302440289</v>
      </c>
      <c r="M430" s="6" t="s">
        <v>103</v>
      </c>
      <c r="N430" s="6"/>
      <c r="O430" s="6"/>
      <c r="P430" s="10" t="s">
        <v>24</v>
      </c>
      <c r="Q430" s="9" t="s">
        <v>22</v>
      </c>
      <c r="U430" s="1" t="s">
        <v>25</v>
      </c>
    </row>
    <row r="431" spans="2:22" ht="42" hidden="1">
      <c r="B431" s="6" t="str">
        <f>VLOOKUP(C431, [1]Definition!$D$5:$K$5665, 8, FALSE)</f>
        <v>Capital Goods</v>
      </c>
      <c r="C431" s="7">
        <v>842831</v>
      </c>
      <c r="D431" s="8" t="s">
        <v>914</v>
      </c>
      <c r="E431" s="17" t="s">
        <v>19</v>
      </c>
      <c r="F431" s="8"/>
      <c r="G431" s="8"/>
      <c r="H431" s="9" t="s">
        <v>58</v>
      </c>
      <c r="I431" s="9" t="s">
        <v>31</v>
      </c>
      <c r="J431" s="17" t="str">
        <f>_xlfn.IFNA(VLOOKUP(C431, '[2]Unique HS'!$B$4:$J$999, 9, FALSE), "No")</f>
        <v>No</v>
      </c>
      <c r="K431" s="18">
        <f>VLOOKUP(C431, '[1]India EXIM'!$B$6:$C$580, 2, FALSE)</f>
        <v>5.3905385760000006E-3</v>
      </c>
      <c r="L431" s="11">
        <f>VLOOKUP(C431, '[1]China EXIM'!$B$6:$D$580, 3, FALSE)</f>
        <v>8.6136436755999995E-2</v>
      </c>
      <c r="M431" s="9" t="s">
        <v>59</v>
      </c>
      <c r="N431" s="9"/>
      <c r="O431" s="6"/>
      <c r="P431" s="10" t="s">
        <v>24</v>
      </c>
      <c r="Q431" s="9" t="s">
        <v>58</v>
      </c>
      <c r="S431" s="1" t="s">
        <v>136</v>
      </c>
      <c r="U431" s="1" t="s">
        <v>137</v>
      </c>
    </row>
    <row r="432" spans="2:22" ht="27.95" hidden="1">
      <c r="B432" s="6" t="str">
        <f>VLOOKUP(C432, [1]Definition!$D$5:$K$5665, 8, FALSE)</f>
        <v>Capital Goods</v>
      </c>
      <c r="C432" s="7">
        <v>847431</v>
      </c>
      <c r="D432" s="8" t="s">
        <v>915</v>
      </c>
      <c r="E432" s="17" t="s">
        <v>19</v>
      </c>
      <c r="F432" s="8"/>
      <c r="G432" s="8"/>
      <c r="H432" s="9" t="s">
        <v>58</v>
      </c>
      <c r="I432" s="9" t="s">
        <v>916</v>
      </c>
      <c r="J432" s="17" t="str">
        <f>_xlfn.IFNA(VLOOKUP(C432, '[2]Unique HS'!$B$4:$J$999, 9, FALSE), "No")</f>
        <v>No</v>
      </c>
      <c r="K432" s="18">
        <f>VLOOKUP(C432, '[1]India EXIM'!$B$6:$C$580, 2, FALSE)</f>
        <v>5.2779969879999996E-3</v>
      </c>
      <c r="L432" s="11">
        <f>VLOOKUP(C432, '[1]China EXIM'!$B$6:$D$580, 3, FALSE)</f>
        <v>1.1529879786549999</v>
      </c>
      <c r="M432" s="6"/>
      <c r="N432" s="6"/>
      <c r="O432" s="6"/>
      <c r="P432" s="10" t="s">
        <v>24</v>
      </c>
      <c r="Q432" s="9" t="s">
        <v>58</v>
      </c>
      <c r="U432" s="1" t="s">
        <v>25</v>
      </c>
    </row>
    <row r="433" spans="2:22" ht="27.95" hidden="1">
      <c r="B433" s="6" t="str">
        <f>VLOOKUP(C433, [1]Definition!$D$5:$K$5665, 8, FALSE)</f>
        <v>Capital Goods</v>
      </c>
      <c r="C433" s="7">
        <v>820820</v>
      </c>
      <c r="D433" s="8" t="s">
        <v>917</v>
      </c>
      <c r="E433" s="17" t="s">
        <v>19</v>
      </c>
      <c r="F433" s="8"/>
      <c r="G433" s="8"/>
      <c r="H433" s="9" t="s">
        <v>65</v>
      </c>
      <c r="I433" s="9" t="s">
        <v>918</v>
      </c>
      <c r="J433" s="17" t="str">
        <f>_xlfn.IFNA(VLOOKUP(C433, '[2]Unique HS'!$B$4:$J$999, 9, FALSE), "No")</f>
        <v>Yes</v>
      </c>
      <c r="K433" s="18">
        <f>VLOOKUP(C433, '[1]India EXIM'!$B$6:$C$580, 2, FALSE)</f>
        <v>5.2303163430000004E-3</v>
      </c>
      <c r="L433" s="11">
        <f>VLOOKUP(C433, '[1]China EXIM'!$B$6:$D$580, 3, FALSE)</f>
        <v>0.41519456610900002</v>
      </c>
      <c r="M433" s="6" t="s">
        <v>210</v>
      </c>
      <c r="N433" s="6"/>
      <c r="O433" s="6"/>
      <c r="P433" s="10" t="s">
        <v>24</v>
      </c>
      <c r="Q433" s="11" t="s">
        <v>202</v>
      </c>
      <c r="S433" s="1" t="s">
        <v>136</v>
      </c>
      <c r="U433" s="1" t="s">
        <v>137</v>
      </c>
    </row>
    <row r="434" spans="2:22" ht="69.95" hidden="1">
      <c r="B434" s="6" t="str">
        <f>VLOOKUP(C434, [1]Definition!$D$5:$K$5665, 8, FALSE)</f>
        <v>Capital Goods</v>
      </c>
      <c r="C434" s="7">
        <v>841610</v>
      </c>
      <c r="D434" s="8" t="s">
        <v>919</v>
      </c>
      <c r="E434" s="17" t="s">
        <v>19</v>
      </c>
      <c r="F434" s="8" t="s">
        <v>920</v>
      </c>
      <c r="G434" s="8" t="s">
        <v>921</v>
      </c>
      <c r="H434" s="9" t="s">
        <v>22</v>
      </c>
      <c r="I434" s="9" t="s">
        <v>922</v>
      </c>
      <c r="J434" s="17" t="str">
        <f>_xlfn.IFNA(VLOOKUP(C434, '[2]Unique HS'!$B$4:$J$999, 9, FALSE), "No")</f>
        <v>No</v>
      </c>
      <c r="K434" s="18">
        <f>VLOOKUP(C434, '[1]India EXIM'!$B$6:$C$580, 2, FALSE)</f>
        <v>5.1920741189999996E-3</v>
      </c>
      <c r="L434" s="11">
        <f>VLOOKUP(C434, '[1]China EXIM'!$B$6:$D$580, 3, FALSE)</f>
        <v>0.23399765947699999</v>
      </c>
      <c r="M434" s="9" t="s">
        <v>82</v>
      </c>
      <c r="N434" s="9"/>
      <c r="O434" s="6"/>
      <c r="P434" s="10" t="s">
        <v>24</v>
      </c>
      <c r="Q434" s="9" t="s">
        <v>22</v>
      </c>
      <c r="U434" s="1" t="s">
        <v>25</v>
      </c>
    </row>
    <row r="435" spans="2:22" ht="42" hidden="1">
      <c r="B435" s="6" t="str">
        <f>VLOOKUP(C435, [1]Definition!$D$5:$K$5665, 8, FALSE)</f>
        <v>Capital Goods</v>
      </c>
      <c r="C435" s="7">
        <v>821193</v>
      </c>
      <c r="D435" s="8" t="s">
        <v>923</v>
      </c>
      <c r="E435" s="17" t="s">
        <v>19</v>
      </c>
      <c r="F435" s="8"/>
      <c r="G435" s="8"/>
      <c r="H435" s="9" t="s">
        <v>65</v>
      </c>
      <c r="I435" s="9" t="s">
        <v>924</v>
      </c>
      <c r="J435" s="17" t="str">
        <f>_xlfn.IFNA(VLOOKUP(C435, '[2]Unique HS'!$B$4:$J$999, 9, FALSE), "No")</f>
        <v>Yes</v>
      </c>
      <c r="K435" s="18">
        <f>VLOOKUP(C435, '[1]India EXIM'!$B$6:$C$580, 2, FALSE)</f>
        <v>5.1773559139999996E-3</v>
      </c>
      <c r="L435" s="11">
        <f>VLOOKUP(C435, '[1]China EXIM'!$B$6:$D$580, 3, FALSE)</f>
        <v>0.72264639154099997</v>
      </c>
      <c r="M435" s="6" t="s">
        <v>210</v>
      </c>
      <c r="N435" s="6"/>
      <c r="O435" s="6" t="s">
        <v>925</v>
      </c>
      <c r="P435" s="10" t="s">
        <v>24</v>
      </c>
      <c r="Q435" s="11" t="s">
        <v>210</v>
      </c>
      <c r="S435" s="1" t="s">
        <v>136</v>
      </c>
      <c r="U435" s="1" t="s">
        <v>137</v>
      </c>
    </row>
    <row r="436" spans="2:22" ht="42" hidden="1">
      <c r="B436" s="6" t="str">
        <f>VLOOKUP(C436, [1]Definition!$D$5:$K$5665, 8, FALSE)</f>
        <v>Capital Goods</v>
      </c>
      <c r="C436" s="7">
        <v>870192</v>
      </c>
      <c r="D436" s="8" t="s">
        <v>926</v>
      </c>
      <c r="E436" s="17" t="s">
        <v>19</v>
      </c>
      <c r="F436" s="8"/>
      <c r="G436" s="8"/>
      <c r="H436" s="9" t="s">
        <v>58</v>
      </c>
      <c r="I436" s="9" t="s">
        <v>31</v>
      </c>
      <c r="J436" s="17" t="str">
        <f>_xlfn.IFNA(VLOOKUP(C436, '[2]Unique HS'!$B$4:$J$999, 9, FALSE), "No")</f>
        <v>No</v>
      </c>
      <c r="K436" s="18">
        <f>VLOOKUP(C436, '[1]India EXIM'!$B$6:$C$580, 2, FALSE)</f>
        <v>5.0138354989999996E-3</v>
      </c>
      <c r="L436" s="11">
        <f>VLOOKUP(C436, '[1]China EXIM'!$B$6:$D$580, 3, FALSE)</f>
        <v>2.0014702381639999</v>
      </c>
      <c r="M436" s="6"/>
      <c r="N436" s="6"/>
      <c r="O436" s="6"/>
      <c r="P436" s="10" t="s">
        <v>24</v>
      </c>
      <c r="Q436" s="9" t="s">
        <v>58</v>
      </c>
      <c r="U436" s="1" t="s">
        <v>25</v>
      </c>
    </row>
    <row r="437" spans="2:22" ht="56.1" hidden="1">
      <c r="B437" s="6" t="str">
        <f>VLOOKUP(C437, [1]Definition!$D$5:$K$5665, 8, FALSE)</f>
        <v>Capital Goods</v>
      </c>
      <c r="C437" s="7">
        <v>842381</v>
      </c>
      <c r="D437" s="8" t="s">
        <v>927</v>
      </c>
      <c r="E437" s="17" t="s">
        <v>19</v>
      </c>
      <c r="F437" s="8"/>
      <c r="G437" s="8" t="s">
        <v>928</v>
      </c>
      <c r="H437" s="9" t="s">
        <v>22</v>
      </c>
      <c r="I437" s="9" t="s">
        <v>486</v>
      </c>
      <c r="J437" s="17" t="str">
        <f>_xlfn.IFNA(VLOOKUP(C437, '[2]Unique HS'!$B$4:$J$999, 9, FALSE), "No")</f>
        <v>Yes</v>
      </c>
      <c r="K437" s="18">
        <f>VLOOKUP(C437, '[1]India EXIM'!$B$6:$C$580, 2, FALSE)</f>
        <v>5.0134382229999998E-3</v>
      </c>
      <c r="L437" s="11">
        <f>VLOOKUP(C437, '[1]China EXIM'!$B$6:$D$580, 3, FALSE)</f>
        <v>0.74849261771599995</v>
      </c>
      <c r="M437" s="6"/>
      <c r="N437" s="6"/>
      <c r="O437" s="6"/>
      <c r="P437" s="10" t="s">
        <v>24</v>
      </c>
      <c r="Q437" s="9" t="s">
        <v>22</v>
      </c>
      <c r="S437" s="1" t="s">
        <v>136</v>
      </c>
      <c r="U437" s="1" t="s">
        <v>137</v>
      </c>
    </row>
    <row r="438" spans="2:22" ht="27.95" hidden="1">
      <c r="B438" s="6" t="str">
        <f>VLOOKUP(C438, [1]Definition!$D$5:$K$5665, 8, FALSE)</f>
        <v>Capital Goods</v>
      </c>
      <c r="C438" s="7">
        <v>842122</v>
      </c>
      <c r="D438" s="8" t="s">
        <v>929</v>
      </c>
      <c r="E438" s="17" t="s">
        <v>19</v>
      </c>
      <c r="F438" s="8"/>
      <c r="G438" s="8"/>
      <c r="H438" s="9" t="s">
        <v>61</v>
      </c>
      <c r="I438" s="9" t="s">
        <v>930</v>
      </c>
      <c r="J438" s="17" t="str">
        <f>_xlfn.IFNA(VLOOKUP(C438, '[2]Unique HS'!$B$4:$J$999, 9, FALSE), "No")</f>
        <v>No</v>
      </c>
      <c r="K438" s="18">
        <f>VLOOKUP(C438, '[1]India EXIM'!$B$6:$C$580, 2, FALSE)</f>
        <v>4.9387774819999999E-3</v>
      </c>
      <c r="L438" s="11">
        <f>VLOOKUP(C438, '[1]China EXIM'!$B$6:$D$580, 3, FALSE)</f>
        <v>0.376830092231</v>
      </c>
      <c r="M438" s="6"/>
      <c r="N438" s="6"/>
      <c r="O438" s="6"/>
      <c r="P438" s="10" t="s">
        <v>24</v>
      </c>
      <c r="Q438" s="9" t="s">
        <v>61</v>
      </c>
      <c r="U438" s="1" t="s">
        <v>25</v>
      </c>
    </row>
    <row r="439" spans="2:22" ht="27.95" hidden="1">
      <c r="B439" s="6" t="str">
        <f>VLOOKUP(C439, [1]Definition!$D$5:$K$5665, 8, FALSE)</f>
        <v>Capital Goods</v>
      </c>
      <c r="C439" s="7">
        <v>890790</v>
      </c>
      <c r="D439" s="8" t="s">
        <v>931</v>
      </c>
      <c r="E439" s="17" t="s">
        <v>205</v>
      </c>
      <c r="F439" s="8"/>
      <c r="G439" s="8"/>
      <c r="H439" s="9" t="s">
        <v>166</v>
      </c>
      <c r="I439" s="9" t="s">
        <v>201</v>
      </c>
      <c r="J439" s="17" t="str">
        <f>_xlfn.IFNA(VLOOKUP(C439, '[2]Unique HS'!$B$4:$J$999, 9, FALSE), "No")</f>
        <v>No</v>
      </c>
      <c r="K439" s="22">
        <f>VLOOKUP(C439, '[1]India EXIM'!$B$6:$C$580, 2, FALSE)</f>
        <v>4.928604671E-3</v>
      </c>
      <c r="L439" s="11">
        <f>VLOOKUP(C439, '[1]China EXIM'!$B$6:$D$580, 3, FALSE)</f>
        <v>0.90012255913400008</v>
      </c>
      <c r="M439" s="6" t="s">
        <v>932</v>
      </c>
      <c r="N439" s="6"/>
      <c r="O439" s="6"/>
      <c r="P439" s="10" t="s">
        <v>24</v>
      </c>
      <c r="Q439" s="9" t="s">
        <v>932</v>
      </c>
      <c r="U439" s="1" t="s">
        <v>25</v>
      </c>
    </row>
    <row r="440" spans="2:22" ht="27.95" hidden="1">
      <c r="B440" s="6" t="str">
        <f>VLOOKUP(C440, [1]Definition!$D$5:$K$5665, 8, FALSE)</f>
        <v>Capital Goods</v>
      </c>
      <c r="C440" s="7">
        <v>900580</v>
      </c>
      <c r="D440" s="8" t="s">
        <v>933</v>
      </c>
      <c r="E440" s="17" t="s">
        <v>205</v>
      </c>
      <c r="F440" s="8"/>
      <c r="G440" s="8"/>
      <c r="H440" s="9" t="s">
        <v>166</v>
      </c>
      <c r="I440" s="9" t="s">
        <v>201</v>
      </c>
      <c r="J440" s="17" t="str">
        <f>_xlfn.IFNA(VLOOKUP(C440, '[2]Unique HS'!$B$4:$J$999, 9, FALSE), "No")</f>
        <v>No</v>
      </c>
      <c r="K440" s="22">
        <f>VLOOKUP(C440, '[1]India EXIM'!$B$6:$C$580, 2, FALSE)</f>
        <v>4.8468406870000001E-3</v>
      </c>
      <c r="L440" s="11">
        <f>VLOOKUP(C440, '[1]China EXIM'!$B$6:$D$580, 3, FALSE)</f>
        <v>0.72744580762</v>
      </c>
      <c r="M440" s="6"/>
      <c r="N440" s="6"/>
      <c r="O440" s="6"/>
      <c r="P440" s="10" t="s">
        <v>24</v>
      </c>
      <c r="Q440" s="11" t="s">
        <v>70</v>
      </c>
      <c r="U440" s="1" t="s">
        <v>25</v>
      </c>
    </row>
    <row r="441" spans="2:22" ht="27.95">
      <c r="B441" s="6" t="str">
        <f>VLOOKUP(C441, [1]Definition!$D$5:$K$5665, 8, FALSE)</f>
        <v>Capital Goods</v>
      </c>
      <c r="C441" s="7">
        <v>900659</v>
      </c>
      <c r="D441" s="8" t="s">
        <v>934</v>
      </c>
      <c r="E441" s="17" t="s">
        <v>119</v>
      </c>
      <c r="F441" s="8" t="s">
        <v>935</v>
      </c>
      <c r="G441" s="8"/>
      <c r="H441" s="9" t="s">
        <v>166</v>
      </c>
      <c r="I441" s="9" t="s">
        <v>201</v>
      </c>
      <c r="J441" s="17" t="str">
        <f>_xlfn.IFNA(VLOOKUP(C441, '[2]Unique HS'!$B$4:$J$999, 9, FALSE), "No")</f>
        <v>Yes</v>
      </c>
      <c r="K441" s="18">
        <f>VLOOKUP(C441, '[1]India EXIM'!$B$6:$C$580, 2, FALSE)</f>
        <v>6.5109362100000006E-4</v>
      </c>
      <c r="L441" s="11">
        <f>VLOOKUP(C441, '[1]China EXIM'!$B$6:$D$580, 3, FALSE)</f>
        <v>0.273228796163</v>
      </c>
      <c r="M441" s="6"/>
      <c r="N441" s="6"/>
      <c r="O441" s="6"/>
      <c r="P441" s="10" t="s">
        <v>24</v>
      </c>
      <c r="Q441" s="11" t="s">
        <v>466</v>
      </c>
      <c r="U441" s="1" t="s">
        <v>211</v>
      </c>
      <c r="V441" s="1" t="s">
        <v>936</v>
      </c>
    </row>
    <row r="442" spans="2:22" ht="27.95" hidden="1">
      <c r="B442" s="6" t="str">
        <f>VLOOKUP(C442, [1]Definition!$D$5:$K$5665, 8, FALSE)</f>
        <v>Capital Goods</v>
      </c>
      <c r="C442" s="7">
        <v>846130</v>
      </c>
      <c r="D442" s="8" t="s">
        <v>937</v>
      </c>
      <c r="E442" s="17" t="s">
        <v>19</v>
      </c>
      <c r="F442" s="8"/>
      <c r="G442" s="8"/>
      <c r="H442" s="9" t="s">
        <v>65</v>
      </c>
      <c r="I442" s="9" t="s">
        <v>31</v>
      </c>
      <c r="J442" s="17" t="str">
        <f>_xlfn.IFNA(VLOOKUP(C442, '[2]Unique HS'!$B$4:$J$999, 9, FALSE), "No")</f>
        <v>No</v>
      </c>
      <c r="K442" s="18">
        <f>VLOOKUP(C442, '[1]India EXIM'!$B$6:$C$580, 2, FALSE)</f>
        <v>4.8071338970000002E-3</v>
      </c>
      <c r="L442" s="11">
        <f>VLOOKUP(C442, '[1]China EXIM'!$B$6:$D$580, 3, FALSE)</f>
        <v>7.268036863699999E-2</v>
      </c>
      <c r="M442" s="6"/>
      <c r="N442" s="6"/>
      <c r="O442" s="6"/>
      <c r="P442" s="10" t="s">
        <v>24</v>
      </c>
      <c r="Q442" s="9" t="s">
        <v>65</v>
      </c>
      <c r="U442" s="1" t="s">
        <v>25</v>
      </c>
    </row>
    <row r="443" spans="2:22" ht="42" hidden="1">
      <c r="B443" s="6" t="str">
        <f>VLOOKUP(C443, [1]Definition!$D$5:$K$5665, 8, FALSE)</f>
        <v>Capital Goods</v>
      </c>
      <c r="C443" s="7">
        <v>901780</v>
      </c>
      <c r="D443" s="8" t="s">
        <v>938</v>
      </c>
      <c r="E443" s="17" t="s">
        <v>142</v>
      </c>
      <c r="F443" s="8" t="s">
        <v>223</v>
      </c>
      <c r="G443" s="8" t="s">
        <v>939</v>
      </c>
      <c r="H443" s="9" t="s">
        <v>166</v>
      </c>
      <c r="I443" s="9" t="s">
        <v>471</v>
      </c>
      <c r="J443" s="17" t="str">
        <f>_xlfn.IFNA(VLOOKUP(C443, '[2]Unique HS'!$B$4:$J$999, 9, FALSE), "No")</f>
        <v>Yes</v>
      </c>
      <c r="K443" s="18">
        <f>VLOOKUP(C443, '[1]India EXIM'!$B$6:$C$580, 2, FALSE)</f>
        <v>4.7484671210000001E-3</v>
      </c>
      <c r="L443" s="11">
        <f>VLOOKUP(C443, '[1]China EXIM'!$B$6:$D$580, 3, FALSE)</f>
        <v>1.265199224004</v>
      </c>
      <c r="M443" s="6"/>
      <c r="N443" s="6"/>
      <c r="O443" s="6"/>
      <c r="P443" s="10" t="s">
        <v>24</v>
      </c>
      <c r="Q443" s="11" t="s">
        <v>39</v>
      </c>
      <c r="U443" s="1" t="s">
        <v>25</v>
      </c>
    </row>
    <row r="444" spans="2:22" ht="27.95" hidden="1">
      <c r="B444" s="6" t="str">
        <f>VLOOKUP(C444, [1]Definition!$D$5:$K$5665, 8, FALSE)</f>
        <v>Capital Goods</v>
      </c>
      <c r="C444" s="7">
        <v>846120</v>
      </c>
      <c r="D444" s="8" t="s">
        <v>940</v>
      </c>
      <c r="E444" s="17" t="s">
        <v>19</v>
      </c>
      <c r="F444" s="8"/>
      <c r="G444" s="8"/>
      <c r="H444" s="9" t="s">
        <v>65</v>
      </c>
      <c r="I444" s="9" t="s">
        <v>31</v>
      </c>
      <c r="J444" s="17" t="str">
        <f>_xlfn.IFNA(VLOOKUP(C444, '[2]Unique HS'!$B$4:$J$999, 9, FALSE), "No")</f>
        <v>No</v>
      </c>
      <c r="K444" s="18">
        <f>VLOOKUP(C444, '[1]India EXIM'!$B$6:$C$580, 2, FALSE)</f>
        <v>4.7003518880000001E-3</v>
      </c>
      <c r="L444" s="11">
        <f>VLOOKUP(C444, '[1]China EXIM'!$B$6:$D$580, 3, FALSE)</f>
        <v>5.2598386744999996E-2</v>
      </c>
      <c r="M444" s="6"/>
      <c r="N444" s="6"/>
      <c r="O444" s="6"/>
      <c r="P444" s="10" t="s">
        <v>24</v>
      </c>
      <c r="Q444" s="9" t="s">
        <v>65</v>
      </c>
      <c r="U444" s="1" t="s">
        <v>25</v>
      </c>
    </row>
    <row r="445" spans="2:22" ht="27.95" hidden="1">
      <c r="B445" s="6" t="str">
        <f>VLOOKUP(C445, [1]Definition!$D$5:$K$5665, 8, FALSE)</f>
        <v>Capital Goods</v>
      </c>
      <c r="C445" s="7">
        <v>820551</v>
      </c>
      <c r="D445" s="8" t="s">
        <v>941</v>
      </c>
      <c r="E445" s="17" t="s">
        <v>19</v>
      </c>
      <c r="F445" s="8"/>
      <c r="G445" s="8"/>
      <c r="H445" s="9" t="s">
        <v>65</v>
      </c>
      <c r="I445" s="9" t="s">
        <v>209</v>
      </c>
      <c r="J445" s="17" t="str">
        <f>_xlfn.IFNA(VLOOKUP(C445, '[2]Unique HS'!$B$4:$J$999, 9, FALSE), "No")</f>
        <v>Yes</v>
      </c>
      <c r="K445" s="18">
        <f>VLOOKUP(C445, '[1]India EXIM'!$B$6:$C$580, 2, FALSE)</f>
        <v>4.672591278E-3</v>
      </c>
      <c r="L445" s="11">
        <f>VLOOKUP(C445, '[1]China EXIM'!$B$6:$D$580, 3, FALSE)</f>
        <v>2.0490730426370001</v>
      </c>
      <c r="M445" s="6" t="s">
        <v>210</v>
      </c>
      <c r="N445" s="6"/>
      <c r="O445" s="9"/>
      <c r="P445" s="10" t="s">
        <v>24</v>
      </c>
      <c r="Q445" s="11" t="s">
        <v>210</v>
      </c>
      <c r="S445" s="1" t="s">
        <v>136</v>
      </c>
      <c r="U445" s="1" t="s">
        <v>137</v>
      </c>
    </row>
    <row r="446" spans="2:22" ht="27.95" hidden="1">
      <c r="B446" s="6" t="str">
        <f>VLOOKUP(C446, [1]Definition!$D$5:$K$5665, 8, FALSE)</f>
        <v>Capital Goods</v>
      </c>
      <c r="C446" s="7">
        <v>845650</v>
      </c>
      <c r="D446" s="8" t="s">
        <v>942</v>
      </c>
      <c r="E446" s="17" t="s">
        <v>19</v>
      </c>
      <c r="F446" s="8"/>
      <c r="G446" s="8"/>
      <c r="H446" s="9" t="s">
        <v>65</v>
      </c>
      <c r="I446" s="9" t="s">
        <v>31</v>
      </c>
      <c r="J446" s="17" t="str">
        <f>_xlfn.IFNA(VLOOKUP(C446, '[2]Unique HS'!$B$4:$J$999, 9, FALSE), "No")</f>
        <v>No</v>
      </c>
      <c r="K446" s="18">
        <f>VLOOKUP(C446, '[1]India EXIM'!$B$6:$C$580, 2, FALSE)</f>
        <v>4.5695161619999994E-3</v>
      </c>
      <c r="L446" s="11">
        <f>VLOOKUP(C446, '[1]China EXIM'!$B$6:$D$580, 3, FALSE)</f>
        <v>0.22500944265299999</v>
      </c>
      <c r="M446" s="6"/>
      <c r="N446" s="6"/>
      <c r="O446" s="6"/>
      <c r="P446" s="10" t="s">
        <v>24</v>
      </c>
      <c r="Q446" s="9" t="s">
        <v>65</v>
      </c>
      <c r="S446" s="1" t="s">
        <v>136</v>
      </c>
      <c r="U446" s="1" t="s">
        <v>137</v>
      </c>
    </row>
    <row r="447" spans="2:22" ht="27.95" hidden="1">
      <c r="B447" s="6" t="str">
        <f>VLOOKUP(C447, [1]Definition!$D$5:$K$5665, 8, FALSE)</f>
        <v>Capital Goods</v>
      </c>
      <c r="C447" s="7">
        <v>850134</v>
      </c>
      <c r="D447" s="8" t="s">
        <v>943</v>
      </c>
      <c r="E447" s="17" t="s">
        <v>27</v>
      </c>
      <c r="F447" s="8" t="s">
        <v>944</v>
      </c>
      <c r="G447" s="8" t="s">
        <v>945</v>
      </c>
      <c r="H447" s="9" t="s">
        <v>30</v>
      </c>
      <c r="I447" s="9" t="s">
        <v>31</v>
      </c>
      <c r="J447" s="17" t="str">
        <f>_xlfn.IFNA(VLOOKUP(C447, '[2]Unique HS'!$B$4:$J$999, 9, FALSE), "No")</f>
        <v>No</v>
      </c>
      <c r="K447" s="22">
        <f>VLOOKUP(C447, '[1]India EXIM'!$B$6:$C$580, 2, FALSE)</f>
        <v>4.5201696950000004E-3</v>
      </c>
      <c r="L447" s="11">
        <f>VLOOKUP(C447, '[1]China EXIM'!$B$6:$D$580, 3, FALSE)</f>
        <v>0.202711154586</v>
      </c>
      <c r="M447" s="9" t="s">
        <v>129</v>
      </c>
      <c r="N447" s="9"/>
      <c r="O447" s="6"/>
      <c r="P447" s="10" t="s">
        <v>24</v>
      </c>
      <c r="Q447" s="9" t="s">
        <v>30</v>
      </c>
      <c r="S447" s="1" t="s">
        <v>33</v>
      </c>
      <c r="U447" s="1" t="s">
        <v>34</v>
      </c>
    </row>
    <row r="448" spans="2:22" ht="56.1" hidden="1">
      <c r="B448" s="6" t="str">
        <f>VLOOKUP(C448, [1]Definition!$D$5:$K$5665, 8, FALSE)</f>
        <v>Capital Goods</v>
      </c>
      <c r="C448" s="7">
        <v>870919</v>
      </c>
      <c r="D448" s="8" t="s">
        <v>946</v>
      </c>
      <c r="E448" s="17" t="s">
        <v>205</v>
      </c>
      <c r="F448" s="8"/>
      <c r="G448" s="8"/>
      <c r="H448" s="9" t="s">
        <v>166</v>
      </c>
      <c r="I448" s="9" t="s">
        <v>201</v>
      </c>
      <c r="J448" s="17" t="str">
        <f>_xlfn.IFNA(VLOOKUP(C448, '[2]Unique HS'!$B$4:$J$999, 9, FALSE), "No")</f>
        <v>No</v>
      </c>
      <c r="K448" s="22">
        <f>VLOOKUP(C448, '[1]India EXIM'!$B$6:$C$580, 2, FALSE)</f>
        <v>4.511251204E-3</v>
      </c>
      <c r="L448" s="11">
        <f>VLOOKUP(C448, '[1]China EXIM'!$B$6:$D$580, 3, FALSE)</f>
        <v>0.80732309857700002</v>
      </c>
      <c r="M448" s="6" t="s">
        <v>932</v>
      </c>
      <c r="N448" s="6"/>
      <c r="O448" s="6"/>
      <c r="P448" s="10" t="s">
        <v>24</v>
      </c>
      <c r="Q448" s="9" t="s">
        <v>932</v>
      </c>
      <c r="S448" s="1" t="s">
        <v>136</v>
      </c>
      <c r="U448" s="1" t="s">
        <v>137</v>
      </c>
    </row>
    <row r="449" spans="2:22" ht="27.95" hidden="1">
      <c r="B449" s="6" t="str">
        <f>VLOOKUP(C449, [1]Definition!$D$5:$K$5665, 8, FALSE)</f>
        <v>Capital Goods</v>
      </c>
      <c r="C449" s="7">
        <v>842320</v>
      </c>
      <c r="D449" s="8" t="s">
        <v>947</v>
      </c>
      <c r="E449" s="17" t="s">
        <v>163</v>
      </c>
      <c r="F449" s="8" t="s">
        <v>948</v>
      </c>
      <c r="G449" s="8"/>
      <c r="H449" s="9" t="s">
        <v>22</v>
      </c>
      <c r="I449" s="9" t="s">
        <v>486</v>
      </c>
      <c r="J449" s="17" t="str">
        <f>_xlfn.IFNA(VLOOKUP(C449, '[2]Unique HS'!$B$4:$J$999, 9, FALSE), "No")</f>
        <v>No</v>
      </c>
      <c r="K449" s="18">
        <f>VLOOKUP(C449, '[1]India EXIM'!$B$6:$C$580, 2, FALSE)</f>
        <v>4.4414912569999999E-3</v>
      </c>
      <c r="L449" s="11">
        <f>VLOOKUP(C449, '[1]China EXIM'!$B$6:$D$580, 3, FALSE)</f>
        <v>0.18378948881999999</v>
      </c>
      <c r="M449" s="6"/>
      <c r="N449" s="6"/>
      <c r="O449" s="6"/>
      <c r="P449" s="10" t="s">
        <v>24</v>
      </c>
      <c r="Q449" s="9" t="s">
        <v>22</v>
      </c>
      <c r="U449" s="1" t="s">
        <v>25</v>
      </c>
    </row>
    <row r="450" spans="2:22" ht="27.95" hidden="1">
      <c r="B450" s="6" t="str">
        <f>VLOOKUP(C450, [1]Definition!$D$5:$K$5665, 8, FALSE)</f>
        <v>Capital Goods</v>
      </c>
      <c r="C450" s="7">
        <v>843510</v>
      </c>
      <c r="D450" s="8" t="s">
        <v>949</v>
      </c>
      <c r="E450" s="17" t="s">
        <v>19</v>
      </c>
      <c r="F450" s="8"/>
      <c r="G450" s="8"/>
      <c r="H450" s="9" t="s">
        <v>61</v>
      </c>
      <c r="I450" s="9" t="s">
        <v>632</v>
      </c>
      <c r="J450" s="17" t="str">
        <f>_xlfn.IFNA(VLOOKUP(C450, '[2]Unique HS'!$B$4:$J$999, 9, FALSE), "No")</f>
        <v>No</v>
      </c>
      <c r="K450" s="18">
        <f>VLOOKUP(C450, '[1]India EXIM'!$B$6:$C$580, 2, FALSE)</f>
        <v>4.1452551189999996E-3</v>
      </c>
      <c r="L450" s="11">
        <f>VLOOKUP(C450, '[1]China EXIM'!$B$6:$D$580, 3, FALSE)</f>
        <v>0.366117492682</v>
      </c>
      <c r="M450" s="6"/>
      <c r="N450" s="6"/>
      <c r="O450" s="6"/>
      <c r="P450" s="10" t="s">
        <v>24</v>
      </c>
      <c r="Q450" s="9" t="s">
        <v>61</v>
      </c>
      <c r="S450" s="1" t="s">
        <v>136</v>
      </c>
      <c r="U450" s="1" t="s">
        <v>137</v>
      </c>
    </row>
    <row r="451" spans="2:22" ht="27.95" hidden="1">
      <c r="B451" s="6" t="str">
        <f>VLOOKUP(C451, [1]Definition!$D$5:$K$5665, 8, FALSE)</f>
        <v>Capital Goods</v>
      </c>
      <c r="C451" s="7">
        <v>961800</v>
      </c>
      <c r="D451" s="8" t="s">
        <v>950</v>
      </c>
      <c r="E451" s="17" t="s">
        <v>205</v>
      </c>
      <c r="F451" s="8"/>
      <c r="G451" s="8"/>
      <c r="H451" s="9" t="s">
        <v>55</v>
      </c>
      <c r="I451" s="9" t="s">
        <v>951</v>
      </c>
      <c r="J451" s="17" t="str">
        <f>_xlfn.IFNA(VLOOKUP(C451, '[2]Unique HS'!$B$4:$J$999, 9, FALSE), "No")</f>
        <v>No</v>
      </c>
      <c r="K451" s="22">
        <f>VLOOKUP(C451, '[1]India EXIM'!$B$6:$C$580, 2, FALSE)</f>
        <v>3.8578365839999997E-3</v>
      </c>
      <c r="L451" s="11">
        <f>VLOOKUP(C451, '[1]China EXIM'!$B$6:$D$580, 3, FALSE)</f>
        <v>0.61238112499699993</v>
      </c>
      <c r="M451" s="6"/>
      <c r="N451" s="6"/>
      <c r="O451" s="6"/>
      <c r="P451" s="10" t="s">
        <v>24</v>
      </c>
      <c r="Q451" s="9" t="s">
        <v>55</v>
      </c>
      <c r="U451" s="1" t="s">
        <v>25</v>
      </c>
    </row>
    <row r="452" spans="2:22" ht="27.95">
      <c r="B452" s="6" t="str">
        <f>VLOOKUP(C452, [1]Definition!$D$5:$K$5665, 8, FALSE)</f>
        <v>Capital Goods</v>
      </c>
      <c r="C452" s="7">
        <v>848020</v>
      </c>
      <c r="D452" s="8" t="s">
        <v>952</v>
      </c>
      <c r="E452" s="17" t="s">
        <v>119</v>
      </c>
      <c r="F452" s="8"/>
      <c r="G452" s="8"/>
      <c r="H452" s="9" t="s">
        <v>149</v>
      </c>
      <c r="I452" s="9" t="s">
        <v>953</v>
      </c>
      <c r="J452" s="17" t="str">
        <f>_xlfn.IFNA(VLOOKUP(C452, '[2]Unique HS'!$B$4:$J$999, 9, FALSE), "No")</f>
        <v>No</v>
      </c>
      <c r="K452" s="18">
        <f>VLOOKUP(C452, '[1]India EXIM'!$B$6:$C$580, 2, FALSE)</f>
        <v>7.7974139249999998E-3</v>
      </c>
      <c r="L452" s="11">
        <f>VLOOKUP(C452, '[1]China EXIM'!$B$6:$D$580, 3, FALSE)</f>
        <v>0.23696839887099999</v>
      </c>
      <c r="M452" s="6"/>
      <c r="N452" s="6"/>
      <c r="O452" s="6"/>
      <c r="P452" s="10" t="s">
        <v>24</v>
      </c>
      <c r="Q452" s="9" t="s">
        <v>149</v>
      </c>
      <c r="U452" s="1" t="s">
        <v>34</v>
      </c>
    </row>
    <row r="453" spans="2:22" ht="27.95" hidden="1">
      <c r="B453" s="6" t="str">
        <f>VLOOKUP(C453, [1]Definition!$D$5:$K$5665, 8, FALSE)</f>
        <v>Capital Goods</v>
      </c>
      <c r="C453" s="7">
        <v>901110</v>
      </c>
      <c r="D453" s="8" t="s">
        <v>954</v>
      </c>
      <c r="E453" s="17" t="s">
        <v>19</v>
      </c>
      <c r="F453" s="8" t="s">
        <v>955</v>
      </c>
      <c r="G453" s="8" t="s">
        <v>223</v>
      </c>
      <c r="H453" s="9" t="s">
        <v>166</v>
      </c>
      <c r="I453" s="9" t="s">
        <v>201</v>
      </c>
      <c r="J453" s="17" t="str">
        <f>_xlfn.IFNA(VLOOKUP(C453, '[2]Unique HS'!$B$4:$J$999, 9, FALSE), "No")</f>
        <v>Yes</v>
      </c>
      <c r="K453" s="18">
        <f>VLOOKUP(C453, '[1]India EXIM'!$B$6:$C$580, 2, FALSE)</f>
        <v>3.8434990170000002E-3</v>
      </c>
      <c r="L453" s="11">
        <f>VLOOKUP(C453, '[1]China EXIM'!$B$6:$D$580, 3, FALSE)</f>
        <v>0.90967586394399991</v>
      </c>
      <c r="M453" s="6"/>
      <c r="N453" s="6"/>
      <c r="O453" s="6"/>
      <c r="P453" s="10" t="s">
        <v>24</v>
      </c>
      <c r="Q453" s="11" t="s">
        <v>70</v>
      </c>
      <c r="S453" s="1" t="s">
        <v>136</v>
      </c>
      <c r="U453" s="1" t="s">
        <v>34</v>
      </c>
      <c r="V453" s="1" t="s">
        <v>600</v>
      </c>
    </row>
    <row r="454" spans="2:22" ht="27.95" hidden="1">
      <c r="B454" s="6" t="str">
        <f>VLOOKUP(C454, [1]Definition!$D$5:$K$5665, 8, FALSE)</f>
        <v>Capital Goods</v>
      </c>
      <c r="C454" s="7">
        <v>851633</v>
      </c>
      <c r="D454" s="8" t="s">
        <v>956</v>
      </c>
      <c r="E454" s="17" t="s">
        <v>205</v>
      </c>
      <c r="F454" s="8" t="s">
        <v>957</v>
      </c>
      <c r="G454" s="8"/>
      <c r="H454" s="9" t="s">
        <v>22</v>
      </c>
      <c r="I454" s="9" t="s">
        <v>587</v>
      </c>
      <c r="J454" s="17" t="str">
        <f>_xlfn.IFNA(VLOOKUP(C454, '[2]Unique HS'!$B$4:$J$999, 9, FALSE), "No")</f>
        <v>No</v>
      </c>
      <c r="K454" s="22">
        <f>VLOOKUP(C454, '[1]India EXIM'!$B$6:$C$580, 2, FALSE)</f>
        <v>3.7529523519999998E-3</v>
      </c>
      <c r="L454" s="11">
        <f>VLOOKUP(C454, '[1]China EXIM'!$B$6:$D$580, 3, FALSE)</f>
        <v>0.117209923748</v>
      </c>
      <c r="M454" s="6"/>
      <c r="N454" s="6"/>
      <c r="O454" s="6"/>
      <c r="P454" s="10" t="s">
        <v>24</v>
      </c>
      <c r="Q454" s="11" t="s">
        <v>22</v>
      </c>
      <c r="U454" s="1" t="s">
        <v>25</v>
      </c>
      <c r="V454" s="1" t="s">
        <v>542</v>
      </c>
    </row>
    <row r="455" spans="2:22" ht="42" hidden="1">
      <c r="B455" s="6" t="str">
        <f>VLOOKUP(C455, [1]Definition!$D$5:$K$5665, 8, FALSE)</f>
        <v>Capital Goods</v>
      </c>
      <c r="C455" s="7">
        <v>820190</v>
      </c>
      <c r="D455" s="8" t="s">
        <v>958</v>
      </c>
      <c r="E455" s="17" t="s">
        <v>19</v>
      </c>
      <c r="F455" s="8"/>
      <c r="G455" s="8"/>
      <c r="H455" s="9" t="s">
        <v>58</v>
      </c>
      <c r="I455" s="9" t="s">
        <v>909</v>
      </c>
      <c r="J455" s="17" t="str">
        <f>_xlfn.IFNA(VLOOKUP(C455, '[2]Unique HS'!$B$4:$J$999, 9, FALSE), "No")</f>
        <v>No</v>
      </c>
      <c r="K455" s="18">
        <f>VLOOKUP(C455, '[1]India EXIM'!$B$6:$C$580, 2, FALSE)</f>
        <v>3.7236850399999999E-3</v>
      </c>
      <c r="L455" s="11">
        <f>VLOOKUP(C455, '[1]China EXIM'!$B$6:$D$580, 3, FALSE)</f>
        <v>0.42888158659500003</v>
      </c>
      <c r="M455" s="9" t="s">
        <v>959</v>
      </c>
      <c r="N455" s="9"/>
      <c r="O455" s="9"/>
      <c r="P455" s="10" t="s">
        <v>24</v>
      </c>
      <c r="Q455" s="11" t="s">
        <v>210</v>
      </c>
      <c r="U455" s="1" t="s">
        <v>25</v>
      </c>
    </row>
    <row r="456" spans="2:22" ht="27.95" hidden="1">
      <c r="B456" s="6" t="str">
        <f>VLOOKUP(C456, [1]Definition!$D$5:$K$5665, 8, FALSE)</f>
        <v>Capital Goods</v>
      </c>
      <c r="C456" s="7">
        <v>844312</v>
      </c>
      <c r="D456" s="8" t="s">
        <v>960</v>
      </c>
      <c r="E456" s="17" t="s">
        <v>19</v>
      </c>
      <c r="F456" s="8"/>
      <c r="G456" s="8"/>
      <c r="H456" s="9" t="s">
        <v>180</v>
      </c>
      <c r="I456" s="9" t="s">
        <v>181</v>
      </c>
      <c r="J456" s="17" t="str">
        <f>_xlfn.IFNA(VLOOKUP(C456, '[2]Unique HS'!$B$4:$J$999, 9, FALSE), "No")</f>
        <v>No</v>
      </c>
      <c r="K456" s="18">
        <f>VLOOKUP(C456, '[1]India EXIM'!$B$6:$C$580, 2, FALSE)</f>
        <v>3.6054036400000001E-3</v>
      </c>
      <c r="L456" s="11">
        <f>VLOOKUP(C456, '[1]China EXIM'!$B$6:$D$580, 3, FALSE)</f>
        <v>2.2212821681E-2</v>
      </c>
      <c r="M456" s="6"/>
      <c r="N456" s="6"/>
      <c r="O456" s="6"/>
      <c r="P456" s="10" t="s">
        <v>24</v>
      </c>
      <c r="Q456" s="11" t="s">
        <v>182</v>
      </c>
      <c r="U456" s="1" t="s">
        <v>25</v>
      </c>
    </row>
    <row r="457" spans="2:22" ht="27.95" hidden="1">
      <c r="B457" s="6" t="str">
        <f>VLOOKUP(C457, [1]Definition!$D$5:$K$5665, 8, FALSE)</f>
        <v>Capital Goods</v>
      </c>
      <c r="C457" s="7">
        <v>902511</v>
      </c>
      <c r="D457" s="8" t="s">
        <v>961</v>
      </c>
      <c r="E457" s="17" t="s">
        <v>19</v>
      </c>
      <c r="F457" s="8" t="s">
        <v>962</v>
      </c>
      <c r="G457" s="8"/>
      <c r="H457" s="9" t="s">
        <v>22</v>
      </c>
      <c r="I457" s="9" t="s">
        <v>140</v>
      </c>
      <c r="J457" s="17" t="str">
        <f>_xlfn.IFNA(VLOOKUP(C457, '[2]Unique HS'!$B$4:$J$999, 9, FALSE), "No")</f>
        <v>Yes</v>
      </c>
      <c r="K457" s="18">
        <f>VLOOKUP(C457, '[1]India EXIM'!$B$6:$C$580, 2, FALSE)</f>
        <v>3.5479142190000001E-3</v>
      </c>
      <c r="L457" s="11">
        <f>VLOOKUP(C457, '[1]China EXIM'!$B$6:$D$580, 3, FALSE)</f>
        <v>0.13176210341399999</v>
      </c>
      <c r="M457" s="6"/>
      <c r="N457" s="6"/>
      <c r="O457" s="6"/>
      <c r="P457" s="10" t="s">
        <v>24</v>
      </c>
      <c r="Q457" s="9" t="s">
        <v>70</v>
      </c>
      <c r="U457" s="1" t="s">
        <v>25</v>
      </c>
    </row>
    <row r="458" spans="2:22" ht="27.95" hidden="1">
      <c r="B458" s="6" t="str">
        <f>VLOOKUP(C458, [1]Definition!$D$5:$K$5665, 8, FALSE)</f>
        <v>Capital Goods</v>
      </c>
      <c r="C458" s="7">
        <v>820340</v>
      </c>
      <c r="D458" s="8" t="s">
        <v>963</v>
      </c>
      <c r="E458" s="17" t="s">
        <v>19</v>
      </c>
      <c r="F458" s="8"/>
      <c r="G458" s="8"/>
      <c r="H458" s="9" t="s">
        <v>65</v>
      </c>
      <c r="I458" s="9" t="s">
        <v>209</v>
      </c>
      <c r="J458" s="17" t="str">
        <f>_xlfn.IFNA(VLOOKUP(C458, '[2]Unique HS'!$B$4:$J$999, 9, FALSE), "No")</f>
        <v>Yes</v>
      </c>
      <c r="K458" s="18">
        <f>VLOOKUP(C458, '[1]India EXIM'!$B$6:$C$580, 2, FALSE)</f>
        <v>3.4194521129999999E-3</v>
      </c>
      <c r="L458" s="11">
        <f>VLOOKUP(C458, '[1]China EXIM'!$B$6:$D$580, 3, FALSE)</f>
        <v>0.23898831548800001</v>
      </c>
      <c r="M458" s="6" t="s">
        <v>210</v>
      </c>
      <c r="N458" s="6"/>
      <c r="O458" s="9"/>
      <c r="P458" s="10" t="s">
        <v>24</v>
      </c>
      <c r="Q458" s="11" t="s">
        <v>210</v>
      </c>
      <c r="U458" s="1" t="s">
        <v>25</v>
      </c>
    </row>
    <row r="459" spans="2:22" ht="42" hidden="1">
      <c r="B459" s="6" t="str">
        <f>VLOOKUP(C459, [1]Definition!$D$5:$K$5665, 8, FALSE)</f>
        <v>Capital Goods</v>
      </c>
      <c r="C459" s="7">
        <v>821192</v>
      </c>
      <c r="D459" s="8" t="s">
        <v>964</v>
      </c>
      <c r="E459" s="17" t="s">
        <v>19</v>
      </c>
      <c r="F459" s="8"/>
      <c r="G459" s="8"/>
      <c r="H459" s="9" t="s">
        <v>65</v>
      </c>
      <c r="I459" s="9" t="s">
        <v>965</v>
      </c>
      <c r="J459" s="17" t="str">
        <f>_xlfn.IFNA(VLOOKUP(C459, '[2]Unique HS'!$B$4:$J$999, 9, FALSE), "No")</f>
        <v>Yes</v>
      </c>
      <c r="K459" s="18">
        <f>VLOOKUP(C459, '[1]India EXIM'!$B$6:$C$580, 2, FALSE)</f>
        <v>3.22617153E-3</v>
      </c>
      <c r="L459" s="11">
        <f>VLOOKUP(C459, '[1]China EXIM'!$B$6:$D$580, 3, FALSE)</f>
        <v>1.246791502667</v>
      </c>
      <c r="M459" s="6" t="s">
        <v>210</v>
      </c>
      <c r="N459" s="6"/>
      <c r="O459" s="6" t="s">
        <v>925</v>
      </c>
      <c r="P459" s="10" t="s">
        <v>24</v>
      </c>
      <c r="Q459" s="11" t="s">
        <v>210</v>
      </c>
      <c r="U459" s="1" t="s">
        <v>25</v>
      </c>
    </row>
    <row r="460" spans="2:22" ht="27.95" hidden="1">
      <c r="B460" s="6" t="str">
        <f>VLOOKUP(C460, [1]Definition!$D$5:$K$5665, 8, FALSE)</f>
        <v>Capital Goods</v>
      </c>
      <c r="C460" s="7">
        <v>851411</v>
      </c>
      <c r="D460" s="8" t="s">
        <v>966</v>
      </c>
      <c r="E460" s="17" t="s">
        <v>19</v>
      </c>
      <c r="F460" s="8"/>
      <c r="G460" s="8"/>
      <c r="H460" s="9" t="s">
        <v>82</v>
      </c>
      <c r="I460" s="9" t="s">
        <v>677</v>
      </c>
      <c r="J460" s="17" t="str">
        <f>_xlfn.IFNA(VLOOKUP(C460, '[2]Unique HS'!$B$4:$J$999, 9, FALSE), "No")</f>
        <v>No</v>
      </c>
      <c r="K460" s="18">
        <f>VLOOKUP(C460, '[1]India EXIM'!$B$6:$C$580, 2, FALSE)</f>
        <v>3.1763435610000002E-3</v>
      </c>
      <c r="L460" s="11">
        <f>VLOOKUP(C460, '[1]China EXIM'!$B$6:$D$580, 3, FALSE)</f>
        <v>9.3482277823999996E-2</v>
      </c>
      <c r="M460" s="6"/>
      <c r="N460" s="6"/>
      <c r="O460" s="6"/>
      <c r="P460" s="10" t="s">
        <v>24</v>
      </c>
      <c r="Q460" s="9" t="s">
        <v>82</v>
      </c>
      <c r="U460" s="1" t="s">
        <v>25</v>
      </c>
    </row>
    <row r="461" spans="2:22" ht="56.1" hidden="1">
      <c r="B461" s="6" t="str">
        <f>VLOOKUP(C461, [1]Definition!$D$5:$K$5665, 8, FALSE)</f>
        <v>Capital Goods</v>
      </c>
      <c r="C461" s="7">
        <v>870911</v>
      </c>
      <c r="D461" s="8" t="s">
        <v>967</v>
      </c>
      <c r="E461" s="17" t="s">
        <v>205</v>
      </c>
      <c r="F461" s="8"/>
      <c r="G461" s="8" t="s">
        <v>968</v>
      </c>
      <c r="H461" s="9" t="s">
        <v>166</v>
      </c>
      <c r="I461" s="9" t="s">
        <v>201</v>
      </c>
      <c r="J461" s="17" t="str">
        <f>_xlfn.IFNA(VLOOKUP(C461, '[2]Unique HS'!$B$4:$J$999, 9, FALSE), "No")</f>
        <v>No</v>
      </c>
      <c r="K461" s="22">
        <f>VLOOKUP(C461, '[1]India EXIM'!$B$6:$C$580, 2, FALSE)</f>
        <v>3.1691896499999998E-3</v>
      </c>
      <c r="L461" s="11">
        <f>VLOOKUP(C461, '[1]China EXIM'!$B$6:$D$580, 3, FALSE)</f>
        <v>0.57699521704299994</v>
      </c>
      <c r="M461" s="6" t="s">
        <v>932</v>
      </c>
      <c r="N461" s="6"/>
      <c r="O461" s="6"/>
      <c r="P461" s="10" t="s">
        <v>24</v>
      </c>
      <c r="Q461" s="9" t="s">
        <v>932</v>
      </c>
      <c r="U461" s="1" t="s">
        <v>25</v>
      </c>
    </row>
    <row r="462" spans="2:22" ht="27.95">
      <c r="B462" s="6" t="str">
        <f>VLOOKUP(C462, [1]Definition!$D$5:$K$5665, 8, FALSE)</f>
        <v>Capital Goods</v>
      </c>
      <c r="C462" s="7">
        <v>843352</v>
      </c>
      <c r="D462" s="8" t="s">
        <v>969</v>
      </c>
      <c r="E462" s="17" t="s">
        <v>119</v>
      </c>
      <c r="F462" s="8" t="s">
        <v>970</v>
      </c>
      <c r="G462" s="8" t="s">
        <v>971</v>
      </c>
      <c r="H462" s="9" t="s">
        <v>22</v>
      </c>
      <c r="I462" s="9" t="s">
        <v>972</v>
      </c>
      <c r="J462" s="17" t="str">
        <f>_xlfn.IFNA(VLOOKUP(C462, '[2]Unique HS'!$B$4:$J$999, 9, FALSE), "No")</f>
        <v>No</v>
      </c>
      <c r="K462" s="18">
        <f>VLOOKUP(C462, '[1]India EXIM'!$B$6:$C$580, 2, FALSE)</f>
        <v>2.50283743E-3</v>
      </c>
      <c r="L462" s="11">
        <f>VLOOKUP(C462, '[1]China EXIM'!$B$6:$D$580, 3, FALSE)</f>
        <v>0.22262219779100001</v>
      </c>
      <c r="M462" s="6" t="s">
        <v>160</v>
      </c>
      <c r="N462" s="6"/>
      <c r="O462" s="6"/>
      <c r="P462" s="10" t="s">
        <v>24</v>
      </c>
      <c r="Q462" s="11" t="s">
        <v>161</v>
      </c>
    </row>
    <row r="463" spans="2:22" ht="27.95" hidden="1">
      <c r="B463" s="6" t="str">
        <f>VLOOKUP(C463, [1]Definition!$D$5:$K$5665, 8, FALSE)</f>
        <v>Capital Goods</v>
      </c>
      <c r="C463" s="7">
        <v>840220</v>
      </c>
      <c r="D463" s="8" t="s">
        <v>973</v>
      </c>
      <c r="E463" s="17" t="s">
        <v>142</v>
      </c>
      <c r="F463" s="8"/>
      <c r="G463" s="8"/>
      <c r="H463" s="9" t="s">
        <v>30</v>
      </c>
      <c r="I463" s="9" t="s">
        <v>784</v>
      </c>
      <c r="J463" s="17" t="str">
        <f>_xlfn.IFNA(VLOOKUP(C463, '[2]Unique HS'!$B$4:$J$999, 9, FALSE), "No")</f>
        <v>No</v>
      </c>
      <c r="K463" s="18">
        <f>VLOOKUP(C463, '[1]India EXIM'!$B$6:$C$580, 2, FALSE)</f>
        <v>3.1633205589999998E-3</v>
      </c>
      <c r="L463" s="11">
        <f>VLOOKUP(C463, '[1]China EXIM'!$B$6:$D$580, 3, FALSE)</f>
        <v>0.120342515947</v>
      </c>
      <c r="M463" s="9" t="s">
        <v>785</v>
      </c>
      <c r="N463" s="9"/>
      <c r="O463" s="6"/>
      <c r="P463" s="10" t="s">
        <v>24</v>
      </c>
      <c r="Q463" s="9" t="s">
        <v>30</v>
      </c>
      <c r="S463" s="1" t="s">
        <v>43</v>
      </c>
      <c r="U463" s="1" t="s">
        <v>25</v>
      </c>
    </row>
    <row r="464" spans="2:22" ht="27.95" hidden="1">
      <c r="B464" s="6" t="str">
        <f>VLOOKUP(C464, [1]Definition!$D$5:$K$5665, 8, FALSE)</f>
        <v>Capital Goods</v>
      </c>
      <c r="C464" s="7">
        <v>846520</v>
      </c>
      <c r="D464" s="8" t="s">
        <v>974</v>
      </c>
      <c r="E464" s="17" t="s">
        <v>19</v>
      </c>
      <c r="F464" s="8"/>
      <c r="G464" s="8"/>
      <c r="H464" s="9" t="s">
        <v>65</v>
      </c>
      <c r="I464" s="9" t="s">
        <v>31</v>
      </c>
      <c r="J464" s="17" t="str">
        <f>_xlfn.IFNA(VLOOKUP(C464, '[2]Unique HS'!$B$4:$J$999, 9, FALSE), "No")</f>
        <v>No</v>
      </c>
      <c r="K464" s="18">
        <f>VLOOKUP(C464, '[1]India EXIM'!$B$6:$C$580, 2, FALSE)</f>
        <v>3.1069388349999998E-3</v>
      </c>
      <c r="L464" s="11">
        <f>VLOOKUP(C464, '[1]China EXIM'!$B$6:$D$580, 3, FALSE)</f>
        <v>0.74216435900800004</v>
      </c>
      <c r="M464" s="6"/>
      <c r="N464" s="6"/>
      <c r="O464" s="6"/>
      <c r="P464" s="10" t="s">
        <v>24</v>
      </c>
      <c r="Q464" s="9" t="s">
        <v>65</v>
      </c>
      <c r="U464" s="1" t="s">
        <v>25</v>
      </c>
    </row>
    <row r="465" spans="2:21" ht="27.95" hidden="1">
      <c r="B465" s="6" t="str">
        <f>VLOOKUP(C465, [1]Definition!$D$5:$K$5665, 8, FALSE)</f>
        <v>Capital Goods</v>
      </c>
      <c r="C465" s="7">
        <v>844311</v>
      </c>
      <c r="D465" s="8" t="s">
        <v>975</v>
      </c>
      <c r="E465" s="17" t="s">
        <v>19</v>
      </c>
      <c r="F465" s="8"/>
      <c r="G465" s="8"/>
      <c r="H465" s="9" t="s">
        <v>180</v>
      </c>
      <c r="I465" s="9" t="s">
        <v>181</v>
      </c>
      <c r="J465" s="17" t="str">
        <f>_xlfn.IFNA(VLOOKUP(C465, '[2]Unique HS'!$B$4:$J$999, 9, FALSE), "No")</f>
        <v>No</v>
      </c>
      <c r="K465" s="18">
        <f>VLOOKUP(C465, '[1]India EXIM'!$B$6:$C$580, 2, FALSE)</f>
        <v>3.047254895E-3</v>
      </c>
      <c r="L465" s="11">
        <f>VLOOKUP(C465, '[1]China EXIM'!$B$6:$D$580, 3, FALSE)</f>
        <v>0.32669080397200001</v>
      </c>
      <c r="M465" s="6"/>
      <c r="N465" s="6"/>
      <c r="O465" s="6"/>
      <c r="P465" s="10" t="s">
        <v>24</v>
      </c>
      <c r="Q465" s="11" t="s">
        <v>182</v>
      </c>
      <c r="U465" s="1" t="s">
        <v>25</v>
      </c>
    </row>
    <row r="466" spans="2:21" ht="27.95" hidden="1">
      <c r="B466" s="6" t="str">
        <f>VLOOKUP(C466, [1]Definition!$D$5:$K$5665, 8, FALSE)</f>
        <v>Capital Goods</v>
      </c>
      <c r="C466" s="7">
        <v>820840</v>
      </c>
      <c r="D466" s="8" t="s">
        <v>976</v>
      </c>
      <c r="E466" s="17" t="s">
        <v>19</v>
      </c>
      <c r="F466" s="8"/>
      <c r="G466" s="8"/>
      <c r="H466" s="9" t="s">
        <v>65</v>
      </c>
      <c r="I466" s="9" t="s">
        <v>977</v>
      </c>
      <c r="J466" s="17" t="str">
        <f>_xlfn.IFNA(VLOOKUP(C466, '[2]Unique HS'!$B$4:$J$999, 9, FALSE), "No")</f>
        <v>No</v>
      </c>
      <c r="K466" s="18">
        <f>VLOOKUP(C466, '[1]India EXIM'!$B$6:$C$580, 2, FALSE)</f>
        <v>2.9674902930000003E-3</v>
      </c>
      <c r="L466" s="11">
        <f>VLOOKUP(C466, '[1]China EXIM'!$B$6:$D$580, 3, FALSE)</f>
        <v>0.63863003637299998</v>
      </c>
      <c r="M466" s="6" t="s">
        <v>210</v>
      </c>
      <c r="N466" s="6"/>
      <c r="O466" s="9" t="s">
        <v>978</v>
      </c>
      <c r="P466" s="10" t="s">
        <v>24</v>
      </c>
      <c r="Q466" s="11" t="s">
        <v>210</v>
      </c>
      <c r="S466" s="1" t="s">
        <v>136</v>
      </c>
      <c r="U466" s="1" t="s">
        <v>137</v>
      </c>
    </row>
    <row r="467" spans="2:21" ht="27.95">
      <c r="B467" s="6" t="str">
        <f>VLOOKUP(C467, [1]Definition!$D$5:$K$5665, 8, FALSE)</f>
        <v>Capital Goods</v>
      </c>
      <c r="C467" s="7">
        <v>848030</v>
      </c>
      <c r="D467" s="8" t="s">
        <v>979</v>
      </c>
      <c r="E467" s="17" t="s">
        <v>119</v>
      </c>
      <c r="F467" s="8"/>
      <c r="G467" s="8"/>
      <c r="H467" s="9" t="s">
        <v>149</v>
      </c>
      <c r="I467" s="9" t="s">
        <v>980</v>
      </c>
      <c r="J467" s="17" t="str">
        <f>_xlfn.IFNA(VLOOKUP(C467, '[2]Unique HS'!$B$4:$J$999, 9, FALSE), "No")</f>
        <v>No</v>
      </c>
      <c r="K467" s="18">
        <f>VLOOKUP(C467, '[1]India EXIM'!$B$6:$C$580, 2, FALSE)</f>
        <v>5.9782654610000003E-3</v>
      </c>
      <c r="L467" s="11">
        <f>VLOOKUP(C467, '[1]China EXIM'!$B$6:$D$580, 3, FALSE)</f>
        <v>0.21058401174300001</v>
      </c>
      <c r="M467" s="6"/>
      <c r="N467" s="6"/>
      <c r="O467" s="6"/>
      <c r="P467" s="10" t="s">
        <v>24</v>
      </c>
      <c r="Q467" s="9" t="s">
        <v>149</v>
      </c>
      <c r="U467" s="1" t="s">
        <v>34</v>
      </c>
    </row>
    <row r="468" spans="2:21" ht="56.1" hidden="1">
      <c r="B468" s="6" t="str">
        <f>VLOOKUP(C468, [1]Definition!$D$5:$K$5665, 8, FALSE)</f>
        <v>Capital Goods</v>
      </c>
      <c r="C468" s="7">
        <v>847689</v>
      </c>
      <c r="D468" s="8" t="s">
        <v>981</v>
      </c>
      <c r="E468" s="17" t="s">
        <v>205</v>
      </c>
      <c r="F468" s="8"/>
      <c r="G468" s="8" t="s">
        <v>982</v>
      </c>
      <c r="H468" s="9" t="s">
        <v>22</v>
      </c>
      <c r="I468" s="9" t="s">
        <v>38</v>
      </c>
      <c r="J468" s="17" t="str">
        <f>_xlfn.IFNA(VLOOKUP(C468, '[2]Unique HS'!$B$4:$J$999, 9, FALSE), "No")</f>
        <v>No</v>
      </c>
      <c r="K468" s="18">
        <f>VLOOKUP(C468, '[1]India EXIM'!$B$6:$C$580, 2, FALSE)</f>
        <v>2.9574670240000004E-3</v>
      </c>
      <c r="L468" s="11">
        <f>VLOOKUP(C468, '[1]China EXIM'!$B$6:$D$580, 3, FALSE)</f>
        <v>0.43609217898400005</v>
      </c>
      <c r="M468" s="6"/>
      <c r="N468" s="6"/>
      <c r="O468" s="6"/>
      <c r="P468" s="10" t="s">
        <v>24</v>
      </c>
      <c r="Q468" s="9" t="s">
        <v>22</v>
      </c>
      <c r="U468" s="1" t="s">
        <v>25</v>
      </c>
    </row>
    <row r="469" spans="2:21" ht="27.95" hidden="1">
      <c r="B469" s="6" t="str">
        <f>VLOOKUP(C469, [1]Definition!$D$5:$K$5665, 8, FALSE)</f>
        <v>Capital Goods</v>
      </c>
      <c r="C469" s="7">
        <v>847029</v>
      </c>
      <c r="D469" s="8" t="s">
        <v>983</v>
      </c>
      <c r="E469" s="17" t="s">
        <v>27</v>
      </c>
      <c r="F469" s="8" t="s">
        <v>984</v>
      </c>
      <c r="G469" s="8"/>
      <c r="H469" s="9" t="s">
        <v>496</v>
      </c>
      <c r="I469" s="9" t="s">
        <v>497</v>
      </c>
      <c r="J469" s="17" t="str">
        <f>_xlfn.IFNA(VLOOKUP(C469, '[2]Unique HS'!$B$4:$J$999, 9, FALSE), "No")</f>
        <v>No</v>
      </c>
      <c r="K469" s="22">
        <f>VLOOKUP(C469, '[1]India EXIM'!$B$6:$C$580, 2, FALSE)</f>
        <v>2.8314211090000002E-3</v>
      </c>
      <c r="L469" s="11">
        <f>VLOOKUP(C469, '[1]China EXIM'!$B$6:$D$580, 3, FALSE)</f>
        <v>7.7263726754000006E-2</v>
      </c>
      <c r="M469" s="6"/>
      <c r="N469" s="6"/>
      <c r="O469" s="6"/>
      <c r="P469" s="10" t="s">
        <v>24</v>
      </c>
      <c r="Q469" s="9" t="s">
        <v>496</v>
      </c>
      <c r="U469" s="1" t="s">
        <v>137</v>
      </c>
    </row>
    <row r="470" spans="2:21" ht="27.95" hidden="1">
      <c r="B470" s="6" t="str">
        <f>VLOOKUP(C470, [1]Definition!$D$5:$K$5665, 8, FALSE)</f>
        <v>Capital Goods</v>
      </c>
      <c r="C470" s="7">
        <v>844314</v>
      </c>
      <c r="D470" s="8" t="s">
        <v>985</v>
      </c>
      <c r="E470" s="17" t="s">
        <v>19</v>
      </c>
      <c r="F470" s="8"/>
      <c r="G470" s="8"/>
      <c r="H470" s="9" t="s">
        <v>180</v>
      </c>
      <c r="I470" s="9" t="s">
        <v>181</v>
      </c>
      <c r="J470" s="17" t="str">
        <f>_xlfn.IFNA(VLOOKUP(C470, '[2]Unique HS'!$B$4:$J$999, 9, FALSE), "No")</f>
        <v>No</v>
      </c>
      <c r="K470" s="18">
        <f>VLOOKUP(C470, '[1]India EXIM'!$B$6:$C$580, 2, FALSE)</f>
        <v>2.7522083489999998E-3</v>
      </c>
      <c r="L470" s="11">
        <f>VLOOKUP(C470, '[1]China EXIM'!$B$6:$D$580, 3, FALSE)</f>
        <v>6.9663280073000003E-2</v>
      </c>
      <c r="M470" s="6"/>
      <c r="N470" s="6"/>
      <c r="O470" s="6"/>
      <c r="P470" s="10" t="s">
        <v>24</v>
      </c>
      <c r="Q470" s="11" t="s">
        <v>182</v>
      </c>
      <c r="U470" s="1" t="s">
        <v>25</v>
      </c>
    </row>
    <row r="471" spans="2:21" ht="27.95" hidden="1">
      <c r="B471" s="6" t="str">
        <f>VLOOKUP(C471, [1]Definition!$D$5:$K$5665, 8, FALSE)</f>
        <v>Capital Goods</v>
      </c>
      <c r="C471" s="7">
        <v>845620</v>
      </c>
      <c r="D471" s="8" t="s">
        <v>986</v>
      </c>
      <c r="E471" s="17" t="s">
        <v>19</v>
      </c>
      <c r="F471" s="8"/>
      <c r="G471" s="8"/>
      <c r="H471" s="9" t="s">
        <v>65</v>
      </c>
      <c r="I471" s="9" t="s">
        <v>31</v>
      </c>
      <c r="J471" s="17" t="str">
        <f>_xlfn.IFNA(VLOOKUP(C471, '[2]Unique HS'!$B$4:$J$999, 9, FALSE), "No")</f>
        <v>No</v>
      </c>
      <c r="K471" s="18">
        <f>VLOOKUP(C471, '[1]India EXIM'!$B$6:$C$580, 2, FALSE)</f>
        <v>2.5361403369999996E-3</v>
      </c>
      <c r="L471" s="11">
        <f>VLOOKUP(C471, '[1]China EXIM'!$B$6:$D$580, 3, FALSE)</f>
        <v>8.2337257578000006E-2</v>
      </c>
      <c r="M471" s="6"/>
      <c r="N471" s="6"/>
      <c r="O471" s="6"/>
      <c r="P471" s="10" t="s">
        <v>24</v>
      </c>
      <c r="Q471" s="9" t="s">
        <v>65</v>
      </c>
      <c r="S471" s="1" t="s">
        <v>136</v>
      </c>
      <c r="U471" s="1" t="s">
        <v>137</v>
      </c>
    </row>
    <row r="472" spans="2:21" ht="27.95" hidden="1">
      <c r="B472" s="6" t="str">
        <f>VLOOKUP(C472, [1]Definition!$D$5:$K$5665, 8, FALSE)</f>
        <v>Capital Goods</v>
      </c>
      <c r="C472" s="7">
        <v>844513</v>
      </c>
      <c r="D472" s="8" t="s">
        <v>987</v>
      </c>
      <c r="E472" s="17" t="s">
        <v>19</v>
      </c>
      <c r="F472" s="8"/>
      <c r="G472" s="8"/>
      <c r="H472" s="9" t="s">
        <v>55</v>
      </c>
      <c r="I472" s="9" t="s">
        <v>56</v>
      </c>
      <c r="J472" s="17" t="str">
        <f>_xlfn.IFNA(VLOOKUP(C472, '[2]Unique HS'!$B$4:$J$999, 9, FALSE), "No")</f>
        <v>No</v>
      </c>
      <c r="K472" s="18">
        <f>VLOOKUP(C472, '[1]India EXIM'!$B$6:$C$580, 2, FALSE)</f>
        <v>2.523491573E-3</v>
      </c>
      <c r="L472" s="11">
        <f>VLOOKUP(C472, '[1]China EXIM'!$B$6:$D$580, 3, FALSE)</f>
        <v>0.15427294245100001</v>
      </c>
      <c r="M472" s="6"/>
      <c r="N472" s="6"/>
      <c r="O472" s="6"/>
      <c r="P472" s="10" t="s">
        <v>24</v>
      </c>
      <c r="Q472" s="9" t="s">
        <v>55</v>
      </c>
      <c r="U472" s="1" t="s">
        <v>25</v>
      </c>
    </row>
    <row r="473" spans="2:21" ht="27.95" hidden="1">
      <c r="B473" s="6" t="str">
        <f>VLOOKUP(C473, [1]Definition!$D$5:$K$5665, 8, FALSE)</f>
        <v>Capital Goods</v>
      </c>
      <c r="C473" s="7">
        <v>851511</v>
      </c>
      <c r="D473" s="8" t="s">
        <v>988</v>
      </c>
      <c r="E473" s="17" t="s">
        <v>19</v>
      </c>
      <c r="F473" s="8"/>
      <c r="G473" s="8"/>
      <c r="H473" s="9" t="s">
        <v>65</v>
      </c>
      <c r="I473" s="9" t="s">
        <v>590</v>
      </c>
      <c r="J473" s="17" t="str">
        <f>_xlfn.IFNA(VLOOKUP(C473, '[2]Unique HS'!$B$4:$J$999, 9, FALSE), "No")</f>
        <v>Yes</v>
      </c>
      <c r="K473" s="18">
        <f>VLOOKUP(C473, '[1]India EXIM'!$B$6:$C$580, 2, FALSE)</f>
        <v>2.5070605610000001E-3</v>
      </c>
      <c r="L473" s="11">
        <f>VLOOKUP(C473, '[1]China EXIM'!$B$6:$D$580, 3, FALSE)</f>
        <v>0.29740653620499996</v>
      </c>
      <c r="M473" s="6"/>
      <c r="N473" s="6"/>
      <c r="O473" s="6"/>
      <c r="P473" s="10" t="s">
        <v>24</v>
      </c>
      <c r="Q473" s="9" t="s">
        <v>65</v>
      </c>
      <c r="U473" s="1" t="s">
        <v>25</v>
      </c>
    </row>
    <row r="474" spans="2:21" ht="27.95" hidden="1">
      <c r="B474" s="6" t="str">
        <f>VLOOKUP(C474, [1]Definition!$D$5:$K$5665, 8, FALSE)</f>
        <v>Capital Goods</v>
      </c>
      <c r="C474" s="7">
        <v>843830</v>
      </c>
      <c r="D474" s="8" t="s">
        <v>989</v>
      </c>
      <c r="E474" s="17" t="s">
        <v>19</v>
      </c>
      <c r="F474" s="8"/>
      <c r="G474" s="8"/>
      <c r="H474" s="9" t="s">
        <v>61</v>
      </c>
      <c r="I474" s="9" t="s">
        <v>247</v>
      </c>
      <c r="J474" s="17" t="str">
        <f>_xlfn.IFNA(VLOOKUP(C474, '[2]Unique HS'!$B$4:$J$999, 9, FALSE), "No")</f>
        <v>No</v>
      </c>
      <c r="K474" s="18">
        <f>VLOOKUP(C474, '[1]India EXIM'!$B$6:$C$580, 2, FALSE)</f>
        <v>2.4267727209999999E-3</v>
      </c>
      <c r="L474" s="11">
        <f>VLOOKUP(C474, '[1]China EXIM'!$B$6:$D$580, 3, FALSE)</f>
        <v>0.131279999343</v>
      </c>
      <c r="M474" s="6"/>
      <c r="N474" s="6"/>
      <c r="O474" s="6"/>
      <c r="P474" s="10" t="s">
        <v>24</v>
      </c>
      <c r="Q474" s="9" t="s">
        <v>61</v>
      </c>
      <c r="U474" s="1" t="s">
        <v>25</v>
      </c>
    </row>
    <row r="475" spans="2:21" ht="42" hidden="1">
      <c r="B475" s="6" t="str">
        <f>VLOOKUP(C475, [1]Definition!$D$5:$K$5665, 8, FALSE)</f>
        <v>Capital Goods</v>
      </c>
      <c r="C475" s="7">
        <v>901841</v>
      </c>
      <c r="D475" s="8" t="s">
        <v>990</v>
      </c>
      <c r="E475" s="17" t="s">
        <v>205</v>
      </c>
      <c r="F475" s="8"/>
      <c r="G475" s="8" t="s">
        <v>991</v>
      </c>
      <c r="H475" s="9" t="s">
        <v>166</v>
      </c>
      <c r="I475" s="9" t="s">
        <v>570</v>
      </c>
      <c r="J475" s="17" t="str">
        <f>_xlfn.IFNA(VLOOKUP(C475, '[2]Unique HS'!$B$4:$J$999, 9, FALSE), "No")</f>
        <v>No</v>
      </c>
      <c r="K475" s="18">
        <f>VLOOKUP(C475, '[1]India EXIM'!$B$6:$C$580, 2, FALSE)</f>
        <v>2.416273446E-3</v>
      </c>
      <c r="L475" s="11">
        <f>VLOOKUP(C475, '[1]China EXIM'!$B$6:$D$580, 3, FALSE)</f>
        <v>0.54737630934000003</v>
      </c>
      <c r="M475" s="6"/>
      <c r="N475" s="6"/>
      <c r="O475" s="6"/>
      <c r="P475" s="10" t="s">
        <v>24</v>
      </c>
      <c r="Q475" s="11" t="s">
        <v>70</v>
      </c>
      <c r="U475" s="1" t="s">
        <v>25</v>
      </c>
    </row>
    <row r="476" spans="2:21" ht="27.95" hidden="1">
      <c r="B476" s="6" t="str">
        <f>VLOOKUP(C476, [1]Definition!$D$5:$K$5665, 8, FALSE)</f>
        <v>Capital Goods</v>
      </c>
      <c r="C476" s="7">
        <v>844621</v>
      </c>
      <c r="D476" s="8" t="s">
        <v>992</v>
      </c>
      <c r="E476" s="17" t="s">
        <v>19</v>
      </c>
      <c r="F476" s="8"/>
      <c r="G476" s="8"/>
      <c r="H476" s="9" t="s">
        <v>55</v>
      </c>
      <c r="I476" s="9" t="s">
        <v>56</v>
      </c>
      <c r="J476" s="17" t="str">
        <f>_xlfn.IFNA(VLOOKUP(C476, '[2]Unique HS'!$B$4:$J$999, 9, FALSE), "No")</f>
        <v>No</v>
      </c>
      <c r="K476" s="18">
        <f>VLOOKUP(C476, '[1]India EXIM'!$B$6:$C$580, 2, FALSE)</f>
        <v>2.3842027499999998E-3</v>
      </c>
      <c r="L476" s="11">
        <f>VLOOKUP(C476, '[1]China EXIM'!$B$6:$D$580, 3, FALSE)</f>
        <v>8.9094064187999991E-2</v>
      </c>
      <c r="M476" s="6"/>
      <c r="N476" s="6"/>
      <c r="O476" s="6"/>
      <c r="P476" s="10" t="s">
        <v>24</v>
      </c>
      <c r="Q476" s="9" t="s">
        <v>55</v>
      </c>
      <c r="U476" s="1" t="s">
        <v>25</v>
      </c>
    </row>
    <row r="477" spans="2:21" hidden="1">
      <c r="B477" s="6" t="str">
        <f>VLOOKUP(C477, [1]Definition!$D$5:$K$5665, 8, FALSE)</f>
        <v>Capital Goods</v>
      </c>
      <c r="C477" s="7">
        <v>845110</v>
      </c>
      <c r="D477" s="8" t="s">
        <v>993</v>
      </c>
      <c r="E477" s="17" t="s">
        <v>19</v>
      </c>
      <c r="F477" s="8"/>
      <c r="G477" s="8"/>
      <c r="H477" s="9" t="s">
        <v>55</v>
      </c>
      <c r="I477" s="9" t="s">
        <v>234</v>
      </c>
      <c r="J477" s="17" t="str">
        <f>_xlfn.IFNA(VLOOKUP(C477, '[2]Unique HS'!$B$4:$J$999, 9, FALSE), "No")</f>
        <v>No</v>
      </c>
      <c r="K477" s="18">
        <f>VLOOKUP(C477, '[1]India EXIM'!$B$6:$C$580, 2, FALSE)</f>
        <v>2.3807487680000002E-3</v>
      </c>
      <c r="L477" s="11">
        <f>VLOOKUP(C477, '[1]China EXIM'!$B$6:$D$580, 3, FALSE)</f>
        <v>5.2732955996000003E-2</v>
      </c>
      <c r="M477" s="6"/>
      <c r="N477" s="6"/>
      <c r="O477" s="6"/>
      <c r="P477" s="10" t="s">
        <v>24</v>
      </c>
      <c r="Q477" s="9" t="s">
        <v>55</v>
      </c>
      <c r="S477" s="1" t="s">
        <v>136</v>
      </c>
      <c r="U477" s="1" t="s">
        <v>137</v>
      </c>
    </row>
    <row r="478" spans="2:21" ht="42" hidden="1">
      <c r="B478" s="6" t="str">
        <f>VLOOKUP(C478, [1]Definition!$D$5:$K$5665, 8, FALSE)</f>
        <v>Capital Goods</v>
      </c>
      <c r="C478" s="7">
        <v>850163</v>
      </c>
      <c r="D478" s="8" t="s">
        <v>994</v>
      </c>
      <c r="E478" s="17" t="s">
        <v>27</v>
      </c>
      <c r="F478" s="8" t="s">
        <v>995</v>
      </c>
      <c r="G478" s="8" t="s">
        <v>996</v>
      </c>
      <c r="H478" s="9" t="s">
        <v>30</v>
      </c>
      <c r="I478" s="9" t="s">
        <v>31</v>
      </c>
      <c r="J478" s="17" t="str">
        <f>_xlfn.IFNA(VLOOKUP(C478, '[2]Unique HS'!$B$4:$J$999, 9, FALSE), "No")</f>
        <v>No</v>
      </c>
      <c r="K478" s="22">
        <f>VLOOKUP(C478, '[1]India EXIM'!$B$6:$C$580, 2, FALSE)</f>
        <v>2.372621017E-3</v>
      </c>
      <c r="L478" s="11">
        <f>VLOOKUP(C478, '[1]China EXIM'!$B$6:$D$580, 3, FALSE)</f>
        <v>0.35491233213599999</v>
      </c>
      <c r="M478" s="9" t="s">
        <v>129</v>
      </c>
      <c r="N478" s="9"/>
      <c r="O478" s="6"/>
      <c r="P478" s="10" t="s">
        <v>24</v>
      </c>
      <c r="Q478" s="9" t="s">
        <v>30</v>
      </c>
      <c r="S478" s="1" t="s">
        <v>136</v>
      </c>
      <c r="U478" s="1" t="s">
        <v>137</v>
      </c>
    </row>
    <row r="479" spans="2:21" ht="56.1" hidden="1">
      <c r="B479" s="6" t="str">
        <f>VLOOKUP(C479, [1]Definition!$D$5:$K$5665, 8, FALSE)</f>
        <v>Capital Goods</v>
      </c>
      <c r="C479" s="7">
        <v>961100</v>
      </c>
      <c r="D479" s="8" t="s">
        <v>997</v>
      </c>
      <c r="E479" s="17" t="s">
        <v>163</v>
      </c>
      <c r="F479" s="8"/>
      <c r="G479" s="8"/>
      <c r="H479" s="9" t="s">
        <v>496</v>
      </c>
      <c r="I479" s="9" t="s">
        <v>781</v>
      </c>
      <c r="J479" s="17" t="str">
        <f>_xlfn.IFNA(VLOOKUP(C479, '[2]Unique HS'!$B$4:$J$999, 9, FALSE), "No")</f>
        <v>Yes</v>
      </c>
      <c r="K479" s="18">
        <f>VLOOKUP(C479, '[1]India EXIM'!$B$6:$C$580, 2, FALSE)</f>
        <v>2.3619752119999997E-3</v>
      </c>
      <c r="L479" s="11">
        <f>VLOOKUP(C479, '[1]China EXIM'!$B$6:$D$580, 3, FALSE)</f>
        <v>0.307475996315</v>
      </c>
      <c r="M479" s="6"/>
      <c r="N479" s="6"/>
      <c r="O479" s="6"/>
      <c r="P479" s="10" t="s">
        <v>24</v>
      </c>
      <c r="Q479" s="9" t="s">
        <v>496</v>
      </c>
      <c r="U479" s="1" t="s">
        <v>25</v>
      </c>
    </row>
    <row r="480" spans="2:21" ht="27.95" hidden="1">
      <c r="B480" s="6" t="str">
        <f>VLOOKUP(C480, [1]Definition!$D$5:$K$5665, 8, FALSE)</f>
        <v>Capital Goods</v>
      </c>
      <c r="C480" s="7">
        <v>870130</v>
      </c>
      <c r="D480" s="8" t="s">
        <v>998</v>
      </c>
      <c r="E480" s="17" t="s">
        <v>19</v>
      </c>
      <c r="F480" s="8"/>
      <c r="G480" s="8"/>
      <c r="H480" s="9" t="s">
        <v>58</v>
      </c>
      <c r="I480" s="9" t="s">
        <v>31</v>
      </c>
      <c r="J480" s="17" t="str">
        <f>_xlfn.IFNA(VLOOKUP(C480, '[2]Unique HS'!$B$4:$J$999, 9, FALSE), "No")</f>
        <v>No</v>
      </c>
      <c r="K480" s="18">
        <f>VLOOKUP(C480, '[1]India EXIM'!$B$6:$C$580, 2, FALSE)</f>
        <v>2.3485660420000001E-3</v>
      </c>
      <c r="L480" s="11">
        <f>VLOOKUP(C480, '[1]China EXIM'!$B$6:$D$580, 3, FALSE)</f>
        <v>2.104433658054</v>
      </c>
      <c r="M480" s="6"/>
      <c r="N480" s="6"/>
      <c r="O480" s="6"/>
      <c r="P480" s="10" t="s">
        <v>24</v>
      </c>
      <c r="Q480" s="9" t="s">
        <v>58</v>
      </c>
      <c r="U480" s="1" t="s">
        <v>25</v>
      </c>
    </row>
    <row r="481" spans="2:22" ht="27.95" hidden="1">
      <c r="B481" s="6" t="str">
        <f>VLOOKUP(C481, [1]Definition!$D$5:$K$5665, 8, FALSE)</f>
        <v>Capital Goods</v>
      </c>
      <c r="C481" s="7">
        <v>900850</v>
      </c>
      <c r="D481" s="8" t="s">
        <v>999</v>
      </c>
      <c r="E481" s="17" t="s">
        <v>205</v>
      </c>
      <c r="F481" s="8"/>
      <c r="G481" s="8"/>
      <c r="H481" s="9" t="s">
        <v>166</v>
      </c>
      <c r="I481" s="9" t="s">
        <v>201</v>
      </c>
      <c r="J481" s="17" t="str">
        <f>_xlfn.IFNA(VLOOKUP(C481, '[2]Unique HS'!$B$4:$J$999, 9, FALSE), "No")</f>
        <v>No</v>
      </c>
      <c r="K481" s="22">
        <f>VLOOKUP(C481, '[1]India EXIM'!$B$6:$C$580, 2, FALSE)</f>
        <v>2.3111819219999996E-3</v>
      </c>
      <c r="L481" s="11">
        <f>VLOOKUP(C481, '[1]China EXIM'!$B$6:$D$580, 3, FALSE)</f>
        <v>0.24282323883500001</v>
      </c>
      <c r="M481" s="6"/>
      <c r="N481" s="6"/>
      <c r="O481" s="6"/>
      <c r="P481" s="10" t="s">
        <v>24</v>
      </c>
      <c r="Q481" s="11" t="s">
        <v>466</v>
      </c>
      <c r="U481" s="1" t="s">
        <v>25</v>
      </c>
    </row>
    <row r="482" spans="2:22" ht="27.95" hidden="1">
      <c r="B482" s="6" t="str">
        <f>VLOOKUP(C482, [1]Definition!$D$5:$K$5665, 8, FALSE)</f>
        <v>Capital Goods</v>
      </c>
      <c r="C482" s="7">
        <v>820310</v>
      </c>
      <c r="D482" s="8" t="s">
        <v>1000</v>
      </c>
      <c r="E482" s="17" t="s">
        <v>19</v>
      </c>
      <c r="F482" s="8"/>
      <c r="G482" s="8"/>
      <c r="H482" s="9" t="s">
        <v>65</v>
      </c>
      <c r="I482" s="9" t="s">
        <v>1001</v>
      </c>
      <c r="J482" s="17" t="str">
        <f>_xlfn.IFNA(VLOOKUP(C482, '[2]Unique HS'!$B$4:$J$999, 9, FALSE), "No")</f>
        <v>Yes</v>
      </c>
      <c r="K482" s="18">
        <f>VLOOKUP(C482, '[1]India EXIM'!$B$6:$C$580, 2, FALSE)</f>
        <v>2.2157337110000003E-3</v>
      </c>
      <c r="L482" s="11">
        <f>VLOOKUP(C482, '[1]China EXIM'!$B$6:$D$580, 3, FALSE)</f>
        <v>0.31033747891500002</v>
      </c>
      <c r="M482" s="6" t="s">
        <v>210</v>
      </c>
      <c r="N482" s="6"/>
      <c r="O482" s="9"/>
      <c r="P482" s="10" t="s">
        <v>24</v>
      </c>
      <c r="Q482" s="11" t="s">
        <v>210</v>
      </c>
      <c r="U482" s="1" t="s">
        <v>25</v>
      </c>
    </row>
    <row r="483" spans="2:22" ht="27.95">
      <c r="B483" s="6" t="str">
        <f>VLOOKUP(C483, [1]Definition!$D$5:$K$5665, 8, FALSE)</f>
        <v>Capital Goods</v>
      </c>
      <c r="C483" s="7">
        <v>821194</v>
      </c>
      <c r="D483" s="8" t="s">
        <v>1002</v>
      </c>
      <c r="E483" s="17" t="s">
        <v>119</v>
      </c>
      <c r="F483" s="8"/>
      <c r="G483" s="8"/>
      <c r="H483" s="9" t="s">
        <v>65</v>
      </c>
      <c r="I483" s="9" t="s">
        <v>924</v>
      </c>
      <c r="J483" s="17" t="str">
        <f>_xlfn.IFNA(VLOOKUP(C483, '[2]Unique HS'!$B$4:$J$999, 9, FALSE), "No")</f>
        <v>Yes</v>
      </c>
      <c r="K483" s="18">
        <f>VLOOKUP(C483, '[1]India EXIM'!$B$6:$C$580, 2, FALSE)</f>
        <v>4.1866588420000003E-3</v>
      </c>
      <c r="L483" s="11">
        <f>VLOOKUP(C483, '[1]China EXIM'!$B$6:$D$580, 3, FALSE)</f>
        <v>0.21612750982600001</v>
      </c>
      <c r="M483" s="6" t="s">
        <v>201</v>
      </c>
      <c r="N483" s="6"/>
      <c r="O483" s="6"/>
      <c r="P483" s="10" t="s">
        <v>24</v>
      </c>
      <c r="Q483" s="11" t="s">
        <v>202</v>
      </c>
      <c r="U483" s="1" t="s">
        <v>211</v>
      </c>
    </row>
    <row r="484" spans="2:22" ht="27.95" hidden="1">
      <c r="B484" s="6" t="str">
        <f>VLOOKUP(C484, [1]Definition!$D$5:$K$5665, 8, FALSE)</f>
        <v>Capital Goods</v>
      </c>
      <c r="C484" s="7">
        <v>950822</v>
      </c>
      <c r="D484" s="8" t="s">
        <v>1003</v>
      </c>
      <c r="E484" s="17" t="s">
        <v>205</v>
      </c>
      <c r="F484" s="8"/>
      <c r="G484" s="8"/>
      <c r="H484" s="9" t="s">
        <v>166</v>
      </c>
      <c r="I484" s="9" t="s">
        <v>201</v>
      </c>
      <c r="J484" s="17" t="str">
        <f>_xlfn.IFNA(VLOOKUP(C484, '[2]Unique HS'!$B$4:$J$999, 9, FALSE), "No")</f>
        <v>No</v>
      </c>
      <c r="K484" s="22">
        <f>VLOOKUP(C484, '[1]India EXIM'!$B$6:$C$580, 2, FALSE)</f>
        <v>2.1255219249999998E-3</v>
      </c>
      <c r="L484" s="11">
        <f>VLOOKUP(C484, '[1]China EXIM'!$B$6:$D$580, 3, FALSE)</f>
        <v>0.19059210803400001</v>
      </c>
      <c r="M484" s="6"/>
      <c r="N484" s="6"/>
      <c r="O484" s="6"/>
      <c r="P484" s="10" t="s">
        <v>24</v>
      </c>
      <c r="Q484" s="11" t="s">
        <v>864</v>
      </c>
      <c r="U484" s="1" t="s">
        <v>25</v>
      </c>
    </row>
    <row r="485" spans="2:22" ht="42" hidden="1">
      <c r="B485" s="6" t="str">
        <f>VLOOKUP(C485, [1]Definition!$D$5:$K$5665, 8, FALSE)</f>
        <v>Capital Goods</v>
      </c>
      <c r="C485" s="7">
        <v>847510</v>
      </c>
      <c r="D485" s="8" t="s">
        <v>1004</v>
      </c>
      <c r="E485" s="17" t="s">
        <v>19</v>
      </c>
      <c r="F485" s="8"/>
      <c r="G485" s="8"/>
      <c r="H485" s="9" t="s">
        <v>46</v>
      </c>
      <c r="I485" s="9" t="s">
        <v>1005</v>
      </c>
      <c r="J485" s="17" t="str">
        <f>_xlfn.IFNA(VLOOKUP(C485, '[2]Unique HS'!$B$4:$J$999, 9, FALSE), "No")</f>
        <v>No</v>
      </c>
      <c r="K485" s="18">
        <f>VLOOKUP(C485, '[1]India EXIM'!$B$6:$C$580, 2, FALSE)</f>
        <v>2.0772048240000002E-3</v>
      </c>
      <c r="L485" s="11">
        <f>VLOOKUP(C485, '[1]China EXIM'!$B$6:$D$580, 3, FALSE)</f>
        <v>5.2568090975000002E-2</v>
      </c>
      <c r="M485" s="6"/>
      <c r="N485" s="6"/>
      <c r="O485" s="6"/>
      <c r="P485" s="10" t="s">
        <v>24</v>
      </c>
      <c r="Q485" s="9" t="s">
        <v>46</v>
      </c>
      <c r="U485" s="1" t="s">
        <v>25</v>
      </c>
    </row>
    <row r="486" spans="2:22" ht="42" hidden="1">
      <c r="B486" s="6" t="str">
        <f>VLOOKUP(C486, [1]Definition!$D$5:$K$5665, 8, FALSE)</f>
        <v>Capital Goods</v>
      </c>
      <c r="C486" s="7">
        <v>846225</v>
      </c>
      <c r="D486" s="8" t="s">
        <v>1006</v>
      </c>
      <c r="E486" s="17" t="s">
        <v>19</v>
      </c>
      <c r="F486" s="8"/>
      <c r="G486" s="8"/>
      <c r="H486" s="9" t="s">
        <v>65</v>
      </c>
      <c r="I486" s="9" t="s">
        <v>31</v>
      </c>
      <c r="J486" s="17" t="str">
        <f>_xlfn.IFNA(VLOOKUP(C486, '[2]Unique HS'!$B$4:$J$999, 9, FALSE), "No")</f>
        <v>No</v>
      </c>
      <c r="K486" s="18">
        <f>VLOOKUP(C486, '[1]India EXIM'!$B$6:$C$580, 2, FALSE)</f>
        <v>2.0115704139999999E-3</v>
      </c>
      <c r="L486" s="11">
        <f>VLOOKUP(C486, '[1]China EXIM'!$B$6:$D$580, 3, FALSE)</f>
        <v>8.5691921983000005E-2</v>
      </c>
      <c r="M486" s="6"/>
      <c r="N486" s="6"/>
      <c r="O486" s="6"/>
      <c r="P486" s="10" t="s">
        <v>24</v>
      </c>
      <c r="Q486" s="9" t="s">
        <v>65</v>
      </c>
      <c r="U486" s="1" t="s">
        <v>25</v>
      </c>
      <c r="V486" s="1" t="s">
        <v>842</v>
      </c>
    </row>
    <row r="487" spans="2:22" ht="42" hidden="1">
      <c r="B487" s="6" t="str">
        <f>VLOOKUP(C487, [1]Definition!$D$5:$K$5665, 8, FALSE)</f>
        <v>Capital Goods</v>
      </c>
      <c r="C487" s="7">
        <v>842382</v>
      </c>
      <c r="D487" s="8" t="s">
        <v>1007</v>
      </c>
      <c r="E487" s="17" t="s">
        <v>19</v>
      </c>
      <c r="F487" s="8" t="s">
        <v>1008</v>
      </c>
      <c r="G487" s="8" t="s">
        <v>928</v>
      </c>
      <c r="H487" s="9" t="s">
        <v>22</v>
      </c>
      <c r="I487" s="9" t="s">
        <v>486</v>
      </c>
      <c r="J487" s="17" t="str">
        <f>_xlfn.IFNA(VLOOKUP(C487, '[2]Unique HS'!$B$4:$J$999, 9, FALSE), "No")</f>
        <v>Yes</v>
      </c>
      <c r="K487" s="19">
        <f>VLOOKUP(C487, '[1]India EXIM'!$B$6:$C$580, 2, FALSE)</f>
        <v>1.9837335560000001E-3</v>
      </c>
      <c r="L487" s="11">
        <f>VLOOKUP(C487, '[1]China EXIM'!$B$6:$D$580, 3, FALSE)</f>
        <v>0.74246686951199992</v>
      </c>
      <c r="M487" s="6"/>
      <c r="N487" s="6"/>
      <c r="O487" s="6"/>
      <c r="P487" s="10" t="s">
        <v>24</v>
      </c>
      <c r="Q487" s="9" t="s">
        <v>22</v>
      </c>
      <c r="U487" s="1" t="s">
        <v>25</v>
      </c>
    </row>
    <row r="488" spans="2:22" ht="42" hidden="1">
      <c r="B488" s="6" t="str">
        <f>VLOOKUP(C488, [1]Definition!$D$5:$K$5665, 8, FALSE)</f>
        <v>Capital Goods</v>
      </c>
      <c r="C488" s="7">
        <v>846810</v>
      </c>
      <c r="D488" s="8" t="s">
        <v>1009</v>
      </c>
      <c r="E488" s="17" t="s">
        <v>19</v>
      </c>
      <c r="F488" s="8"/>
      <c r="G488" s="8"/>
      <c r="H488" s="9" t="s">
        <v>65</v>
      </c>
      <c r="I488" s="9" t="s">
        <v>721</v>
      </c>
      <c r="J488" s="17" t="str">
        <f>_xlfn.IFNA(VLOOKUP(C488, '[2]Unique HS'!$B$4:$J$999, 9, FALSE), "No")</f>
        <v>No</v>
      </c>
      <c r="K488" s="18">
        <f>VLOOKUP(C488, '[1]India EXIM'!$B$6:$C$580, 2, FALSE)</f>
        <v>1.9794627009999998E-3</v>
      </c>
      <c r="L488" s="11">
        <f>VLOOKUP(C488, '[1]China EXIM'!$B$6:$D$580, 3, FALSE)</f>
        <v>0.19493323899000001</v>
      </c>
      <c r="M488" s="6"/>
      <c r="N488" s="6"/>
      <c r="O488" s="6"/>
      <c r="P488" s="10" t="s">
        <v>24</v>
      </c>
      <c r="Q488" s="9" t="s">
        <v>65</v>
      </c>
      <c r="U488" s="1" t="s">
        <v>25</v>
      </c>
    </row>
    <row r="489" spans="2:22" ht="42" hidden="1">
      <c r="B489" s="6" t="str">
        <f>VLOOKUP(C489, [1]Definition!$D$5:$K$5665, 8, FALSE)</f>
        <v>Capital Goods</v>
      </c>
      <c r="C489" s="7">
        <v>901120</v>
      </c>
      <c r="D489" s="8" t="s">
        <v>1010</v>
      </c>
      <c r="E489" s="17" t="s">
        <v>19</v>
      </c>
      <c r="F489" s="8" t="s">
        <v>1011</v>
      </c>
      <c r="G489" s="8" t="s">
        <v>1012</v>
      </c>
      <c r="H489" s="9" t="s">
        <v>166</v>
      </c>
      <c r="I489" s="9" t="s">
        <v>201</v>
      </c>
      <c r="J489" s="17" t="str">
        <f>_xlfn.IFNA(VLOOKUP(C489, '[2]Unique HS'!$B$4:$J$999, 9, FALSE), "No")</f>
        <v>Yes</v>
      </c>
      <c r="K489" s="18">
        <f>VLOOKUP(C489, '[1]India EXIM'!$B$6:$C$580, 2, FALSE)</f>
        <v>1.9596942779999999E-3</v>
      </c>
      <c r="L489" s="11">
        <f>VLOOKUP(C489, '[1]China EXIM'!$B$6:$D$580, 3, FALSE)</f>
        <v>0.18004843889399999</v>
      </c>
      <c r="M489" s="6"/>
      <c r="N489" s="6"/>
      <c r="O489" s="6"/>
      <c r="P489" s="10" t="s">
        <v>24</v>
      </c>
      <c r="Q489" s="11" t="s">
        <v>70</v>
      </c>
      <c r="U489" s="1" t="s">
        <v>25</v>
      </c>
    </row>
    <row r="490" spans="2:22" ht="27.95" hidden="1">
      <c r="B490" s="6" t="str">
        <f>VLOOKUP(C490, [1]Definition!$D$5:$K$5665, 8, FALSE)</f>
        <v>Capital Goods</v>
      </c>
      <c r="C490" s="7">
        <v>820510</v>
      </c>
      <c r="D490" s="8" t="s">
        <v>1013</v>
      </c>
      <c r="E490" s="17" t="s">
        <v>19</v>
      </c>
      <c r="F490" s="8"/>
      <c r="G490" s="8"/>
      <c r="H490" s="9" t="s">
        <v>65</v>
      </c>
      <c r="I490" s="9" t="s">
        <v>1014</v>
      </c>
      <c r="J490" s="17" t="str">
        <f>_xlfn.IFNA(VLOOKUP(C490, '[2]Unique HS'!$B$4:$J$999, 9, FALSE), "No")</f>
        <v>Yes</v>
      </c>
      <c r="K490" s="18">
        <f>VLOOKUP(C490, '[1]India EXIM'!$B$6:$C$580, 2, FALSE)</f>
        <v>1.9382935209999999E-3</v>
      </c>
      <c r="L490" s="11">
        <f>VLOOKUP(C490, '[1]China EXIM'!$B$6:$D$580, 3, FALSE)</f>
        <v>0.208936921345</v>
      </c>
      <c r="M490" s="6" t="s">
        <v>210</v>
      </c>
      <c r="N490" s="6"/>
      <c r="O490" s="9"/>
      <c r="P490" s="10" t="s">
        <v>24</v>
      </c>
      <c r="Q490" s="11" t="s">
        <v>210</v>
      </c>
      <c r="U490" s="1" t="s">
        <v>25</v>
      </c>
    </row>
    <row r="491" spans="2:22" ht="27.95" hidden="1">
      <c r="B491" s="6" t="str">
        <f>VLOOKUP(C491, [1]Definition!$D$5:$K$5665, 8, FALSE)</f>
        <v>Capital Goods</v>
      </c>
      <c r="C491" s="7">
        <v>820210</v>
      </c>
      <c r="D491" s="8" t="s">
        <v>1015</v>
      </c>
      <c r="E491" s="17" t="s">
        <v>19</v>
      </c>
      <c r="F491" s="8"/>
      <c r="G491" s="8"/>
      <c r="H491" s="9" t="s">
        <v>65</v>
      </c>
      <c r="I491" s="9" t="s">
        <v>209</v>
      </c>
      <c r="J491" s="17" t="str">
        <f>_xlfn.IFNA(VLOOKUP(C491, '[2]Unique HS'!$B$4:$J$999, 9, FALSE), "No")</f>
        <v>Yes</v>
      </c>
      <c r="K491" s="18">
        <f>VLOOKUP(C491, '[1]India EXIM'!$B$6:$C$580, 2, FALSE)</f>
        <v>1.882845925E-3</v>
      </c>
      <c r="L491" s="11">
        <f>VLOOKUP(C491, '[1]China EXIM'!$B$6:$D$580, 3, FALSE)</f>
        <v>0.35258873735699997</v>
      </c>
      <c r="M491" s="6" t="s">
        <v>210</v>
      </c>
      <c r="N491" s="6"/>
      <c r="O491" s="9"/>
      <c r="P491" s="10" t="s">
        <v>24</v>
      </c>
      <c r="Q491" s="11" t="s">
        <v>210</v>
      </c>
      <c r="U491" s="1" t="s">
        <v>25</v>
      </c>
    </row>
    <row r="492" spans="2:22" ht="27.95" hidden="1">
      <c r="B492" s="6" t="str">
        <f>VLOOKUP(C492, [1]Definition!$D$5:$K$5665, 8, FALSE)</f>
        <v>Capital Goods</v>
      </c>
      <c r="C492" s="7">
        <v>820520</v>
      </c>
      <c r="D492" s="8" t="s">
        <v>1016</v>
      </c>
      <c r="E492" s="17" t="s">
        <v>19</v>
      </c>
      <c r="F492" s="8"/>
      <c r="G492" s="8"/>
      <c r="H492" s="9" t="s">
        <v>65</v>
      </c>
      <c r="I492" s="9" t="s">
        <v>1017</v>
      </c>
      <c r="J492" s="17" t="str">
        <f>_xlfn.IFNA(VLOOKUP(C492, '[2]Unique HS'!$B$4:$J$999, 9, FALSE), "No")</f>
        <v>Yes</v>
      </c>
      <c r="K492" s="18">
        <f>VLOOKUP(C492, '[1]India EXIM'!$B$6:$C$580, 2, FALSE)</f>
        <v>1.862382566E-3</v>
      </c>
      <c r="L492" s="11">
        <f>VLOOKUP(C492, '[1]China EXIM'!$B$6:$D$580, 3, FALSE)</f>
        <v>0.51860673902100007</v>
      </c>
      <c r="M492" s="6" t="s">
        <v>210</v>
      </c>
      <c r="N492" s="6"/>
      <c r="O492" s="9"/>
      <c r="P492" s="10" t="s">
        <v>24</v>
      </c>
      <c r="Q492" s="11" t="s">
        <v>210</v>
      </c>
      <c r="U492" s="1" t="s">
        <v>25</v>
      </c>
    </row>
    <row r="493" spans="2:22" ht="27.95" hidden="1">
      <c r="B493" s="6" t="str">
        <f>VLOOKUP(C493, [1]Definition!$D$5:$K$5665, 8, FALSE)</f>
        <v>Capital Goods</v>
      </c>
      <c r="C493" s="7">
        <v>820830</v>
      </c>
      <c r="D493" s="16" t="s">
        <v>1018</v>
      </c>
      <c r="E493" s="17" t="s">
        <v>19</v>
      </c>
      <c r="F493" s="8"/>
      <c r="G493" s="8"/>
      <c r="H493" s="9" t="s">
        <v>61</v>
      </c>
      <c r="I493" s="9" t="s">
        <v>1019</v>
      </c>
      <c r="J493" s="17" t="str">
        <f>_xlfn.IFNA(VLOOKUP(C493, '[2]Unique HS'!$B$4:$J$999, 9, FALSE), "No")</f>
        <v>No</v>
      </c>
      <c r="K493" s="18">
        <f>VLOOKUP(C493, '[1]India EXIM'!$B$6:$C$580, 2, FALSE)</f>
        <v>1.8283943950000001E-3</v>
      </c>
      <c r="L493" s="11">
        <f>VLOOKUP(C493, '[1]China EXIM'!$B$6:$D$580, 3, FALSE)</f>
        <v>0.31950945043400003</v>
      </c>
      <c r="M493" s="6" t="s">
        <v>210</v>
      </c>
      <c r="N493" s="6"/>
      <c r="O493" s="6"/>
      <c r="P493" s="10" t="s">
        <v>24</v>
      </c>
      <c r="Q493" s="11" t="s">
        <v>210</v>
      </c>
      <c r="U493" s="1" t="s">
        <v>25</v>
      </c>
    </row>
    <row r="494" spans="2:22" ht="42" hidden="1">
      <c r="B494" s="6" t="str">
        <f>VLOOKUP(C494, [1]Definition!$D$5:$K$5665, 8, FALSE)</f>
        <v>Capital Goods</v>
      </c>
      <c r="C494" s="7">
        <v>845910</v>
      </c>
      <c r="D494" s="8" t="s">
        <v>1020</v>
      </c>
      <c r="E494" s="17" t="s">
        <v>19</v>
      </c>
      <c r="F494" s="8"/>
      <c r="G494" s="8"/>
      <c r="H494" s="9" t="s">
        <v>65</v>
      </c>
      <c r="I494" s="9" t="s">
        <v>31</v>
      </c>
      <c r="J494" s="17" t="str">
        <f>_xlfn.IFNA(VLOOKUP(C494, '[2]Unique HS'!$B$4:$J$999, 9, FALSE), "No")</f>
        <v>No</v>
      </c>
      <c r="K494" s="18">
        <f>VLOOKUP(C494, '[1]India EXIM'!$B$6:$C$580, 2, FALSE)</f>
        <v>1.8202856950000001E-3</v>
      </c>
      <c r="L494" s="11">
        <f>VLOOKUP(C494, '[1]China EXIM'!$B$6:$D$580, 3, FALSE)</f>
        <v>4.8341103938E-2</v>
      </c>
      <c r="M494" s="6"/>
      <c r="N494" s="6"/>
      <c r="O494" s="6"/>
      <c r="P494" s="10" t="s">
        <v>24</v>
      </c>
      <c r="Q494" s="9" t="s">
        <v>65</v>
      </c>
      <c r="U494" s="1" t="s">
        <v>25</v>
      </c>
    </row>
    <row r="495" spans="2:22" ht="27.95" hidden="1">
      <c r="B495" s="6" t="str">
        <f>VLOOKUP(C495, [1]Definition!$D$5:$K$5665, 8, FALSE)</f>
        <v>Capital Goods</v>
      </c>
      <c r="C495" s="7">
        <v>847621</v>
      </c>
      <c r="D495" s="8" t="s">
        <v>1021</v>
      </c>
      <c r="E495" s="17" t="s">
        <v>19</v>
      </c>
      <c r="F495" s="8"/>
      <c r="G495" s="8"/>
      <c r="H495" s="9" t="s">
        <v>61</v>
      </c>
      <c r="I495" s="9" t="s">
        <v>38</v>
      </c>
      <c r="J495" s="17" t="str">
        <f>_xlfn.IFNA(VLOOKUP(C495, '[2]Unique HS'!$B$4:$J$999, 9, FALSE), "No")</f>
        <v>No</v>
      </c>
      <c r="K495" s="18">
        <f>VLOOKUP(C495, '[1]India EXIM'!$B$6:$C$580, 2, FALSE)</f>
        <v>1.7461058789999999E-3</v>
      </c>
      <c r="L495" s="11">
        <f>VLOOKUP(C495, '[1]China EXIM'!$B$6:$D$580, 3, FALSE)</f>
        <v>0.5438157708689999</v>
      </c>
      <c r="M495" s="6"/>
      <c r="N495" s="6"/>
      <c r="O495" s="6"/>
      <c r="P495" s="10" t="s">
        <v>24</v>
      </c>
      <c r="Q495" s="9" t="s">
        <v>61</v>
      </c>
      <c r="S495" s="1" t="s">
        <v>136</v>
      </c>
      <c r="U495" s="1" t="s">
        <v>137</v>
      </c>
    </row>
    <row r="496" spans="2:22" ht="27.95" hidden="1">
      <c r="B496" s="6" t="str">
        <f>VLOOKUP(C496, [1]Definition!$D$5:$K$5665, 8, FALSE)</f>
        <v>Capital Goods</v>
      </c>
      <c r="C496" s="13">
        <v>820291</v>
      </c>
      <c r="D496" s="14" t="s">
        <v>1022</v>
      </c>
      <c r="E496" s="17" t="s">
        <v>19</v>
      </c>
      <c r="F496" s="8"/>
      <c r="G496" s="8"/>
      <c r="H496" s="9" t="s">
        <v>65</v>
      </c>
      <c r="I496" s="9" t="s">
        <v>209</v>
      </c>
      <c r="J496" s="17" t="str">
        <f>_xlfn.IFNA(VLOOKUP(C496, '[2]Unique HS'!$B$4:$J$999, 9, FALSE), "No")</f>
        <v>No</v>
      </c>
      <c r="K496" s="18">
        <f>VLOOKUP(C496, '[1]India EXIM'!$B$6:$C$580, 2, FALSE)</f>
        <v>1.7341076080000001E-3</v>
      </c>
      <c r="L496" s="11">
        <f>VLOOKUP(C496, '[1]China EXIM'!$B$6:$D$580, 3, FALSE)</f>
        <v>0.19740255071200002</v>
      </c>
      <c r="M496" s="6" t="s">
        <v>210</v>
      </c>
      <c r="N496" s="6"/>
      <c r="O496" s="9"/>
      <c r="P496" s="10" t="s">
        <v>24</v>
      </c>
      <c r="Q496" s="11" t="s">
        <v>210</v>
      </c>
      <c r="U496" s="1" t="s">
        <v>25</v>
      </c>
    </row>
    <row r="497" spans="2:23" ht="27.95" hidden="1">
      <c r="B497" s="6" t="str">
        <f>VLOOKUP(C497, [1]Definition!$D$5:$K$5665, 8, FALSE)</f>
        <v>Capital Goods</v>
      </c>
      <c r="C497" s="7">
        <v>820530</v>
      </c>
      <c r="D497" s="8" t="s">
        <v>1023</v>
      </c>
      <c r="E497" s="17" t="s">
        <v>19</v>
      </c>
      <c r="F497" s="8"/>
      <c r="G497" s="8"/>
      <c r="H497" s="9" t="s">
        <v>65</v>
      </c>
      <c r="I497" s="9" t="s">
        <v>209</v>
      </c>
      <c r="J497" s="17" t="str">
        <f>_xlfn.IFNA(VLOOKUP(C497, '[2]Unique HS'!$B$4:$J$999, 9, FALSE), "No")</f>
        <v>No</v>
      </c>
      <c r="K497" s="18">
        <f>VLOOKUP(C497, '[1]India EXIM'!$B$6:$C$580, 2, FALSE)</f>
        <v>1.733496039E-3</v>
      </c>
      <c r="L497" s="11">
        <f>VLOOKUP(C497, '[1]China EXIM'!$B$6:$D$580, 3, FALSE)</f>
        <v>0.18135374604400001</v>
      </c>
      <c r="M497" s="6" t="s">
        <v>210</v>
      </c>
      <c r="N497" s="6"/>
      <c r="O497" s="9"/>
      <c r="P497" s="10" t="s">
        <v>24</v>
      </c>
      <c r="Q497" s="11" t="s">
        <v>210</v>
      </c>
      <c r="S497" s="1" t="s">
        <v>136</v>
      </c>
      <c r="U497" s="1" t="s">
        <v>137</v>
      </c>
    </row>
    <row r="498" spans="2:23" ht="27.95" hidden="1">
      <c r="B498" s="6" t="str">
        <f>VLOOKUP(C498, [1]Definition!$D$5:$K$5665, 8, FALSE)</f>
        <v>Capital Goods</v>
      </c>
      <c r="C498" s="7">
        <v>900710</v>
      </c>
      <c r="D498" s="8" t="s">
        <v>1024</v>
      </c>
      <c r="E498" s="17" t="s">
        <v>205</v>
      </c>
      <c r="F498" s="8"/>
      <c r="G498" s="8"/>
      <c r="H498" s="9" t="s">
        <v>166</v>
      </c>
      <c r="I498" s="9" t="s">
        <v>201</v>
      </c>
      <c r="J498" s="17" t="str">
        <f>_xlfn.IFNA(VLOOKUP(C498, '[2]Unique HS'!$B$4:$J$999, 9, FALSE), "No")</f>
        <v>No</v>
      </c>
      <c r="K498" s="22">
        <f>VLOOKUP(C498, '[1]India EXIM'!$B$6:$C$580, 2, FALSE)</f>
        <v>1.699321897E-3</v>
      </c>
      <c r="L498" s="11">
        <f>VLOOKUP(C498, '[1]China EXIM'!$B$6:$D$580, 3, FALSE)</f>
        <v>0.117569342324</v>
      </c>
      <c r="M498" s="6"/>
      <c r="N498" s="6"/>
      <c r="O498" s="6"/>
      <c r="P498" s="10" t="s">
        <v>24</v>
      </c>
      <c r="Q498" s="11" t="s">
        <v>466</v>
      </c>
      <c r="U498" s="1" t="s">
        <v>25</v>
      </c>
    </row>
    <row r="499" spans="2:23" ht="69.95" hidden="1">
      <c r="B499" s="6" t="str">
        <f>VLOOKUP(C499, [1]Definition!$D$5:$K$5665, 8, FALSE)</f>
        <v>Capital Goods</v>
      </c>
      <c r="C499" s="7">
        <v>901410</v>
      </c>
      <c r="D499" s="8" t="s">
        <v>1025</v>
      </c>
      <c r="E499" s="17" t="s">
        <v>205</v>
      </c>
      <c r="F499" s="8"/>
      <c r="G499" s="8"/>
      <c r="H499" s="9" t="s">
        <v>166</v>
      </c>
      <c r="I499" s="9" t="s">
        <v>167</v>
      </c>
      <c r="J499" s="17" t="str">
        <f>_xlfn.IFNA(VLOOKUP(C499, '[2]Unique HS'!$B$4:$J$999, 9, FALSE), "No")</f>
        <v>No</v>
      </c>
      <c r="K499" s="22">
        <f>VLOOKUP(C499, '[1]India EXIM'!$B$6:$C$580, 2, FALSE)</f>
        <v>1.6829289969999999E-3</v>
      </c>
      <c r="L499" s="11">
        <f>VLOOKUP(C499, '[1]China EXIM'!$B$6:$D$580, 3, FALSE)</f>
        <v>0.25395971508300003</v>
      </c>
      <c r="M499" s="6"/>
      <c r="N499" s="6"/>
      <c r="O499" s="6"/>
      <c r="P499" s="10" t="s">
        <v>24</v>
      </c>
      <c r="Q499" s="11" t="s">
        <v>168</v>
      </c>
      <c r="U499" s="1" t="s">
        <v>25</v>
      </c>
    </row>
    <row r="500" spans="2:23" ht="27.95" hidden="1">
      <c r="B500" s="6" t="str">
        <f>VLOOKUP(C500, [1]Definition!$D$5:$K$5665, 8, FALSE)</f>
        <v>Capital Goods</v>
      </c>
      <c r="C500" s="7">
        <v>820160</v>
      </c>
      <c r="D500" s="8" t="s">
        <v>1026</v>
      </c>
      <c r="E500" s="17" t="s">
        <v>19</v>
      </c>
      <c r="F500" s="8"/>
      <c r="G500" s="8"/>
      <c r="H500" s="9" t="s">
        <v>65</v>
      </c>
      <c r="I500" s="9" t="s">
        <v>209</v>
      </c>
      <c r="J500" s="17" t="str">
        <f>_xlfn.IFNA(VLOOKUP(C500, '[2]Unique HS'!$B$4:$J$999, 9, FALSE), "No")</f>
        <v>No</v>
      </c>
      <c r="K500" s="18">
        <f>VLOOKUP(C500, '[1]India EXIM'!$B$6:$C$580, 2, FALSE)</f>
        <v>1.653390934E-3</v>
      </c>
      <c r="L500" s="11">
        <f>VLOOKUP(C500, '[1]China EXIM'!$B$6:$D$580, 3, FALSE)</f>
        <v>0.203385461584</v>
      </c>
      <c r="M500" s="9" t="s">
        <v>210</v>
      </c>
      <c r="N500" s="9"/>
      <c r="O500" s="9"/>
      <c r="P500" s="10" t="s">
        <v>24</v>
      </c>
      <c r="Q500" s="11" t="s">
        <v>210</v>
      </c>
      <c r="U500" s="1" t="s">
        <v>25</v>
      </c>
    </row>
    <row r="501" spans="2:23" ht="27.95" hidden="1">
      <c r="B501" s="6" t="str">
        <f>VLOOKUP(C501, [1]Definition!$D$5:$K$5665, 8, FALSE)</f>
        <v>Capital Goods</v>
      </c>
      <c r="C501" s="7">
        <v>843840</v>
      </c>
      <c r="D501" s="8" t="s">
        <v>1027</v>
      </c>
      <c r="E501" s="17" t="s">
        <v>19</v>
      </c>
      <c r="F501" s="8"/>
      <c r="G501" s="8"/>
      <c r="H501" s="9" t="s">
        <v>61</v>
      </c>
      <c r="I501" s="9" t="s">
        <v>247</v>
      </c>
      <c r="J501" s="17" t="str">
        <f>_xlfn.IFNA(VLOOKUP(C501, '[2]Unique HS'!$B$4:$J$999, 9, FALSE), "No")</f>
        <v>No</v>
      </c>
      <c r="K501" s="18">
        <f>VLOOKUP(C501, '[1]India EXIM'!$B$6:$C$580, 2, FALSE)</f>
        <v>1.6458055539999999E-3</v>
      </c>
      <c r="L501" s="11">
        <f>VLOOKUP(C501, '[1]China EXIM'!$B$6:$D$580, 3, FALSE)</f>
        <v>0.59570659939999993</v>
      </c>
      <c r="M501" s="6"/>
      <c r="N501" s="6"/>
      <c r="O501" s="6"/>
      <c r="P501" s="10" t="s">
        <v>24</v>
      </c>
      <c r="Q501" s="9" t="s">
        <v>61</v>
      </c>
      <c r="U501" s="1" t="s">
        <v>25</v>
      </c>
    </row>
    <row r="502" spans="2:23" ht="27.95" hidden="1">
      <c r="B502" s="6" t="str">
        <f>VLOOKUP(C502, [1]Definition!$D$5:$K$5665, 8, FALSE)</f>
        <v>Capital Goods</v>
      </c>
      <c r="C502" s="7">
        <v>820150</v>
      </c>
      <c r="D502" s="8" t="s">
        <v>1028</v>
      </c>
      <c r="E502" s="17" t="s">
        <v>19</v>
      </c>
      <c r="F502" s="8"/>
      <c r="G502" s="8"/>
      <c r="H502" s="9" t="s">
        <v>65</v>
      </c>
      <c r="I502" s="9" t="s">
        <v>209</v>
      </c>
      <c r="J502" s="17" t="str">
        <f>_xlfn.IFNA(VLOOKUP(C502, '[2]Unique HS'!$B$4:$J$999, 9, FALSE), "No")</f>
        <v>No</v>
      </c>
      <c r="K502" s="18">
        <f>VLOOKUP(C502, '[1]India EXIM'!$B$6:$C$580, 2, FALSE)</f>
        <v>1.6390526610000002E-3</v>
      </c>
      <c r="L502" s="11">
        <f>VLOOKUP(C502, '[1]China EXIM'!$B$6:$D$580, 3, FALSE)</f>
        <v>0.34182840103600004</v>
      </c>
      <c r="M502" s="9" t="s">
        <v>959</v>
      </c>
      <c r="N502" s="9"/>
      <c r="O502" s="9"/>
      <c r="P502" s="10" t="s">
        <v>24</v>
      </c>
      <c r="Q502" s="11" t="s">
        <v>210</v>
      </c>
      <c r="U502" s="1" t="s">
        <v>25</v>
      </c>
    </row>
    <row r="503" spans="2:23" ht="27.95" hidden="1">
      <c r="B503" s="6" t="str">
        <f>VLOOKUP(C503, [1]Definition!$D$5:$K$5665, 8, FALSE)</f>
        <v>Capital Goods</v>
      </c>
      <c r="C503" s="7">
        <v>847030</v>
      </c>
      <c r="D503" s="8" t="s">
        <v>1029</v>
      </c>
      <c r="E503" s="17" t="s">
        <v>27</v>
      </c>
      <c r="F503" s="8" t="s">
        <v>1030</v>
      </c>
      <c r="G503" s="8"/>
      <c r="H503" s="9" t="s">
        <v>496</v>
      </c>
      <c r="I503" s="9" t="s">
        <v>497</v>
      </c>
      <c r="J503" s="17" t="str">
        <f>_xlfn.IFNA(VLOOKUP(C503, '[2]Unique HS'!$B$4:$J$999, 9, FALSE), "No")</f>
        <v>No</v>
      </c>
      <c r="K503" s="22">
        <f>VLOOKUP(C503, '[1]India EXIM'!$B$6:$C$580, 2, FALSE)</f>
        <v>1.50649068E-3</v>
      </c>
      <c r="L503" s="11">
        <f>VLOOKUP(C503, '[1]China EXIM'!$B$6:$D$580, 3, FALSE)</f>
        <v>2.9745552083000001E-2</v>
      </c>
      <c r="M503" s="6"/>
      <c r="N503" s="6"/>
      <c r="O503" s="6"/>
      <c r="P503" s="10" t="s">
        <v>24</v>
      </c>
      <c r="Q503" s="9" t="s">
        <v>496</v>
      </c>
      <c r="U503" s="1" t="s">
        <v>25</v>
      </c>
    </row>
    <row r="504" spans="2:23" ht="27.95" hidden="1">
      <c r="B504" s="6" t="str">
        <f>VLOOKUP(C504, [1]Definition!$D$5:$K$5665, 8, FALSE)</f>
        <v>Capital Goods</v>
      </c>
      <c r="C504" s="7">
        <v>840310</v>
      </c>
      <c r="D504" s="8" t="s">
        <v>1031</v>
      </c>
      <c r="E504" s="17" t="s">
        <v>142</v>
      </c>
      <c r="F504" s="8" t="s">
        <v>1032</v>
      </c>
      <c r="G504" s="8" t="s">
        <v>1033</v>
      </c>
      <c r="H504" s="9" t="s">
        <v>30</v>
      </c>
      <c r="I504" s="9" t="s">
        <v>784</v>
      </c>
      <c r="J504" s="17" t="str">
        <f>_xlfn.IFNA(VLOOKUP(C504, '[2]Unique HS'!$B$4:$J$999, 9, FALSE), "No")</f>
        <v>No</v>
      </c>
      <c r="K504" s="18">
        <f>VLOOKUP(C504, '[1]India EXIM'!$B$6:$C$580, 2, FALSE)</f>
        <v>1.4275195949999999E-3</v>
      </c>
      <c r="L504" s="11">
        <f>VLOOKUP(C504, '[1]China EXIM'!$B$6:$D$580, 3, FALSE)</f>
        <v>5.190510343333</v>
      </c>
      <c r="M504" s="9" t="s">
        <v>785</v>
      </c>
      <c r="N504" s="9"/>
      <c r="O504" s="6"/>
      <c r="P504" s="10" t="s">
        <v>24</v>
      </c>
      <c r="Q504" s="9" t="s">
        <v>30</v>
      </c>
      <c r="S504" s="1" t="s">
        <v>43</v>
      </c>
      <c r="U504" s="1" t="s">
        <v>25</v>
      </c>
    </row>
    <row r="505" spans="2:23" ht="27.95" hidden="1">
      <c r="B505" s="6" t="str">
        <f>VLOOKUP(C505, [1]Definition!$D$5:$K$5665, 8, FALSE)</f>
        <v>Capital Goods</v>
      </c>
      <c r="C505" s="7">
        <v>844315</v>
      </c>
      <c r="D505" s="8" t="s">
        <v>1034</v>
      </c>
      <c r="E505" s="17" t="s">
        <v>19</v>
      </c>
      <c r="F505" s="8"/>
      <c r="G505" s="8"/>
      <c r="H505" s="3" t="s">
        <v>180</v>
      </c>
      <c r="I505" s="9" t="s">
        <v>181</v>
      </c>
      <c r="J505" s="17" t="str">
        <f>_xlfn.IFNA(VLOOKUP(C505, '[2]Unique HS'!$B$4:$J$999, 9, FALSE), "No")</f>
        <v>No</v>
      </c>
      <c r="K505" s="18">
        <f>VLOOKUP(C505, '[1]India EXIM'!$B$6:$C$580, 2, FALSE)</f>
        <v>1.399163465E-3</v>
      </c>
      <c r="L505" s="11">
        <f>VLOOKUP(C505, '[1]China EXIM'!$B$6:$D$580, 3, FALSE)</f>
        <v>4.0080895928000002E-2</v>
      </c>
      <c r="M505" s="6"/>
      <c r="N505" s="6"/>
      <c r="O505" s="6"/>
      <c r="P505" s="10" t="s">
        <v>24</v>
      </c>
      <c r="Q505" s="11" t="s">
        <v>182</v>
      </c>
      <c r="S505" s="1" t="s">
        <v>33</v>
      </c>
      <c r="U505" s="1" t="s">
        <v>34</v>
      </c>
      <c r="W505" s="1" t="s">
        <v>113</v>
      </c>
    </row>
    <row r="506" spans="2:23" ht="27.95" hidden="1">
      <c r="B506" s="6" t="str">
        <f>VLOOKUP(C506, [1]Definition!$D$5:$K$5665, 8, FALSE)</f>
        <v>Capital Goods</v>
      </c>
      <c r="C506" s="7">
        <v>950821</v>
      </c>
      <c r="D506" s="8" t="s">
        <v>1035</v>
      </c>
      <c r="E506" s="17" t="s">
        <v>205</v>
      </c>
      <c r="F506" s="8"/>
      <c r="G506" s="8"/>
      <c r="H506" s="9" t="s">
        <v>166</v>
      </c>
      <c r="I506" s="9" t="s">
        <v>201</v>
      </c>
      <c r="J506" s="17" t="str">
        <f>_xlfn.IFNA(VLOOKUP(C506, '[2]Unique HS'!$B$4:$J$999, 9, FALSE), "No")</f>
        <v>No</v>
      </c>
      <c r="K506" s="22">
        <f>VLOOKUP(C506, '[1]India EXIM'!$B$6:$C$580, 2, FALSE)</f>
        <v>1.3379190130000001E-3</v>
      </c>
      <c r="L506" s="11">
        <f>VLOOKUP(C506, '[1]China EXIM'!$B$6:$D$580, 3, FALSE)</f>
        <v>0.35480053761199998</v>
      </c>
      <c r="M506" s="6"/>
      <c r="N506" s="6"/>
      <c r="O506" s="6"/>
      <c r="P506" s="10" t="s">
        <v>24</v>
      </c>
      <c r="Q506" s="11" t="s">
        <v>864</v>
      </c>
      <c r="S506" s="1" t="s">
        <v>33</v>
      </c>
      <c r="U506" s="1" t="s">
        <v>34</v>
      </c>
      <c r="W506" s="1" t="s">
        <v>113</v>
      </c>
    </row>
    <row r="507" spans="2:23" ht="42" hidden="1">
      <c r="B507" s="6" t="str">
        <f>VLOOKUP(C507, [1]Definition!$D$5:$K$5665, 8, FALSE)</f>
        <v>Capital Goods</v>
      </c>
      <c r="C507" s="7">
        <v>841935</v>
      </c>
      <c r="D507" s="8" t="s">
        <v>1036</v>
      </c>
      <c r="E507" s="17" t="s">
        <v>19</v>
      </c>
      <c r="F507" s="8" t="s">
        <v>1037</v>
      </c>
      <c r="G507" s="8"/>
      <c r="H507" s="9" t="s">
        <v>22</v>
      </c>
      <c r="I507" s="9" t="s">
        <v>74</v>
      </c>
      <c r="J507" s="17" t="str">
        <f>_xlfn.IFNA(VLOOKUP(C507, '[2]Unique HS'!$B$4:$J$999, 9, FALSE), "No")</f>
        <v>No</v>
      </c>
      <c r="K507" s="18">
        <f>VLOOKUP(C507, '[1]India EXIM'!$B$6:$C$580, 2, FALSE)</f>
        <v>1.3313856259999999E-3</v>
      </c>
      <c r="L507" s="11">
        <f>VLOOKUP(C507, '[1]China EXIM'!$B$6:$D$580, 3, FALSE)</f>
        <v>0.37217928822899998</v>
      </c>
      <c r="M507" s="6" t="s">
        <v>180</v>
      </c>
      <c r="N507" s="6"/>
      <c r="O507" s="6" t="s">
        <v>1038</v>
      </c>
      <c r="P507" s="10" t="s">
        <v>24</v>
      </c>
      <c r="Q507" s="11" t="s">
        <v>182</v>
      </c>
      <c r="U507" s="1" t="s">
        <v>25</v>
      </c>
    </row>
    <row r="508" spans="2:23" ht="27.95" hidden="1">
      <c r="B508" s="6" t="str">
        <f>VLOOKUP(C508, [1]Definition!$D$5:$K$5665, 8, FALSE)</f>
        <v>Capital Goods</v>
      </c>
      <c r="C508" s="7">
        <v>820330</v>
      </c>
      <c r="D508" s="8" t="s">
        <v>1039</v>
      </c>
      <c r="E508" s="17" t="s">
        <v>19</v>
      </c>
      <c r="F508" s="8"/>
      <c r="G508" s="8"/>
      <c r="H508" s="9" t="s">
        <v>65</v>
      </c>
      <c r="I508" s="9" t="s">
        <v>209</v>
      </c>
      <c r="J508" s="17" t="str">
        <f>_xlfn.IFNA(VLOOKUP(C508, '[2]Unique HS'!$B$4:$J$999, 9, FALSE), "No")</f>
        <v>Yes</v>
      </c>
      <c r="K508" s="18">
        <f>VLOOKUP(C508, '[1]India EXIM'!$B$6:$C$580, 2, FALSE)</f>
        <v>1.268057743E-3</v>
      </c>
      <c r="L508" s="11">
        <f>VLOOKUP(C508, '[1]China EXIM'!$B$6:$D$580, 3, FALSE)</f>
        <v>0.18804970043399999</v>
      </c>
      <c r="M508" s="6" t="s">
        <v>210</v>
      </c>
      <c r="N508" s="6"/>
      <c r="O508" s="9"/>
      <c r="P508" s="10" t="s">
        <v>24</v>
      </c>
      <c r="Q508" s="11" t="s">
        <v>210</v>
      </c>
      <c r="U508" s="1" t="s">
        <v>137</v>
      </c>
    </row>
    <row r="509" spans="2:23" ht="27.95" hidden="1">
      <c r="B509" s="6" t="str">
        <f>VLOOKUP(C509, [1]Definition!$D$5:$K$5665, 8, FALSE)</f>
        <v>Capital Goods</v>
      </c>
      <c r="C509" s="7">
        <v>841382</v>
      </c>
      <c r="D509" s="8" t="s">
        <v>1040</v>
      </c>
      <c r="E509" s="17" t="s">
        <v>19</v>
      </c>
      <c r="F509" s="8" t="s">
        <v>1041</v>
      </c>
      <c r="G509" s="8"/>
      <c r="H509" s="9" t="s">
        <v>22</v>
      </c>
      <c r="I509" s="9" t="s">
        <v>1042</v>
      </c>
      <c r="J509" s="17" t="str">
        <f>_xlfn.IFNA(VLOOKUP(C509, '[2]Unique HS'!$B$4:$J$999, 9, FALSE), "No")</f>
        <v>Yes</v>
      </c>
      <c r="K509" s="18">
        <f>VLOOKUP(C509, '[1]India EXIM'!$B$6:$C$580, 2, FALSE)</f>
        <v>1.232805015E-3</v>
      </c>
      <c r="L509" s="11">
        <f>VLOOKUP(C509, '[1]China EXIM'!$B$6:$D$580, 3, FALSE)</f>
        <v>0.13941234777600001</v>
      </c>
      <c r="M509" s="6"/>
      <c r="N509" s="6"/>
      <c r="O509" s="6"/>
      <c r="P509" s="10" t="s">
        <v>24</v>
      </c>
      <c r="Q509" s="9" t="s">
        <v>22</v>
      </c>
      <c r="U509" s="1" t="s">
        <v>25</v>
      </c>
    </row>
    <row r="510" spans="2:23" ht="27.95" hidden="1">
      <c r="B510" s="6" t="str">
        <f>VLOOKUP(C510, [1]Definition!$D$5:$K$5665, 8, FALSE)</f>
        <v>Capital Goods</v>
      </c>
      <c r="C510" s="7">
        <v>950830</v>
      </c>
      <c r="D510" s="8" t="s">
        <v>1043</v>
      </c>
      <c r="E510" s="17" t="s">
        <v>205</v>
      </c>
      <c r="F510" s="8"/>
      <c r="G510" s="8"/>
      <c r="H510" s="9" t="s">
        <v>166</v>
      </c>
      <c r="I510" s="9" t="s">
        <v>201</v>
      </c>
      <c r="J510" s="17" t="str">
        <f>_xlfn.IFNA(VLOOKUP(C510, '[2]Unique HS'!$B$4:$J$999, 9, FALSE), "No")</f>
        <v>No</v>
      </c>
      <c r="K510" s="22">
        <f>VLOOKUP(C510, '[1]India EXIM'!$B$6:$C$580, 2, FALSE)</f>
        <v>1.1622381250000001E-3</v>
      </c>
      <c r="L510" s="11">
        <f>VLOOKUP(C510, '[1]China EXIM'!$B$6:$D$580, 3, FALSE)</f>
        <v>0.212319265506</v>
      </c>
      <c r="M510" s="6"/>
      <c r="N510" s="6"/>
      <c r="O510" s="6"/>
      <c r="P510" s="10" t="s">
        <v>24</v>
      </c>
      <c r="Q510" s="11" t="s">
        <v>864</v>
      </c>
      <c r="S510" s="1" t="s">
        <v>136</v>
      </c>
      <c r="U510" s="1" t="s">
        <v>34</v>
      </c>
      <c r="W510" s="1" t="s">
        <v>542</v>
      </c>
    </row>
    <row r="511" spans="2:23" ht="42" hidden="1">
      <c r="B511" s="6" t="str">
        <f>VLOOKUP(C511, [1]Definition!$D$5:$K$5665, 8, FALSE)</f>
        <v>Capital Goods</v>
      </c>
      <c r="C511" s="7">
        <v>851981</v>
      </c>
      <c r="D511" s="8" t="s">
        <v>1044</v>
      </c>
      <c r="E511" s="17" t="s">
        <v>27</v>
      </c>
      <c r="F511" s="8"/>
      <c r="G511" s="8"/>
      <c r="H511" s="9" t="s">
        <v>166</v>
      </c>
      <c r="I511" s="9" t="s">
        <v>201</v>
      </c>
      <c r="J511" s="17" t="str">
        <f>_xlfn.IFNA(VLOOKUP(C511, '[2]Unique HS'!$B$4:$J$999, 9, FALSE), "No")</f>
        <v>No</v>
      </c>
      <c r="K511" s="22">
        <f>VLOOKUP(C511, '[1]India EXIM'!$B$6:$C$580, 2, FALSE)</f>
        <v>1.149817609E-3</v>
      </c>
      <c r="L511" s="11">
        <f>VLOOKUP(C511, '[1]China EXIM'!$B$6:$D$580, 3, FALSE)</f>
        <v>1.7990510376700002</v>
      </c>
      <c r="M511" s="6" t="s">
        <v>400</v>
      </c>
      <c r="N511" s="6"/>
      <c r="O511" s="6"/>
      <c r="P511" s="10" t="s">
        <v>24</v>
      </c>
      <c r="Q511" s="11" t="s">
        <v>390</v>
      </c>
      <c r="U511" s="1" t="s">
        <v>25</v>
      </c>
    </row>
    <row r="512" spans="2:23" ht="27.95" hidden="1">
      <c r="B512" s="6" t="str">
        <f>VLOOKUP(C512, [1]Definition!$D$5:$K$5665, 8, FALSE)</f>
        <v>Capital Goods</v>
      </c>
      <c r="C512" s="7">
        <v>847629</v>
      </c>
      <c r="D512" s="8" t="s">
        <v>1045</v>
      </c>
      <c r="E512" s="17" t="s">
        <v>19</v>
      </c>
      <c r="F512" s="8"/>
      <c r="G512" s="8"/>
      <c r="H512" s="9" t="s">
        <v>61</v>
      </c>
      <c r="I512" s="9" t="s">
        <v>38</v>
      </c>
      <c r="J512" s="17" t="str">
        <f>_xlfn.IFNA(VLOOKUP(C512, '[2]Unique HS'!$B$4:$J$999, 9, FALSE), "No")</f>
        <v>No</v>
      </c>
      <c r="K512" s="18">
        <f>VLOOKUP(C512, '[1]India EXIM'!$B$6:$C$580, 2, FALSE)</f>
        <v>1.0737469929999999E-3</v>
      </c>
      <c r="L512" s="11">
        <f>VLOOKUP(C512, '[1]China EXIM'!$B$6:$D$580, 3, FALSE)</f>
        <v>3.0897769349000001E-2</v>
      </c>
      <c r="M512" s="6"/>
      <c r="N512" s="6"/>
      <c r="O512" s="6"/>
      <c r="P512" s="10" t="s">
        <v>24</v>
      </c>
      <c r="Q512" s="9" t="s">
        <v>61</v>
      </c>
      <c r="U512" s="1" t="s">
        <v>25</v>
      </c>
    </row>
    <row r="513" spans="2:23" ht="27.95" hidden="1">
      <c r="B513" s="6" t="str">
        <f>VLOOKUP(C513, [1]Definition!$D$5:$K$5665, 8, FALSE)</f>
        <v>Capital Goods</v>
      </c>
      <c r="C513" s="7">
        <v>840610</v>
      </c>
      <c r="D513" s="8" t="s">
        <v>1046</v>
      </c>
      <c r="E513" s="17" t="s">
        <v>205</v>
      </c>
      <c r="F513" s="8" t="s">
        <v>1047</v>
      </c>
      <c r="G513" s="8"/>
      <c r="H513" s="9" t="s">
        <v>30</v>
      </c>
      <c r="I513" s="9" t="s">
        <v>733</v>
      </c>
      <c r="J513" s="17" t="str">
        <f>_xlfn.IFNA(VLOOKUP(C513, '[2]Unique HS'!$B$4:$J$999, 9, FALSE), "No")</f>
        <v>No</v>
      </c>
      <c r="K513" s="18">
        <f>VLOOKUP(C513, '[1]India EXIM'!$B$6:$C$580, 2, FALSE)</f>
        <v>1.030290349E-3</v>
      </c>
      <c r="L513" s="11">
        <f>VLOOKUP(C513, '[1]China EXIM'!$B$6:$D$580, 3, FALSE)</f>
        <v>8.2808922759999987E-2</v>
      </c>
      <c r="M513" s="6" t="s">
        <v>733</v>
      </c>
      <c r="N513" s="6"/>
      <c r="O513" s="6"/>
      <c r="P513" s="10" t="s">
        <v>24</v>
      </c>
      <c r="Q513" s="9" t="s">
        <v>30</v>
      </c>
      <c r="U513" s="1" t="s">
        <v>137</v>
      </c>
    </row>
    <row r="514" spans="2:23" ht="42" hidden="1">
      <c r="B514" s="6" t="str">
        <f>VLOOKUP(C514, [1]Definition!$D$5:$K$5665, 8, FALSE)</f>
        <v>Capital Goods</v>
      </c>
      <c r="C514" s="7">
        <v>821110</v>
      </c>
      <c r="D514" s="8" t="s">
        <v>1048</v>
      </c>
      <c r="E514" s="17" t="s">
        <v>19</v>
      </c>
      <c r="F514" s="8"/>
      <c r="G514" s="8"/>
      <c r="H514" s="9" t="s">
        <v>65</v>
      </c>
      <c r="I514" s="9" t="s">
        <v>924</v>
      </c>
      <c r="J514" s="17" t="str">
        <f>_xlfn.IFNA(VLOOKUP(C514, '[2]Unique HS'!$B$4:$J$999, 9, FALSE), "No")</f>
        <v>Yes</v>
      </c>
      <c r="K514" s="18">
        <f>VLOOKUP(C514, '[1]India EXIM'!$B$6:$C$580, 2, FALSE)</f>
        <v>1.001217315E-3</v>
      </c>
      <c r="L514" s="11">
        <f>VLOOKUP(C514, '[1]China EXIM'!$B$6:$D$580, 3, FALSE)</f>
        <v>0.62011874147399992</v>
      </c>
      <c r="M514" s="6" t="s">
        <v>210</v>
      </c>
      <c r="N514" s="6"/>
      <c r="O514" s="6" t="s">
        <v>1049</v>
      </c>
      <c r="P514" s="10" t="s">
        <v>24</v>
      </c>
      <c r="Q514" s="11" t="s">
        <v>210</v>
      </c>
      <c r="S514" s="1" t="s">
        <v>33</v>
      </c>
      <c r="U514" s="1" t="s">
        <v>34</v>
      </c>
    </row>
    <row r="515" spans="2:23" hidden="1">
      <c r="B515" s="6" t="str">
        <f>VLOOKUP(C515, [1]Definition!$D$5:$K$5665, 8, FALSE)</f>
        <v>Capital Goods</v>
      </c>
      <c r="C515" s="7">
        <v>821195</v>
      </c>
      <c r="D515" s="8" t="s">
        <v>1050</v>
      </c>
      <c r="E515" s="17" t="s">
        <v>19</v>
      </c>
      <c r="F515" s="8"/>
      <c r="G515" s="8"/>
      <c r="H515" s="9" t="s">
        <v>65</v>
      </c>
      <c r="I515" s="9" t="s">
        <v>924</v>
      </c>
      <c r="J515" s="17" t="str">
        <f>_xlfn.IFNA(VLOOKUP(C515, '[2]Unique HS'!$B$4:$J$999, 9, FALSE), "No")</f>
        <v>No</v>
      </c>
      <c r="K515" s="18">
        <f>VLOOKUP(C515, '[1]India EXIM'!$B$6:$C$580, 2, FALSE)</f>
        <v>9.8645208999999993E-4</v>
      </c>
      <c r="L515" s="11">
        <f>VLOOKUP(C515, '[1]China EXIM'!$B$6:$D$580, 3, FALSE)</f>
        <v>2.097410584E-2</v>
      </c>
      <c r="M515" s="6" t="s">
        <v>210</v>
      </c>
      <c r="N515" s="6"/>
      <c r="O515" s="6" t="s">
        <v>1051</v>
      </c>
      <c r="P515" s="10" t="s">
        <v>24</v>
      </c>
      <c r="Q515" s="11" t="s">
        <v>210</v>
      </c>
      <c r="U515" s="1" t="s">
        <v>25</v>
      </c>
    </row>
    <row r="516" spans="2:23" ht="27.95" hidden="1">
      <c r="B516" s="6" t="str">
        <f>VLOOKUP(C516, [1]Definition!$D$5:$K$5665, 8, FALSE)</f>
        <v>Capital Goods</v>
      </c>
      <c r="C516" s="7">
        <v>840212</v>
      </c>
      <c r="D516" s="8" t="s">
        <v>1052</v>
      </c>
      <c r="E516" s="17" t="s">
        <v>142</v>
      </c>
      <c r="F516" s="8"/>
      <c r="G516" s="8"/>
      <c r="H516" s="9" t="s">
        <v>30</v>
      </c>
      <c r="I516" s="9" t="s">
        <v>784</v>
      </c>
      <c r="J516" s="17" t="str">
        <f>_xlfn.IFNA(VLOOKUP(C516, '[2]Unique HS'!$B$4:$J$999, 9, FALSE), "No")</f>
        <v>No</v>
      </c>
      <c r="K516" s="18">
        <f>VLOOKUP(C516, '[1]India EXIM'!$B$6:$C$580, 2, FALSE)</f>
        <v>9.4832389700000004E-4</v>
      </c>
      <c r="L516" s="11">
        <f>VLOOKUP(C516, '[1]China EXIM'!$B$6:$D$580, 3, FALSE)</f>
        <v>0.36238825265800001</v>
      </c>
      <c r="M516" s="9" t="s">
        <v>785</v>
      </c>
      <c r="N516" s="9"/>
      <c r="O516" s="6"/>
      <c r="P516" s="10" t="s">
        <v>24</v>
      </c>
      <c r="Q516" s="9" t="s">
        <v>30</v>
      </c>
      <c r="U516" s="1" t="s">
        <v>25</v>
      </c>
    </row>
    <row r="517" spans="2:23" ht="56.1" hidden="1">
      <c r="B517" s="6" t="str">
        <f>VLOOKUP(C517, [1]Definition!$D$5:$K$5665, 8, FALSE)</f>
        <v>Capital Goods</v>
      </c>
      <c r="C517" s="7">
        <v>830400</v>
      </c>
      <c r="D517" s="8" t="s">
        <v>1053</v>
      </c>
      <c r="E517" s="17" t="s">
        <v>205</v>
      </c>
      <c r="F517" s="8"/>
      <c r="G517" s="9" t="s">
        <v>736</v>
      </c>
      <c r="H517" s="9" t="s">
        <v>496</v>
      </c>
      <c r="I517" s="9" t="s">
        <v>1054</v>
      </c>
      <c r="J517" s="17" t="str">
        <f>_xlfn.IFNA(VLOOKUP(C517, '[2]Unique HS'!$B$4:$J$999, 9, FALSE), "No")</f>
        <v>No</v>
      </c>
      <c r="K517" s="22">
        <f>VLOOKUP(C517, '[1]India EXIM'!$B$6:$C$580, 2, FALSE)</f>
        <v>8.7215386499999998E-4</v>
      </c>
      <c r="L517" s="11">
        <f>VLOOKUP(C517, '[1]China EXIM'!$B$6:$D$580, 3, FALSE)</f>
        <v>0.32985261162400004</v>
      </c>
      <c r="M517" s="6" t="s">
        <v>201</v>
      </c>
      <c r="N517" s="6"/>
      <c r="O517" s="6"/>
      <c r="P517" s="10" t="s">
        <v>24</v>
      </c>
      <c r="Q517" s="9" t="s">
        <v>496</v>
      </c>
      <c r="U517" s="1" t="s">
        <v>25</v>
      </c>
    </row>
    <row r="518" spans="2:23" ht="27.95" hidden="1">
      <c r="B518" s="6" t="str">
        <f>VLOOKUP(C518, [1]Definition!$D$5:$K$5665, 8, FALSE)</f>
        <v>Capital Goods</v>
      </c>
      <c r="C518" s="7">
        <v>843320</v>
      </c>
      <c r="D518" s="8" t="s">
        <v>1055</v>
      </c>
      <c r="E518" s="17" t="s">
        <v>19</v>
      </c>
      <c r="F518" s="8"/>
      <c r="G518" s="8"/>
      <c r="H518" s="9" t="s">
        <v>58</v>
      </c>
      <c r="I518" s="9" t="s">
        <v>1056</v>
      </c>
      <c r="J518" s="17" t="str">
        <f>_xlfn.IFNA(VLOOKUP(C518, '[2]Unique HS'!$B$4:$J$999, 9, FALSE), "No")</f>
        <v>No</v>
      </c>
      <c r="K518" s="18">
        <f>VLOOKUP(C518, '[1]India EXIM'!$B$6:$C$580, 2, FALSE)</f>
        <v>8.6561132399999997E-4</v>
      </c>
      <c r="L518" s="11">
        <f>VLOOKUP(C518, '[1]China EXIM'!$B$6:$D$580, 3, FALSE)</f>
        <v>1.5560013951909999</v>
      </c>
      <c r="M518" s="6" t="s">
        <v>160</v>
      </c>
      <c r="N518" s="6"/>
      <c r="O518" s="6"/>
      <c r="P518" s="10" t="s">
        <v>24</v>
      </c>
      <c r="Q518" s="11" t="s">
        <v>161</v>
      </c>
      <c r="U518" s="1" t="s">
        <v>25</v>
      </c>
    </row>
    <row r="519" spans="2:23" ht="27.95" hidden="1">
      <c r="B519" s="6" t="str">
        <f>VLOOKUP(C519, [1]Definition!$D$5:$K$5665, 8, FALSE)</f>
        <v>Capital Goods</v>
      </c>
      <c r="C519" s="7">
        <v>950824</v>
      </c>
      <c r="D519" s="8" t="s">
        <v>1057</v>
      </c>
      <c r="E519" s="17" t="s">
        <v>205</v>
      </c>
      <c r="F519" s="8"/>
      <c r="G519" s="8"/>
      <c r="H519" s="9" t="s">
        <v>166</v>
      </c>
      <c r="I519" s="9" t="s">
        <v>201</v>
      </c>
      <c r="J519" s="17" t="str">
        <f>_xlfn.IFNA(VLOOKUP(C519, '[2]Unique HS'!$B$4:$J$999, 9, FALSE), "No")</f>
        <v>No</v>
      </c>
      <c r="K519" s="22">
        <f>VLOOKUP(C519, '[1]India EXIM'!$B$6:$C$580, 2, FALSE)</f>
        <v>8.6228190199999998E-4</v>
      </c>
      <c r="L519" s="11">
        <f>VLOOKUP(C519, '[1]China EXIM'!$B$6:$D$580, 3, FALSE)</f>
        <v>7.5103638846999998E-2</v>
      </c>
      <c r="M519" s="6"/>
      <c r="N519" s="6"/>
      <c r="O519" s="6"/>
      <c r="P519" s="10" t="s">
        <v>24</v>
      </c>
      <c r="Q519" s="11" t="s">
        <v>864</v>
      </c>
      <c r="U519" s="1" t="s">
        <v>25</v>
      </c>
    </row>
    <row r="520" spans="2:23" ht="27.95" hidden="1">
      <c r="B520" s="6" t="str">
        <f>VLOOKUP(C520, [1]Definition!$D$5:$K$5665, 8, FALSE)</f>
        <v>Capital Goods</v>
      </c>
      <c r="C520" s="7">
        <v>900720</v>
      </c>
      <c r="D520" s="8" t="s">
        <v>1058</v>
      </c>
      <c r="E520" s="17" t="s">
        <v>205</v>
      </c>
      <c r="F520" s="8"/>
      <c r="G520" s="8"/>
      <c r="H520" s="9" t="s">
        <v>166</v>
      </c>
      <c r="I520" s="9" t="s">
        <v>201</v>
      </c>
      <c r="J520" s="17" t="str">
        <f>_xlfn.IFNA(VLOOKUP(C520, '[2]Unique HS'!$B$4:$J$999, 9, FALSE), "No")</f>
        <v>No</v>
      </c>
      <c r="K520" s="22">
        <f>VLOOKUP(C520, '[1]India EXIM'!$B$6:$C$580, 2, FALSE)</f>
        <v>8.5541350899999999E-4</v>
      </c>
      <c r="L520" s="11">
        <f>VLOOKUP(C520, '[1]China EXIM'!$B$6:$D$580, 3, FALSE)</f>
        <v>0.12419294055500001</v>
      </c>
      <c r="M520" s="6"/>
      <c r="N520" s="6"/>
      <c r="O520" s="6"/>
      <c r="P520" s="10" t="s">
        <v>24</v>
      </c>
      <c r="Q520" s="11" t="s">
        <v>466</v>
      </c>
      <c r="U520" s="1" t="s">
        <v>25</v>
      </c>
    </row>
    <row r="521" spans="2:23" ht="27.95" hidden="1">
      <c r="B521" s="6" t="str">
        <f>VLOOKUP(C521, [1]Definition!$D$5:$K$5665, 8, FALSE)</f>
        <v>Capital Goods</v>
      </c>
      <c r="C521" s="7">
        <v>843410</v>
      </c>
      <c r="D521" s="8" t="s">
        <v>1059</v>
      </c>
      <c r="E521" s="17" t="s">
        <v>19</v>
      </c>
      <c r="F521" s="8"/>
      <c r="G521" s="8"/>
      <c r="H521" s="9" t="s">
        <v>61</v>
      </c>
      <c r="I521" s="9" t="s">
        <v>632</v>
      </c>
      <c r="J521" s="17" t="str">
        <f>_xlfn.IFNA(VLOOKUP(C521, '[2]Unique HS'!$B$4:$J$999, 9, FALSE), "No")</f>
        <v>No</v>
      </c>
      <c r="K521" s="18">
        <f>VLOOKUP(C521, '[1]India EXIM'!$B$6:$C$580, 2, FALSE)</f>
        <v>7.9140757400000003E-4</v>
      </c>
      <c r="L521" s="11">
        <f>VLOOKUP(C521, '[1]China EXIM'!$B$6:$D$580, 3, FALSE)</f>
        <v>0.81416678606900006</v>
      </c>
      <c r="M521" s="6"/>
      <c r="N521" s="6"/>
      <c r="O521" s="6"/>
      <c r="P521" s="10" t="s">
        <v>24</v>
      </c>
      <c r="Q521" s="9" t="s">
        <v>61</v>
      </c>
      <c r="U521" s="1" t="s">
        <v>25</v>
      </c>
    </row>
    <row r="522" spans="2:23" ht="27.95" hidden="1">
      <c r="B522" s="6" t="str">
        <f>VLOOKUP(C522, [1]Definition!$D$5:$K$5665, 8, FALSE)</f>
        <v>Capital Goods</v>
      </c>
      <c r="C522" s="7">
        <v>847021</v>
      </c>
      <c r="D522" s="8" t="s">
        <v>1060</v>
      </c>
      <c r="E522" s="17" t="s">
        <v>27</v>
      </c>
      <c r="F522" s="8" t="s">
        <v>1061</v>
      </c>
      <c r="G522" s="8"/>
      <c r="H522" s="9" t="s">
        <v>496</v>
      </c>
      <c r="I522" s="9" t="s">
        <v>497</v>
      </c>
      <c r="J522" s="17" t="str">
        <f>_xlfn.IFNA(VLOOKUP(C522, '[2]Unique HS'!$B$4:$J$999, 9, FALSE), "No")</f>
        <v>No</v>
      </c>
      <c r="K522" s="22">
        <f>VLOOKUP(C522, '[1]India EXIM'!$B$6:$C$580, 2, FALSE)</f>
        <v>7.5886874399999995E-4</v>
      </c>
      <c r="L522" s="11">
        <f>VLOOKUP(C522, '[1]China EXIM'!$B$6:$D$580, 3, FALSE)</f>
        <v>0.110754325719</v>
      </c>
      <c r="M522" s="6"/>
      <c r="N522" s="6"/>
      <c r="O522" s="6"/>
      <c r="P522" s="10" t="s">
        <v>24</v>
      </c>
      <c r="Q522" s="9" t="s">
        <v>496</v>
      </c>
      <c r="U522" s="1" t="s">
        <v>25</v>
      </c>
    </row>
    <row r="523" spans="2:23" ht="27.95" hidden="1">
      <c r="B523" s="6" t="str">
        <f>VLOOKUP(C523, [1]Definition!$D$5:$K$5665, 8, FALSE)</f>
        <v>Capital Goods</v>
      </c>
      <c r="C523" s="7">
        <v>820130</v>
      </c>
      <c r="D523" s="8" t="s">
        <v>1062</v>
      </c>
      <c r="E523" s="17" t="s">
        <v>19</v>
      </c>
      <c r="F523" s="8"/>
      <c r="G523" s="8"/>
      <c r="H523" s="9" t="s">
        <v>58</v>
      </c>
      <c r="I523" s="9" t="s">
        <v>909</v>
      </c>
      <c r="J523" s="17" t="str">
        <f>_xlfn.IFNA(VLOOKUP(C523, '[2]Unique HS'!$B$4:$J$999, 9, FALSE), "No")</f>
        <v>No</v>
      </c>
      <c r="K523" s="18">
        <f>VLOOKUP(C523, '[1]India EXIM'!$B$6:$C$580, 2, FALSE)</f>
        <v>7.3403838499999999E-4</v>
      </c>
      <c r="L523" s="11">
        <f>VLOOKUP(C523, '[1]China EXIM'!$B$6:$D$580, 3, FALSE)</f>
        <v>0.3917525013</v>
      </c>
      <c r="M523" s="6" t="s">
        <v>210</v>
      </c>
      <c r="N523" s="6"/>
      <c r="O523" s="9"/>
      <c r="P523" s="10" t="s">
        <v>24</v>
      </c>
      <c r="Q523" s="11" t="s">
        <v>210</v>
      </c>
      <c r="U523" s="1" t="s">
        <v>25</v>
      </c>
    </row>
    <row r="524" spans="2:23" ht="69.95" hidden="1">
      <c r="B524" s="6" t="str">
        <f>VLOOKUP(C524, [1]Definition!$D$5:$K$5665, 8, FALSE)</f>
        <v>Capital Goods</v>
      </c>
      <c r="C524" s="7">
        <v>847983</v>
      </c>
      <c r="D524" s="8" t="s">
        <v>1063</v>
      </c>
      <c r="E524" s="17" t="s">
        <v>19</v>
      </c>
      <c r="F524" s="8"/>
      <c r="G524" s="8"/>
      <c r="H524" s="9" t="s">
        <v>82</v>
      </c>
      <c r="I524" s="9" t="s">
        <v>1064</v>
      </c>
      <c r="J524" s="17" t="str">
        <f>_xlfn.IFNA(VLOOKUP(C524, '[2]Unique HS'!$B$4:$J$999, 9, FALSE), "No")</f>
        <v>No</v>
      </c>
      <c r="K524" s="18">
        <f>VLOOKUP(C524, '[1]India EXIM'!$B$6:$C$580, 2, FALSE)</f>
        <v>7.1420767000000005E-4</v>
      </c>
      <c r="L524" s="11">
        <f>VLOOKUP(C524, '[1]China EXIM'!$B$6:$D$580, 3, FALSE)</f>
        <v>6.5195440292000001E-2</v>
      </c>
      <c r="M524" s="6"/>
      <c r="N524" s="6"/>
      <c r="O524" s="6"/>
      <c r="P524" s="10" t="s">
        <v>24</v>
      </c>
      <c r="Q524" s="9" t="s">
        <v>82</v>
      </c>
      <c r="U524" s="1" t="s">
        <v>25</v>
      </c>
    </row>
    <row r="525" spans="2:23" ht="27.95" hidden="1">
      <c r="B525" s="6" t="str">
        <f>VLOOKUP(C525, [1]Definition!$D$5:$K$5665, 8, FALSE)</f>
        <v>Capital Goods</v>
      </c>
      <c r="C525" s="7">
        <v>843061</v>
      </c>
      <c r="D525" s="8" t="s">
        <v>1065</v>
      </c>
      <c r="E525" s="17" t="s">
        <v>19</v>
      </c>
      <c r="F525" s="8"/>
      <c r="G525" s="8"/>
      <c r="H525" s="9" t="s">
        <v>58</v>
      </c>
      <c r="I525" s="9" t="s">
        <v>31</v>
      </c>
      <c r="J525" s="17" t="str">
        <f>_xlfn.IFNA(VLOOKUP(C525, '[2]Unique HS'!$B$4:$J$999, 9, FALSE), "No")</f>
        <v>No</v>
      </c>
      <c r="K525" s="18">
        <f>VLOOKUP(C525, '[1]India EXIM'!$B$6:$C$580, 2, FALSE)</f>
        <v>6.8110672499999993E-4</v>
      </c>
      <c r="L525" s="11">
        <f>VLOOKUP(C525, '[1]China EXIM'!$B$6:$D$580, 3, FALSE)</f>
        <v>0.47769965841399997</v>
      </c>
      <c r="M525" s="9" t="s">
        <v>768</v>
      </c>
      <c r="N525" s="9"/>
      <c r="O525" s="6" t="s">
        <v>1066</v>
      </c>
      <c r="P525" s="10" t="s">
        <v>24</v>
      </c>
      <c r="Q525" s="9" t="s">
        <v>58</v>
      </c>
      <c r="U525" s="1" t="s">
        <v>137</v>
      </c>
    </row>
    <row r="526" spans="2:23" ht="27.95" hidden="1">
      <c r="B526" s="6" t="str">
        <f>VLOOKUP(C526, [1]Definition!$D$5:$K$5665, 8, FALSE)</f>
        <v>Capital Goods</v>
      </c>
      <c r="C526" s="7">
        <v>843020</v>
      </c>
      <c r="D526" s="8" t="s">
        <v>1067</v>
      </c>
      <c r="E526" s="17" t="s">
        <v>19</v>
      </c>
      <c r="F526" s="8"/>
      <c r="G526" s="8"/>
      <c r="H526" s="9" t="s">
        <v>58</v>
      </c>
      <c r="I526" s="9" t="s">
        <v>31</v>
      </c>
      <c r="J526" s="17" t="str">
        <f>_xlfn.IFNA(VLOOKUP(C526, '[2]Unique HS'!$B$4:$J$999, 9, FALSE), "No")</f>
        <v>No</v>
      </c>
      <c r="K526" s="18">
        <f>VLOOKUP(C526, '[1]India EXIM'!$B$6:$C$580, 2, FALSE)</f>
        <v>6.1041649799999998E-4</v>
      </c>
      <c r="L526" s="11">
        <f>VLOOKUP(C526, '[1]China EXIM'!$B$6:$D$580, 3, FALSE)</f>
        <v>0.86051019320299993</v>
      </c>
      <c r="M526" s="9" t="s">
        <v>117</v>
      </c>
      <c r="N526" s="9"/>
      <c r="O526" s="6"/>
      <c r="P526" s="10" t="s">
        <v>24</v>
      </c>
      <c r="Q526" s="9" t="s">
        <v>58</v>
      </c>
      <c r="U526" s="1" t="s">
        <v>25</v>
      </c>
    </row>
    <row r="527" spans="2:23" ht="27.95" hidden="1">
      <c r="B527" s="6" t="str">
        <f>VLOOKUP(C527, [1]Definition!$D$5:$K$5665, 8, FALSE)</f>
        <v>Capital Goods</v>
      </c>
      <c r="C527" s="7">
        <v>870191</v>
      </c>
      <c r="D527" s="8" t="s">
        <v>1068</v>
      </c>
      <c r="E527" s="17" t="s">
        <v>19</v>
      </c>
      <c r="F527" s="8"/>
      <c r="G527" s="8"/>
      <c r="H527" s="9" t="s">
        <v>58</v>
      </c>
      <c r="I527" s="9" t="s">
        <v>31</v>
      </c>
      <c r="J527" s="17" t="str">
        <f>_xlfn.IFNA(VLOOKUP(C527, '[2]Unique HS'!$B$4:$J$999, 9, FALSE), "No")</f>
        <v>No</v>
      </c>
      <c r="K527" s="18">
        <f>VLOOKUP(C527, '[1]India EXIM'!$B$6:$C$580, 2, FALSE)</f>
        <v>5.9828328700000006E-4</v>
      </c>
      <c r="L527" s="11">
        <f>VLOOKUP(C527, '[1]China EXIM'!$B$6:$D$580, 3, FALSE)</f>
        <v>1.0287239699949999</v>
      </c>
      <c r="M527" s="6"/>
      <c r="N527" s="6"/>
      <c r="O527" s="6"/>
      <c r="P527" s="10" t="s">
        <v>24</v>
      </c>
      <c r="Q527" s="9" t="s">
        <v>58</v>
      </c>
      <c r="U527" s="1" t="s">
        <v>25</v>
      </c>
    </row>
    <row r="528" spans="2:23" ht="27.95" hidden="1">
      <c r="B528" s="6" t="str">
        <f>VLOOKUP(C528, [1]Definition!$D$5:$K$5665, 8, FALSE)</f>
        <v>Capital Goods</v>
      </c>
      <c r="C528" s="7">
        <v>950840</v>
      </c>
      <c r="D528" s="8" t="s">
        <v>1069</v>
      </c>
      <c r="E528" s="17" t="s">
        <v>205</v>
      </c>
      <c r="F528" s="8"/>
      <c r="G528" s="8"/>
      <c r="H528" s="9" t="s">
        <v>166</v>
      </c>
      <c r="I528" s="9" t="s">
        <v>201</v>
      </c>
      <c r="J528" s="17" t="str">
        <f>_xlfn.IFNA(VLOOKUP(C528, '[2]Unique HS'!$B$4:$J$999, 9, FALSE), "No")</f>
        <v>No</v>
      </c>
      <c r="K528" s="22">
        <f>VLOOKUP(C528, '[1]India EXIM'!$B$6:$C$580, 2, FALSE)</f>
        <v>5.5853476100000007E-4</v>
      </c>
      <c r="L528" s="11">
        <f>VLOOKUP(C528, '[1]China EXIM'!$B$6:$D$580, 3, FALSE)</f>
        <v>0.14664033491</v>
      </c>
      <c r="M528" s="6"/>
      <c r="N528" s="6"/>
      <c r="O528" s="6"/>
      <c r="P528" s="10" t="s">
        <v>24</v>
      </c>
      <c r="Q528" s="11" t="s">
        <v>864</v>
      </c>
      <c r="S528" s="1" t="s">
        <v>33</v>
      </c>
      <c r="U528" s="1" t="s">
        <v>34</v>
      </c>
      <c r="W528" s="1" t="s">
        <v>113</v>
      </c>
    </row>
    <row r="529" spans="2:23" ht="42" hidden="1">
      <c r="B529" s="6" t="str">
        <f>VLOOKUP(C529, [1]Definition!$D$5:$K$5665, 8, FALSE)</f>
        <v>Capital Goods</v>
      </c>
      <c r="C529" s="7">
        <v>901050</v>
      </c>
      <c r="D529" s="8" t="s">
        <v>1070</v>
      </c>
      <c r="E529" s="17" t="s">
        <v>205</v>
      </c>
      <c r="F529" s="8"/>
      <c r="G529" s="8"/>
      <c r="H529" s="9" t="s">
        <v>166</v>
      </c>
      <c r="I529" s="9" t="s">
        <v>201</v>
      </c>
      <c r="J529" s="17" t="str">
        <f>_xlfn.IFNA(VLOOKUP(C529, '[2]Unique HS'!$B$4:$J$999, 9, FALSE), "No")</f>
        <v>No</v>
      </c>
      <c r="K529" s="22">
        <f>VLOOKUP(C529, '[1]India EXIM'!$B$6:$C$580, 2, FALSE)</f>
        <v>5.5093314199999995E-4</v>
      </c>
      <c r="L529" s="11">
        <f>VLOOKUP(C529, '[1]China EXIM'!$B$6:$D$580, 3, FALSE)</f>
        <v>0.30691580167999999</v>
      </c>
      <c r="M529" s="6"/>
      <c r="N529" s="6"/>
      <c r="O529" s="6"/>
      <c r="P529" s="10" t="s">
        <v>24</v>
      </c>
      <c r="Q529" s="11" t="s">
        <v>466</v>
      </c>
      <c r="S529" s="1" t="s">
        <v>136</v>
      </c>
      <c r="U529" s="1" t="s">
        <v>34</v>
      </c>
      <c r="V529" s="1" t="s">
        <v>1071</v>
      </c>
    </row>
    <row r="530" spans="2:23" ht="57.95" hidden="1">
      <c r="B530" s="6" t="str">
        <f>VLOOKUP(C530, [1]Definition!$D$5:$K$5665, 8, FALSE)</f>
        <v>Capital Goods</v>
      </c>
      <c r="C530" s="7">
        <v>841912</v>
      </c>
      <c r="D530" s="8" t="s">
        <v>1072</v>
      </c>
      <c r="E530" s="17" t="s">
        <v>163</v>
      </c>
      <c r="F530" s="8" t="s">
        <v>1073</v>
      </c>
      <c r="G530" s="23" t="s">
        <v>1074</v>
      </c>
      <c r="H530" s="9" t="s">
        <v>22</v>
      </c>
      <c r="I530" s="9" t="s">
        <v>74</v>
      </c>
      <c r="J530" s="17" t="str">
        <f>_xlfn.IFNA(VLOOKUP(C530, '[2]Unique HS'!$B$4:$J$999, 9, FALSE), "No")</f>
        <v>No</v>
      </c>
      <c r="K530" s="18">
        <f>VLOOKUP(C530, '[1]India EXIM'!$B$6:$C$580, 2, FALSE)</f>
        <v>4.7837040000000002E-4</v>
      </c>
      <c r="L530" s="11">
        <f>VLOOKUP(C530, '[1]China EXIM'!$B$6:$D$580, 3, FALSE)</f>
        <v>0.32870317426200002</v>
      </c>
      <c r="M530" s="6"/>
      <c r="N530" s="6"/>
      <c r="O530" s="6"/>
      <c r="P530" s="10" t="s">
        <v>24</v>
      </c>
      <c r="Q530" s="9" t="s">
        <v>22</v>
      </c>
      <c r="U530" s="1" t="s">
        <v>25</v>
      </c>
    </row>
    <row r="531" spans="2:23" ht="42" hidden="1">
      <c r="B531" s="6" t="str">
        <f>VLOOKUP(C531, [1]Definition!$D$5:$K$5665, 8, FALSE)</f>
        <v>Capital Goods</v>
      </c>
      <c r="C531" s="7">
        <v>845612</v>
      </c>
      <c r="D531" s="8" t="s">
        <v>1075</v>
      </c>
      <c r="E531" s="17" t="s">
        <v>19</v>
      </c>
      <c r="F531" s="8"/>
      <c r="G531" s="8"/>
      <c r="H531" s="9" t="s">
        <v>65</v>
      </c>
      <c r="I531" s="9" t="s">
        <v>31</v>
      </c>
      <c r="J531" s="17" t="str">
        <f>_xlfn.IFNA(VLOOKUP(C531, '[2]Unique HS'!$B$4:$J$999, 9, FALSE), "No")</f>
        <v>No</v>
      </c>
      <c r="K531" s="18">
        <f>VLOOKUP(C531, '[1]India EXIM'!$B$6:$C$580, 2, FALSE)</f>
        <v>4.4698665100000002E-4</v>
      </c>
      <c r="L531" s="11">
        <f>VLOOKUP(C531, '[1]China EXIM'!$B$6:$D$580, 3, FALSE)</f>
        <v>3.9558874250000001E-2</v>
      </c>
      <c r="M531" s="6"/>
      <c r="N531" s="6"/>
      <c r="O531" s="6"/>
      <c r="P531" s="10" t="s">
        <v>24</v>
      </c>
      <c r="Q531" s="9" t="s">
        <v>65</v>
      </c>
      <c r="S531" s="1" t="s">
        <v>33</v>
      </c>
      <c r="U531" s="1" t="s">
        <v>34</v>
      </c>
      <c r="W531" s="1" t="s">
        <v>113</v>
      </c>
    </row>
    <row r="532" spans="2:23" ht="27.95" hidden="1">
      <c r="B532" s="6" t="str">
        <f>VLOOKUP(C532, [1]Definition!$D$5:$K$5665, 8, FALSE)</f>
        <v>Capital Goods</v>
      </c>
      <c r="C532" s="7">
        <v>844629</v>
      </c>
      <c r="D532" s="8" t="s">
        <v>1076</v>
      </c>
      <c r="E532" s="17" t="s">
        <v>19</v>
      </c>
      <c r="F532" s="8"/>
      <c r="G532" s="8"/>
      <c r="H532" s="9" t="s">
        <v>55</v>
      </c>
      <c r="I532" s="9" t="s">
        <v>56</v>
      </c>
      <c r="J532" s="17" t="str">
        <f>_xlfn.IFNA(VLOOKUP(C532, '[2]Unique HS'!$B$4:$J$999, 9, FALSE), "No")</f>
        <v>No</v>
      </c>
      <c r="K532" s="18">
        <f>VLOOKUP(C532, '[1]India EXIM'!$B$6:$C$580, 2, FALSE)</f>
        <v>4.3982872799999998E-4</v>
      </c>
      <c r="L532" s="11">
        <f>VLOOKUP(C532, '[1]China EXIM'!$B$6:$D$580, 3, FALSE)</f>
        <v>4.0450776711999994E-2</v>
      </c>
      <c r="M532" s="6"/>
      <c r="N532" s="6"/>
      <c r="O532" s="6"/>
      <c r="P532" s="10" t="s">
        <v>24</v>
      </c>
      <c r="Q532" s="9" t="s">
        <v>55</v>
      </c>
      <c r="U532" s="1" t="s">
        <v>25</v>
      </c>
    </row>
    <row r="533" spans="2:23" ht="56.1" hidden="1">
      <c r="B533" s="6" t="str">
        <f>VLOOKUP(C533, [1]Definition!$D$5:$K$5665, 8, FALSE)</f>
        <v>Capital Goods</v>
      </c>
      <c r="C533" s="7">
        <v>901010</v>
      </c>
      <c r="D533" s="8" t="s">
        <v>1077</v>
      </c>
      <c r="E533" s="17" t="s">
        <v>205</v>
      </c>
      <c r="F533" s="8"/>
      <c r="G533" s="8"/>
      <c r="H533" s="9" t="s">
        <v>166</v>
      </c>
      <c r="I533" s="9" t="s">
        <v>201</v>
      </c>
      <c r="J533" s="17" t="str">
        <f>_xlfn.IFNA(VLOOKUP(C533, '[2]Unique HS'!$B$4:$J$999, 9, FALSE), "No")</f>
        <v>No</v>
      </c>
      <c r="K533" s="22">
        <f>VLOOKUP(C533, '[1]India EXIM'!$B$6:$C$580, 2, FALSE)</f>
        <v>4.3034546399999999E-4</v>
      </c>
      <c r="L533" s="11">
        <f>VLOOKUP(C533, '[1]China EXIM'!$B$6:$D$580, 3, FALSE)</f>
        <v>3.6715158312E-2</v>
      </c>
      <c r="M533" s="6"/>
      <c r="N533" s="6"/>
      <c r="O533" s="6"/>
      <c r="P533" s="10" t="s">
        <v>24</v>
      </c>
      <c r="Q533" s="11" t="s">
        <v>466</v>
      </c>
      <c r="U533" s="1" t="s">
        <v>25</v>
      </c>
    </row>
    <row r="534" spans="2:23" ht="42" hidden="1">
      <c r="B534" s="6" t="str">
        <f>VLOOKUP(C534, [1]Definition!$D$5:$K$5665, 8, FALSE)</f>
        <v>Capital Goods</v>
      </c>
      <c r="C534" s="7">
        <v>870193</v>
      </c>
      <c r="D534" s="8" t="s">
        <v>1078</v>
      </c>
      <c r="E534" s="17" t="s">
        <v>19</v>
      </c>
      <c r="F534" s="8"/>
      <c r="G534" s="8"/>
      <c r="H534" s="9" t="s">
        <v>58</v>
      </c>
      <c r="I534" s="9" t="s">
        <v>31</v>
      </c>
      <c r="J534" s="17" t="str">
        <f>_xlfn.IFNA(VLOOKUP(C534, '[2]Unique HS'!$B$4:$J$999, 9, FALSE), "No")</f>
        <v>No</v>
      </c>
      <c r="K534" s="18">
        <f>VLOOKUP(C534, '[1]India EXIM'!$B$6:$C$580, 2, FALSE)</f>
        <v>4.2644772700000001E-4</v>
      </c>
      <c r="L534" s="11">
        <f>VLOOKUP(C534, '[1]China EXIM'!$B$6:$D$580, 3, FALSE)</f>
        <v>5.1781184932799995</v>
      </c>
      <c r="M534" s="6"/>
      <c r="N534" s="6"/>
      <c r="O534" s="6"/>
      <c r="P534" s="10" t="s">
        <v>24</v>
      </c>
      <c r="Q534" s="9" t="s">
        <v>58</v>
      </c>
      <c r="S534" s="1" t="s">
        <v>136</v>
      </c>
      <c r="U534" s="1" t="s">
        <v>137</v>
      </c>
    </row>
    <row r="535" spans="2:23" ht="27.95" hidden="1">
      <c r="B535" s="6" t="str">
        <f>VLOOKUP(C535, [1]Definition!$D$5:$K$5665, 8, FALSE)</f>
        <v>Capital Goods</v>
      </c>
      <c r="C535" s="7">
        <v>950823</v>
      </c>
      <c r="D535" s="8" t="s">
        <v>1079</v>
      </c>
      <c r="E535" s="17" t="s">
        <v>205</v>
      </c>
      <c r="F535" s="8"/>
      <c r="G535" s="8"/>
      <c r="H535" s="9" t="s">
        <v>166</v>
      </c>
      <c r="I535" s="9" t="s">
        <v>201</v>
      </c>
      <c r="J535" s="17" t="str">
        <f>_xlfn.IFNA(VLOOKUP(C535, '[2]Unique HS'!$B$4:$J$999, 9, FALSE), "No")</f>
        <v>No</v>
      </c>
      <c r="K535" s="22">
        <f>VLOOKUP(C535, '[1]India EXIM'!$B$6:$C$580, 2, FALSE)</f>
        <v>4.0198882799999999E-4</v>
      </c>
      <c r="L535" s="11">
        <f>VLOOKUP(C535, '[1]China EXIM'!$B$6:$D$580, 3, FALSE)</f>
        <v>3.4102415303999996E-2</v>
      </c>
      <c r="M535" s="6"/>
      <c r="N535" s="6"/>
      <c r="O535" s="6"/>
      <c r="P535" s="10" t="s">
        <v>24</v>
      </c>
      <c r="Q535" s="11" t="s">
        <v>864</v>
      </c>
      <c r="U535" s="1" t="s">
        <v>25</v>
      </c>
    </row>
    <row r="536" spans="2:23" ht="42" hidden="1">
      <c r="B536" s="6" t="str">
        <f>VLOOKUP(C536, [1]Definition!$D$5:$K$5665, 8, FALSE)</f>
        <v>Capital Goods</v>
      </c>
      <c r="C536" s="7">
        <v>940131</v>
      </c>
      <c r="D536" s="8" t="s">
        <v>1080</v>
      </c>
      <c r="E536" s="17" t="s">
        <v>205</v>
      </c>
      <c r="F536" s="8"/>
      <c r="G536" s="8"/>
      <c r="H536" s="9" t="s">
        <v>496</v>
      </c>
      <c r="I536" s="9" t="s">
        <v>781</v>
      </c>
      <c r="J536" s="17" t="str">
        <f>_xlfn.IFNA(VLOOKUP(C536, '[2]Unique HS'!$B$4:$J$999, 9, FALSE), "No")</f>
        <v>No</v>
      </c>
      <c r="K536" s="22">
        <f>VLOOKUP(C536, '[1]India EXIM'!$B$6:$C$580, 2, FALSE)</f>
        <v>3.8730263900000001E-4</v>
      </c>
      <c r="L536" s="11">
        <f>VLOOKUP(C536, '[1]China EXIM'!$B$6:$D$580, 3, FALSE)</f>
        <v>0.21753106409200001</v>
      </c>
      <c r="M536" s="6"/>
      <c r="N536" s="6"/>
      <c r="O536" s="6"/>
      <c r="P536" s="10" t="s">
        <v>24</v>
      </c>
      <c r="Q536" s="9" t="s">
        <v>496</v>
      </c>
      <c r="U536" s="1" t="s">
        <v>25</v>
      </c>
    </row>
    <row r="537" spans="2:23" ht="27.95" hidden="1">
      <c r="B537" s="6" t="str">
        <f>VLOOKUP(C537, [1]Definition!$D$5:$K$5665, 8, FALSE)</f>
        <v>Capital Goods</v>
      </c>
      <c r="C537" s="7">
        <v>841013</v>
      </c>
      <c r="D537" s="8" t="s">
        <v>1081</v>
      </c>
      <c r="E537" s="17" t="s">
        <v>205</v>
      </c>
      <c r="F537" s="8" t="s">
        <v>1082</v>
      </c>
      <c r="G537" s="8" t="s">
        <v>1083</v>
      </c>
      <c r="H537" s="9" t="s">
        <v>30</v>
      </c>
      <c r="I537" s="9" t="s">
        <v>1084</v>
      </c>
      <c r="J537" s="17" t="str">
        <f>_xlfn.IFNA(VLOOKUP(C537, '[2]Unique HS'!$B$4:$J$999, 9, FALSE), "No")</f>
        <v>No</v>
      </c>
      <c r="K537" s="22">
        <f>VLOOKUP(C537, '[1]India EXIM'!$B$6:$C$580, 2, FALSE)</f>
        <v>3.3999064200000001E-4</v>
      </c>
      <c r="L537" s="11">
        <f>VLOOKUP(C537, '[1]China EXIM'!$B$6:$D$580, 3, FALSE)</f>
        <v>7.048984778499999E-2</v>
      </c>
      <c r="M537" s="9" t="s">
        <v>1085</v>
      </c>
      <c r="N537" s="9"/>
      <c r="O537" s="6" t="s">
        <v>1086</v>
      </c>
      <c r="P537" s="10" t="s">
        <v>24</v>
      </c>
      <c r="Q537" s="9" t="s">
        <v>30</v>
      </c>
      <c r="S537" s="1" t="s">
        <v>33</v>
      </c>
      <c r="U537" s="1" t="s">
        <v>34</v>
      </c>
    </row>
    <row r="538" spans="2:23" ht="27.95" hidden="1">
      <c r="B538" s="6" t="str">
        <f>VLOOKUP(C538, [1]Definition!$D$5:$K$5665, 8, FALSE)</f>
        <v>Capital Goods</v>
      </c>
      <c r="C538" s="7">
        <v>850171</v>
      </c>
      <c r="D538" s="8" t="s">
        <v>1087</v>
      </c>
      <c r="E538" s="17" t="s">
        <v>27</v>
      </c>
      <c r="F538" s="8" t="s">
        <v>1088</v>
      </c>
      <c r="G538" s="8" t="s">
        <v>1089</v>
      </c>
      <c r="H538" s="9" t="s">
        <v>30</v>
      </c>
      <c r="I538" s="9" t="s">
        <v>31</v>
      </c>
      <c r="J538" s="17" t="str">
        <f>_xlfn.IFNA(VLOOKUP(C538, '[2]Unique HS'!$B$4:$J$999, 9, FALSE), "No")</f>
        <v>Yes</v>
      </c>
      <c r="K538" s="22">
        <f>VLOOKUP(C538, '[1]India EXIM'!$B$6:$C$580, 2, FALSE)</f>
        <v>3.2973400600000001E-4</v>
      </c>
      <c r="L538" s="11">
        <f>VLOOKUP(C538, '[1]China EXIM'!$B$6:$D$580, 3, FALSE)</f>
        <v>4.4804079109999999E-2</v>
      </c>
      <c r="M538" s="9" t="s">
        <v>129</v>
      </c>
      <c r="N538" s="9"/>
      <c r="O538" s="6"/>
      <c r="P538" s="10" t="s">
        <v>24</v>
      </c>
      <c r="Q538" s="9" t="s">
        <v>30</v>
      </c>
      <c r="S538" s="1" t="s">
        <v>33</v>
      </c>
      <c r="U538" s="1" t="s">
        <v>34</v>
      </c>
    </row>
    <row r="539" spans="2:23" ht="27.95" hidden="1">
      <c r="B539" s="6" t="str">
        <f>VLOOKUP(C539, [1]Definition!$D$5:$K$5665, 8, FALSE)</f>
        <v>Capital Goods</v>
      </c>
      <c r="C539" s="7">
        <v>850180</v>
      </c>
      <c r="D539" s="8" t="s">
        <v>1090</v>
      </c>
      <c r="E539" s="17" t="s">
        <v>27</v>
      </c>
      <c r="F539" s="8" t="s">
        <v>1091</v>
      </c>
      <c r="G539" s="8" t="s">
        <v>1092</v>
      </c>
      <c r="H539" s="9" t="s">
        <v>30</v>
      </c>
      <c r="I539" s="9" t="s">
        <v>31</v>
      </c>
      <c r="J539" s="17" t="str">
        <f>_xlfn.IFNA(VLOOKUP(C539, '[2]Unique HS'!$B$4:$J$999, 9, FALSE), "No")</f>
        <v>Yes</v>
      </c>
      <c r="K539" s="22">
        <f>VLOOKUP(C539, '[1]India EXIM'!$B$6:$C$580, 2, FALSE)</f>
        <v>3.1704173999999997E-4</v>
      </c>
      <c r="L539" s="11">
        <f>VLOOKUP(C539, '[1]China EXIM'!$B$6:$D$580, 3, FALSE)</f>
        <v>0.14538443700799999</v>
      </c>
      <c r="M539" s="9" t="s">
        <v>129</v>
      </c>
      <c r="N539" s="9"/>
      <c r="O539" s="6"/>
      <c r="P539" s="10" t="s">
        <v>24</v>
      </c>
      <c r="Q539" s="9" t="s">
        <v>30</v>
      </c>
      <c r="S539" s="1" t="s">
        <v>33</v>
      </c>
      <c r="U539" s="1" t="s">
        <v>34</v>
      </c>
    </row>
    <row r="540" spans="2:23" ht="42" hidden="1">
      <c r="B540" s="6" t="str">
        <f>VLOOKUP(C540, [1]Definition!$D$5:$K$5665, 8, FALSE)</f>
        <v>Capital Goods</v>
      </c>
      <c r="C540" s="7">
        <v>851431</v>
      </c>
      <c r="D540" s="8" t="s">
        <v>1093</v>
      </c>
      <c r="E540" s="17" t="s">
        <v>19</v>
      </c>
      <c r="F540" s="8"/>
      <c r="G540" s="8"/>
      <c r="H540" s="9" t="s">
        <v>82</v>
      </c>
      <c r="I540" s="9" t="s">
        <v>1094</v>
      </c>
      <c r="J540" s="17" t="str">
        <f>_xlfn.IFNA(VLOOKUP(C540, '[2]Unique HS'!$B$4:$J$999, 9, FALSE), "No")</f>
        <v>No</v>
      </c>
      <c r="K540" s="18">
        <f>VLOOKUP(C540, '[1]India EXIM'!$B$6:$C$580, 2, FALSE)</f>
        <v>3.08138288E-4</v>
      </c>
      <c r="L540" s="11">
        <f>VLOOKUP(C540, '[1]China EXIM'!$B$6:$D$580, 3, FALSE)</f>
        <v>4.7764497395000001E-2</v>
      </c>
      <c r="M540" s="9" t="s">
        <v>439</v>
      </c>
      <c r="N540" s="9"/>
      <c r="O540" s="9" t="s">
        <v>1095</v>
      </c>
      <c r="P540" s="10" t="s">
        <v>24</v>
      </c>
      <c r="Q540" s="9" t="s">
        <v>82</v>
      </c>
      <c r="U540" s="1" t="s">
        <v>25</v>
      </c>
    </row>
    <row r="541" spans="2:23" ht="27.95" hidden="1">
      <c r="B541" s="6" t="str">
        <f>VLOOKUP(C541, [1]Definition!$D$5:$K$5665, 8, FALSE)</f>
        <v>Capital Goods</v>
      </c>
      <c r="C541" s="7">
        <v>841012</v>
      </c>
      <c r="D541" s="8" t="s">
        <v>1096</v>
      </c>
      <c r="E541" s="17" t="s">
        <v>205</v>
      </c>
      <c r="F541" s="8" t="s">
        <v>1097</v>
      </c>
      <c r="G541" s="8" t="s">
        <v>1098</v>
      </c>
      <c r="H541" s="9" t="s">
        <v>30</v>
      </c>
      <c r="I541" s="9" t="s">
        <v>1084</v>
      </c>
      <c r="J541" s="17" t="str">
        <f>_xlfn.IFNA(VLOOKUP(C541, '[2]Unique HS'!$B$4:$J$999, 9, FALSE), "No")</f>
        <v>No</v>
      </c>
      <c r="K541" s="22">
        <f>VLOOKUP(C541, '[1]India EXIM'!$B$6:$C$580, 2, FALSE)</f>
        <v>2.7986594799999997E-4</v>
      </c>
      <c r="L541" s="11">
        <f>VLOOKUP(C541, '[1]China EXIM'!$B$6:$D$580, 3, FALSE)</f>
        <v>4.5509305097999997E-2</v>
      </c>
      <c r="M541" s="9" t="s">
        <v>1085</v>
      </c>
      <c r="N541" s="9"/>
      <c r="O541" s="6" t="s">
        <v>1086</v>
      </c>
      <c r="P541" s="10" t="s">
        <v>24</v>
      </c>
      <c r="Q541" s="9" t="s">
        <v>30</v>
      </c>
      <c r="S541" s="1" t="s">
        <v>33</v>
      </c>
      <c r="U541" s="1" t="s">
        <v>34</v>
      </c>
    </row>
    <row r="542" spans="2:23" ht="27.95" hidden="1">
      <c r="B542" s="6" t="str">
        <f>VLOOKUP(C542, [1]Definition!$D$5:$K$5665, 8, FALSE)</f>
        <v>Capital Goods</v>
      </c>
      <c r="C542" s="7">
        <v>950826</v>
      </c>
      <c r="D542" s="8" t="s">
        <v>1099</v>
      </c>
      <c r="E542" s="17" t="s">
        <v>205</v>
      </c>
      <c r="F542" s="8"/>
      <c r="G542" s="8"/>
      <c r="H542" s="9" t="s">
        <v>166</v>
      </c>
      <c r="I542" s="9" t="s">
        <v>201</v>
      </c>
      <c r="J542" s="17" t="str">
        <f>_xlfn.IFNA(VLOOKUP(C542, '[2]Unique HS'!$B$4:$J$999, 9, FALSE), "No")</f>
        <v>No</v>
      </c>
      <c r="K542" s="22">
        <f>VLOOKUP(C542, '[1]India EXIM'!$B$6:$C$580, 2, FALSE)</f>
        <v>2.7123306800000001E-4</v>
      </c>
      <c r="L542" s="11">
        <f>VLOOKUP(C542, '[1]China EXIM'!$B$6:$D$580, 3, FALSE)</f>
        <v>9.8795373760999991E-2</v>
      </c>
      <c r="M542" s="6"/>
      <c r="N542" s="6"/>
      <c r="O542" s="6"/>
      <c r="P542" s="10" t="s">
        <v>24</v>
      </c>
      <c r="Q542" s="11" t="s">
        <v>864</v>
      </c>
      <c r="U542" s="1" t="s">
        <v>25</v>
      </c>
    </row>
    <row r="543" spans="2:23" ht="27.95" hidden="1">
      <c r="B543" s="6" t="str">
        <f>VLOOKUP(C543, [1]Definition!$D$5:$K$5665, 8, FALSE)</f>
        <v>Capital Goods</v>
      </c>
      <c r="C543" s="7">
        <v>820140</v>
      </c>
      <c r="D543" s="8" t="s">
        <v>1100</v>
      </c>
      <c r="E543" s="17" t="s">
        <v>19</v>
      </c>
      <c r="F543" s="8"/>
      <c r="G543" s="8"/>
      <c r="H543" s="9" t="s">
        <v>58</v>
      </c>
      <c r="I543" s="9" t="s">
        <v>909</v>
      </c>
      <c r="J543" s="17" t="str">
        <f>_xlfn.IFNA(VLOOKUP(C543, '[2]Unique HS'!$B$4:$J$999, 9, FALSE), "No")</f>
        <v>No</v>
      </c>
      <c r="K543" s="18">
        <f>VLOOKUP(C543, '[1]India EXIM'!$B$6:$C$580, 2, FALSE)</f>
        <v>2.4727206200000001E-4</v>
      </c>
      <c r="L543" s="11">
        <f>VLOOKUP(C543, '[1]China EXIM'!$B$6:$D$580, 3, FALSE)</f>
        <v>0.27707168058699999</v>
      </c>
      <c r="M543" s="9" t="s">
        <v>959</v>
      </c>
      <c r="N543" s="9"/>
      <c r="O543" s="9"/>
      <c r="P543" s="10" t="s">
        <v>24</v>
      </c>
      <c r="Q543" s="11" t="s">
        <v>210</v>
      </c>
      <c r="U543" s="1" t="s">
        <v>25</v>
      </c>
    </row>
    <row r="544" spans="2:23" ht="27.95" hidden="1">
      <c r="B544" s="6" t="str">
        <f>VLOOKUP(C544, [1]Definition!$D$5:$K$5665, 8, FALSE)</f>
        <v>Capital Goods</v>
      </c>
      <c r="C544" s="7">
        <v>841630</v>
      </c>
      <c r="D544" s="8" t="s">
        <v>1101</v>
      </c>
      <c r="E544" s="17" t="s">
        <v>19</v>
      </c>
      <c r="F544" s="8"/>
      <c r="G544" s="8"/>
      <c r="H544" s="9" t="s">
        <v>82</v>
      </c>
      <c r="I544" s="9" t="s">
        <v>1102</v>
      </c>
      <c r="J544" s="17" t="str">
        <f>_xlfn.IFNA(VLOOKUP(C544, '[2]Unique HS'!$B$4:$J$999, 9, FALSE), "No")</f>
        <v>No</v>
      </c>
      <c r="K544" s="18">
        <f>VLOOKUP(C544, '[1]India EXIM'!$B$6:$C$580, 2, FALSE)</f>
        <v>2.3559994899999999E-4</v>
      </c>
      <c r="L544" s="11">
        <f>VLOOKUP(C544, '[1]China EXIM'!$B$6:$D$580, 3, FALSE)</f>
        <v>0.16675596526</v>
      </c>
      <c r="M544" s="9"/>
      <c r="N544" s="9"/>
      <c r="O544" s="6"/>
      <c r="P544" s="10" t="s">
        <v>24</v>
      </c>
      <c r="Q544" s="9" t="s">
        <v>82</v>
      </c>
      <c r="U544" s="1" t="s">
        <v>25</v>
      </c>
    </row>
    <row r="545" spans="2:21" ht="27.95" hidden="1">
      <c r="B545" s="6" t="str">
        <f>VLOOKUP(C545, [1]Definition!$D$5:$K$5665, 8, FALSE)</f>
        <v>Capital Goods</v>
      </c>
      <c r="C545" s="7">
        <v>847210</v>
      </c>
      <c r="D545" s="8" t="s">
        <v>1103</v>
      </c>
      <c r="E545" s="17" t="s">
        <v>27</v>
      </c>
      <c r="F545" s="8" t="s">
        <v>1104</v>
      </c>
      <c r="G545" s="8"/>
      <c r="H545" s="9" t="s">
        <v>496</v>
      </c>
      <c r="I545" s="9" t="s">
        <v>497</v>
      </c>
      <c r="J545" s="17" t="str">
        <f>_xlfn.IFNA(VLOOKUP(C545, '[2]Unique HS'!$B$4:$J$999, 9, FALSE), "No")</f>
        <v>No</v>
      </c>
      <c r="K545" s="22">
        <f>VLOOKUP(C545, '[1]India EXIM'!$B$6:$C$580, 2, FALSE)</f>
        <v>1.7414815799999999E-4</v>
      </c>
      <c r="L545" s="11">
        <f>VLOOKUP(C545, '[1]China EXIM'!$B$6:$D$580, 3, FALSE)</f>
        <v>4.5503505248000002E-2</v>
      </c>
      <c r="M545" s="6"/>
      <c r="N545" s="6"/>
      <c r="O545" s="6"/>
      <c r="P545" s="10" t="s">
        <v>24</v>
      </c>
      <c r="Q545" s="9" t="s">
        <v>496</v>
      </c>
      <c r="U545" s="1" t="s">
        <v>25</v>
      </c>
    </row>
    <row r="546" spans="2:21" ht="27.95" hidden="1">
      <c r="B546" s="6" t="str">
        <f>VLOOKUP(C546, [1]Definition!$D$5:$K$5665, 8, FALSE)</f>
        <v>Capital Goods</v>
      </c>
      <c r="C546" s="7">
        <v>910610</v>
      </c>
      <c r="D546" s="8" t="s">
        <v>1105</v>
      </c>
      <c r="E546" s="17" t="s">
        <v>205</v>
      </c>
      <c r="F546" s="8"/>
      <c r="G546" s="8"/>
      <c r="H546" s="9" t="s">
        <v>496</v>
      </c>
      <c r="I546" s="9" t="s">
        <v>781</v>
      </c>
      <c r="J546" s="17" t="str">
        <f>_xlfn.IFNA(VLOOKUP(C546, '[2]Unique HS'!$B$4:$J$999, 9, FALSE), "No")</f>
        <v>No</v>
      </c>
      <c r="K546" s="22">
        <f>VLOOKUP(C546, '[1]India EXIM'!$B$6:$C$580, 2, FALSE)</f>
        <v>1.6944624400000002E-4</v>
      </c>
      <c r="L546" s="11">
        <f>VLOOKUP(C546, '[1]China EXIM'!$B$6:$D$580, 3, FALSE)</f>
        <v>0.15907361693900002</v>
      </c>
      <c r="M546" s="6"/>
      <c r="N546" s="6"/>
      <c r="O546" s="6"/>
      <c r="P546" s="10" t="s">
        <v>24</v>
      </c>
      <c r="Q546" s="9" t="s">
        <v>496</v>
      </c>
      <c r="U546" s="1" t="s">
        <v>25</v>
      </c>
    </row>
    <row r="547" spans="2:21" ht="42" hidden="1">
      <c r="B547" s="6" t="str">
        <f>VLOOKUP(C547, [1]Definition!$D$5:$K$5665, 8, FALSE)</f>
        <v>Capital Goods</v>
      </c>
      <c r="C547" s="7">
        <v>870194</v>
      </c>
      <c r="D547" s="8" t="s">
        <v>1106</v>
      </c>
      <c r="E547" s="17" t="s">
        <v>19</v>
      </c>
      <c r="F547" s="8"/>
      <c r="G547" s="8"/>
      <c r="H547" s="9" t="s">
        <v>58</v>
      </c>
      <c r="I547" s="9" t="s">
        <v>31</v>
      </c>
      <c r="J547" s="17" t="str">
        <f>_xlfn.IFNA(VLOOKUP(C547, '[2]Unique HS'!$B$4:$J$999, 9, FALSE), "No")</f>
        <v>No</v>
      </c>
      <c r="K547" s="18">
        <f>VLOOKUP(C547, '[1]India EXIM'!$B$6:$C$580, 2, FALSE)</f>
        <v>1.5953459299999998E-4</v>
      </c>
      <c r="L547" s="11">
        <f>VLOOKUP(C547, '[1]China EXIM'!$B$6:$D$580, 3, FALSE)</f>
        <v>9.2972701429290012</v>
      </c>
      <c r="M547" s="6"/>
      <c r="N547" s="6"/>
      <c r="O547" s="6"/>
      <c r="P547" s="10" t="s">
        <v>24</v>
      </c>
      <c r="Q547" s="9" t="s">
        <v>58</v>
      </c>
      <c r="S547" s="1" t="s">
        <v>136</v>
      </c>
      <c r="U547" s="1" t="s">
        <v>137</v>
      </c>
    </row>
    <row r="548" spans="2:21" ht="56.1" hidden="1">
      <c r="B548" s="6" t="str">
        <f>VLOOKUP(C548, [1]Definition!$D$5:$K$5665, 8, FALSE)</f>
        <v>Capital Goods</v>
      </c>
      <c r="C548" s="7">
        <v>847230</v>
      </c>
      <c r="D548" s="8" t="s">
        <v>1107</v>
      </c>
      <c r="E548" s="17" t="s">
        <v>27</v>
      </c>
      <c r="F548" s="8"/>
      <c r="G548" s="8"/>
      <c r="H548" s="9" t="s">
        <v>496</v>
      </c>
      <c r="I548" s="9" t="s">
        <v>497</v>
      </c>
      <c r="J548" s="17" t="str">
        <f>_xlfn.IFNA(VLOOKUP(C548, '[2]Unique HS'!$B$4:$J$999, 9, FALSE), "No")</f>
        <v>No</v>
      </c>
      <c r="K548" s="22">
        <f>VLOOKUP(C548, '[1]India EXIM'!$B$6:$C$580, 2, FALSE)</f>
        <v>1.36286984E-4</v>
      </c>
      <c r="L548" s="11">
        <f>VLOOKUP(C548, '[1]China EXIM'!$B$6:$D$580, 3, FALSE)</f>
        <v>0.19303935058999999</v>
      </c>
      <c r="M548" s="6"/>
      <c r="N548" s="6"/>
      <c r="O548" s="6"/>
      <c r="P548" s="10" t="s">
        <v>24</v>
      </c>
      <c r="Q548" s="9" t="s">
        <v>496</v>
      </c>
      <c r="S548" s="1" t="s">
        <v>136</v>
      </c>
      <c r="U548" s="1" t="s">
        <v>137</v>
      </c>
    </row>
    <row r="549" spans="2:21" ht="27.95" hidden="1">
      <c r="B549" s="6" t="str">
        <f>VLOOKUP(C549, [1]Definition!$D$5:$K$5665, 8, FALSE)</f>
        <v>Capital Goods</v>
      </c>
      <c r="C549" s="7">
        <v>842112</v>
      </c>
      <c r="D549" s="8" t="s">
        <v>1108</v>
      </c>
      <c r="E549" s="17" t="s">
        <v>19</v>
      </c>
      <c r="F549" s="8"/>
      <c r="G549" s="8"/>
      <c r="H549" s="9" t="s">
        <v>55</v>
      </c>
      <c r="I549" s="9" t="s">
        <v>1109</v>
      </c>
      <c r="J549" s="17" t="str">
        <f>_xlfn.IFNA(VLOOKUP(C549, '[2]Unique HS'!$B$4:$J$999, 9, FALSE), "No")</f>
        <v>Yes</v>
      </c>
      <c r="K549" s="18">
        <f>VLOOKUP(C549, '[1]India EXIM'!$B$6:$C$580, 2, FALSE)</f>
        <v>1.35634878E-4</v>
      </c>
      <c r="L549" s="11">
        <f>VLOOKUP(C549, '[1]China EXIM'!$B$6:$D$580, 3, FALSE)</f>
        <v>5.7354655440999998E-2</v>
      </c>
      <c r="M549" s="6"/>
      <c r="N549" s="6"/>
      <c r="O549" s="6"/>
      <c r="P549" s="10" t="s">
        <v>24</v>
      </c>
      <c r="Q549" s="9" t="s">
        <v>55</v>
      </c>
      <c r="S549" s="1" t="s">
        <v>136</v>
      </c>
      <c r="U549" s="1" t="s">
        <v>137</v>
      </c>
    </row>
    <row r="550" spans="2:21" ht="27.95" hidden="1">
      <c r="B550" s="6" t="str">
        <f>VLOOKUP(C550, [1]Definition!$D$5:$K$5665, 8, FALSE)</f>
        <v>Capital Goods</v>
      </c>
      <c r="C550" s="7">
        <v>900653</v>
      </c>
      <c r="D550" s="8" t="s">
        <v>1110</v>
      </c>
      <c r="E550" s="17" t="s">
        <v>205</v>
      </c>
      <c r="F550" s="8"/>
      <c r="G550" s="8"/>
      <c r="H550" s="9" t="s">
        <v>166</v>
      </c>
      <c r="I550" s="9" t="s">
        <v>201</v>
      </c>
      <c r="J550" s="17" t="str">
        <f>_xlfn.IFNA(VLOOKUP(C550, '[2]Unique HS'!$B$4:$J$999, 9, FALSE), "No")</f>
        <v>No</v>
      </c>
      <c r="K550" s="22">
        <f>VLOOKUP(C550, '[1]India EXIM'!$B$6:$C$580, 2, FALSE)</f>
        <v>1.14837536E-4</v>
      </c>
      <c r="L550" s="11">
        <f>VLOOKUP(C550, '[1]China EXIM'!$B$6:$D$580, 3, FALSE)</f>
        <v>0.13513525701199999</v>
      </c>
      <c r="M550" s="6"/>
      <c r="N550" s="6"/>
      <c r="O550" s="6"/>
      <c r="P550" s="10" t="s">
        <v>24</v>
      </c>
      <c r="Q550" s="11" t="s">
        <v>466</v>
      </c>
      <c r="U550" s="1" t="s">
        <v>25</v>
      </c>
    </row>
    <row r="551" spans="2:21" ht="56.1" hidden="1">
      <c r="B551" s="6" t="str">
        <f>VLOOKUP(C551, [1]Definition!$D$5:$K$5665, 8, FALSE)</f>
        <v>Capital Goods</v>
      </c>
      <c r="C551" s="7">
        <v>847681</v>
      </c>
      <c r="D551" s="8" t="s">
        <v>1111</v>
      </c>
      <c r="E551" s="17" t="s">
        <v>27</v>
      </c>
      <c r="F551" s="8"/>
      <c r="G551" s="8"/>
      <c r="H551" s="9" t="s">
        <v>22</v>
      </c>
      <c r="I551" s="9" t="s">
        <v>38</v>
      </c>
      <c r="J551" s="17" t="str">
        <f>_xlfn.IFNA(VLOOKUP(C551, '[2]Unique HS'!$B$4:$J$999, 9, FALSE), "No")</f>
        <v>No</v>
      </c>
      <c r="K551" s="18">
        <f>VLOOKUP(C551, '[1]India EXIM'!$B$6:$C$580, 2, FALSE)</f>
        <v>1.13296169E-4</v>
      </c>
      <c r="L551" s="11">
        <f>VLOOKUP(C551, '[1]China EXIM'!$B$6:$D$580, 3, FALSE)</f>
        <v>0.206310731627</v>
      </c>
      <c r="M551" s="6"/>
      <c r="N551" s="6"/>
      <c r="O551" s="6"/>
      <c r="P551" s="10" t="s">
        <v>24</v>
      </c>
      <c r="Q551" s="9" t="s">
        <v>22</v>
      </c>
      <c r="U551" s="1" t="s">
        <v>25</v>
      </c>
    </row>
    <row r="552" spans="2:21" ht="27.95" hidden="1">
      <c r="B552" s="6" t="str">
        <f>VLOOKUP(C552, [1]Definition!$D$5:$K$5665, 8, FALSE)</f>
        <v>Capital Goods</v>
      </c>
      <c r="C552" s="7">
        <v>851920</v>
      </c>
      <c r="D552" s="8" t="s">
        <v>1112</v>
      </c>
      <c r="E552" s="17" t="s">
        <v>27</v>
      </c>
      <c r="F552" s="8"/>
      <c r="G552" s="8"/>
      <c r="H552" s="9" t="s">
        <v>166</v>
      </c>
      <c r="I552" s="9" t="s">
        <v>201</v>
      </c>
      <c r="J552" s="17" t="str">
        <f>_xlfn.IFNA(VLOOKUP(C552, '[2]Unique HS'!$B$4:$J$999, 9, FALSE), "No")</f>
        <v>No</v>
      </c>
      <c r="K552" s="22">
        <f>VLOOKUP(C552, '[1]India EXIM'!$B$6:$C$580, 2, FALSE)</f>
        <v>1.0459309E-4</v>
      </c>
      <c r="L552" s="11">
        <f>VLOOKUP(C552, '[1]China EXIM'!$B$6:$D$580, 3, FALSE)</f>
        <v>3.6821353648000002E-2</v>
      </c>
      <c r="M552" s="6" t="s">
        <v>400</v>
      </c>
      <c r="N552" s="6"/>
      <c r="O552" s="6"/>
      <c r="P552" s="10" t="s">
        <v>24</v>
      </c>
      <c r="Q552" s="11" t="s">
        <v>390</v>
      </c>
      <c r="U552" s="1" t="s">
        <v>25</v>
      </c>
    </row>
    <row r="553" spans="2:21" ht="42" hidden="1">
      <c r="B553" s="6" t="str">
        <f>VLOOKUP(C553, [1]Definition!$D$5:$K$5665, 8, FALSE)</f>
        <v>Capital Goods</v>
      </c>
      <c r="C553" s="7">
        <v>901710</v>
      </c>
      <c r="D553" s="8" t="s">
        <v>1113</v>
      </c>
      <c r="E553" s="17" t="s">
        <v>205</v>
      </c>
      <c r="F553" s="8"/>
      <c r="G553" s="8"/>
      <c r="H553" s="9" t="s">
        <v>166</v>
      </c>
      <c r="I553" s="9" t="s">
        <v>471</v>
      </c>
      <c r="J553" s="17" t="str">
        <f>_xlfn.IFNA(VLOOKUP(C553, '[2]Unique HS'!$B$4:$J$999, 9, FALSE), "No")</f>
        <v>No</v>
      </c>
      <c r="K553" s="18">
        <f>VLOOKUP(C553, '[1]India EXIM'!$B$6:$C$580, 2, FALSE)</f>
        <v>1.01218944E-4</v>
      </c>
      <c r="L553" s="11">
        <f>VLOOKUP(C553, '[1]China EXIM'!$B$6:$D$580, 3, FALSE)</f>
        <v>3.4621261260000001E-2</v>
      </c>
      <c r="M553" s="6"/>
      <c r="N553" s="6"/>
      <c r="O553" s="6"/>
      <c r="P553" s="10" t="s">
        <v>24</v>
      </c>
      <c r="Q553" s="11" t="s">
        <v>168</v>
      </c>
      <c r="U553" s="1" t="s">
        <v>25</v>
      </c>
    </row>
    <row r="554" spans="2:21" ht="27.95" hidden="1">
      <c r="B554" s="6" t="str">
        <f>VLOOKUP(C554, [1]Definition!$D$5:$K$5665, 8, FALSE)</f>
        <v>Capital Goods</v>
      </c>
      <c r="C554" s="7">
        <v>847432</v>
      </c>
      <c r="D554" s="8" t="s">
        <v>1114</v>
      </c>
      <c r="E554" s="17" t="s">
        <v>19</v>
      </c>
      <c r="F554" s="8"/>
      <c r="G554" s="8"/>
      <c r="H554" s="9" t="s">
        <v>58</v>
      </c>
      <c r="I554" s="9" t="s">
        <v>623</v>
      </c>
      <c r="J554" s="17" t="str">
        <f>_xlfn.IFNA(VLOOKUP(C554, '[2]Unique HS'!$B$4:$J$999, 9, FALSE), "No")</f>
        <v>No</v>
      </c>
      <c r="K554" s="18">
        <f>VLOOKUP(C554, '[1]India EXIM'!$B$6:$C$580, 2, FALSE)</f>
        <v>7.2724862999999998E-5</v>
      </c>
      <c r="L554" s="11">
        <f>VLOOKUP(C554, '[1]China EXIM'!$B$6:$D$580, 3, FALSE)</f>
        <v>0.50045830492999999</v>
      </c>
      <c r="M554" s="6"/>
      <c r="N554" s="6"/>
      <c r="O554" s="6"/>
      <c r="P554" s="10" t="s">
        <v>24</v>
      </c>
      <c r="Q554" s="9" t="s">
        <v>58</v>
      </c>
      <c r="S554" s="1" t="s">
        <v>136</v>
      </c>
      <c r="U554" s="1" t="s">
        <v>137</v>
      </c>
    </row>
    <row r="555" spans="2:21" ht="42" hidden="1">
      <c r="B555" s="6" t="str">
        <f>VLOOKUP(C555, [1]Definition!$D$5:$K$5665, 8, FALSE)</f>
        <v>Capital Goods</v>
      </c>
      <c r="C555" s="7">
        <v>851432</v>
      </c>
      <c r="D555" s="8" t="s">
        <v>1115</v>
      </c>
      <c r="E555" s="17" t="s">
        <v>19</v>
      </c>
      <c r="F555" s="8"/>
      <c r="G555" s="8"/>
      <c r="H555" s="9" t="s">
        <v>82</v>
      </c>
      <c r="I555" s="9" t="s">
        <v>1116</v>
      </c>
      <c r="J555" s="17" t="str">
        <f>_xlfn.IFNA(VLOOKUP(C555, '[2]Unique HS'!$B$4:$J$999, 9, FALSE), "No")</f>
        <v>No</v>
      </c>
      <c r="K555" s="18">
        <f>VLOOKUP(C555, '[1]India EXIM'!$B$6:$C$580, 2, FALSE)</f>
        <v>6.7075490000000011E-5</v>
      </c>
      <c r="L555" s="11">
        <f>VLOOKUP(C555, '[1]China EXIM'!$B$6:$D$580, 3, FALSE)</f>
        <v>4.9590998007000002E-2</v>
      </c>
      <c r="M555" s="9" t="s">
        <v>439</v>
      </c>
      <c r="N555" s="9"/>
      <c r="O555" s="9" t="s">
        <v>1117</v>
      </c>
      <c r="P555" s="10" t="s">
        <v>24</v>
      </c>
      <c r="Q555" s="9" t="s">
        <v>82</v>
      </c>
      <c r="S555" s="1" t="s">
        <v>136</v>
      </c>
      <c r="U555" s="1" t="s">
        <v>137</v>
      </c>
    </row>
    <row r="556" spans="2:21" ht="27.95" hidden="1">
      <c r="B556" s="6" t="str">
        <f>VLOOKUP(C556, [1]Definition!$D$5:$K$5665, 8, FALSE)</f>
        <v>Capital Goods</v>
      </c>
      <c r="C556" s="7">
        <v>848530</v>
      </c>
      <c r="D556" s="8" t="s">
        <v>1118</v>
      </c>
      <c r="E556" s="17" t="s">
        <v>19</v>
      </c>
      <c r="F556" s="8"/>
      <c r="G556" s="8" t="s">
        <v>1119</v>
      </c>
      <c r="H556" s="9" t="s">
        <v>22</v>
      </c>
      <c r="I556" s="9" t="s">
        <v>1120</v>
      </c>
      <c r="J556" s="17" t="str">
        <f>_xlfn.IFNA(VLOOKUP(C556, '[2]Unique HS'!$B$4:$J$999, 9, FALSE), "No")</f>
        <v>No</v>
      </c>
      <c r="K556" s="18">
        <f>VLOOKUP(C556, '[1]India EXIM'!$B$6:$C$580, 2, FALSE)</f>
        <v>4.2259061999999999E-5</v>
      </c>
      <c r="L556" s="11">
        <f>VLOOKUP(C556, '[1]China EXIM'!$B$6:$D$580, 3, FALSE)</f>
        <v>1.5198732721999999E-2</v>
      </c>
      <c r="M556" s="6"/>
      <c r="N556" s="6"/>
      <c r="O556" s="6"/>
      <c r="P556" s="10" t="s">
        <v>24</v>
      </c>
      <c r="Q556" s="9" t="s">
        <v>22</v>
      </c>
      <c r="U556" s="1" t="s">
        <v>25</v>
      </c>
    </row>
    <row r="557" spans="2:21" ht="27.95" hidden="1">
      <c r="B557" s="6" t="str">
        <f>VLOOKUP(C557, [1]Definition!$D$5:$K$5665, 8, FALSE)</f>
        <v>Capital Goods</v>
      </c>
      <c r="C557" s="7">
        <v>843221</v>
      </c>
      <c r="D557" s="8" t="s">
        <v>1121</v>
      </c>
      <c r="E557" s="17" t="s">
        <v>19</v>
      </c>
      <c r="F557" s="8"/>
      <c r="G557" s="8"/>
      <c r="H557" s="9" t="s">
        <v>58</v>
      </c>
      <c r="I557" s="9" t="s">
        <v>361</v>
      </c>
      <c r="J557" s="17" t="str">
        <f>_xlfn.IFNA(VLOOKUP(C557, '[2]Unique HS'!$B$4:$J$999, 9, FALSE), "No")</f>
        <v>No</v>
      </c>
      <c r="K557" s="18">
        <f>VLOOKUP(C557, '[1]India EXIM'!$B$6:$C$580, 2, FALSE)</f>
        <v>3.2536782999999997E-5</v>
      </c>
      <c r="L557" s="11">
        <f>VLOOKUP(C557, '[1]China EXIM'!$B$6:$D$580, 3, FALSE)</f>
        <v>0.62040193158699997</v>
      </c>
      <c r="M557" s="6" t="s">
        <v>160</v>
      </c>
      <c r="N557" s="6"/>
      <c r="O557" s="6"/>
      <c r="P557" s="10" t="s">
        <v>24</v>
      </c>
      <c r="Q557" s="9" t="s">
        <v>58</v>
      </c>
      <c r="S557" s="1" t="s">
        <v>136</v>
      </c>
      <c r="U557" s="1" t="s">
        <v>137</v>
      </c>
    </row>
    <row r="558" spans="2:21" ht="27.95" hidden="1">
      <c r="B558" s="6" t="str">
        <f>VLOOKUP(C558, [1]Definition!$D$5:$K$5665, 8, FALSE)</f>
        <v>Capital Goods</v>
      </c>
      <c r="C558" s="7">
        <v>820560</v>
      </c>
      <c r="D558" s="8" t="s">
        <v>1122</v>
      </c>
      <c r="E558" s="17" t="s">
        <v>19</v>
      </c>
      <c r="F558" s="8"/>
      <c r="G558" s="8"/>
      <c r="H558" s="9" t="s">
        <v>65</v>
      </c>
      <c r="I558" s="9" t="s">
        <v>1123</v>
      </c>
      <c r="J558" s="17" t="str">
        <f>_xlfn.IFNA(VLOOKUP(C558, '[2]Unique HS'!$B$4:$J$999, 9, FALSE), "No")</f>
        <v>No</v>
      </c>
      <c r="K558" s="18">
        <f>VLOOKUP(C558, '[1]India EXIM'!$B$6:$C$580, 2, FALSE)</f>
        <v>2.9486206999999998E-5</v>
      </c>
      <c r="L558" s="11">
        <f>VLOOKUP(C558, '[1]China EXIM'!$B$6:$D$580, 3, FALSE)</f>
        <v>0.10281466376700001</v>
      </c>
      <c r="M558" s="6" t="s">
        <v>210</v>
      </c>
      <c r="N558" s="6"/>
      <c r="O558" s="9"/>
      <c r="P558" s="10" t="s">
        <v>24</v>
      </c>
      <c r="Q558" s="11" t="s">
        <v>210</v>
      </c>
      <c r="S558" s="1" t="s">
        <v>136</v>
      </c>
      <c r="U558" s="1" t="s">
        <v>137</v>
      </c>
    </row>
    <row r="559" spans="2:21" ht="27.95" hidden="1">
      <c r="B559" s="6" t="str">
        <f>VLOOKUP(C559, [1]Definition!$D$5:$K$5665, 8, FALSE)</f>
        <v>Capital Goods</v>
      </c>
      <c r="C559" s="7">
        <v>870110</v>
      </c>
      <c r="D559" s="8" t="s">
        <v>1124</v>
      </c>
      <c r="E559" s="17" t="s">
        <v>19</v>
      </c>
      <c r="F559" s="8"/>
      <c r="G559" s="8"/>
      <c r="H559" s="9" t="s">
        <v>58</v>
      </c>
      <c r="I559" s="9" t="s">
        <v>31</v>
      </c>
      <c r="J559" s="17" t="str">
        <f>_xlfn.IFNA(VLOOKUP(C559, '[2]Unique HS'!$B$4:$J$999, 9, FALSE), "No")</f>
        <v>No</v>
      </c>
      <c r="K559" s="18">
        <f>VLOOKUP(C559, '[1]India EXIM'!$B$6:$C$580, 2, FALSE)</f>
        <v>2.5588682000000002E-5</v>
      </c>
      <c r="L559" s="11">
        <f>VLOOKUP(C559, '[1]China EXIM'!$B$6:$D$580, 3, FALSE)</f>
        <v>0.29246089718000001</v>
      </c>
      <c r="M559" s="6"/>
      <c r="N559" s="6"/>
      <c r="O559" s="6"/>
      <c r="P559" s="10" t="s">
        <v>24</v>
      </c>
      <c r="Q559" s="9" t="s">
        <v>58</v>
      </c>
      <c r="U559" s="1" t="s">
        <v>25</v>
      </c>
    </row>
    <row r="560" spans="2:21" ht="27.95" hidden="1">
      <c r="B560" s="6" t="str">
        <f>VLOOKUP(C560, [1]Definition!$D$5:$K$5665, 8, FALSE)</f>
        <v>Capital Goods</v>
      </c>
      <c r="C560" s="7">
        <v>841011</v>
      </c>
      <c r="D560" s="8" t="s">
        <v>1125</v>
      </c>
      <c r="E560" s="17" t="s">
        <v>27</v>
      </c>
      <c r="F560" s="8" t="s">
        <v>1126</v>
      </c>
      <c r="G560" s="8" t="s">
        <v>1127</v>
      </c>
      <c r="H560" s="9" t="s">
        <v>30</v>
      </c>
      <c r="I560" s="9" t="s">
        <v>1084</v>
      </c>
      <c r="J560" s="17" t="str">
        <f>_xlfn.IFNA(VLOOKUP(C560, '[2]Unique HS'!$B$4:$J$999, 9, FALSE), "No")</f>
        <v>No</v>
      </c>
      <c r="K560" s="22">
        <f>VLOOKUP(C560, '[1]India EXIM'!$B$6:$C$580, 2, FALSE)</f>
        <v>8.5176139999999995E-6</v>
      </c>
      <c r="L560" s="11">
        <f>VLOOKUP(C560, '[1]China EXIM'!$B$6:$D$580, 3, FALSE)</f>
        <v>6.6972995337999996E-2</v>
      </c>
      <c r="M560" s="9" t="s">
        <v>1085</v>
      </c>
      <c r="N560" s="9"/>
      <c r="O560" s="6" t="s">
        <v>1086</v>
      </c>
      <c r="P560" s="10" t="s">
        <v>24</v>
      </c>
      <c r="Q560" s="9" t="s">
        <v>30</v>
      </c>
      <c r="S560" s="1" t="s">
        <v>33</v>
      </c>
      <c r="U560" s="1" t="s">
        <v>34</v>
      </c>
    </row>
    <row r="561" spans="2:22" ht="42" hidden="1">
      <c r="B561" s="6" t="str">
        <f>VLOOKUP(C561, [1]Definition!$D$5:$K$5665, 8, FALSE)</f>
        <v>Capital Goods</v>
      </c>
      <c r="C561" s="7">
        <v>840681</v>
      </c>
      <c r="D561" s="8" t="s">
        <v>1128</v>
      </c>
      <c r="E561" s="17" t="s">
        <v>27</v>
      </c>
      <c r="F561" s="8" t="s">
        <v>1129</v>
      </c>
      <c r="G561" s="8" t="s">
        <v>1130</v>
      </c>
      <c r="H561" s="9" t="s">
        <v>30</v>
      </c>
      <c r="I561" s="9" t="s">
        <v>733</v>
      </c>
      <c r="J561" s="17" t="str">
        <f>_xlfn.IFNA(VLOOKUP(C561, '[2]Unique HS'!$B$4:$J$999, 9, FALSE), "No")</f>
        <v>No</v>
      </c>
      <c r="K561" s="22">
        <f>VLOOKUP(C561, '[1]India EXIM'!$B$6:$C$580, 2, FALSE)</f>
        <v>5.8546769999999996E-6</v>
      </c>
      <c r="L561" s="11">
        <f>VLOOKUP(C561, '[1]China EXIM'!$B$6:$D$580, 3, FALSE)</f>
        <v>0.46181119755700001</v>
      </c>
      <c r="M561" s="6" t="s">
        <v>733</v>
      </c>
      <c r="N561" s="6"/>
      <c r="O561" s="6"/>
      <c r="P561" s="10" t="s">
        <v>24</v>
      </c>
      <c r="Q561" s="9" t="s">
        <v>30</v>
      </c>
      <c r="S561" s="1" t="s">
        <v>33</v>
      </c>
      <c r="U561" s="1" t="s">
        <v>34</v>
      </c>
    </row>
    <row r="562" spans="2:22" ht="42" hidden="1">
      <c r="B562" s="6" t="str">
        <f>VLOOKUP(C562, [1]Definition!$D$5:$K$5665, 8, FALSE)</f>
        <v>Capital Goods</v>
      </c>
      <c r="C562" s="7">
        <v>840120</v>
      </c>
      <c r="D562" s="8" t="s">
        <v>1131</v>
      </c>
      <c r="E562" s="17" t="s">
        <v>163</v>
      </c>
      <c r="F562" s="8" t="s">
        <v>1132</v>
      </c>
      <c r="G562" s="8"/>
      <c r="H562" s="9" t="s">
        <v>22</v>
      </c>
      <c r="I562" s="9" t="s">
        <v>1133</v>
      </c>
      <c r="J562" s="17" t="str">
        <f>_xlfn.IFNA(VLOOKUP(C562, '[2]Unique HS'!$B$4:$J$999, 9, FALSE), "No")</f>
        <v>No</v>
      </c>
      <c r="K562" s="18">
        <f>VLOOKUP(C562, '[1]India EXIM'!$B$6:$C$580, 2, FALSE)</f>
        <v>2.9796600000000001E-7</v>
      </c>
      <c r="L562" s="11">
        <f>VLOOKUP(C562, '[1]China EXIM'!$B$6:$D$580, 3, FALSE)</f>
        <v>7.8387131832999987E-2</v>
      </c>
      <c r="M562" s="6" t="s">
        <v>201</v>
      </c>
      <c r="N562" s="6"/>
      <c r="O562" s="6"/>
      <c r="P562" s="10" t="s">
        <v>24</v>
      </c>
      <c r="Q562" s="9" t="s">
        <v>22</v>
      </c>
      <c r="U562" s="1" t="s">
        <v>25</v>
      </c>
    </row>
    <row r="563" spans="2:22" ht="27.95" hidden="1">
      <c r="B563" s="6" t="str">
        <f>VLOOKUP(C563, [1]Definition!$D$5:$K$5665, 8, FALSE)</f>
        <v>Capital Goods</v>
      </c>
      <c r="C563" s="7">
        <v>840110</v>
      </c>
      <c r="D563" s="8" t="s">
        <v>1134</v>
      </c>
      <c r="E563" s="17" t="s">
        <v>205</v>
      </c>
      <c r="F563" s="8" t="s">
        <v>1135</v>
      </c>
      <c r="G563" s="8" t="s">
        <v>1136</v>
      </c>
      <c r="H563" s="9" t="s">
        <v>30</v>
      </c>
      <c r="I563" s="9" t="s">
        <v>1137</v>
      </c>
      <c r="J563" s="17" t="str">
        <f>_xlfn.IFNA(VLOOKUP(C563, '[2]Unique HS'!$B$4:$J$999, 9, FALSE), "No")</f>
        <v>No</v>
      </c>
      <c r="K563" s="22">
        <f>VLOOKUP(C563, '[1]India EXIM'!$B$6:$C$580, 2, FALSE)</f>
        <v>0</v>
      </c>
      <c r="L563" s="11">
        <f>VLOOKUP(C563, '[1]China EXIM'!$B$6:$D$580, 3, FALSE)</f>
        <v>4.7518313899999999E-3</v>
      </c>
      <c r="M563" s="6" t="s">
        <v>201</v>
      </c>
      <c r="N563" s="6"/>
      <c r="O563" s="6"/>
      <c r="P563" s="10" t="s">
        <v>24</v>
      </c>
      <c r="Q563" s="9" t="s">
        <v>30</v>
      </c>
      <c r="S563" s="1" t="s">
        <v>136</v>
      </c>
      <c r="U563" s="1" t="s">
        <v>137</v>
      </c>
    </row>
    <row r="564" spans="2:22" ht="27.95" hidden="1">
      <c r="B564" s="6" t="str">
        <f>VLOOKUP(C564, [1]Definition!$D$5:$K$5665, 8, FALSE)</f>
        <v>Capital Goods</v>
      </c>
      <c r="C564" s="7">
        <v>850740</v>
      </c>
      <c r="D564" s="8" t="s">
        <v>1138</v>
      </c>
      <c r="E564" s="17" t="s">
        <v>205</v>
      </c>
      <c r="F564" s="8" t="s">
        <v>1139</v>
      </c>
      <c r="G564" s="8" t="s">
        <v>996</v>
      </c>
      <c r="H564" s="9" t="s">
        <v>30</v>
      </c>
      <c r="I564" s="9" t="s">
        <v>38</v>
      </c>
      <c r="J564" s="17" t="str">
        <f>_xlfn.IFNA(VLOOKUP(C564, '[2]Unique HS'!$B$4:$J$999, 9, FALSE), "No")</f>
        <v>No</v>
      </c>
      <c r="K564" s="22">
        <f>VLOOKUP(C564, '[1]India EXIM'!$B$6:$C$580, 2, FALSE)</f>
        <v>0</v>
      </c>
      <c r="L564" s="11">
        <f>VLOOKUP(C564, '[1]China EXIM'!$B$6:$D$580, 3, FALSE)</f>
        <v>1.4374332999999998E-4</v>
      </c>
      <c r="M564" s="6"/>
      <c r="N564" s="6"/>
      <c r="O564" s="6"/>
      <c r="P564" s="10" t="s">
        <v>1140</v>
      </c>
      <c r="Q564" s="11" t="s">
        <v>30</v>
      </c>
      <c r="S564" s="1" t="s">
        <v>136</v>
      </c>
      <c r="U564" s="1" t="s">
        <v>137</v>
      </c>
    </row>
    <row r="565" spans="2:22" ht="27.95" hidden="1">
      <c r="B565" s="6" t="str">
        <f>VLOOKUP(C565, [1]Definition!$D$5:$K$5665, 8, FALSE)</f>
        <v>Capital Goods</v>
      </c>
      <c r="C565" s="7">
        <v>950825</v>
      </c>
      <c r="D565" s="8" t="s">
        <v>1141</v>
      </c>
      <c r="E565" s="17" t="s">
        <v>205</v>
      </c>
      <c r="F565" s="8"/>
      <c r="G565" s="8"/>
      <c r="H565" s="9" t="s">
        <v>166</v>
      </c>
      <c r="I565" s="9" t="s">
        <v>201</v>
      </c>
      <c r="J565" s="17" t="str">
        <f>_xlfn.IFNA(VLOOKUP(C565, '[2]Unique HS'!$B$4:$J$999, 9, FALSE), "No")</f>
        <v>No</v>
      </c>
      <c r="K565" s="22">
        <f>VLOOKUP(C565, '[1]India EXIM'!$B$6:$C$580, 2, FALSE)</f>
        <v>0</v>
      </c>
      <c r="L565" s="11">
        <f>VLOOKUP(C565, '[1]China EXIM'!$B$6:$D$580, 3, FALSE)</f>
        <v>2.4464203064E-2</v>
      </c>
      <c r="M565" s="6"/>
      <c r="N565" s="6"/>
      <c r="O565" s="6"/>
      <c r="P565" s="10" t="s">
        <v>24</v>
      </c>
      <c r="Q565" s="11" t="s">
        <v>864</v>
      </c>
      <c r="U565" s="1" t="s">
        <v>25</v>
      </c>
    </row>
    <row r="566" spans="2:22" ht="27.95" hidden="1">
      <c r="B566" s="6" t="str">
        <f>VLOOKUP(C566, [1]Definition!$D$5:$K$5665, 8, FALSE)</f>
        <v>Capital Goods</v>
      </c>
      <c r="C566" s="7">
        <v>870120</v>
      </c>
      <c r="D566" s="8" t="s">
        <v>1142</v>
      </c>
      <c r="E566" s="17" t="s">
        <v>19</v>
      </c>
      <c r="F566" s="8"/>
      <c r="G566" s="8"/>
      <c r="H566" s="9" t="s">
        <v>58</v>
      </c>
      <c r="I566" s="9" t="s">
        <v>31</v>
      </c>
      <c r="J566" s="17" t="str">
        <f>_xlfn.IFNA(VLOOKUP(C566, '[2]Unique HS'!$B$4:$J$999, 9, FALSE), "No")</f>
        <v>No</v>
      </c>
      <c r="K566" s="18">
        <f>VLOOKUP(C566, '[1]India EXIM'!$B$6:$C$580, 2, FALSE)</f>
        <v>0</v>
      </c>
      <c r="L566" s="11">
        <f>VLOOKUP(C566, '[1]China EXIM'!$B$6:$D$580, 3, FALSE)</f>
        <v>3.5834470433000011E-2</v>
      </c>
      <c r="M566" s="6"/>
      <c r="N566" s="6"/>
      <c r="O566" s="6"/>
      <c r="P566" s="10" t="s">
        <v>1140</v>
      </c>
      <c r="Q566" s="9" t="s">
        <v>58</v>
      </c>
      <c r="U566" s="1" t="s">
        <v>25</v>
      </c>
    </row>
    <row r="567" spans="2:22" ht="252" hidden="1">
      <c r="B567" s="6" t="str">
        <f>VLOOKUP(C567, [1]Definition!$D$5:$K$5665, 8, FALSE)</f>
        <v>Capital Goods</v>
      </c>
      <c r="C567" s="7">
        <v>902780</v>
      </c>
      <c r="D567" s="8" t="s">
        <v>1143</v>
      </c>
      <c r="E567" s="17" t="s">
        <v>19</v>
      </c>
      <c r="F567" s="8" t="s">
        <v>1144</v>
      </c>
      <c r="G567" s="8" t="s">
        <v>1145</v>
      </c>
      <c r="H567" s="9" t="s">
        <v>22</v>
      </c>
      <c r="I567" s="9" t="s">
        <v>1146</v>
      </c>
      <c r="J567" s="17" t="str">
        <f>_xlfn.IFNA(VLOOKUP(C567, '[2]Unique HS'!$B$4:$J$999, 9, FALSE), "No")</f>
        <v>Yes</v>
      </c>
      <c r="K567" s="18">
        <f>VLOOKUP(C567, '[1]India EXIM'!$B$6:$C$580, 2, FALSE)</f>
        <v>0</v>
      </c>
      <c r="L567" s="11">
        <f>VLOOKUP(C567, '[1]China EXIM'!$B$6:$D$580, 3, FALSE)</f>
        <v>2.0384769191000001E-2</v>
      </c>
      <c r="M567" s="6"/>
      <c r="N567" s="6"/>
      <c r="O567" s="6"/>
      <c r="P567" s="10" t="s">
        <v>1140</v>
      </c>
      <c r="Q567" s="11" t="s">
        <v>39</v>
      </c>
      <c r="S567" s="1" t="s">
        <v>136</v>
      </c>
      <c r="U567" s="1" t="s">
        <v>137</v>
      </c>
    </row>
    <row r="568" spans="2:22" ht="27.95">
      <c r="B568" s="6" t="str">
        <f>VLOOKUP(C568, [1]Definition!$D$5:$K$5665, 8, FALSE)</f>
        <v>Capital Goods</v>
      </c>
      <c r="C568" s="7">
        <v>841931</v>
      </c>
      <c r="D568" s="8" t="s">
        <v>1147</v>
      </c>
      <c r="E568" s="17" t="s">
        <v>119</v>
      </c>
      <c r="F568" s="8"/>
      <c r="G568" s="8"/>
      <c r="H568" s="9" t="s">
        <v>61</v>
      </c>
      <c r="I568" s="9" t="s">
        <v>1148</v>
      </c>
      <c r="J568" s="17" t="str">
        <f>_xlfn.IFNA(VLOOKUP(C568, '[2]Unique HS'!$B$4:$J$999, 9, FALSE), "No")</f>
        <v>No</v>
      </c>
      <c r="K568" s="18">
        <f>VLOOKUP(C568, '[1]India EXIM'!$B$6:$C$580, 2, FALSE)</f>
        <v>0</v>
      </c>
      <c r="L568" s="11">
        <f>VLOOKUP(C568, '[1]China EXIM'!$B$6:$D$580, 3, FALSE)</f>
        <v>1.4534151259999999E-3</v>
      </c>
      <c r="M568" s="6" t="s">
        <v>160</v>
      </c>
      <c r="N568" s="6"/>
      <c r="O568" s="6" t="s">
        <v>1149</v>
      </c>
      <c r="P568" s="10" t="s">
        <v>1140</v>
      </c>
      <c r="Q568" s="9" t="s">
        <v>61</v>
      </c>
    </row>
    <row r="569" spans="2:22" ht="27.95" hidden="1">
      <c r="B569" s="6" t="str">
        <f>VLOOKUP(C569, [1]Definition!$D$5:$K$5665, 8, FALSE)</f>
        <v>Capital Goods</v>
      </c>
      <c r="C569" s="7">
        <v>870190</v>
      </c>
      <c r="D569" s="8" t="s">
        <v>1150</v>
      </c>
      <c r="E569" s="17" t="s">
        <v>19</v>
      </c>
      <c r="F569" s="8"/>
      <c r="G569" s="8"/>
      <c r="H569" s="9" t="s">
        <v>58</v>
      </c>
      <c r="I569" s="9" t="s">
        <v>31</v>
      </c>
      <c r="J569" s="17" t="str">
        <f>_xlfn.IFNA(VLOOKUP(C569, '[2]Unique HS'!$B$4:$J$999, 9, FALSE), "No")</f>
        <v>No</v>
      </c>
      <c r="K569" s="18">
        <f>VLOOKUP(C569, '[1]India EXIM'!$B$6:$C$580, 2, FALSE)</f>
        <v>0</v>
      </c>
      <c r="L569" s="11">
        <f>VLOOKUP(C569, '[1]China EXIM'!$B$6:$D$580, 3, FALSE)</f>
        <v>8.1980968579999994E-3</v>
      </c>
      <c r="M569" s="6"/>
      <c r="N569" s="6"/>
      <c r="O569" s="6"/>
      <c r="P569" s="10" t="s">
        <v>1140</v>
      </c>
      <c r="Q569" s="9" t="s">
        <v>58</v>
      </c>
      <c r="U569" s="1" t="s">
        <v>25</v>
      </c>
    </row>
    <row r="570" spans="2:22" ht="237.95" hidden="1">
      <c r="B570" s="6" t="str">
        <f>VLOOKUP(C570, [1]Definition!$D$5:$K$5665, 8, FALSE)</f>
        <v>Capital Goods</v>
      </c>
      <c r="C570" s="7">
        <v>846299</v>
      </c>
      <c r="D570" s="8" t="s">
        <v>1151</v>
      </c>
      <c r="E570" s="17" t="s">
        <v>19</v>
      </c>
      <c r="F570" s="8"/>
      <c r="G570" s="8"/>
      <c r="H570" s="9" t="s">
        <v>65</v>
      </c>
      <c r="I570" s="9" t="s">
        <v>31</v>
      </c>
      <c r="J570" s="17" t="str">
        <f>_xlfn.IFNA(VLOOKUP(C570, '[2]Unique HS'!$B$4:$J$999, 9, FALSE), "No")</f>
        <v>Yes</v>
      </c>
      <c r="K570" s="18">
        <f>VLOOKUP(C570, '[1]India EXIM'!$B$6:$C$580, 2, FALSE)</f>
        <v>0</v>
      </c>
      <c r="L570" s="11">
        <f>VLOOKUP(C570, '[1]China EXIM'!$B$6:$D$580, 3, FALSE)</f>
        <v>6.1895092000000007E-4</v>
      </c>
      <c r="M570" s="6"/>
      <c r="N570" s="6"/>
      <c r="O570" s="6"/>
      <c r="P570" s="10" t="s">
        <v>1140</v>
      </c>
      <c r="Q570" s="9" t="s">
        <v>65</v>
      </c>
      <c r="U570" s="1" t="s">
        <v>25</v>
      </c>
    </row>
    <row r="571" spans="2:22" ht="237.95" hidden="1">
      <c r="B571" s="6" t="str">
        <f>VLOOKUP(C571, [1]Definition!$D$5:$K$5665, 8, FALSE)</f>
        <v>Capital Goods</v>
      </c>
      <c r="C571" s="7">
        <v>846291</v>
      </c>
      <c r="D571" s="8" t="s">
        <v>1152</v>
      </c>
      <c r="E571" s="17" t="s">
        <v>19</v>
      </c>
      <c r="F571" s="8"/>
      <c r="G571" s="8"/>
      <c r="H571" s="9" t="s">
        <v>65</v>
      </c>
      <c r="I571" s="9" t="s">
        <v>31</v>
      </c>
      <c r="J571" s="17" t="str">
        <f>_xlfn.IFNA(VLOOKUP(C571, '[2]Unique HS'!$B$4:$J$999, 9, FALSE), "No")</f>
        <v>No</v>
      </c>
      <c r="K571" s="18">
        <f>VLOOKUP(C571, '[1]India EXIM'!$B$6:$C$580, 2, FALSE)</f>
        <v>0</v>
      </c>
      <c r="L571" s="11">
        <f>VLOOKUP(C571, '[1]China EXIM'!$B$6:$D$580, 3, FALSE)</f>
        <v>2.4221716599999999E-4</v>
      </c>
      <c r="M571" s="6"/>
      <c r="N571" s="6"/>
      <c r="O571" s="6"/>
      <c r="P571" s="10" t="s">
        <v>1140</v>
      </c>
      <c r="Q571" s="9" t="s">
        <v>65</v>
      </c>
      <c r="U571" s="1" t="s">
        <v>25</v>
      </c>
    </row>
    <row r="572" spans="2:22" ht="69.95" hidden="1">
      <c r="B572" s="6" t="str">
        <f>VLOOKUP(C572, [1]Definition!$D$5:$K$5665, 8, FALSE)</f>
        <v>Capital Goods</v>
      </c>
      <c r="C572" s="7">
        <v>851410</v>
      </c>
      <c r="D572" s="8" t="s">
        <v>1153</v>
      </c>
      <c r="E572" s="17" t="s">
        <v>19</v>
      </c>
      <c r="F572" s="8" t="s">
        <v>1154</v>
      </c>
      <c r="G572" s="8" t="s">
        <v>1155</v>
      </c>
      <c r="H572" s="9" t="s">
        <v>30</v>
      </c>
      <c r="I572" s="9" t="s">
        <v>38</v>
      </c>
      <c r="J572" s="17" t="str">
        <f>_xlfn.IFNA(VLOOKUP(C572, '[2]Unique HS'!$B$4:$J$999, 9, FALSE), "No")</f>
        <v>Yes</v>
      </c>
      <c r="K572" s="18">
        <f>VLOOKUP(C572, '[1]India EXIM'!$B$6:$C$580, 2, FALSE)</f>
        <v>0</v>
      </c>
      <c r="L572" s="11">
        <f>VLOOKUP(C572, '[1]China EXIM'!$B$6:$D$580, 3, FALSE)</f>
        <v>2.1857658600000002E-4</v>
      </c>
      <c r="M572" s="6"/>
      <c r="N572" s="6"/>
      <c r="O572" s="6"/>
      <c r="P572" s="10" t="s">
        <v>1140</v>
      </c>
      <c r="Q572" s="11" t="s">
        <v>30</v>
      </c>
      <c r="U572" s="1" t="s">
        <v>25</v>
      </c>
    </row>
    <row r="573" spans="2:22" ht="42" hidden="1">
      <c r="B573" s="6" t="str">
        <f>VLOOKUP(C573, [1]Definition!$D$5:$K$5665, 8, FALSE)</f>
        <v>Capital Goods</v>
      </c>
      <c r="C573" s="7">
        <v>842481</v>
      </c>
      <c r="D573" s="8" t="s">
        <v>1156</v>
      </c>
      <c r="E573" s="17" t="s">
        <v>205</v>
      </c>
      <c r="F573" s="8"/>
      <c r="G573" s="8"/>
      <c r="H573" s="9" t="s">
        <v>22</v>
      </c>
      <c r="I573" s="9" t="s">
        <v>486</v>
      </c>
      <c r="J573" s="17" t="str">
        <f>_xlfn.IFNA(VLOOKUP(C573, '[2]Unique HS'!$B$4:$J$999, 9, FALSE), "No")</f>
        <v>No</v>
      </c>
      <c r="K573" s="18">
        <f>VLOOKUP(C573, '[1]India EXIM'!$B$6:$C$580, 2, FALSE)</f>
        <v>0</v>
      </c>
      <c r="L573" s="11">
        <f>VLOOKUP(C573, '[1]China EXIM'!$B$6:$D$580, 3, FALSE)</f>
        <v>2.16799941E-4</v>
      </c>
      <c r="M573" s="6"/>
      <c r="N573" s="6"/>
      <c r="O573" s="6"/>
      <c r="P573" s="10" t="s">
        <v>1140</v>
      </c>
      <c r="Q573" s="9" t="s">
        <v>22</v>
      </c>
      <c r="U573" s="1" t="s">
        <v>137</v>
      </c>
    </row>
    <row r="574" spans="2:22" ht="27.95" hidden="1">
      <c r="B574" s="6" t="str">
        <f>VLOOKUP(C574, [1]Definition!$D$5:$K$5665, 8, FALSE)</f>
        <v>Capital Goods</v>
      </c>
      <c r="C574" s="7">
        <v>843230</v>
      </c>
      <c r="D574" s="8" t="s">
        <v>1157</v>
      </c>
      <c r="E574" s="17" t="s">
        <v>205</v>
      </c>
      <c r="F574" s="8"/>
      <c r="G574" s="8" t="s">
        <v>322</v>
      </c>
      <c r="H574" s="9" t="s">
        <v>22</v>
      </c>
      <c r="I574" s="9" t="s">
        <v>38</v>
      </c>
      <c r="J574" s="17" t="str">
        <f>_xlfn.IFNA(VLOOKUP(C574, '[2]Unique HS'!$B$4:$J$999, 9, FALSE), "No")</f>
        <v>No</v>
      </c>
      <c r="K574" s="18">
        <f>VLOOKUP(C574, '[1]India EXIM'!$B$6:$C$580, 2, FALSE)</f>
        <v>0</v>
      </c>
      <c r="L574" s="11">
        <f>VLOOKUP(C574, '[1]China EXIM'!$B$6:$D$580, 3, FALSE)</f>
        <v>6.3942747000000002E-5</v>
      </c>
      <c r="M574" s="6" t="s">
        <v>160</v>
      </c>
      <c r="N574" s="6"/>
      <c r="O574" s="6"/>
      <c r="P574" s="10" t="s">
        <v>24</v>
      </c>
      <c r="Q574" s="11" t="s">
        <v>161</v>
      </c>
      <c r="U574" s="1" t="s">
        <v>137</v>
      </c>
      <c r="V574" s="1" t="s">
        <v>456</v>
      </c>
    </row>
    <row r="575" spans="2:22" ht="27.95" hidden="1">
      <c r="B575" s="6" t="str">
        <f>VLOOKUP(C575, [1]Definition!$D$5:$K$5665, 8, FALSE)</f>
        <v>Capital Goods</v>
      </c>
      <c r="C575" s="7">
        <v>820120</v>
      </c>
      <c r="D575" s="8" t="s">
        <v>1158</v>
      </c>
      <c r="E575" s="17" t="s">
        <v>19</v>
      </c>
      <c r="F575" s="8"/>
      <c r="G575" s="8"/>
      <c r="H575" s="9" t="s">
        <v>58</v>
      </c>
      <c r="I575" s="9" t="s">
        <v>909</v>
      </c>
      <c r="J575" s="17" t="str">
        <f>_xlfn.IFNA(VLOOKUP(C575, '[2]Unique HS'!$B$4:$J$999, 9, FALSE), "No")</f>
        <v>No</v>
      </c>
      <c r="K575" s="18">
        <f>VLOOKUP(C575, '[1]India EXIM'!$B$6:$C$580, 2, FALSE)</f>
        <v>0</v>
      </c>
      <c r="L575" s="11">
        <f>VLOOKUP(C575, '[1]China EXIM'!$B$6:$D$580, 3, FALSE)</f>
        <v>0</v>
      </c>
      <c r="M575" s="6" t="s">
        <v>210</v>
      </c>
      <c r="N575" s="6"/>
      <c r="O575" s="9"/>
      <c r="P575" s="10" t="s">
        <v>1140</v>
      </c>
      <c r="Q575" s="11" t="s">
        <v>210</v>
      </c>
      <c r="U575" s="1" t="s">
        <v>25</v>
      </c>
    </row>
    <row r="576" spans="2:22" ht="27.95" hidden="1">
      <c r="B576" s="6" t="str">
        <f>VLOOKUP(C576, [1]Definition!$D$5:$K$5665, 8, FALSE)</f>
        <v>Capital Goods</v>
      </c>
      <c r="C576" s="7">
        <v>820580</v>
      </c>
      <c r="D576" s="8" t="s">
        <v>1159</v>
      </c>
      <c r="E576" s="17" t="s">
        <v>19</v>
      </c>
      <c r="F576" s="8"/>
      <c r="G576" s="8"/>
      <c r="H576" s="9" t="s">
        <v>65</v>
      </c>
      <c r="I576" s="9" t="s">
        <v>209</v>
      </c>
      <c r="J576" s="17" t="str">
        <f>_xlfn.IFNA(VLOOKUP(C576, '[2]Unique HS'!$B$4:$J$999, 9, FALSE), "No")</f>
        <v>No</v>
      </c>
      <c r="K576" s="18">
        <f>VLOOKUP(C576, '[1]India EXIM'!$B$6:$C$580, 2, FALSE)</f>
        <v>0</v>
      </c>
      <c r="L576" s="11">
        <f>VLOOKUP(C576, '[1]China EXIM'!$B$6:$D$580, 3, FALSE)</f>
        <v>0</v>
      </c>
      <c r="M576" s="6" t="s">
        <v>210</v>
      </c>
      <c r="N576" s="6"/>
      <c r="O576" s="9" t="s">
        <v>201</v>
      </c>
      <c r="P576" s="10" t="s">
        <v>1140</v>
      </c>
      <c r="Q576" s="11" t="s">
        <v>210</v>
      </c>
      <c r="U576" s="1" t="s">
        <v>25</v>
      </c>
    </row>
    <row r="577" spans="2:21" ht="56.1" hidden="1">
      <c r="B577" s="6" t="str">
        <f>VLOOKUP(C577, [1]Definition!$D$5:$K$5665, 8, FALSE)</f>
        <v>Capital Goods</v>
      </c>
      <c r="C577" s="7">
        <v>841932</v>
      </c>
      <c r="D577" s="8" t="s">
        <v>1160</v>
      </c>
      <c r="E577" s="17" t="s">
        <v>19</v>
      </c>
      <c r="F577" s="8" t="s">
        <v>1161</v>
      </c>
      <c r="G577" s="8"/>
      <c r="H577" s="9" t="s">
        <v>22</v>
      </c>
      <c r="I577" s="9" t="s">
        <v>38</v>
      </c>
      <c r="J577" s="17" t="str">
        <f>_xlfn.IFNA(VLOOKUP(C577, '[2]Unique HS'!$B$4:$J$999, 9, FALSE), "No")</f>
        <v>No</v>
      </c>
      <c r="K577" s="18">
        <f>VLOOKUP(C577, '[1]India EXIM'!$B$6:$C$580, 2, FALSE)</f>
        <v>0</v>
      </c>
      <c r="L577" s="11">
        <f>VLOOKUP(C577, '[1]China EXIM'!$B$6:$D$580, 3, FALSE)</f>
        <v>0</v>
      </c>
      <c r="M577" s="6" t="s">
        <v>253</v>
      </c>
      <c r="N577" s="6"/>
      <c r="O577" s="6" t="s">
        <v>1038</v>
      </c>
      <c r="P577" s="10" t="s">
        <v>1140</v>
      </c>
      <c r="Q577" s="11" t="s">
        <v>182</v>
      </c>
      <c r="U577" s="1" t="s">
        <v>25</v>
      </c>
    </row>
    <row r="578" spans="2:21" ht="27.95">
      <c r="B578" s="6" t="str">
        <f>VLOOKUP(C578, [1]Definition!$D$5:$K$5665, 8, FALSE)</f>
        <v>Capital Goods</v>
      </c>
      <c r="C578" s="7">
        <v>843240</v>
      </c>
      <c r="D578" s="8" t="s">
        <v>1162</v>
      </c>
      <c r="E578" s="17" t="s">
        <v>119</v>
      </c>
      <c r="F578" s="8"/>
      <c r="G578" s="8" t="s">
        <v>322</v>
      </c>
      <c r="H578" s="9" t="s">
        <v>22</v>
      </c>
      <c r="I578" s="9" t="s">
        <v>38</v>
      </c>
      <c r="J578" s="17" t="str">
        <f>_xlfn.IFNA(VLOOKUP(C578, '[2]Unique HS'!$B$4:$J$999, 9, FALSE), "No")</f>
        <v>No</v>
      </c>
      <c r="K578" s="18">
        <f>VLOOKUP(C578, '[1]India EXIM'!$B$6:$C$580, 2, FALSE)</f>
        <v>0</v>
      </c>
      <c r="L578" s="11">
        <f>VLOOKUP(C578, '[1]China EXIM'!$B$6:$D$580, 3, FALSE)</f>
        <v>0</v>
      </c>
      <c r="M578" s="6" t="s">
        <v>160</v>
      </c>
      <c r="N578" s="6"/>
      <c r="O578" s="6"/>
      <c r="P578" s="10" t="s">
        <v>24</v>
      </c>
      <c r="Q578" s="11" t="s">
        <v>161</v>
      </c>
    </row>
    <row r="579" spans="2:21" ht="252" hidden="1">
      <c r="B579" s="6" t="str">
        <f>VLOOKUP(C579, [1]Definition!$D$5:$K$5665, 8, FALSE)</f>
        <v>Capital Goods</v>
      </c>
      <c r="C579" s="7">
        <v>846241</v>
      </c>
      <c r="D579" s="8" t="s">
        <v>1163</v>
      </c>
      <c r="E579" s="17" t="s">
        <v>19</v>
      </c>
      <c r="F579" s="8"/>
      <c r="G579" s="8"/>
      <c r="H579" s="9" t="s">
        <v>65</v>
      </c>
      <c r="I579" s="9" t="s">
        <v>31</v>
      </c>
      <c r="J579" s="17" t="str">
        <f>_xlfn.IFNA(VLOOKUP(C579, '[2]Unique HS'!$B$4:$J$999, 9, FALSE), "No")</f>
        <v>Yes</v>
      </c>
      <c r="K579" s="18">
        <f>VLOOKUP(C579, '[1]India EXIM'!$B$6:$C$580, 2, FALSE)</f>
        <v>0</v>
      </c>
      <c r="L579" s="11">
        <f>VLOOKUP(C579, '[1]China EXIM'!$B$6:$D$580, 3, FALSE)</f>
        <v>0</v>
      </c>
      <c r="M579" s="6"/>
      <c r="N579" s="6"/>
      <c r="O579" s="6"/>
      <c r="P579" s="10" t="s">
        <v>1140</v>
      </c>
      <c r="Q579" s="9" t="s">
        <v>65</v>
      </c>
      <c r="U579" s="1" t="s">
        <v>25</v>
      </c>
    </row>
  </sheetData>
  <autoFilter ref="B4:J579" xr:uid="{AAF6B34C-1026-46E8-942B-E003C60A9A92}">
    <filterColumn colId="3">
      <filters>
        <filter val="Check"/>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4BAE9-B798-447C-9449-242089AB2F4E}">
  <dimension ref="B2:H454"/>
  <sheetViews>
    <sheetView zoomScale="75" workbookViewId="0">
      <selection activeCell="K2" sqref="K1:K1048576"/>
    </sheetView>
  </sheetViews>
  <sheetFormatPr defaultRowHeight="14.45"/>
  <cols>
    <col min="2" max="2" width="11.85546875" customWidth="1"/>
    <col min="3" max="3" width="10.85546875" customWidth="1"/>
    <col min="4" max="4" width="49.140625" customWidth="1"/>
    <col min="5" max="5" width="19.85546875" customWidth="1"/>
    <col min="6" max="6" width="13.85546875" customWidth="1"/>
    <col min="7" max="8" width="21" customWidth="1"/>
  </cols>
  <sheetData>
    <row r="2" spans="2:8">
      <c r="B2" t="s">
        <v>1164</v>
      </c>
    </row>
    <row r="4" spans="2:8" ht="27.95">
      <c r="B4" s="4" t="s">
        <v>0</v>
      </c>
      <c r="C4" s="4" t="s">
        <v>1</v>
      </c>
      <c r="D4" s="4" t="s">
        <v>2</v>
      </c>
      <c r="E4" s="4" t="s">
        <v>15</v>
      </c>
      <c r="F4" s="4" t="s">
        <v>8</v>
      </c>
      <c r="G4" s="4" t="s">
        <v>9</v>
      </c>
      <c r="H4" s="4" t="s">
        <v>10</v>
      </c>
    </row>
    <row r="5" spans="2:8">
      <c r="B5" s="6" t="str">
        <f>VLOOKUP(C5, [1]Definition!$D$5:$K$5665, 8, FALSE)</f>
        <v>Capital Goods</v>
      </c>
      <c r="C5" s="7">
        <v>845710</v>
      </c>
      <c r="D5" s="8" t="s">
        <v>64</v>
      </c>
      <c r="E5" s="9" t="s">
        <v>65</v>
      </c>
      <c r="F5" s="17" t="str">
        <f>_xlfn.IFNA(VLOOKUP(C5, '[2]Unique HS'!$B$4:$J$999, 9, FALSE), "No")</f>
        <v>Yes</v>
      </c>
      <c r="G5" s="18">
        <f>VLOOKUP(C5, '[1]India EXIM'!$B$6:$C$580, 2, FALSE)</f>
        <v>0.38486758777399999</v>
      </c>
      <c r="H5" s="11">
        <f>VLOOKUP(C5, '[1]China EXIM'!$B$6:$D$580, 3, FALSE)</f>
        <v>9.2044345320240009</v>
      </c>
    </row>
    <row r="6" spans="2:8" ht="42">
      <c r="B6" s="6" t="str">
        <f>VLOOKUP(C6, [1]Definition!$D$5:$K$5665, 8, FALSE)</f>
        <v>Capital Goods</v>
      </c>
      <c r="C6" s="7">
        <v>848620</v>
      </c>
      <c r="D6" s="8" t="s">
        <v>44</v>
      </c>
      <c r="E6" s="9" t="s">
        <v>46</v>
      </c>
      <c r="F6" s="17" t="str">
        <f>_xlfn.IFNA(VLOOKUP(C6, '[2]Unique HS'!$B$4:$J$999, 9, FALSE), "No")</f>
        <v>No</v>
      </c>
      <c r="G6" s="18">
        <f>VLOOKUP(C6, '[1]India EXIM'!$B$6:$C$580, 2, FALSE)</f>
        <v>0.68006153052400009</v>
      </c>
      <c r="H6" s="11">
        <f>VLOOKUP(C6, '[1]China EXIM'!$B$6:$D$580, 3, FALSE)</f>
        <v>74.076201135755994</v>
      </c>
    </row>
    <row r="7" spans="2:8" ht="27.95">
      <c r="B7" s="6" t="str">
        <f>VLOOKUP(C7, [1]Definition!$D$5:$K$5665, 8, FALSE)</f>
        <v>Capital Goods</v>
      </c>
      <c r="C7" s="7">
        <v>847989</v>
      </c>
      <c r="D7" s="8" t="s">
        <v>18</v>
      </c>
      <c r="E7" s="9" t="s">
        <v>22</v>
      </c>
      <c r="F7" s="17" t="str">
        <f>_xlfn.IFNA(VLOOKUP(C7, '[2]Unique HS'!$B$4:$J$999, 9, FALSE), "No")</f>
        <v>Yes</v>
      </c>
      <c r="G7" s="18">
        <f>VLOOKUP(C7, '[1]India EXIM'!$B$6:$C$580, 2, FALSE)</f>
        <v>1.9808730359019999</v>
      </c>
      <c r="H7" s="11">
        <f>VLOOKUP(C7, '[1]China EXIM'!$B$6:$D$580, 3, FALSE)</f>
        <v>51.47486507112</v>
      </c>
    </row>
    <row r="8" spans="2:8" ht="42">
      <c r="B8" s="6" t="str">
        <f>VLOOKUP(C8, [1]Definition!$D$5:$K$5665, 8, FALSE)</f>
        <v>Capital Goods</v>
      </c>
      <c r="C8" s="7">
        <v>854370</v>
      </c>
      <c r="D8" s="8" t="s">
        <v>47</v>
      </c>
      <c r="E8" s="9" t="s">
        <v>46</v>
      </c>
      <c r="F8" s="17" t="str">
        <f>_xlfn.IFNA(VLOOKUP(C8, '[2]Unique HS'!$B$4:$J$999, 9, FALSE), "No")</f>
        <v>Yes</v>
      </c>
      <c r="G8" s="18">
        <f>VLOOKUP(C8, '[1]India EXIM'!$B$6:$C$580, 2, FALSE)</f>
        <v>0.65699839974800001</v>
      </c>
      <c r="H8" s="11">
        <f>VLOOKUP(C8, '[1]China EXIM'!$B$6:$D$580, 3, FALSE)</f>
        <v>40.813646289444002</v>
      </c>
    </row>
    <row r="9" spans="2:8" ht="27.95">
      <c r="B9" s="6" t="str">
        <f>VLOOKUP(C9, [1]Definition!$D$5:$K$5665, 8, FALSE)</f>
        <v>Capital Goods</v>
      </c>
      <c r="C9" s="7">
        <v>842952</v>
      </c>
      <c r="D9" s="8" t="s">
        <v>116</v>
      </c>
      <c r="E9" s="9" t="s">
        <v>58</v>
      </c>
      <c r="F9" s="17" t="str">
        <f>_xlfn.IFNA(VLOOKUP(C9, '[2]Unique HS'!$B$4:$J$999, 9, FALSE), "No")</f>
        <v>No</v>
      </c>
      <c r="G9" s="18">
        <f>VLOOKUP(C9, '[1]India EXIM'!$B$6:$C$580, 2, FALSE)</f>
        <v>0.21018742387099998</v>
      </c>
      <c r="H9" s="11">
        <f>VLOOKUP(C9, '[1]China EXIM'!$B$6:$D$580, 3, FALSE)</f>
        <v>35.755035280116999</v>
      </c>
    </row>
    <row r="10" spans="2:8" ht="27.95">
      <c r="B10" s="6" t="str">
        <f>VLOOKUP(C10, [1]Definition!$D$5:$K$5665, 8, FALSE)</f>
        <v>Capital Goods</v>
      </c>
      <c r="C10" s="7">
        <v>903180</v>
      </c>
      <c r="D10" s="8" t="s">
        <v>35</v>
      </c>
      <c r="E10" s="9" t="s">
        <v>22</v>
      </c>
      <c r="F10" s="17" t="str">
        <f>_xlfn.IFNA(VLOOKUP(C10, '[2]Unique HS'!$B$4:$J$999, 9, FALSE), "No")</f>
        <v>Yes</v>
      </c>
      <c r="G10" s="18">
        <f>VLOOKUP(C10, '[1]India EXIM'!$B$6:$C$580, 2, FALSE)</f>
        <v>1.146300878221</v>
      </c>
      <c r="H10" s="11">
        <f>VLOOKUP(C10, '[1]China EXIM'!$B$6:$D$580, 3, FALSE)</f>
        <v>25.85984848184</v>
      </c>
    </row>
    <row r="11" spans="2:8" ht="27.95">
      <c r="B11" s="6" t="str">
        <f>VLOOKUP(C11, [1]Definition!$D$5:$K$5665, 8, FALSE)</f>
        <v>Capital Goods</v>
      </c>
      <c r="C11" s="7">
        <v>847950</v>
      </c>
      <c r="D11" s="8" t="s">
        <v>141</v>
      </c>
      <c r="E11" s="9" t="s">
        <v>65</v>
      </c>
      <c r="F11" s="17" t="str">
        <f>_xlfn.IFNA(VLOOKUP(C11, '[2]Unique HS'!$B$4:$J$999, 9, FALSE), "No")</f>
        <v>Yes</v>
      </c>
      <c r="G11" s="18">
        <f>VLOOKUP(C11, '[1]India EXIM'!$B$6:$C$580, 2, FALSE)</f>
        <v>0.17205991772099999</v>
      </c>
      <c r="H11" s="11">
        <f>VLOOKUP(C11, '[1]China EXIM'!$B$6:$D$580, 3, FALSE)</f>
        <v>7.2352870896079997</v>
      </c>
    </row>
    <row r="12" spans="2:8" ht="42">
      <c r="B12" s="6" t="str">
        <f>VLOOKUP(C12, [1]Definition!$D$5:$K$5665, 8, FALSE)</f>
        <v>Capital Goods</v>
      </c>
      <c r="C12" s="7">
        <v>842139</v>
      </c>
      <c r="D12" s="8" t="s">
        <v>71</v>
      </c>
      <c r="E12" s="9" t="s">
        <v>22</v>
      </c>
      <c r="F12" s="17" t="str">
        <f>_xlfn.IFNA(VLOOKUP(C12, '[2]Unique HS'!$B$4:$J$999, 9, FALSE), "No")</f>
        <v>Yes</v>
      </c>
      <c r="G12" s="18">
        <f>VLOOKUP(C12, '[1]India EXIM'!$B$6:$C$580, 2, FALSE)</f>
        <v>0.33800917302600003</v>
      </c>
      <c r="H12" s="11">
        <f>VLOOKUP(C12, '[1]China EXIM'!$B$6:$D$580, 3, FALSE)</f>
        <v>21.128265036485999</v>
      </c>
    </row>
    <row r="13" spans="2:8" ht="27.95">
      <c r="B13" s="6" t="str">
        <f>VLOOKUP(C13, [1]Definition!$D$5:$K$5665, 8, FALSE)</f>
        <v>Capital Goods</v>
      </c>
      <c r="C13" s="7">
        <v>841370</v>
      </c>
      <c r="D13" s="8" t="s">
        <v>110</v>
      </c>
      <c r="E13" s="9" t="s">
        <v>22</v>
      </c>
      <c r="F13" s="17" t="str">
        <f>_xlfn.IFNA(VLOOKUP(C13, '[2]Unique HS'!$B$4:$J$999, 9, FALSE), "No")</f>
        <v>Yes</v>
      </c>
      <c r="G13" s="18">
        <f>VLOOKUP(C13, '[1]India EXIM'!$B$6:$C$580, 2, FALSE)</f>
        <v>0.211937213417</v>
      </c>
      <c r="H13" s="11">
        <f>VLOOKUP(C13, '[1]China EXIM'!$B$6:$D$580, 3, FALSE)</f>
        <v>17.952901636002</v>
      </c>
    </row>
    <row r="14" spans="2:8" ht="27.95">
      <c r="B14" s="6" t="str">
        <f>VLOOKUP(C14, [1]Definition!$D$5:$K$5665, 8, FALSE)</f>
        <v>Capital Goods</v>
      </c>
      <c r="C14" s="7">
        <v>842951</v>
      </c>
      <c r="D14" s="8" t="s">
        <v>308</v>
      </c>
      <c r="E14" s="9" t="s">
        <v>58</v>
      </c>
      <c r="F14" s="17" t="str">
        <f>_xlfn.IFNA(VLOOKUP(C14, '[2]Unique HS'!$B$4:$J$999, 9, FALSE), "No")</f>
        <v>No</v>
      </c>
      <c r="G14" s="18">
        <f>VLOOKUP(C14, '[1]India EXIM'!$B$6:$C$580, 2, FALSE)</f>
        <v>7.1309501798999989E-2</v>
      </c>
      <c r="H14" s="11">
        <f>VLOOKUP(C14, '[1]China EXIM'!$B$6:$D$580, 3, FALSE)</f>
        <v>16.191612771962998</v>
      </c>
    </row>
    <row r="15" spans="2:8" ht="27.95">
      <c r="B15" s="6" t="str">
        <f>VLOOKUP(C15, [1]Definition!$D$5:$K$5665, 8, FALSE)</f>
        <v>Capital Goods</v>
      </c>
      <c r="C15" s="7">
        <v>842720</v>
      </c>
      <c r="D15" s="8" t="s">
        <v>429</v>
      </c>
      <c r="E15" s="9" t="s">
        <v>58</v>
      </c>
      <c r="F15" s="17" t="str">
        <f>_xlfn.IFNA(VLOOKUP(C15, '[2]Unique HS'!$B$4:$J$999, 9, FALSE), "No")</f>
        <v>No</v>
      </c>
      <c r="G15" s="18">
        <f>VLOOKUP(C15, '[1]India EXIM'!$B$6:$C$580, 2, FALSE)</f>
        <v>4.3534129082000002E-2</v>
      </c>
      <c r="H15" s="11">
        <f>VLOOKUP(C15, '[1]China EXIM'!$B$6:$D$580, 3, FALSE)</f>
        <v>15.452098916952</v>
      </c>
    </row>
    <row r="16" spans="2:8" ht="27.95">
      <c r="B16" s="6" t="str">
        <f>VLOOKUP(C16, [1]Definition!$D$5:$K$5665, 8, FALSE)</f>
        <v>Capital Goods</v>
      </c>
      <c r="C16" s="7">
        <v>842710</v>
      </c>
      <c r="D16" s="8" t="s">
        <v>226</v>
      </c>
      <c r="E16" s="9" t="s">
        <v>58</v>
      </c>
      <c r="F16" s="17" t="str">
        <f>_xlfn.IFNA(VLOOKUP(C16, '[2]Unique HS'!$B$4:$J$999, 9, FALSE), "No")</f>
        <v>Yes</v>
      </c>
      <c r="G16" s="18">
        <f>VLOOKUP(C16, '[1]India EXIM'!$B$6:$C$580, 2, FALSE)</f>
        <v>0.11186569542700001</v>
      </c>
      <c r="H16" s="11">
        <f>VLOOKUP(C16, '[1]China EXIM'!$B$6:$D$580, 3, FALSE)</f>
        <v>15.196996059570999</v>
      </c>
    </row>
    <row r="17" spans="2:8" ht="27.95">
      <c r="B17" s="6" t="str">
        <f>VLOOKUP(C17, [1]Definition!$D$5:$K$5665, 8, FALSE)</f>
        <v>Capital Goods</v>
      </c>
      <c r="C17" s="7">
        <v>842890</v>
      </c>
      <c r="D17" s="8" t="s">
        <v>57</v>
      </c>
      <c r="E17" s="9" t="s">
        <v>58</v>
      </c>
      <c r="F17" s="17" t="str">
        <f>_xlfn.IFNA(VLOOKUP(C17, '[2]Unique HS'!$B$4:$J$999, 9, FALSE), "No")</f>
        <v>Yes</v>
      </c>
      <c r="G17" s="18">
        <f>VLOOKUP(C17, '[1]India EXIM'!$B$6:$C$580, 2, FALSE)</f>
        <v>0.42001375728500001</v>
      </c>
      <c r="H17" s="11">
        <f>VLOOKUP(C17, '[1]China EXIM'!$B$6:$D$580, 3, FALSE)</f>
        <v>14.754161157035</v>
      </c>
    </row>
    <row r="18" spans="2:8">
      <c r="B18" s="6" t="str">
        <f>VLOOKUP(C18, [1]Definition!$D$5:$K$5665, 8, FALSE)</f>
        <v>Capital Goods</v>
      </c>
      <c r="C18" s="7">
        <v>845811</v>
      </c>
      <c r="D18" s="8" t="s">
        <v>173</v>
      </c>
      <c r="E18" s="9" t="s">
        <v>65</v>
      </c>
      <c r="F18" s="17" t="str">
        <f>_xlfn.IFNA(VLOOKUP(C18, '[2]Unique HS'!$B$4:$J$999, 9, FALSE), "No")</f>
        <v>No</v>
      </c>
      <c r="G18" s="18">
        <f>VLOOKUP(C18, '[1]India EXIM'!$B$6:$C$580, 2, FALSE)</f>
        <v>0.15788851972199999</v>
      </c>
      <c r="H18" s="11">
        <f>VLOOKUP(C18, '[1]China EXIM'!$B$6:$D$580, 3, FALSE)</f>
        <v>5.6931022893209997</v>
      </c>
    </row>
    <row r="19" spans="2:8" ht="27.95">
      <c r="B19" s="6" t="str">
        <f>VLOOKUP(C19, [1]Definition!$D$5:$K$5665, 8, FALSE)</f>
        <v>Capital Goods</v>
      </c>
      <c r="C19" s="7">
        <v>903149</v>
      </c>
      <c r="D19" s="8" t="s">
        <v>145</v>
      </c>
      <c r="E19" s="9" t="s">
        <v>22</v>
      </c>
      <c r="F19" s="17" t="str">
        <f>_xlfn.IFNA(VLOOKUP(C19, '[2]Unique HS'!$B$4:$J$999, 9, FALSE), "No")</f>
        <v>Yes</v>
      </c>
      <c r="G19" s="18">
        <f>VLOOKUP(C19, '[1]India EXIM'!$B$6:$C$580, 2, FALSE)</f>
        <v>0.16966305386300001</v>
      </c>
      <c r="H19" s="11">
        <f>VLOOKUP(C19, '[1]China EXIM'!$B$6:$D$580, 3, FALSE)</f>
        <v>12.746913384819001</v>
      </c>
    </row>
    <row r="20" spans="2:8" ht="27.95">
      <c r="B20" s="6" t="str">
        <f>VLOOKUP(C20, [1]Definition!$D$5:$K$5665, 8, FALSE)</f>
        <v>Capital Goods</v>
      </c>
      <c r="C20" s="7">
        <v>842129</v>
      </c>
      <c r="D20" s="8" t="s">
        <v>108</v>
      </c>
      <c r="E20" s="9" t="s">
        <v>22</v>
      </c>
      <c r="F20" s="17" t="str">
        <f>_xlfn.IFNA(VLOOKUP(C20, '[2]Unique HS'!$B$4:$J$999, 9, FALSE), "No")</f>
        <v>Yes</v>
      </c>
      <c r="G20" s="18">
        <f>VLOOKUP(C20, '[1]India EXIM'!$B$6:$C$580, 2, FALSE)</f>
        <v>0.23592089345300002</v>
      </c>
      <c r="H20" s="11">
        <f>VLOOKUP(C20, '[1]China EXIM'!$B$6:$D$580, 3, FALSE)</f>
        <v>12.532340795601</v>
      </c>
    </row>
    <row r="21" spans="2:8" ht="56.1">
      <c r="B21" s="6" t="str">
        <f>VLOOKUP(C21, [1]Definition!$D$5:$K$5665, 8, FALSE)</f>
        <v>Capital Goods</v>
      </c>
      <c r="C21" s="7">
        <v>848640</v>
      </c>
      <c r="D21" s="8" t="s">
        <v>90</v>
      </c>
      <c r="E21" s="9" t="s">
        <v>46</v>
      </c>
      <c r="F21" s="17" t="str">
        <f>_xlfn.IFNA(VLOOKUP(C21, '[2]Unique HS'!$B$4:$J$999, 9, FALSE), "No")</f>
        <v>Yes</v>
      </c>
      <c r="G21" s="18">
        <f>VLOOKUP(C21, '[1]India EXIM'!$B$6:$C$580, 2, FALSE)</f>
        <v>0.297898358659</v>
      </c>
      <c r="H21" s="11">
        <f>VLOOKUP(C21, '[1]China EXIM'!$B$6:$D$580, 3, FALSE)</f>
        <v>12.357574409787</v>
      </c>
    </row>
    <row r="22" spans="2:8" ht="42">
      <c r="B22" s="6" t="str">
        <f>VLOOKUP(C22, [1]Definition!$D$5:$K$5665, 8, FALSE)</f>
        <v>Capital Goods</v>
      </c>
      <c r="C22" s="7">
        <v>902750</v>
      </c>
      <c r="D22" s="8" t="s">
        <v>84</v>
      </c>
      <c r="E22" s="9" t="s">
        <v>22</v>
      </c>
      <c r="F22" s="17" t="str">
        <f>_xlfn.IFNA(VLOOKUP(C22, '[2]Unique HS'!$B$4:$J$999, 9, FALSE), "No")</f>
        <v>Yes</v>
      </c>
      <c r="G22" s="18">
        <f>VLOOKUP(C22, '[1]India EXIM'!$B$6:$C$580, 2, FALSE)</f>
        <v>0.30759251272100002</v>
      </c>
      <c r="H22" s="11">
        <f>VLOOKUP(C22, '[1]China EXIM'!$B$6:$D$580, 3, FALSE)</f>
        <v>11.475711325601999</v>
      </c>
    </row>
    <row r="23" spans="2:8" ht="27.95">
      <c r="B23" s="6" t="str">
        <f>VLOOKUP(C23, [1]Definition!$D$5:$K$5665, 8, FALSE)</f>
        <v>Capital Goods</v>
      </c>
      <c r="C23" s="7">
        <v>902620</v>
      </c>
      <c r="D23" s="8" t="s">
        <v>121</v>
      </c>
      <c r="E23" s="9" t="s">
        <v>22</v>
      </c>
      <c r="F23" s="17" t="str">
        <f>_xlfn.IFNA(VLOOKUP(C23, '[2]Unique HS'!$B$4:$J$999, 9, FALSE), "No")</f>
        <v>Yes</v>
      </c>
      <c r="G23" s="18">
        <f>VLOOKUP(C23, '[1]India EXIM'!$B$6:$C$580, 2, FALSE)</f>
        <v>0.20677264469000001</v>
      </c>
      <c r="H23" s="11">
        <f>VLOOKUP(C23, '[1]China EXIM'!$B$6:$D$580, 3, FALSE)</f>
        <v>11.170423560351001</v>
      </c>
    </row>
    <row r="24" spans="2:8" ht="56.1">
      <c r="B24" s="6" t="str">
        <f>VLOOKUP(C24, [1]Definition!$D$5:$K$5665, 8, FALSE)</f>
        <v>Capital Goods</v>
      </c>
      <c r="C24" s="7">
        <v>902789</v>
      </c>
      <c r="D24" s="8" t="s">
        <v>67</v>
      </c>
      <c r="E24" s="9" t="s">
        <v>22</v>
      </c>
      <c r="F24" s="17" t="str">
        <f>_xlfn.IFNA(VLOOKUP(C24, '[2]Unique HS'!$B$4:$J$999, 9, FALSE), "No")</f>
        <v>Yes</v>
      </c>
      <c r="G24" s="18">
        <f>VLOOKUP(C24, '[1]India EXIM'!$B$6:$C$580, 2, FALSE)</f>
        <v>0.35582384637000003</v>
      </c>
      <c r="H24" s="11">
        <f>VLOOKUP(C24, '[1]China EXIM'!$B$6:$D$580, 3, FALSE)</f>
        <v>10.668475218816001</v>
      </c>
    </row>
    <row r="25" spans="2:8" ht="42">
      <c r="B25" s="6" t="str">
        <f>VLOOKUP(C25, [1]Definition!$D$5:$K$5665, 8, FALSE)</f>
        <v>Capital Goods</v>
      </c>
      <c r="C25" s="7">
        <v>841989</v>
      </c>
      <c r="D25" s="8" t="s">
        <v>92</v>
      </c>
      <c r="E25" s="9" t="s">
        <v>22</v>
      </c>
      <c r="F25" s="17" t="str">
        <f>_xlfn.IFNA(VLOOKUP(C25, '[2]Unique HS'!$B$4:$J$999, 9, FALSE), "No")</f>
        <v>Yes</v>
      </c>
      <c r="G25" s="18">
        <f>VLOOKUP(C25, '[1]India EXIM'!$B$6:$C$580, 2, FALSE)</f>
        <v>0.29726136943800002</v>
      </c>
      <c r="H25" s="11">
        <f>VLOOKUP(C25, '[1]China EXIM'!$B$6:$D$580, 3, FALSE)</f>
        <v>10.373114867551001</v>
      </c>
    </row>
    <row r="26" spans="2:8" ht="27.95">
      <c r="B26" s="6" t="str">
        <f>VLOOKUP(C26, [1]Definition!$D$5:$K$5665, 8, FALSE)</f>
        <v>Capital Goods</v>
      </c>
      <c r="C26" s="7">
        <v>846729</v>
      </c>
      <c r="D26" s="8" t="s">
        <v>185</v>
      </c>
      <c r="E26" s="9" t="s">
        <v>65</v>
      </c>
      <c r="F26" s="17" t="str">
        <f>_xlfn.IFNA(VLOOKUP(C26, '[2]Unique HS'!$B$4:$J$999, 9, FALSE), "No")</f>
        <v>Yes</v>
      </c>
      <c r="G26" s="18">
        <f>VLOOKUP(C26, '[1]India EXIM'!$B$6:$C$580, 2, FALSE)</f>
        <v>0.13760451898100001</v>
      </c>
      <c r="H26" s="11">
        <f>VLOOKUP(C26, '[1]China EXIM'!$B$6:$D$580, 3, FALSE)</f>
        <v>13.092973100756</v>
      </c>
    </row>
    <row r="27" spans="2:8" ht="42">
      <c r="B27" s="6" t="str">
        <f>VLOOKUP(C27, [1]Definition!$D$5:$K$5665, 8, FALSE)</f>
        <v>Capital Goods</v>
      </c>
      <c r="C27" s="7">
        <v>842230</v>
      </c>
      <c r="D27" s="8" t="s">
        <v>60</v>
      </c>
      <c r="E27" s="9" t="s">
        <v>61</v>
      </c>
      <c r="F27" s="17" t="str">
        <f>_xlfn.IFNA(VLOOKUP(C27, '[2]Unique HS'!$B$4:$J$999, 9, FALSE), "No")</f>
        <v>Yes</v>
      </c>
      <c r="G27" s="18">
        <f>VLOOKUP(C27, '[1]India EXIM'!$B$6:$C$580, 2, FALSE)</f>
        <v>0.409757480728</v>
      </c>
      <c r="H27" s="11">
        <f>VLOOKUP(C27, '[1]China EXIM'!$B$6:$D$580, 3, FALSE)</f>
        <v>10.293694743608999</v>
      </c>
    </row>
    <row r="28" spans="2:8" ht="27.95">
      <c r="B28" s="6" t="str">
        <f>VLOOKUP(C28, [1]Definition!$D$5:$K$5665, 8, FALSE)</f>
        <v>Capital Goods</v>
      </c>
      <c r="C28" s="7">
        <v>842240</v>
      </c>
      <c r="D28" s="8" t="s">
        <v>104</v>
      </c>
      <c r="E28" s="9" t="s">
        <v>22</v>
      </c>
      <c r="F28" s="17" t="str">
        <f>_xlfn.IFNA(VLOOKUP(C28, '[2]Unique HS'!$B$4:$J$999, 9, FALSE), "No")</f>
        <v>Yes</v>
      </c>
      <c r="G28" s="18">
        <f>VLOOKUP(C28, '[1]India EXIM'!$B$6:$C$580, 2, FALSE)</f>
        <v>0.25673197567599998</v>
      </c>
      <c r="H28" s="11">
        <f>VLOOKUP(C28, '[1]China EXIM'!$B$6:$D$580, 3, FALSE)</f>
        <v>10.276384546020001</v>
      </c>
    </row>
    <row r="29" spans="2:8" ht="27.95">
      <c r="B29" s="6" t="str">
        <f>VLOOKUP(C29, [1]Definition!$D$5:$K$5665, 8, FALSE)</f>
        <v>Capital Goods</v>
      </c>
      <c r="C29" s="7">
        <v>841350</v>
      </c>
      <c r="D29" s="8" t="s">
        <v>100</v>
      </c>
      <c r="E29" s="9" t="s">
        <v>22</v>
      </c>
      <c r="F29" s="17" t="str">
        <f>_xlfn.IFNA(VLOOKUP(C29, '[2]Unique HS'!$B$4:$J$999, 9, FALSE), "No")</f>
        <v>Yes</v>
      </c>
      <c r="G29" s="18">
        <f>VLOOKUP(C29, '[1]India EXIM'!$B$6:$C$580, 2, FALSE)</f>
        <v>0.257421521672</v>
      </c>
      <c r="H29" s="11">
        <f>VLOOKUP(C29, '[1]China EXIM'!$B$6:$D$580, 3, FALSE)</f>
        <v>9.9874781856089996</v>
      </c>
    </row>
    <row r="30" spans="2:8" ht="42">
      <c r="B30" s="6" t="str">
        <f>VLOOKUP(C30, [1]Definition!$D$5:$K$5665, 8, FALSE)</f>
        <v>Capital Goods</v>
      </c>
      <c r="C30" s="7">
        <v>870194</v>
      </c>
      <c r="D30" s="8" t="s">
        <v>1106</v>
      </c>
      <c r="E30" s="9" t="s">
        <v>58</v>
      </c>
      <c r="F30" s="17" t="str">
        <f>_xlfn.IFNA(VLOOKUP(C30, '[2]Unique HS'!$B$4:$J$999, 9, FALSE), "No")</f>
        <v>No</v>
      </c>
      <c r="G30" s="18">
        <f>VLOOKUP(C30, '[1]India EXIM'!$B$6:$C$580, 2, FALSE)</f>
        <v>1.5953459299999998E-4</v>
      </c>
      <c r="H30" s="11">
        <f>VLOOKUP(C30, '[1]China EXIM'!$B$6:$D$580, 3, FALSE)</f>
        <v>9.2972701429290012</v>
      </c>
    </row>
    <row r="31" spans="2:8" ht="27.95">
      <c r="B31" s="6" t="str">
        <f>VLOOKUP(C31, [1]Definition!$D$5:$K$5665, 8, FALSE)</f>
        <v>Capital Goods</v>
      </c>
      <c r="C31" s="7">
        <v>845611</v>
      </c>
      <c r="D31" s="8" t="s">
        <v>194</v>
      </c>
      <c r="E31" s="9" t="s">
        <v>65</v>
      </c>
      <c r="F31" s="17" t="str">
        <f>_xlfn.IFNA(VLOOKUP(C31, '[2]Unique HS'!$B$4:$J$999, 9, FALSE), "No")</f>
        <v>Yes</v>
      </c>
      <c r="G31" s="18">
        <f>VLOOKUP(C31, '[1]India EXIM'!$B$6:$C$580, 2, FALSE)</f>
        <v>0.132902966052</v>
      </c>
      <c r="H31" s="11">
        <f>VLOOKUP(C31, '[1]China EXIM'!$B$6:$D$580, 3, FALSE)</f>
        <v>6.5221743335799998</v>
      </c>
    </row>
    <row r="32" spans="2:8" ht="56.1">
      <c r="B32" s="6" t="str">
        <f>VLOOKUP(C32, [1]Definition!$D$5:$K$5665, 8, FALSE)</f>
        <v>Capital Goods</v>
      </c>
      <c r="C32" s="7">
        <v>903141</v>
      </c>
      <c r="D32" s="8" t="s">
        <v>657</v>
      </c>
      <c r="E32" s="9" t="s">
        <v>46</v>
      </c>
      <c r="F32" s="17" t="str">
        <f>_xlfn.IFNA(VLOOKUP(C32, '[2]Unique HS'!$B$4:$J$999, 9, FALSE), "No")</f>
        <v>Yes</v>
      </c>
      <c r="G32" s="18">
        <f>VLOOKUP(C32, '[1]India EXIM'!$B$6:$C$580, 2, FALSE)</f>
        <v>1.7660330815E-2</v>
      </c>
      <c r="H32" s="11">
        <f>VLOOKUP(C32, '[1]China EXIM'!$B$6:$D$580, 3, FALSE)</f>
        <v>8.930551534419001</v>
      </c>
    </row>
    <row r="33" spans="2:8" ht="27.95">
      <c r="B33" s="6" t="str">
        <f>VLOOKUP(C33, [1]Definition!$D$5:$K$5665, 8, FALSE)</f>
        <v>Capital Goods</v>
      </c>
      <c r="C33" s="7">
        <v>820713</v>
      </c>
      <c r="D33" s="8" t="s">
        <v>831</v>
      </c>
      <c r="E33" s="9" t="s">
        <v>58</v>
      </c>
      <c r="F33" s="17" t="str">
        <f>_xlfn.IFNA(VLOOKUP(C33, '[2]Unique HS'!$B$4:$J$999, 9, FALSE), "No")</f>
        <v>No</v>
      </c>
      <c r="G33" s="18">
        <f>VLOOKUP(C33, '[1]India EXIM'!$B$6:$C$580, 2, FALSE)</f>
        <v>9.2165323129999987E-3</v>
      </c>
      <c r="H33" s="11">
        <f>VLOOKUP(C33, '[1]China EXIM'!$B$6:$D$580, 3, FALSE)</f>
        <v>0.6508552407</v>
      </c>
    </row>
    <row r="34" spans="2:8" ht="42">
      <c r="B34" s="6" t="str">
        <f>VLOOKUP(C34, [1]Definition!$D$5:$K$5665, 8, FALSE)</f>
        <v>Capital Goods</v>
      </c>
      <c r="C34" s="7">
        <v>847780</v>
      </c>
      <c r="D34" s="8" t="s">
        <v>51</v>
      </c>
      <c r="E34" s="9" t="s">
        <v>52</v>
      </c>
      <c r="F34" s="17" t="str">
        <f>_xlfn.IFNA(VLOOKUP(C34, '[2]Unique HS'!$B$4:$J$999, 9, FALSE), "No")</f>
        <v>Yes</v>
      </c>
      <c r="G34" s="18">
        <f>VLOOKUP(C34, '[1]India EXIM'!$B$6:$C$580, 2, FALSE)</f>
        <v>0.61494400498099999</v>
      </c>
      <c r="H34" s="11">
        <f>VLOOKUP(C34, '[1]China EXIM'!$B$6:$D$580, 3, FALSE)</f>
        <v>8.2904160641849991</v>
      </c>
    </row>
    <row r="35" spans="2:8" ht="27.95">
      <c r="B35" s="6" t="str">
        <f>VLOOKUP(C35, [1]Definition!$D$5:$K$5665, 8, FALSE)</f>
        <v>Capital Goods</v>
      </c>
      <c r="C35" s="7">
        <v>841360</v>
      </c>
      <c r="D35" s="8" t="s">
        <v>198</v>
      </c>
      <c r="E35" s="9" t="s">
        <v>22</v>
      </c>
      <c r="F35" s="17" t="str">
        <f>_xlfn.IFNA(VLOOKUP(C35, '[2]Unique HS'!$B$4:$J$999, 9, FALSE), "No")</f>
        <v>Yes</v>
      </c>
      <c r="G35" s="18">
        <f>VLOOKUP(C35, '[1]India EXIM'!$B$6:$C$580, 2, FALSE)</f>
        <v>0.125676213239</v>
      </c>
      <c r="H35" s="11">
        <f>VLOOKUP(C35, '[1]China EXIM'!$B$6:$D$580, 3, FALSE)</f>
        <v>8.1080811482610002</v>
      </c>
    </row>
    <row r="36" spans="2:8" ht="27.95">
      <c r="B36" s="6" t="str">
        <f>VLOOKUP(C36, [1]Definition!$D$5:$K$5665, 8, FALSE)</f>
        <v>Capital Goods</v>
      </c>
      <c r="C36" s="7">
        <v>902710</v>
      </c>
      <c r="D36" s="8" t="s">
        <v>98</v>
      </c>
      <c r="E36" s="9" t="s">
        <v>22</v>
      </c>
      <c r="F36" s="17" t="str">
        <f>_xlfn.IFNA(VLOOKUP(C36, '[2]Unique HS'!$B$4:$J$999, 9, FALSE), "No")</f>
        <v>Yes</v>
      </c>
      <c r="G36" s="18">
        <f>VLOOKUP(C36, '[1]India EXIM'!$B$6:$C$580, 2, FALSE)</f>
        <v>0.26460314215899999</v>
      </c>
      <c r="H36" s="11">
        <f>VLOOKUP(C36, '[1]China EXIM'!$B$6:$D$580, 3, FALSE)</f>
        <v>7.7531454783180003</v>
      </c>
    </row>
    <row r="37" spans="2:8" ht="42">
      <c r="B37" s="6" t="str">
        <f>VLOOKUP(C37, [1]Definition!$D$5:$K$5665, 8, FALSE)</f>
        <v>Capital Goods</v>
      </c>
      <c r="C37" s="7">
        <v>842839</v>
      </c>
      <c r="D37" s="8" t="s">
        <v>138</v>
      </c>
      <c r="E37" s="9" t="s">
        <v>58</v>
      </c>
      <c r="F37" s="17" t="str">
        <f>_xlfn.IFNA(VLOOKUP(C37, '[2]Unique HS'!$B$4:$J$999, 9, FALSE), "No")</f>
        <v>Yes</v>
      </c>
      <c r="G37" s="18">
        <f>VLOOKUP(C37, '[1]India EXIM'!$B$6:$C$580, 2, FALSE)</f>
        <v>0.17471126033599998</v>
      </c>
      <c r="H37" s="11">
        <f>VLOOKUP(C37, '[1]China EXIM'!$B$6:$D$580, 3, FALSE)</f>
        <v>7.7437510404380001</v>
      </c>
    </row>
    <row r="38" spans="2:8" ht="56.1">
      <c r="B38" s="6" t="str">
        <f>VLOOKUP(C38, [1]Definition!$D$5:$K$5665, 8, FALSE)</f>
        <v>Capital Goods</v>
      </c>
      <c r="C38" s="7">
        <v>846290</v>
      </c>
      <c r="D38" s="8" t="s">
        <v>197</v>
      </c>
      <c r="E38" s="9" t="s">
        <v>65</v>
      </c>
      <c r="F38" s="17" t="str">
        <f>_xlfn.IFNA(VLOOKUP(C38, '[2]Unique HS'!$B$4:$J$999, 9, FALSE), "No")</f>
        <v>Yes</v>
      </c>
      <c r="G38" s="18">
        <f>VLOOKUP(C38, '[1]India EXIM'!$B$6:$C$580, 2, FALSE)</f>
        <v>0.12845723941599999</v>
      </c>
      <c r="H38" s="11">
        <f>VLOOKUP(C38, '[1]China EXIM'!$B$6:$D$580, 3, FALSE)</f>
        <v>1.203793449602</v>
      </c>
    </row>
    <row r="39" spans="2:8" ht="27.95">
      <c r="B39" s="6" t="str">
        <f>VLOOKUP(C39, [1]Definition!$D$5:$K$5665, 8, FALSE)</f>
        <v>Capital Goods</v>
      </c>
      <c r="C39" s="7">
        <v>902920</v>
      </c>
      <c r="D39" s="8" t="s">
        <v>579</v>
      </c>
      <c r="E39" s="9" t="s">
        <v>22</v>
      </c>
      <c r="F39" s="17" t="str">
        <f>_xlfn.IFNA(VLOOKUP(C39, '[2]Unique HS'!$B$4:$J$999, 9, FALSE), "No")</f>
        <v>Yes</v>
      </c>
      <c r="G39" s="18">
        <f>VLOOKUP(C39, '[1]India EXIM'!$B$6:$C$580, 2, FALSE)</f>
        <v>2.3719099362E-2</v>
      </c>
      <c r="H39" s="11">
        <f>VLOOKUP(C39, '[1]China EXIM'!$B$6:$D$580, 3, FALSE)</f>
        <v>7.0633904884999996</v>
      </c>
    </row>
    <row r="40" spans="2:8" ht="27.95">
      <c r="B40" s="6" t="str">
        <f>VLOOKUP(C40, [1]Definition!$D$5:$K$5665, 8, FALSE)</f>
        <v>Capital Goods</v>
      </c>
      <c r="C40" s="7">
        <v>842810</v>
      </c>
      <c r="D40" s="8" t="s">
        <v>154</v>
      </c>
      <c r="E40" s="9" t="s">
        <v>58</v>
      </c>
      <c r="F40" s="17" t="str">
        <f>_xlfn.IFNA(VLOOKUP(C40, '[2]Unique HS'!$B$4:$J$999, 9, FALSE), "No")</f>
        <v>Yes</v>
      </c>
      <c r="G40" s="18">
        <f>VLOOKUP(C40, '[1]India EXIM'!$B$6:$C$580, 2, FALSE)</f>
        <v>0.163041949963</v>
      </c>
      <c r="H40" s="11">
        <f>VLOOKUP(C40, '[1]China EXIM'!$B$6:$D$580, 3, FALSE)</f>
        <v>6.9881200974189994</v>
      </c>
    </row>
    <row r="41" spans="2:8" ht="42">
      <c r="B41" s="6" t="str">
        <f>VLOOKUP(C41, [1]Definition!$D$5:$K$5665, 8, FALSE)</f>
        <v>Capital Goods</v>
      </c>
      <c r="C41" s="7">
        <v>903082</v>
      </c>
      <c r="D41" s="8" t="s">
        <v>271</v>
      </c>
      <c r="E41" s="9" t="s">
        <v>46</v>
      </c>
      <c r="F41" s="17" t="str">
        <f>_xlfn.IFNA(VLOOKUP(C41, '[2]Unique HS'!$B$4:$J$999, 9, FALSE), "No")</f>
        <v>Yes</v>
      </c>
      <c r="G41" s="18">
        <f>VLOOKUP(C41, '[1]India EXIM'!$B$6:$C$580, 2, FALSE)</f>
        <v>8.4079959151E-2</v>
      </c>
      <c r="H41" s="11">
        <f>VLOOKUP(C41, '[1]China EXIM'!$B$6:$D$580, 3, FALSE)</f>
        <v>6.8489139731020003</v>
      </c>
    </row>
    <row r="42" spans="2:8" ht="27.95">
      <c r="B42" s="6" t="str">
        <f>VLOOKUP(C42, [1]Definition!$D$5:$K$5665, 8, FALSE)</f>
        <v>Capital Goods</v>
      </c>
      <c r="C42" s="7">
        <v>902610</v>
      </c>
      <c r="D42" s="8" t="s">
        <v>139</v>
      </c>
      <c r="E42" s="9" t="s">
        <v>22</v>
      </c>
      <c r="F42" s="17" t="str">
        <f>_xlfn.IFNA(VLOOKUP(C42, '[2]Unique HS'!$B$4:$J$999, 9, FALSE), "No")</f>
        <v>Yes</v>
      </c>
      <c r="G42" s="18">
        <f>VLOOKUP(C42, '[1]India EXIM'!$B$6:$C$580, 2, FALSE)</f>
        <v>0.17422142677499999</v>
      </c>
      <c r="H42" s="11">
        <f>VLOOKUP(C42, '[1]China EXIM'!$B$6:$D$580, 3, FALSE)</f>
        <v>6.7471047837609994</v>
      </c>
    </row>
    <row r="43" spans="2:8" ht="27.95">
      <c r="B43" s="6" t="str">
        <f>VLOOKUP(C43, [1]Definition!$D$5:$K$5665, 8, FALSE)</f>
        <v>Capital Goods</v>
      </c>
      <c r="C43" s="7">
        <v>847982</v>
      </c>
      <c r="D43" s="8" t="s">
        <v>133</v>
      </c>
      <c r="E43" s="9" t="s">
        <v>22</v>
      </c>
      <c r="F43" s="17" t="str">
        <f>_xlfn.IFNA(VLOOKUP(C43, '[2]Unique HS'!$B$4:$J$999, 9, FALSE), "No")</f>
        <v>Yes</v>
      </c>
      <c r="G43" s="18">
        <f>VLOOKUP(C43, '[1]India EXIM'!$B$6:$C$580, 2, FALSE)</f>
        <v>0.182427998029</v>
      </c>
      <c r="H43" s="11">
        <f>VLOOKUP(C43, '[1]China EXIM'!$B$6:$D$580, 3, FALSE)</f>
        <v>6.6074554177830001</v>
      </c>
    </row>
    <row r="44" spans="2:8" ht="42">
      <c r="B44" s="6" t="str">
        <f>VLOOKUP(C44, [1]Definition!$D$5:$K$5665, 8, FALSE)</f>
        <v>Capital Goods</v>
      </c>
      <c r="C44" s="7">
        <v>820790</v>
      </c>
      <c r="D44" s="8" t="s">
        <v>199</v>
      </c>
      <c r="E44" s="9" t="s">
        <v>65</v>
      </c>
      <c r="F44" s="17" t="str">
        <f>_xlfn.IFNA(VLOOKUP(C44, '[2]Unique HS'!$B$4:$J$999, 9, FALSE), "No")</f>
        <v>Yes</v>
      </c>
      <c r="G44" s="18">
        <f>VLOOKUP(C44, '[1]India EXIM'!$B$6:$C$580, 2, FALSE)</f>
        <v>0.12431529801000001</v>
      </c>
      <c r="H44" s="11">
        <f>VLOOKUP(C44, '[1]China EXIM'!$B$6:$D$580, 3, FALSE)</f>
        <v>2.9215101246700002</v>
      </c>
    </row>
    <row r="45" spans="2:8" ht="42">
      <c r="B45" s="6" t="str">
        <f>VLOOKUP(C45, [1]Definition!$D$5:$K$5665, 8, FALSE)</f>
        <v>Capital Goods</v>
      </c>
      <c r="C45" s="7">
        <v>842489</v>
      </c>
      <c r="D45" s="8" t="s">
        <v>94</v>
      </c>
      <c r="E45" s="9" t="s">
        <v>22</v>
      </c>
      <c r="F45" s="17" t="str">
        <f>_xlfn.IFNA(VLOOKUP(C45, '[2]Unique HS'!$B$4:$J$999, 9, FALSE), "No")</f>
        <v>Yes</v>
      </c>
      <c r="G45" s="18">
        <f>VLOOKUP(C45, '[1]India EXIM'!$B$6:$C$580, 2, FALSE)</f>
        <v>0.293195032184</v>
      </c>
      <c r="H45" s="11">
        <f>VLOOKUP(C45, '[1]China EXIM'!$B$6:$D$580, 3, FALSE)</f>
        <v>6.42477387923</v>
      </c>
    </row>
    <row r="46" spans="2:8" ht="56.1">
      <c r="B46" s="6" t="str">
        <f>VLOOKUP(C46, [1]Definition!$D$5:$K$5665, 8, FALSE)</f>
        <v>Capital Goods</v>
      </c>
      <c r="C46" s="7">
        <v>761290</v>
      </c>
      <c r="D46" s="8" t="s">
        <v>526</v>
      </c>
      <c r="E46" s="9" t="s">
        <v>22</v>
      </c>
      <c r="F46" s="17" t="str">
        <f>_xlfn.IFNA(VLOOKUP(C46, '[2]Unique HS'!$B$4:$J$999, 9, FALSE), "No")</f>
        <v>No</v>
      </c>
      <c r="G46" s="18">
        <f>VLOOKUP(C46, '[1]India EXIM'!$B$6:$C$580, 2, FALSE)</f>
        <v>2.8441047745E-2</v>
      </c>
      <c r="H46" s="11">
        <f>VLOOKUP(C46, '[1]China EXIM'!$B$6:$D$580, 3, FALSE)</f>
        <v>6.3009560373470004</v>
      </c>
    </row>
    <row r="47" spans="2:8" ht="27.95">
      <c r="B47" s="6" t="str">
        <f>VLOOKUP(C47, [1]Definition!$D$5:$K$5665, 8, FALSE)</f>
        <v>Capital Goods</v>
      </c>
      <c r="C47" s="7">
        <v>843351</v>
      </c>
      <c r="D47" s="8" t="s">
        <v>156</v>
      </c>
      <c r="E47" s="9" t="s">
        <v>1165</v>
      </c>
      <c r="F47" s="17" t="str">
        <f>_xlfn.IFNA(VLOOKUP(C47, '[2]Unique HS'!$B$4:$J$999, 9, FALSE), "No")</f>
        <v>No</v>
      </c>
      <c r="G47" s="18">
        <f>VLOOKUP(C47, '[1]India EXIM'!$B$6:$C$580, 2, FALSE)</f>
        <v>0.168698886967</v>
      </c>
      <c r="H47" s="11">
        <f>VLOOKUP(C47, '[1]China EXIM'!$B$6:$D$580, 3, FALSE)</f>
        <v>6.2708569852860006</v>
      </c>
    </row>
    <row r="48" spans="2:8" ht="27.95">
      <c r="B48" s="6" t="str">
        <f>VLOOKUP(C48, [1]Definition!$D$5:$K$5665, 8, FALSE)</f>
        <v>Capital Goods</v>
      </c>
      <c r="C48" s="7">
        <v>841861</v>
      </c>
      <c r="D48" s="8" t="s">
        <v>614</v>
      </c>
      <c r="E48" s="9" t="s">
        <v>22</v>
      </c>
      <c r="F48" s="17" t="str">
        <f>_xlfn.IFNA(VLOOKUP(C48, '[2]Unique HS'!$B$4:$J$999, 9, FALSE), "No")</f>
        <v>No</v>
      </c>
      <c r="G48" s="18">
        <f>VLOOKUP(C48, '[1]India EXIM'!$B$6:$C$580, 2, FALSE)</f>
        <v>2.1237211850999999E-2</v>
      </c>
      <c r="H48" s="11">
        <f>VLOOKUP(C48, '[1]China EXIM'!$B$6:$D$580, 3, FALSE)</f>
        <v>6.0951450327869994</v>
      </c>
    </row>
    <row r="49" spans="2:8" ht="42">
      <c r="B49" s="6" t="str">
        <f>VLOOKUP(C49, [1]Definition!$D$5:$K$5665, 8, FALSE)</f>
        <v>Capital Goods</v>
      </c>
      <c r="C49" s="7">
        <v>846140</v>
      </c>
      <c r="D49" s="8" t="s">
        <v>219</v>
      </c>
      <c r="E49" s="9" t="s">
        <v>65</v>
      </c>
      <c r="F49" s="17" t="str">
        <f>_xlfn.IFNA(VLOOKUP(C49, '[2]Unique HS'!$B$4:$J$999, 9, FALSE), "No")</f>
        <v>No</v>
      </c>
      <c r="G49" s="18">
        <f>VLOOKUP(C49, '[1]India EXIM'!$B$6:$C$580, 2, FALSE)</f>
        <v>0.11502345288600001</v>
      </c>
      <c r="H49" s="11">
        <f>VLOOKUP(C49, '[1]China EXIM'!$B$6:$D$580, 3, FALSE)</f>
        <v>1.1074271560569999</v>
      </c>
    </row>
    <row r="50" spans="2:8" ht="56.1">
      <c r="B50" s="6" t="str">
        <f>VLOOKUP(C50, [1]Definition!$D$5:$K$5665, 8, FALSE)</f>
        <v>Capital Goods</v>
      </c>
      <c r="C50" s="7">
        <v>901580</v>
      </c>
      <c r="D50" s="8" t="s">
        <v>162</v>
      </c>
      <c r="E50" s="9" t="s">
        <v>58</v>
      </c>
      <c r="F50" s="17" t="str">
        <f>_xlfn.IFNA(VLOOKUP(C50, '[2]Unique HS'!$B$4:$J$999, 9, FALSE), "No")</f>
        <v>Yes</v>
      </c>
      <c r="G50" s="18">
        <f>VLOOKUP(C50, '[1]India EXIM'!$B$6:$C$580, 2, FALSE)</f>
        <v>0.16244375152500001</v>
      </c>
      <c r="H50" s="11">
        <f>VLOOKUP(C50, '[1]China EXIM'!$B$6:$D$580, 3, FALSE)</f>
        <v>5.4801325436440003</v>
      </c>
    </row>
    <row r="51" spans="2:8" ht="27.95">
      <c r="B51" s="6" t="str">
        <f>VLOOKUP(C51, [1]Definition!$D$5:$K$5665, 8, FALSE)</f>
        <v>Capital Goods</v>
      </c>
      <c r="C51" s="7">
        <v>842911</v>
      </c>
      <c r="D51" s="8" t="s">
        <v>675</v>
      </c>
      <c r="E51" s="9" t="s">
        <v>58</v>
      </c>
      <c r="F51" s="17" t="str">
        <f>_xlfn.IFNA(VLOOKUP(C51, '[2]Unique HS'!$B$4:$J$999, 9, FALSE), "No")</f>
        <v>No</v>
      </c>
      <c r="G51" s="18">
        <f>VLOOKUP(C51, '[1]India EXIM'!$B$6:$C$580, 2, FALSE)</f>
        <v>1.6836266425999998E-2</v>
      </c>
      <c r="H51" s="11">
        <f>VLOOKUP(C51, '[1]China EXIM'!$B$6:$D$580, 3, FALSE)</f>
        <v>5.2632638940979994</v>
      </c>
    </row>
    <row r="52" spans="2:8" ht="42">
      <c r="B52" s="6" t="str">
        <f>VLOOKUP(C52, [1]Definition!$D$5:$K$5665, 8, FALSE)</f>
        <v>Capital Goods</v>
      </c>
      <c r="C52" s="7">
        <v>847710</v>
      </c>
      <c r="D52" s="8" t="s">
        <v>88</v>
      </c>
      <c r="E52" s="9" t="s">
        <v>52</v>
      </c>
      <c r="F52" s="17" t="str">
        <f>_xlfn.IFNA(VLOOKUP(C52, '[2]Unique HS'!$B$4:$J$999, 9, FALSE), "No")</f>
        <v>Yes</v>
      </c>
      <c r="G52" s="18">
        <f>VLOOKUP(C52, '[1]India EXIM'!$B$6:$C$580, 2, FALSE)</f>
        <v>0.30611818428100002</v>
      </c>
      <c r="H52" s="11">
        <f>VLOOKUP(C52, '[1]China EXIM'!$B$6:$D$580, 3, FALSE)</f>
        <v>5.2145720568140002</v>
      </c>
    </row>
    <row r="53" spans="2:8" ht="27.95">
      <c r="B53" s="6" t="str">
        <f>VLOOKUP(C53, [1]Definition!$D$5:$K$5665, 8, FALSE)</f>
        <v>Capital Goods</v>
      </c>
      <c r="C53" s="7">
        <v>840310</v>
      </c>
      <c r="D53" s="8" t="s">
        <v>1031</v>
      </c>
      <c r="E53" s="9" t="s">
        <v>22</v>
      </c>
      <c r="F53" s="17" t="str">
        <f>_xlfn.IFNA(VLOOKUP(C53, '[2]Unique HS'!$B$4:$J$999, 9, FALSE), "No")</f>
        <v>No</v>
      </c>
      <c r="G53" s="18">
        <f>VLOOKUP(C53, '[1]India EXIM'!$B$6:$C$580, 2, FALSE)</f>
        <v>1.4275195949999999E-3</v>
      </c>
      <c r="H53" s="11">
        <f>VLOOKUP(C53, '[1]China EXIM'!$B$6:$D$580, 3, FALSE)</f>
        <v>5.190510343333</v>
      </c>
    </row>
    <row r="54" spans="2:8" ht="42">
      <c r="B54" s="6" t="str">
        <f>VLOOKUP(C54, [1]Definition!$D$5:$K$5665, 8, FALSE)</f>
        <v>Capital Goods</v>
      </c>
      <c r="C54" s="7">
        <v>730900</v>
      </c>
      <c r="D54" s="8" t="s">
        <v>427</v>
      </c>
      <c r="E54" s="9" t="s">
        <v>22</v>
      </c>
      <c r="F54" s="17" t="str">
        <f>_xlfn.IFNA(VLOOKUP(C54, '[2]Unique HS'!$B$4:$J$999, 9, FALSE), "No")</f>
        <v>Yes</v>
      </c>
      <c r="G54" s="18">
        <f>VLOOKUP(C54, '[1]India EXIM'!$B$6:$C$580, 2, FALSE)</f>
        <v>4.3596027805E-2</v>
      </c>
      <c r="H54" s="11">
        <f>VLOOKUP(C54, '[1]China EXIM'!$B$6:$D$580, 3, FALSE)</f>
        <v>5.1836473841289994</v>
      </c>
    </row>
    <row r="55" spans="2:8" ht="42">
      <c r="B55" s="6" t="str">
        <f>VLOOKUP(C55, [1]Definition!$D$5:$K$5665, 8, FALSE)</f>
        <v>Capital Goods</v>
      </c>
      <c r="C55" s="7">
        <v>870193</v>
      </c>
      <c r="D55" s="8" t="s">
        <v>1078</v>
      </c>
      <c r="E55" s="9" t="s">
        <v>58</v>
      </c>
      <c r="F55" s="17" t="str">
        <f>_xlfn.IFNA(VLOOKUP(C55, '[2]Unique HS'!$B$4:$J$999, 9, FALSE), "No")</f>
        <v>No</v>
      </c>
      <c r="G55" s="18">
        <f>VLOOKUP(C55, '[1]India EXIM'!$B$6:$C$580, 2, FALSE)</f>
        <v>4.2644772700000001E-4</v>
      </c>
      <c r="H55" s="11">
        <f>VLOOKUP(C55, '[1]China EXIM'!$B$6:$D$580, 3, FALSE)</f>
        <v>5.1781184932799995</v>
      </c>
    </row>
    <row r="56" spans="2:8" ht="27.95">
      <c r="B56" s="6" t="str">
        <f>VLOOKUP(C56, [1]Definition!$D$5:$K$5665, 8, FALSE)</f>
        <v>Capital Goods</v>
      </c>
      <c r="C56" s="7">
        <v>902730</v>
      </c>
      <c r="D56" s="8" t="s">
        <v>125</v>
      </c>
      <c r="E56" s="9" t="s">
        <v>22</v>
      </c>
      <c r="F56" s="17" t="str">
        <f>_xlfn.IFNA(VLOOKUP(C56, '[2]Unique HS'!$B$4:$J$999, 9, FALSE), "No")</f>
        <v>Yes</v>
      </c>
      <c r="G56" s="18">
        <f>VLOOKUP(C56, '[1]India EXIM'!$B$6:$C$580, 2, FALSE)</f>
        <v>0.19570309435</v>
      </c>
      <c r="H56" s="11">
        <f>VLOOKUP(C56, '[1]China EXIM'!$B$6:$D$580, 3, FALSE)</f>
        <v>4.9627220746200003</v>
      </c>
    </row>
    <row r="57" spans="2:8" ht="27.95">
      <c r="B57" s="6" t="str">
        <f>VLOOKUP(C57, [1]Definition!$D$5:$K$5665, 8, FALSE)</f>
        <v>Capital Goods</v>
      </c>
      <c r="C57" s="7">
        <v>901380</v>
      </c>
      <c r="D57" s="8" t="s">
        <v>463</v>
      </c>
      <c r="E57" s="9" t="s">
        <v>22</v>
      </c>
      <c r="F57" s="17" t="str">
        <f>_xlfn.IFNA(VLOOKUP(C57, '[2]Unique HS'!$B$4:$J$999, 9, FALSE), "No")</f>
        <v>Yes</v>
      </c>
      <c r="G57" s="18">
        <f>VLOOKUP(C57, '[1]India EXIM'!$B$6:$C$580, 2, FALSE)</f>
        <v>3.6882190498999996E-2</v>
      </c>
      <c r="H57" s="11">
        <f>VLOOKUP(C57, '[1]China EXIM'!$B$6:$D$580, 3, FALSE)</f>
        <v>4.9050775173050001</v>
      </c>
    </row>
    <row r="58" spans="2:8" ht="27.95">
      <c r="B58" s="6" t="str">
        <f>VLOOKUP(C58, [1]Definition!$D$5:$K$5665, 8, FALSE)</f>
        <v>Capital Goods</v>
      </c>
      <c r="C58" s="7">
        <v>902519</v>
      </c>
      <c r="D58" s="8" t="s">
        <v>373</v>
      </c>
      <c r="E58" s="9" t="s">
        <v>22</v>
      </c>
      <c r="F58" s="17" t="str">
        <f>_xlfn.IFNA(VLOOKUP(C58, '[2]Unique HS'!$B$4:$J$999, 9, FALSE), "No")</f>
        <v>Yes</v>
      </c>
      <c r="G58" s="18">
        <f>VLOOKUP(C58, '[1]India EXIM'!$B$6:$C$580, 2, FALSE)</f>
        <v>5.1629673769000003E-2</v>
      </c>
      <c r="H58" s="11">
        <f>VLOOKUP(C58, '[1]China EXIM'!$B$6:$D$580, 3, FALSE)</f>
        <v>4.5547169279809996</v>
      </c>
    </row>
    <row r="59" spans="2:8" ht="27.95">
      <c r="B59" s="6" t="str">
        <f>VLOOKUP(C59, [1]Definition!$D$5:$K$5665, 8, FALSE)</f>
        <v>Capital Goods</v>
      </c>
      <c r="C59" s="7">
        <v>851580</v>
      </c>
      <c r="D59" s="8" t="s">
        <v>231</v>
      </c>
      <c r="E59" s="9" t="s">
        <v>65</v>
      </c>
      <c r="F59" s="17" t="str">
        <f>_xlfn.IFNA(VLOOKUP(C59, '[2]Unique HS'!$B$4:$J$999, 9, FALSE), "No")</f>
        <v>Yes</v>
      </c>
      <c r="G59" s="18">
        <f>VLOOKUP(C59, '[1]India EXIM'!$B$6:$C$580, 2, FALSE)</f>
        <v>0.107735731842</v>
      </c>
      <c r="H59" s="11">
        <f>VLOOKUP(C59, '[1]China EXIM'!$B$6:$D$580, 3, FALSE)</f>
        <v>3.3430135251750004</v>
      </c>
    </row>
    <row r="60" spans="2:8" ht="27.95">
      <c r="B60" s="6" t="str">
        <f>VLOOKUP(C60, [1]Definition!$D$5:$K$5665, 8, FALSE)</f>
        <v>Capital Goods</v>
      </c>
      <c r="C60" s="7">
        <v>842833</v>
      </c>
      <c r="D60" s="8" t="s">
        <v>195</v>
      </c>
      <c r="E60" s="9" t="s">
        <v>58</v>
      </c>
      <c r="F60" s="17" t="str">
        <f>_xlfn.IFNA(VLOOKUP(C60, '[2]Unique HS'!$B$4:$J$999, 9, FALSE), "No")</f>
        <v>Yes</v>
      </c>
      <c r="G60" s="18">
        <f>VLOOKUP(C60, '[1]India EXIM'!$B$6:$C$580, 2, FALSE)</f>
        <v>0.13278724772600001</v>
      </c>
      <c r="H60" s="11">
        <f>VLOOKUP(C60, '[1]China EXIM'!$B$6:$D$580, 3, FALSE)</f>
        <v>4.5148205613150001</v>
      </c>
    </row>
    <row r="61" spans="2:8" ht="42">
      <c r="B61" s="6" t="str">
        <f>VLOOKUP(C61, [1]Definition!$D$5:$K$5665, 8, FALSE)</f>
        <v>Capital Goods</v>
      </c>
      <c r="C61" s="7">
        <v>851521</v>
      </c>
      <c r="D61" s="8" t="s">
        <v>267</v>
      </c>
      <c r="E61" s="9" t="s">
        <v>65</v>
      </c>
      <c r="F61" s="17" t="str">
        <f>_xlfn.IFNA(VLOOKUP(C61, '[2]Unique HS'!$B$4:$J$999, 9, FALSE), "No")</f>
        <v>Yes</v>
      </c>
      <c r="G61" s="18">
        <f>VLOOKUP(C61, '[1]India EXIM'!$B$6:$C$580, 2, FALSE)</f>
        <v>8.6530223039000001E-2</v>
      </c>
      <c r="H61" s="11">
        <f>VLOOKUP(C61, '[1]China EXIM'!$B$6:$D$580, 3, FALSE)</f>
        <v>1.4366408037449998</v>
      </c>
    </row>
    <row r="62" spans="2:8" ht="56.1">
      <c r="B62" s="6" t="str">
        <f>VLOOKUP(C62, [1]Definition!$D$5:$K$5665, 8, FALSE)</f>
        <v>Capital Goods</v>
      </c>
      <c r="C62" s="7">
        <v>902680</v>
      </c>
      <c r="D62" s="8" t="s">
        <v>227</v>
      </c>
      <c r="E62" s="9" t="s">
        <v>22</v>
      </c>
      <c r="F62" s="17" t="str">
        <f>_xlfn.IFNA(VLOOKUP(C62, '[2]Unique HS'!$B$4:$J$999, 9, FALSE), "No")</f>
        <v>Yes</v>
      </c>
      <c r="G62" s="18">
        <f>VLOOKUP(C62, '[1]India EXIM'!$B$6:$C$580, 2, FALSE)</f>
        <v>0.110904594133</v>
      </c>
      <c r="H62" s="11">
        <f>VLOOKUP(C62, '[1]China EXIM'!$B$6:$D$580, 3, FALSE)</f>
        <v>4.2020553393269999</v>
      </c>
    </row>
    <row r="63" spans="2:8" ht="27.95">
      <c r="B63" s="6" t="str">
        <f>VLOOKUP(C63, [1]Definition!$D$5:$K$5665, 8, FALSE)</f>
        <v>Capital Goods</v>
      </c>
      <c r="C63" s="7">
        <v>847420</v>
      </c>
      <c r="D63" s="8" t="s">
        <v>278</v>
      </c>
      <c r="E63" s="9" t="s">
        <v>58</v>
      </c>
      <c r="F63" s="17" t="str">
        <f>_xlfn.IFNA(VLOOKUP(C63, '[2]Unique HS'!$B$4:$J$999, 9, FALSE), "No")</f>
        <v>No</v>
      </c>
      <c r="G63" s="18">
        <f>VLOOKUP(C63, '[1]India EXIM'!$B$6:$C$580, 2, FALSE)</f>
        <v>8.2679176611999999E-2</v>
      </c>
      <c r="H63" s="11">
        <f>VLOOKUP(C63, '[1]China EXIM'!$B$6:$D$580, 3, FALSE)</f>
        <v>4.0632473712529995</v>
      </c>
    </row>
    <row r="64" spans="2:8" ht="27.95">
      <c r="B64" s="6" t="str">
        <f>VLOOKUP(C64, [1]Definition!$D$5:$K$5665, 8, FALSE)</f>
        <v>Capital Goods</v>
      </c>
      <c r="C64" s="7">
        <v>842959</v>
      </c>
      <c r="D64" s="8" t="s">
        <v>646</v>
      </c>
      <c r="E64" s="9" t="s">
        <v>58</v>
      </c>
      <c r="F64" s="17" t="str">
        <f>_xlfn.IFNA(VLOOKUP(C64, '[2]Unique HS'!$B$4:$J$999, 9, FALSE), "No")</f>
        <v>No</v>
      </c>
      <c r="G64" s="18">
        <f>VLOOKUP(C64, '[1]India EXIM'!$B$6:$C$580, 2, FALSE)</f>
        <v>1.843313945E-2</v>
      </c>
      <c r="H64" s="11">
        <f>VLOOKUP(C64, '[1]China EXIM'!$B$6:$D$580, 3, FALSE)</f>
        <v>3.9751319922199997</v>
      </c>
    </row>
    <row r="65" spans="2:8" ht="56.1">
      <c r="B65" s="6" t="str">
        <f>VLOOKUP(C65, [1]Definition!$D$5:$K$5665, 8, FALSE)</f>
        <v>Capital Goods</v>
      </c>
      <c r="C65" s="7">
        <v>902781</v>
      </c>
      <c r="D65" s="8" t="s">
        <v>274</v>
      </c>
      <c r="E65" s="9" t="s">
        <v>22</v>
      </c>
      <c r="F65" s="17" t="str">
        <f>_xlfn.IFNA(VLOOKUP(C65, '[2]Unique HS'!$B$4:$J$999, 9, FALSE), "No")</f>
        <v>No</v>
      </c>
      <c r="G65" s="18">
        <f>VLOOKUP(C65, '[1]India EXIM'!$B$6:$C$580, 2, FALSE)</f>
        <v>8.3719723691999995E-2</v>
      </c>
      <c r="H65" s="11">
        <f>VLOOKUP(C65, '[1]China EXIM'!$B$6:$D$580, 3, FALSE)</f>
        <v>3.8602443253220002</v>
      </c>
    </row>
    <row r="66" spans="2:8" ht="27.95">
      <c r="B66" s="6" t="str">
        <f>VLOOKUP(C66, [1]Definition!$D$5:$K$5665, 8, FALSE)</f>
        <v>Capital Goods</v>
      </c>
      <c r="C66" s="7">
        <v>843041</v>
      </c>
      <c r="D66" s="8" t="s">
        <v>184</v>
      </c>
      <c r="E66" s="9" t="s">
        <v>58</v>
      </c>
      <c r="F66" s="17" t="str">
        <f>_xlfn.IFNA(VLOOKUP(C66, '[2]Unique HS'!$B$4:$J$999, 9, FALSE), "No")</f>
        <v>No</v>
      </c>
      <c r="G66" s="18">
        <f>VLOOKUP(C66, '[1]India EXIM'!$B$6:$C$580, 2, FALSE)</f>
        <v>0.14569704918099999</v>
      </c>
      <c r="H66" s="11">
        <f>VLOOKUP(C66, '[1]China EXIM'!$B$6:$D$580, 3, FALSE)</f>
        <v>3.8201677053800003</v>
      </c>
    </row>
    <row r="67" spans="2:8" ht="27.95">
      <c r="B67" s="6" t="str">
        <f>VLOOKUP(C67, [1]Definition!$D$5:$K$5665, 8, FALSE)</f>
        <v>Capital Goods</v>
      </c>
      <c r="C67" s="7">
        <v>841381</v>
      </c>
      <c r="D67" s="8" t="s">
        <v>284</v>
      </c>
      <c r="E67" s="9" t="s">
        <v>22</v>
      </c>
      <c r="F67" s="17" t="str">
        <f>_xlfn.IFNA(VLOOKUP(C67, '[2]Unique HS'!$B$4:$J$999, 9, FALSE), "No")</f>
        <v>Yes</v>
      </c>
      <c r="G67" s="18">
        <f>VLOOKUP(C67, '[1]India EXIM'!$B$6:$C$580, 2, FALSE)</f>
        <v>8.1051349496999991E-2</v>
      </c>
      <c r="H67" s="11">
        <f>VLOOKUP(C67, '[1]China EXIM'!$B$6:$D$580, 3, FALSE)</f>
        <v>3.8098405319120001</v>
      </c>
    </row>
    <row r="68" spans="2:8" ht="27.95">
      <c r="B68" s="6" t="str">
        <f>VLOOKUP(C68, [1]Definition!$D$5:$K$5665, 8, FALSE)</f>
        <v>Capital Goods</v>
      </c>
      <c r="C68" s="7">
        <v>843680</v>
      </c>
      <c r="D68" s="8" t="s">
        <v>238</v>
      </c>
      <c r="E68" s="9" t="s">
        <v>1165</v>
      </c>
      <c r="F68" s="17" t="str">
        <f>_xlfn.IFNA(VLOOKUP(C68, '[2]Unique HS'!$B$4:$J$999, 9, FALSE), "No")</f>
        <v>No</v>
      </c>
      <c r="G68" s="18">
        <f>VLOOKUP(C68, '[1]India EXIM'!$B$6:$C$580, 2, FALSE)</f>
        <v>1.2769335241000001E-2</v>
      </c>
      <c r="H68" s="11">
        <f>VLOOKUP(C68, '[1]China EXIM'!$B$6:$D$580, 3, FALSE)</f>
        <v>3.774619694998</v>
      </c>
    </row>
    <row r="69" spans="2:8" ht="42">
      <c r="B69" s="6" t="str">
        <f>VLOOKUP(C69, [1]Definition!$D$5:$K$5665, 8, FALSE)</f>
        <v>Capital Goods</v>
      </c>
      <c r="C69" s="7">
        <v>902219</v>
      </c>
      <c r="D69" s="8" t="s">
        <v>212</v>
      </c>
      <c r="E69" s="9" t="s">
        <v>22</v>
      </c>
      <c r="F69" s="17" t="str">
        <f>_xlfn.IFNA(VLOOKUP(C69, '[2]Unique HS'!$B$4:$J$999, 9, FALSE), "No")</f>
        <v>Yes</v>
      </c>
      <c r="G69" s="18">
        <f>VLOOKUP(C69, '[1]India EXIM'!$B$6:$C$580, 2, FALSE)</f>
        <v>0.12290770932300001</v>
      </c>
      <c r="H69" s="11">
        <f>VLOOKUP(C69, '[1]China EXIM'!$B$6:$D$580, 3, FALSE)</f>
        <v>3.586330543266</v>
      </c>
    </row>
    <row r="70" spans="2:8" ht="27.95">
      <c r="B70" s="6" t="str">
        <f>VLOOKUP(C70, [1]Definition!$D$5:$K$5665, 8, FALSE)</f>
        <v>Capital Goods</v>
      </c>
      <c r="C70" s="7">
        <v>842641</v>
      </c>
      <c r="D70" s="8" t="s">
        <v>89</v>
      </c>
      <c r="E70" s="9" t="s">
        <v>58</v>
      </c>
      <c r="F70" s="17" t="str">
        <f>_xlfn.IFNA(VLOOKUP(C70, '[2]Unique HS'!$B$4:$J$999, 9, FALSE), "No")</f>
        <v>No</v>
      </c>
      <c r="G70" s="18">
        <f>VLOOKUP(C70, '[1]India EXIM'!$B$6:$C$580, 2, FALSE)</f>
        <v>0.30236254867099999</v>
      </c>
      <c r="H70" s="11">
        <f>VLOOKUP(C70, '[1]China EXIM'!$B$6:$D$580, 3, FALSE)</f>
        <v>3.580500926514</v>
      </c>
    </row>
    <row r="71" spans="2:8" ht="27.95">
      <c r="B71" s="6" t="str">
        <f>VLOOKUP(C71, [1]Definition!$D$5:$K$5665, 8, FALSE)</f>
        <v>Capital Goods</v>
      </c>
      <c r="C71" s="7">
        <v>847720</v>
      </c>
      <c r="D71" s="8" t="s">
        <v>130</v>
      </c>
      <c r="E71" s="9" t="s">
        <v>52</v>
      </c>
      <c r="F71" s="17" t="str">
        <f>_xlfn.IFNA(VLOOKUP(C71, '[2]Unique HS'!$B$4:$J$999, 9, FALSE), "No")</f>
        <v>No</v>
      </c>
      <c r="G71" s="18">
        <f>VLOOKUP(C71, '[1]India EXIM'!$B$6:$C$580, 2, FALSE)</f>
        <v>0.18431179586000002</v>
      </c>
      <c r="H71" s="11">
        <f>VLOOKUP(C71, '[1]China EXIM'!$B$6:$D$580, 3, FALSE)</f>
        <v>3.4291712914689998</v>
      </c>
    </row>
    <row r="72" spans="2:8" ht="42">
      <c r="B72" s="6" t="str">
        <f>VLOOKUP(C72, [1]Definition!$D$5:$K$5665, 8, FALSE)</f>
        <v>Capital Goods</v>
      </c>
      <c r="C72" s="7">
        <v>846229</v>
      </c>
      <c r="D72" s="8" t="s">
        <v>270</v>
      </c>
      <c r="E72" s="9" t="s">
        <v>65</v>
      </c>
      <c r="F72" s="17" t="str">
        <f>_xlfn.IFNA(VLOOKUP(C72, '[2]Unique HS'!$B$4:$J$999, 9, FALSE), "No")</f>
        <v>Yes</v>
      </c>
      <c r="G72" s="18">
        <f>VLOOKUP(C72, '[1]India EXIM'!$B$6:$C$580, 2, FALSE)</f>
        <v>8.4202312761999992E-2</v>
      </c>
      <c r="H72" s="11">
        <f>VLOOKUP(C72, '[1]China EXIM'!$B$6:$D$580, 3, FALSE)</f>
        <v>1.0721839773370001</v>
      </c>
    </row>
    <row r="73" spans="2:8" ht="27.95">
      <c r="B73" s="6" t="str">
        <f>VLOOKUP(C73, [1]Definition!$D$5:$K$5665, 8, FALSE)</f>
        <v>Capital Goods</v>
      </c>
      <c r="C73" s="7">
        <v>847910</v>
      </c>
      <c r="D73" s="8" t="s">
        <v>504</v>
      </c>
      <c r="E73" s="9" t="s">
        <v>58</v>
      </c>
      <c r="F73" s="17" t="str">
        <f>_xlfn.IFNA(VLOOKUP(C73, '[2]Unique HS'!$B$4:$J$999, 9, FALSE), "No")</f>
        <v>Yes</v>
      </c>
      <c r="G73" s="18">
        <f>VLOOKUP(C73, '[1]India EXIM'!$B$6:$C$580, 2, FALSE)</f>
        <v>3.0755147808999999E-2</v>
      </c>
      <c r="H73" s="11">
        <f>VLOOKUP(C73, '[1]China EXIM'!$B$6:$D$580, 3, FALSE)</f>
        <v>3.3600481110900002</v>
      </c>
    </row>
    <row r="74" spans="2:8" ht="27.95">
      <c r="B74" s="6" t="str">
        <f>VLOOKUP(C74, [1]Definition!$D$5:$K$5665, 8, FALSE)</f>
        <v>Capital Goods</v>
      </c>
      <c r="C74" s="7">
        <v>843049</v>
      </c>
      <c r="D74" s="8" t="s">
        <v>467</v>
      </c>
      <c r="E74" s="9" t="s">
        <v>58</v>
      </c>
      <c r="F74" s="17" t="str">
        <f>_xlfn.IFNA(VLOOKUP(C74, '[2]Unique HS'!$B$4:$J$999, 9, FALSE), "No")</f>
        <v>No</v>
      </c>
      <c r="G74" s="18">
        <f>VLOOKUP(C74, '[1]India EXIM'!$B$6:$C$580, 2, FALSE)</f>
        <v>3.643883966E-2</v>
      </c>
      <c r="H74" s="11">
        <f>VLOOKUP(C74, '[1]China EXIM'!$B$6:$D$580, 3, FALSE)</f>
        <v>3.350621864641</v>
      </c>
    </row>
    <row r="75" spans="2:8" ht="27.95">
      <c r="B75" s="6" t="str">
        <f>VLOOKUP(C75, [1]Definition!$D$5:$K$5665, 8, FALSE)</f>
        <v>Capital Goods</v>
      </c>
      <c r="C75" s="7">
        <v>846219</v>
      </c>
      <c r="D75" s="8" t="s">
        <v>286</v>
      </c>
      <c r="E75" s="9" t="s">
        <v>65</v>
      </c>
      <c r="F75" s="17" t="str">
        <f>_xlfn.IFNA(VLOOKUP(C75, '[2]Unique HS'!$B$4:$J$999, 9, FALSE), "No")</f>
        <v>No</v>
      </c>
      <c r="G75" s="18">
        <f>VLOOKUP(C75, '[1]India EXIM'!$B$6:$C$580, 2, FALSE)</f>
        <v>8.0662668174999994E-2</v>
      </c>
      <c r="H75" s="11">
        <f>VLOOKUP(C75, '[1]China EXIM'!$B$6:$D$580, 3, FALSE)</f>
        <v>0.39596200418499999</v>
      </c>
    </row>
    <row r="76" spans="2:8" ht="42">
      <c r="B76" s="6" t="str">
        <f>VLOOKUP(C76, [1]Definition!$D$5:$K$5665, 8, FALSE)</f>
        <v>Capital Goods</v>
      </c>
      <c r="C76" s="7">
        <v>848610</v>
      </c>
      <c r="D76" s="8" t="s">
        <v>900</v>
      </c>
      <c r="E76" s="9" t="s">
        <v>46</v>
      </c>
      <c r="F76" s="17" t="str">
        <f>_xlfn.IFNA(VLOOKUP(C76, '[2]Unique HS'!$B$4:$J$999, 9, FALSE), "No")</f>
        <v>No</v>
      </c>
      <c r="G76" s="18">
        <f>VLOOKUP(C76, '[1]India EXIM'!$B$6:$C$580, 2, FALSE)</f>
        <v>6.2009344710000002E-3</v>
      </c>
      <c r="H76" s="11">
        <f>VLOOKUP(C76, '[1]China EXIM'!$B$6:$D$580, 3, FALSE)</f>
        <v>3.2774372175229995</v>
      </c>
    </row>
    <row r="77" spans="2:8" ht="27.95">
      <c r="B77" s="6" t="str">
        <f>VLOOKUP(C77, [1]Definition!$D$5:$K$5665, 8, FALSE)</f>
        <v>Capital Goods</v>
      </c>
      <c r="C77" s="7">
        <v>843880</v>
      </c>
      <c r="D77" s="8" t="s">
        <v>246</v>
      </c>
      <c r="E77" s="9" t="s">
        <v>61</v>
      </c>
      <c r="F77" s="17" t="str">
        <f>_xlfn.IFNA(VLOOKUP(C77, '[2]Unique HS'!$B$4:$J$999, 9, FALSE), "No")</f>
        <v>No</v>
      </c>
      <c r="G77" s="18">
        <f>VLOOKUP(C77, '[1]India EXIM'!$B$6:$C$580, 2, FALSE)</f>
        <v>9.9464897047000012E-2</v>
      </c>
      <c r="H77" s="11">
        <f>VLOOKUP(C77, '[1]China EXIM'!$B$6:$D$580, 3, FALSE)</f>
        <v>3.2316885183850004</v>
      </c>
    </row>
    <row r="78" spans="2:8" ht="27.95">
      <c r="B78" s="6" t="str">
        <f>VLOOKUP(C78, [1]Definition!$D$5:$K$5665, 8, FALSE)</f>
        <v>Capital Goods</v>
      </c>
      <c r="C78" s="7">
        <v>842430</v>
      </c>
      <c r="D78" s="8" t="s">
        <v>477</v>
      </c>
      <c r="E78" s="9" t="s">
        <v>22</v>
      </c>
      <c r="F78" s="17" t="str">
        <f>_xlfn.IFNA(VLOOKUP(C78, '[2]Unique HS'!$B$4:$J$999, 9, FALSE), "No")</f>
        <v>Yes</v>
      </c>
      <c r="G78" s="18">
        <f>VLOOKUP(C78, '[1]India EXIM'!$B$6:$C$580, 2, FALSE)</f>
        <v>3.3653960247E-2</v>
      </c>
      <c r="H78" s="11">
        <f>VLOOKUP(C78, '[1]China EXIM'!$B$6:$D$580, 3, FALSE)</f>
        <v>3.2252792072449998</v>
      </c>
    </row>
    <row r="79" spans="2:8" ht="27.95">
      <c r="B79" s="6" t="str">
        <f>VLOOKUP(C79, [1]Definition!$D$5:$K$5665, 8, FALSE)</f>
        <v>Capital Goods</v>
      </c>
      <c r="C79" s="7">
        <v>843810</v>
      </c>
      <c r="D79" s="8" t="s">
        <v>304</v>
      </c>
      <c r="E79" s="9" t="s">
        <v>61</v>
      </c>
      <c r="F79" s="17" t="str">
        <f>_xlfn.IFNA(VLOOKUP(C79, '[2]Unique HS'!$B$4:$J$999, 9, FALSE), "No")</f>
        <v>No</v>
      </c>
      <c r="G79" s="18">
        <f>VLOOKUP(C79, '[1]India EXIM'!$B$6:$C$580, 2, FALSE)</f>
        <v>7.2754809202000004E-2</v>
      </c>
      <c r="H79" s="11">
        <f>VLOOKUP(C79, '[1]China EXIM'!$B$6:$D$580, 3, FALSE)</f>
        <v>3.1320371144419998</v>
      </c>
    </row>
    <row r="80" spans="2:8" ht="27.95">
      <c r="B80" s="6" t="str">
        <f>VLOOKUP(C80, [1]Definition!$D$5:$K$5665, 8, FALSE)</f>
        <v>Capital Goods</v>
      </c>
      <c r="C80" s="7">
        <v>842691</v>
      </c>
      <c r="D80" s="8" t="s">
        <v>911</v>
      </c>
      <c r="E80" s="9" t="s">
        <v>58</v>
      </c>
      <c r="F80" s="17" t="str">
        <f>_xlfn.IFNA(VLOOKUP(C80, '[2]Unique HS'!$B$4:$J$999, 9, FALSE), "No")</f>
        <v>No</v>
      </c>
      <c r="G80" s="18">
        <f>VLOOKUP(C80, '[1]India EXIM'!$B$6:$C$580, 2, FALSE)</f>
        <v>5.5424588309999998E-3</v>
      </c>
      <c r="H80" s="11">
        <f>VLOOKUP(C80, '[1]China EXIM'!$B$6:$D$580, 3, FALSE)</f>
        <v>3.0113025509029998</v>
      </c>
    </row>
    <row r="81" spans="2:8" ht="27.95">
      <c r="B81" s="6" t="str">
        <f>VLOOKUP(C81, [1]Definition!$D$5:$K$5665, 8, FALSE)</f>
        <v>Capital Goods</v>
      </c>
      <c r="C81" s="7">
        <v>847410</v>
      </c>
      <c r="D81" s="8" t="s">
        <v>344</v>
      </c>
      <c r="E81" s="9" t="s">
        <v>58</v>
      </c>
      <c r="F81" s="17" t="str">
        <f>_xlfn.IFNA(VLOOKUP(C81, '[2]Unique HS'!$B$4:$J$999, 9, FALSE), "No")</f>
        <v>No</v>
      </c>
      <c r="G81" s="18">
        <f>VLOOKUP(C81, '[1]India EXIM'!$B$6:$C$580, 2, FALSE)</f>
        <v>6.0248197957999995E-2</v>
      </c>
      <c r="H81" s="11">
        <f>VLOOKUP(C81, '[1]China EXIM'!$B$6:$D$580, 3, FALSE)</f>
        <v>3.0041832118249996</v>
      </c>
    </row>
    <row r="82" spans="2:8" ht="27.95">
      <c r="B82" s="6" t="str">
        <f>VLOOKUP(C82, [1]Definition!$D$5:$K$5665, 8, FALSE)</f>
        <v>Capital Goods</v>
      </c>
      <c r="C82" s="7">
        <v>901210</v>
      </c>
      <c r="D82" s="8" t="s">
        <v>363</v>
      </c>
      <c r="E82" s="9" t="s">
        <v>22</v>
      </c>
      <c r="F82" s="17" t="str">
        <f>_xlfn.IFNA(VLOOKUP(C82, '[2]Unique HS'!$B$4:$J$999, 9, FALSE), "No")</f>
        <v>Yes</v>
      </c>
      <c r="G82" s="18">
        <f>VLOOKUP(C82, '[1]India EXIM'!$B$6:$C$580, 2, FALSE)</f>
        <v>5.3982747435000006E-2</v>
      </c>
      <c r="H82" s="11">
        <f>VLOOKUP(C82, '[1]China EXIM'!$B$6:$D$580, 3, FALSE)</f>
        <v>2.9532414556840001</v>
      </c>
    </row>
    <row r="83" spans="2:8" ht="42">
      <c r="B83" s="6" t="str">
        <f>VLOOKUP(C83, [1]Definition!$D$5:$K$5665, 8, FALSE)</f>
        <v>Capital Goods</v>
      </c>
      <c r="C83" s="7">
        <v>846599</v>
      </c>
      <c r="D83" s="8" t="s">
        <v>287</v>
      </c>
      <c r="E83" s="9" t="s">
        <v>65</v>
      </c>
      <c r="F83" s="17" t="str">
        <f>_xlfn.IFNA(VLOOKUP(C83, '[2]Unique HS'!$B$4:$J$999, 9, FALSE), "No")</f>
        <v>Yes</v>
      </c>
      <c r="G83" s="18">
        <f>VLOOKUP(C83, '[1]India EXIM'!$B$6:$C$580, 2, FALSE)</f>
        <v>7.7177286863999994E-2</v>
      </c>
      <c r="H83" s="11">
        <f>VLOOKUP(C83, '[1]China EXIM'!$B$6:$D$580, 3, FALSE)</f>
        <v>1.8869269921429999</v>
      </c>
    </row>
    <row r="84" spans="2:8" ht="27.95">
      <c r="B84" s="6" t="str">
        <f>VLOOKUP(C84, [1]Definition!$D$5:$K$5665, 8, FALSE)</f>
        <v>Capital Goods</v>
      </c>
      <c r="C84" s="7">
        <v>842649</v>
      </c>
      <c r="D84" s="8" t="s">
        <v>79</v>
      </c>
      <c r="E84" s="9" t="s">
        <v>58</v>
      </c>
      <c r="F84" s="17" t="str">
        <f>_xlfn.IFNA(VLOOKUP(C84, '[2]Unique HS'!$B$4:$J$999, 9, FALSE), "No")</f>
        <v>No</v>
      </c>
      <c r="G84" s="18">
        <f>VLOOKUP(C84, '[1]India EXIM'!$B$6:$C$580, 2, FALSE)</f>
        <v>0.320777655991</v>
      </c>
      <c r="H84" s="11">
        <f>VLOOKUP(C84, '[1]China EXIM'!$B$6:$D$580, 3, FALSE)</f>
        <v>2.8970969851469999</v>
      </c>
    </row>
    <row r="85" spans="2:8" ht="27.95">
      <c r="B85" s="6" t="str">
        <f>VLOOKUP(C85, [1]Definition!$D$5:$K$5665, 8, FALSE)</f>
        <v>Capital Goods</v>
      </c>
      <c r="C85" s="7">
        <v>843850</v>
      </c>
      <c r="D85" s="8" t="s">
        <v>696</v>
      </c>
      <c r="E85" s="9" t="s">
        <v>61</v>
      </c>
      <c r="F85" s="17" t="str">
        <f>_xlfn.IFNA(VLOOKUP(C85, '[2]Unique HS'!$B$4:$J$999, 9, FALSE), "No")</f>
        <v>No</v>
      </c>
      <c r="G85" s="18">
        <f>VLOOKUP(C85, '[1]India EXIM'!$B$6:$C$580, 2, FALSE)</f>
        <v>1.6277129615E-2</v>
      </c>
      <c r="H85" s="11">
        <f>VLOOKUP(C85, '[1]China EXIM'!$B$6:$D$580, 3, FALSE)</f>
        <v>2.895021418901</v>
      </c>
    </row>
    <row r="86" spans="2:8" ht="27.95">
      <c r="B86" s="6" t="str">
        <f>VLOOKUP(C86, [1]Definition!$D$5:$K$5665, 8, FALSE)</f>
        <v>Capital Goods</v>
      </c>
      <c r="C86" s="7">
        <v>903281</v>
      </c>
      <c r="D86" s="8" t="s">
        <v>601</v>
      </c>
      <c r="E86" s="9" t="s">
        <v>22</v>
      </c>
      <c r="F86" s="17" t="str">
        <f>_xlfn.IFNA(VLOOKUP(C86, '[2]Unique HS'!$B$4:$J$999, 9, FALSE), "No")</f>
        <v>Yes</v>
      </c>
      <c r="G86" s="18">
        <f>VLOOKUP(C86, '[1]India EXIM'!$B$6:$C$580, 2, FALSE)</f>
        <v>2.1977981149E-2</v>
      </c>
      <c r="H86" s="11">
        <f>VLOOKUP(C86, '[1]China EXIM'!$B$6:$D$580, 3, FALSE)</f>
        <v>2.8815482427569998</v>
      </c>
    </row>
    <row r="87" spans="2:8" ht="27.95">
      <c r="B87" s="6" t="str">
        <f>VLOOKUP(C87, [1]Definition!$D$5:$K$5665, 8, FALSE)</f>
        <v>Capital Goods</v>
      </c>
      <c r="C87" s="7">
        <v>842940</v>
      </c>
      <c r="D87" s="8" t="s">
        <v>910</v>
      </c>
      <c r="E87" s="9" t="s">
        <v>58</v>
      </c>
      <c r="F87" s="17" t="str">
        <f>_xlfn.IFNA(VLOOKUP(C87, '[2]Unique HS'!$B$4:$J$999, 9, FALSE), "No")</f>
        <v>No</v>
      </c>
      <c r="G87" s="18">
        <f>VLOOKUP(C87, '[1]India EXIM'!$B$6:$C$580, 2, FALSE)</f>
        <v>5.6295851299999998E-3</v>
      </c>
      <c r="H87" s="11">
        <f>VLOOKUP(C87, '[1]China EXIM'!$B$6:$D$580, 3, FALSE)</f>
        <v>2.8680159760560002</v>
      </c>
    </row>
    <row r="88" spans="2:8" ht="42">
      <c r="B88" s="6" t="str">
        <f>VLOOKUP(C88, [1]Definition!$D$5:$K$5665, 8, FALSE)</f>
        <v>Capital Goods</v>
      </c>
      <c r="C88" s="7">
        <v>846789</v>
      </c>
      <c r="D88" s="8" t="s">
        <v>289</v>
      </c>
      <c r="E88" s="9" t="s">
        <v>65</v>
      </c>
      <c r="F88" s="17" t="str">
        <f>_xlfn.IFNA(VLOOKUP(C88, '[2]Unique HS'!$B$4:$J$999, 9, FALSE), "No")</f>
        <v>Yes</v>
      </c>
      <c r="G88" s="18">
        <f>VLOOKUP(C88, '[1]India EXIM'!$B$6:$C$580, 2, FALSE)</f>
        <v>7.4448057173999993E-2</v>
      </c>
      <c r="H88" s="11">
        <f>VLOOKUP(C88, '[1]China EXIM'!$B$6:$D$580, 3, FALSE)</f>
        <v>1.976565329384</v>
      </c>
    </row>
    <row r="89" spans="2:8" ht="27.95">
      <c r="B89" s="6" t="str">
        <f>VLOOKUP(C89, [1]Definition!$D$5:$K$5665, 8, FALSE)</f>
        <v>Capital Goods</v>
      </c>
      <c r="C89" s="7">
        <v>902720</v>
      </c>
      <c r="D89" s="8" t="s">
        <v>75</v>
      </c>
      <c r="E89" s="9" t="s">
        <v>22</v>
      </c>
      <c r="F89" s="17" t="str">
        <f>_xlfn.IFNA(VLOOKUP(C89, '[2]Unique HS'!$B$4:$J$999, 9, FALSE), "No")</f>
        <v>No</v>
      </c>
      <c r="G89" s="18">
        <f>VLOOKUP(C89, '[1]India EXIM'!$B$6:$C$580, 2, FALSE)</f>
        <v>0.32550927922200001</v>
      </c>
      <c r="H89" s="11">
        <f>VLOOKUP(C89, '[1]China EXIM'!$B$6:$D$580, 3, FALSE)</f>
        <v>2.8013359051649998</v>
      </c>
    </row>
    <row r="90" spans="2:8" ht="27.95">
      <c r="B90" s="6" t="str">
        <f>VLOOKUP(C90, [1]Definition!$D$5:$K$5665, 8, FALSE)</f>
        <v>Capital Goods</v>
      </c>
      <c r="C90" s="7">
        <v>842619</v>
      </c>
      <c r="D90" s="8" t="s">
        <v>153</v>
      </c>
      <c r="E90" s="9" t="s">
        <v>58</v>
      </c>
      <c r="F90" s="17" t="str">
        <f>_xlfn.IFNA(VLOOKUP(C90, '[2]Unique HS'!$B$4:$J$999, 9, FALSE), "No")</f>
        <v>No</v>
      </c>
      <c r="G90" s="18">
        <f>VLOOKUP(C90, '[1]India EXIM'!$B$6:$C$580, 2, FALSE)</f>
        <v>0.16603474897500001</v>
      </c>
      <c r="H90" s="11">
        <f>VLOOKUP(C90, '[1]China EXIM'!$B$6:$D$580, 3, FALSE)</f>
        <v>2.7843572676350004</v>
      </c>
    </row>
    <row r="91" spans="2:8" ht="27.95">
      <c r="B91" s="6" t="str">
        <f>VLOOKUP(C91, [1]Definition!$D$5:$K$5665, 8, FALSE)</f>
        <v>Capital Goods</v>
      </c>
      <c r="C91" s="7">
        <v>842920</v>
      </c>
      <c r="D91" s="8" t="s">
        <v>220</v>
      </c>
      <c r="E91" s="9" t="s">
        <v>58</v>
      </c>
      <c r="F91" s="17" t="str">
        <f>_xlfn.IFNA(VLOOKUP(C91, '[2]Unique HS'!$B$4:$J$999, 9, FALSE), "No")</f>
        <v>No</v>
      </c>
      <c r="G91" s="18">
        <f>VLOOKUP(C91, '[1]India EXIM'!$B$6:$C$580, 2, FALSE)</f>
        <v>0.11500093911399999</v>
      </c>
      <c r="H91" s="11">
        <f>VLOOKUP(C91, '[1]China EXIM'!$B$6:$D$580, 3, FALSE)</f>
        <v>2.71051064672</v>
      </c>
    </row>
    <row r="92" spans="2:8">
      <c r="B92" s="6" t="str">
        <f>VLOOKUP(C92, [1]Definition!$D$5:$K$5665, 8, FALSE)</f>
        <v>Capital Goods</v>
      </c>
      <c r="C92" s="7">
        <v>844313</v>
      </c>
      <c r="D92" s="8" t="s">
        <v>179</v>
      </c>
      <c r="E92" s="9" t="s">
        <v>180</v>
      </c>
      <c r="F92" s="17" t="str">
        <f>_xlfn.IFNA(VLOOKUP(C92, '[2]Unique HS'!$B$4:$J$999, 9, FALSE), "No")</f>
        <v>No</v>
      </c>
      <c r="G92" s="18">
        <f>VLOOKUP(C92, '[1]India EXIM'!$B$6:$C$580, 2, FALSE)</f>
        <v>0.14607191913800002</v>
      </c>
      <c r="H92" s="11">
        <f>VLOOKUP(C92, '[1]China EXIM'!$B$6:$D$580, 3, FALSE)</f>
        <v>2.5568903880709999</v>
      </c>
    </row>
    <row r="93" spans="2:8" ht="27.95">
      <c r="B93" s="6" t="str">
        <f>VLOOKUP(C93, [1]Definition!$D$5:$K$5665, 8, FALSE)</f>
        <v>Capital Goods</v>
      </c>
      <c r="C93" s="7">
        <v>903289</v>
      </c>
      <c r="D93" s="8" t="s">
        <v>40</v>
      </c>
      <c r="E93" s="9" t="s">
        <v>22</v>
      </c>
      <c r="F93" s="17" t="str">
        <f>_xlfn.IFNA(VLOOKUP(C93, '[2]Unique HS'!$B$4:$J$999, 9, FALSE), "No")</f>
        <v>Yes</v>
      </c>
      <c r="G93" s="22">
        <f>VLOOKUP(C93, '[1]India EXIM'!$B$6:$C$580, 2, FALSE)</f>
        <v>0.74567344929400003</v>
      </c>
      <c r="H93" s="11">
        <f>VLOOKUP(C93, '[1]China EXIM'!$B$6:$D$580, 3, FALSE)</f>
        <v>22.277140284986</v>
      </c>
    </row>
    <row r="94" spans="2:8" ht="27.95">
      <c r="B94" s="6" t="str">
        <f>VLOOKUP(C94, [1]Definition!$D$5:$K$5665, 8, FALSE)</f>
        <v>Capital Goods</v>
      </c>
      <c r="C94" s="7">
        <v>847981</v>
      </c>
      <c r="D94" s="8" t="s">
        <v>191</v>
      </c>
      <c r="E94" s="9" t="s">
        <v>82</v>
      </c>
      <c r="F94" s="17" t="str">
        <f>_xlfn.IFNA(VLOOKUP(C94, '[2]Unique HS'!$B$4:$J$999, 9, FALSE), "No")</f>
        <v>Yes</v>
      </c>
      <c r="G94" s="18">
        <f>VLOOKUP(C94, '[1]India EXIM'!$B$6:$C$580, 2, FALSE)</f>
        <v>0.13382264638400002</v>
      </c>
      <c r="H94" s="11">
        <f>VLOOKUP(C94, '[1]China EXIM'!$B$6:$D$580, 3, FALSE)</f>
        <v>2.5462369550100004</v>
      </c>
    </row>
    <row r="95" spans="2:8" ht="42">
      <c r="B95" s="6" t="str">
        <f>VLOOKUP(C95, [1]Definition!$D$5:$K$5665, 8, FALSE)</f>
        <v>Capital Goods</v>
      </c>
      <c r="C95" s="7">
        <v>820719</v>
      </c>
      <c r="D95" s="8" t="s">
        <v>370</v>
      </c>
      <c r="E95" s="9" t="s">
        <v>58</v>
      </c>
      <c r="F95" s="17" t="str">
        <f>_xlfn.IFNA(VLOOKUP(C95, '[2]Unique HS'!$B$4:$J$999, 9, FALSE), "No")</f>
        <v>Yes</v>
      </c>
      <c r="G95" s="18">
        <f>VLOOKUP(C95, '[1]India EXIM'!$B$6:$C$580, 2, FALSE)</f>
        <v>5.2342381148999993E-2</v>
      </c>
      <c r="H95" s="11">
        <f>VLOOKUP(C95, '[1]China EXIM'!$B$6:$D$580, 3, FALSE)</f>
        <v>2.5324541482080001</v>
      </c>
    </row>
    <row r="96" spans="2:8" ht="27.95">
      <c r="B96" s="6" t="str">
        <f>VLOOKUP(C96, [1]Definition!$D$5:$K$5665, 8, FALSE)</f>
        <v>Capital Goods</v>
      </c>
      <c r="C96" s="7">
        <v>843359</v>
      </c>
      <c r="D96" s="25" t="s">
        <v>313</v>
      </c>
      <c r="E96" s="9" t="s">
        <v>1165</v>
      </c>
      <c r="F96" s="17" t="str">
        <f>_xlfn.IFNA(VLOOKUP(C96, '[2]Unique HS'!$B$4:$J$999, 9, FALSE), "No")</f>
        <v>No</v>
      </c>
      <c r="G96" s="18">
        <f>VLOOKUP(C96, '[1]India EXIM'!$B$6:$C$580, 2, FALSE)</f>
        <v>1.4959245115E-2</v>
      </c>
      <c r="H96" s="11">
        <f>VLOOKUP(C96, '[1]China EXIM'!$B$6:$D$580, 3, FALSE)</f>
        <v>2.5315486961640001</v>
      </c>
    </row>
    <row r="97" spans="2:8" ht="27.95">
      <c r="B97" s="6" t="str">
        <f>VLOOKUP(C97, [1]Definition!$D$5:$K$5665, 8, FALSE)</f>
        <v>Capital Goods</v>
      </c>
      <c r="C97" s="7">
        <v>841919</v>
      </c>
      <c r="D97" s="8" t="s">
        <v>771</v>
      </c>
      <c r="E97" s="9" t="s">
        <v>22</v>
      </c>
      <c r="F97" s="17" t="str">
        <f>_xlfn.IFNA(VLOOKUP(C97, '[2]Unique HS'!$B$4:$J$999, 9, FALSE), "No")</f>
        <v>No</v>
      </c>
      <c r="G97" s="18">
        <f>VLOOKUP(C97, '[1]India EXIM'!$B$6:$C$580, 2, FALSE)</f>
        <v>1.1676974742000001E-2</v>
      </c>
      <c r="H97" s="11">
        <f>VLOOKUP(C97, '[1]China EXIM'!$B$6:$D$580, 3, FALSE)</f>
        <v>2.4065180322010002</v>
      </c>
    </row>
    <row r="98" spans="2:8" ht="42">
      <c r="B98" s="6" t="str">
        <f>VLOOKUP(C98, [1]Definition!$D$5:$K$5665, 8, FALSE)</f>
        <v>Capital Goods</v>
      </c>
      <c r="C98" s="7">
        <v>844391</v>
      </c>
      <c r="D98" s="8" t="s">
        <v>492</v>
      </c>
      <c r="E98" s="9" t="s">
        <v>180</v>
      </c>
      <c r="F98" s="17" t="str">
        <f>_xlfn.IFNA(VLOOKUP(C98, '[2]Unique HS'!$B$4:$J$999, 9, FALSE), "No")</f>
        <v>Yes</v>
      </c>
      <c r="G98" s="18">
        <f>VLOOKUP(C98, '[1]India EXIM'!$B$6:$C$580, 2, FALSE)</f>
        <v>3.2776755376999998E-2</v>
      </c>
      <c r="H98" s="11">
        <f>VLOOKUP(C98, '[1]China EXIM'!$B$6:$D$580, 3, FALSE)</f>
        <v>2.3987183655850002</v>
      </c>
    </row>
    <row r="99" spans="2:8" ht="27.95">
      <c r="B99" s="6" t="str">
        <f>VLOOKUP(C99, [1]Definition!$D$5:$K$5665, 8, FALSE)</f>
        <v>Capital Goods</v>
      </c>
      <c r="C99" s="7">
        <v>842482</v>
      </c>
      <c r="D99" s="8" t="s">
        <v>321</v>
      </c>
      <c r="E99" s="9" t="s">
        <v>1165</v>
      </c>
      <c r="F99" s="17" t="str">
        <f>_xlfn.IFNA(VLOOKUP(C99, '[2]Unique HS'!$B$4:$J$999, 9, FALSE), "No")</f>
        <v>No</v>
      </c>
      <c r="G99" s="18">
        <f>VLOOKUP(C99, '[1]India EXIM'!$B$6:$C$580, 2, FALSE)</f>
        <v>6.6500519990999998E-2</v>
      </c>
      <c r="H99" s="11">
        <f>VLOOKUP(C99, '[1]China EXIM'!$B$6:$D$580, 3, FALSE)</f>
        <v>2.3846100537670001</v>
      </c>
    </row>
    <row r="100" spans="2:8" ht="27.95">
      <c r="B100" s="6" t="str">
        <f>VLOOKUP(C100, [1]Definition!$D$5:$K$5665, 8, FALSE)</f>
        <v>Capital Goods</v>
      </c>
      <c r="C100" s="7">
        <v>841939</v>
      </c>
      <c r="D100" s="8" t="s">
        <v>268</v>
      </c>
      <c r="E100" s="9" t="s">
        <v>22</v>
      </c>
      <c r="F100" s="17" t="str">
        <f>_xlfn.IFNA(VLOOKUP(C100, '[2]Unique HS'!$B$4:$J$999, 9, FALSE), "No")</f>
        <v>Yes</v>
      </c>
      <c r="G100" s="18">
        <f>VLOOKUP(C100, '[1]India EXIM'!$B$6:$C$580, 2, FALSE)</f>
        <v>8.4980092319999992E-2</v>
      </c>
      <c r="H100" s="11">
        <f>VLOOKUP(C100, '[1]China EXIM'!$B$6:$D$580, 3, FALSE)</f>
        <v>2.3617031232039998</v>
      </c>
    </row>
    <row r="101" spans="2:8" ht="27.95">
      <c r="B101" s="6" t="str">
        <f>VLOOKUP(C101, [1]Definition!$D$5:$K$5665, 8, FALSE)</f>
        <v>Capital Goods</v>
      </c>
      <c r="C101" s="7">
        <v>842119</v>
      </c>
      <c r="D101" s="8" t="s">
        <v>288</v>
      </c>
      <c r="E101" s="9" t="s">
        <v>22</v>
      </c>
      <c r="F101" s="17" t="str">
        <f>_xlfn.IFNA(VLOOKUP(C101, '[2]Unique HS'!$B$4:$J$999, 9, FALSE), "No")</f>
        <v>Yes</v>
      </c>
      <c r="G101" s="18">
        <f>VLOOKUP(C101, '[1]India EXIM'!$B$6:$C$580, 2, FALSE)</f>
        <v>7.5957884993999997E-2</v>
      </c>
      <c r="H101" s="11">
        <f>VLOOKUP(C101, '[1]China EXIM'!$B$6:$D$580, 3, FALSE)</f>
        <v>2.3502383344770004</v>
      </c>
    </row>
    <row r="102" spans="2:8" ht="42">
      <c r="B102" s="6" t="str">
        <f>VLOOKUP(C102, [1]Definition!$D$5:$K$5665, 8, FALSE)</f>
        <v>Capital Goods</v>
      </c>
      <c r="C102" s="7">
        <v>848630</v>
      </c>
      <c r="D102" s="8" t="s">
        <v>890</v>
      </c>
      <c r="E102" s="9" t="s">
        <v>46</v>
      </c>
      <c r="F102" s="17" t="str">
        <f>_xlfn.IFNA(VLOOKUP(C102, '[2]Unique HS'!$B$4:$J$999, 9, FALSE), "No")</f>
        <v>No</v>
      </c>
      <c r="G102" s="18">
        <f>VLOOKUP(C102, '[1]India EXIM'!$B$6:$C$580, 2, FALSE)</f>
        <v>6.9807884809999993E-3</v>
      </c>
      <c r="H102" s="11">
        <f>VLOOKUP(C102, '[1]China EXIM'!$B$6:$D$580, 3, FALSE)</f>
        <v>2.3410384889019999</v>
      </c>
    </row>
    <row r="103" spans="2:8" ht="56.1">
      <c r="B103" s="6" t="str">
        <f>VLOOKUP(C103, [1]Definition!$D$5:$K$5665, 8, FALSE)</f>
        <v>Capital Goods</v>
      </c>
      <c r="C103" s="7">
        <v>851419</v>
      </c>
      <c r="D103" s="8" t="s">
        <v>331</v>
      </c>
      <c r="E103" s="9" t="s">
        <v>46</v>
      </c>
      <c r="F103" s="17" t="str">
        <f>_xlfn.IFNA(VLOOKUP(C103, '[2]Unique HS'!$B$4:$J$999, 9, FALSE), "No")</f>
        <v>Yes</v>
      </c>
      <c r="G103" s="18">
        <f>VLOOKUP(C103, '[1]India EXIM'!$B$6:$C$580, 2, FALSE)</f>
        <v>6.5749910935999994E-2</v>
      </c>
      <c r="H103" s="11">
        <f>VLOOKUP(C103, '[1]China EXIM'!$B$6:$D$580, 3, FALSE)</f>
        <v>2.3050331592350002</v>
      </c>
    </row>
    <row r="104" spans="2:8" ht="27.95">
      <c r="B104" s="6" t="str">
        <f>VLOOKUP(C104, [1]Definition!$D$5:$K$5665, 8, FALSE)</f>
        <v>Capital Goods</v>
      </c>
      <c r="C104" s="7">
        <v>842420</v>
      </c>
      <c r="D104" s="8" t="s">
        <v>521</v>
      </c>
      <c r="E104" s="9" t="s">
        <v>22</v>
      </c>
      <c r="F104" s="17" t="str">
        <f>_xlfn.IFNA(VLOOKUP(C104, '[2]Unique HS'!$B$4:$J$999, 9, FALSE), "No")</f>
        <v>Yes</v>
      </c>
      <c r="G104" s="18">
        <f>VLOOKUP(C104, '[1]India EXIM'!$B$6:$C$580, 2, FALSE)</f>
        <v>2.9101289975999999E-2</v>
      </c>
      <c r="H104" s="11">
        <f>VLOOKUP(C104, '[1]China EXIM'!$B$6:$D$580, 3, FALSE)</f>
        <v>2.229606272501</v>
      </c>
    </row>
    <row r="105" spans="2:8" ht="27.95">
      <c r="B105" s="6" t="str">
        <f>VLOOKUP(C105, [1]Definition!$D$5:$K$5665, 8, FALSE)</f>
        <v>Capital Goods</v>
      </c>
      <c r="C105" s="7">
        <v>846390</v>
      </c>
      <c r="D105" s="8" t="s">
        <v>309</v>
      </c>
      <c r="E105" s="9" t="s">
        <v>65</v>
      </c>
      <c r="F105" s="17" t="str">
        <f>_xlfn.IFNA(VLOOKUP(C105, '[2]Unique HS'!$B$4:$J$999, 9, FALSE), "No")</f>
        <v>Yes</v>
      </c>
      <c r="G105" s="18">
        <f>VLOOKUP(C105, '[1]India EXIM'!$B$6:$C$580, 2, FALSE)</f>
        <v>7.1299757163000008E-2</v>
      </c>
      <c r="H105" s="11">
        <f>VLOOKUP(C105, '[1]China EXIM'!$B$6:$D$580, 3, FALSE)</f>
        <v>0.80996079291799994</v>
      </c>
    </row>
    <row r="106" spans="2:8" ht="42">
      <c r="B106" s="6" t="str">
        <f>VLOOKUP(C106, [1]Definition!$D$5:$K$5665, 8, FALSE)</f>
        <v>Capital Goods</v>
      </c>
      <c r="C106" s="7">
        <v>903089</v>
      </c>
      <c r="D106" s="8" t="s">
        <v>235</v>
      </c>
      <c r="E106" s="9" t="s">
        <v>46</v>
      </c>
      <c r="F106" s="17" t="str">
        <f>_xlfn.IFNA(VLOOKUP(C106, '[2]Unique HS'!$B$4:$J$999, 9, FALSE), "No")</f>
        <v>Yes</v>
      </c>
      <c r="G106" s="18">
        <f>VLOOKUP(C106, '[1]India EXIM'!$B$6:$C$580, 2, FALSE)</f>
        <v>0.10065618447300001</v>
      </c>
      <c r="H106" s="11">
        <f>VLOOKUP(C106, '[1]China EXIM'!$B$6:$D$580, 3, FALSE)</f>
        <v>2.1763169064310004</v>
      </c>
    </row>
    <row r="107" spans="2:8" ht="42">
      <c r="B107" s="6" t="str">
        <f>VLOOKUP(C107, [1]Definition!$D$5:$K$5665, 8, FALSE)</f>
        <v>Capital Goods</v>
      </c>
      <c r="C107" s="7">
        <v>844130</v>
      </c>
      <c r="D107" s="8" t="s">
        <v>297</v>
      </c>
      <c r="E107" s="9" t="s">
        <v>22</v>
      </c>
      <c r="F107" s="17" t="str">
        <f>_xlfn.IFNA(VLOOKUP(C107, '[2]Unique HS'!$B$4:$J$999, 9, FALSE), "No")</f>
        <v>No</v>
      </c>
      <c r="G107" s="18">
        <f>VLOOKUP(C107, '[1]India EXIM'!$B$6:$C$580, 2, FALSE)</f>
        <v>7.287105101199999E-2</v>
      </c>
      <c r="H107" s="11">
        <f>VLOOKUP(C107, '[1]China EXIM'!$B$6:$D$580, 3, FALSE)</f>
        <v>2.1718094316199998</v>
      </c>
    </row>
    <row r="108" spans="2:8" ht="27.95">
      <c r="B108" s="6" t="str">
        <f>VLOOKUP(C108, [1]Definition!$D$5:$K$5665, 8, FALSE)</f>
        <v>Capital Goods</v>
      </c>
      <c r="C108" s="7">
        <v>846262</v>
      </c>
      <c r="D108" s="8" t="s">
        <v>320</v>
      </c>
      <c r="E108" s="9" t="s">
        <v>65</v>
      </c>
      <c r="F108" s="17" t="str">
        <f>_xlfn.IFNA(VLOOKUP(C108, '[2]Unique HS'!$B$4:$J$999, 9, FALSE), "No")</f>
        <v>No</v>
      </c>
      <c r="G108" s="18">
        <f>VLOOKUP(C108, '[1]India EXIM'!$B$6:$C$580, 2, FALSE)</f>
        <v>7.0584520856000005E-2</v>
      </c>
      <c r="H108" s="11">
        <f>VLOOKUP(C108, '[1]China EXIM'!$B$6:$D$580, 3, FALSE)</f>
        <v>1.2734923848549999</v>
      </c>
    </row>
    <row r="109" spans="2:8" ht="27.95">
      <c r="B109" s="6" t="str">
        <f>VLOOKUP(C109, [1]Definition!$D$5:$K$5665, 8, FALSE)</f>
        <v>Capital Goods</v>
      </c>
      <c r="C109" s="7">
        <v>870130</v>
      </c>
      <c r="D109" s="8" t="s">
        <v>998</v>
      </c>
      <c r="E109" s="9" t="s">
        <v>58</v>
      </c>
      <c r="F109" s="17" t="str">
        <f>_xlfn.IFNA(VLOOKUP(C109, '[2]Unique HS'!$B$4:$J$999, 9, FALSE), "No")</f>
        <v>No</v>
      </c>
      <c r="G109" s="18">
        <f>VLOOKUP(C109, '[1]India EXIM'!$B$6:$C$580, 2, FALSE)</f>
        <v>2.3485660420000001E-3</v>
      </c>
      <c r="H109" s="11">
        <f>VLOOKUP(C109, '[1]China EXIM'!$B$6:$D$580, 3, FALSE)</f>
        <v>2.104433658054</v>
      </c>
    </row>
    <row r="110" spans="2:8" ht="27.95">
      <c r="B110" s="6" t="str">
        <f>VLOOKUP(C110, [1]Definition!$D$5:$K$5665, 8, FALSE)</f>
        <v>Capital Goods</v>
      </c>
      <c r="C110" s="7">
        <v>903010</v>
      </c>
      <c r="D110" s="8" t="s">
        <v>472</v>
      </c>
      <c r="E110" s="9" t="s">
        <v>22</v>
      </c>
      <c r="F110" s="17" t="str">
        <f>_xlfn.IFNA(VLOOKUP(C110, '[2]Unique HS'!$B$4:$J$999, 9, FALSE), "No")</f>
        <v>Yes</v>
      </c>
      <c r="G110" s="18">
        <f>VLOOKUP(C110, '[1]India EXIM'!$B$6:$C$580, 2, FALSE)</f>
        <v>3.4575023968000003E-2</v>
      </c>
      <c r="H110" s="11">
        <f>VLOOKUP(C110, '[1]China EXIM'!$B$6:$D$580, 3, FALSE)</f>
        <v>2.0597495559990002</v>
      </c>
    </row>
    <row r="111" spans="2:8" ht="42">
      <c r="B111" s="6" t="str">
        <f>VLOOKUP(C111, [1]Definition!$D$5:$K$5665, 8, FALSE)</f>
        <v>Capital Goods</v>
      </c>
      <c r="C111" s="7">
        <v>731010</v>
      </c>
      <c r="D111" s="8" t="s">
        <v>882</v>
      </c>
      <c r="E111" s="9" t="s">
        <v>22</v>
      </c>
      <c r="F111" s="17" t="str">
        <f>_xlfn.IFNA(VLOOKUP(C111, '[2]Unique HS'!$B$4:$J$999, 9, FALSE), "No")</f>
        <v>Yes</v>
      </c>
      <c r="G111" s="18">
        <f>VLOOKUP(C111, '[1]India EXIM'!$B$6:$C$580, 2, FALSE)</f>
        <v>7.4184006500000003E-3</v>
      </c>
      <c r="H111" s="11">
        <f>VLOOKUP(C111, '[1]China EXIM'!$B$6:$D$580, 3, FALSE)</f>
        <v>2.0570130888699998</v>
      </c>
    </row>
    <row r="112" spans="2:8" ht="42">
      <c r="B112" s="6" t="str">
        <f>VLOOKUP(C112, [1]Definition!$D$5:$K$5665, 8, FALSE)</f>
        <v>Capital Goods</v>
      </c>
      <c r="C112" s="7">
        <v>851539</v>
      </c>
      <c r="D112" s="8" t="s">
        <v>323</v>
      </c>
      <c r="E112" s="9" t="s">
        <v>65</v>
      </c>
      <c r="F112" s="17" t="str">
        <f>_xlfn.IFNA(VLOOKUP(C112, '[2]Unique HS'!$B$4:$J$999, 9, FALSE), "No")</f>
        <v>Yes</v>
      </c>
      <c r="G112" s="18">
        <f>VLOOKUP(C112, '[1]India EXIM'!$B$6:$C$580, 2, FALSE)</f>
        <v>7.0511858226999999E-2</v>
      </c>
      <c r="H112" s="11">
        <f>VLOOKUP(C112, '[1]China EXIM'!$B$6:$D$580, 3, FALSE)</f>
        <v>1.3523215266090001</v>
      </c>
    </row>
    <row r="113" spans="2:8" ht="42">
      <c r="B113" s="6" t="str">
        <f>VLOOKUP(C113, [1]Definition!$D$5:$K$5665, 8, FALSE)</f>
        <v>Capital Goods</v>
      </c>
      <c r="C113" s="7">
        <v>870192</v>
      </c>
      <c r="D113" s="8" t="s">
        <v>926</v>
      </c>
      <c r="E113" s="9" t="s">
        <v>58</v>
      </c>
      <c r="F113" s="17" t="str">
        <f>_xlfn.IFNA(VLOOKUP(C113, '[2]Unique HS'!$B$4:$J$999, 9, FALSE), "No")</f>
        <v>No</v>
      </c>
      <c r="G113" s="18">
        <f>VLOOKUP(C113, '[1]India EXIM'!$B$6:$C$580, 2, FALSE)</f>
        <v>5.0138354989999996E-3</v>
      </c>
      <c r="H113" s="11">
        <f>VLOOKUP(C113, '[1]China EXIM'!$B$6:$D$580, 3, FALSE)</f>
        <v>2.0014702381639999</v>
      </c>
    </row>
    <row r="114" spans="2:8" ht="42">
      <c r="B114" s="6" t="str">
        <f>VLOOKUP(C114, [1]Definition!$D$5:$K$5665, 8, FALSE)</f>
        <v>Capital Goods</v>
      </c>
      <c r="C114" s="7">
        <v>846490</v>
      </c>
      <c r="D114" s="8" t="s">
        <v>324</v>
      </c>
      <c r="E114" s="9" t="s">
        <v>65</v>
      </c>
      <c r="F114" s="17" t="str">
        <f>_xlfn.IFNA(VLOOKUP(C114, '[2]Unique HS'!$B$4:$J$999, 9, FALSE), "No")</f>
        <v>No</v>
      </c>
      <c r="G114" s="18">
        <f>VLOOKUP(C114, '[1]India EXIM'!$B$6:$C$580, 2, FALSE)</f>
        <v>7.0428782289E-2</v>
      </c>
      <c r="H114" s="11">
        <f>VLOOKUP(C114, '[1]China EXIM'!$B$6:$D$580, 3, FALSE)</f>
        <v>1.0116636780770001</v>
      </c>
    </row>
    <row r="115" spans="2:8" ht="27.95">
      <c r="B115" s="6" t="str">
        <f>VLOOKUP(C115, [1]Definition!$D$5:$K$5665, 8, FALSE)</f>
        <v>Capital Goods</v>
      </c>
      <c r="C115" s="7">
        <v>846029</v>
      </c>
      <c r="D115" s="8" t="s">
        <v>335</v>
      </c>
      <c r="E115" s="9" t="s">
        <v>65</v>
      </c>
      <c r="F115" s="17" t="str">
        <f>_xlfn.IFNA(VLOOKUP(C115, '[2]Unique HS'!$B$4:$J$999, 9, FALSE), "No")</f>
        <v>Yes</v>
      </c>
      <c r="G115" s="18">
        <f>VLOOKUP(C115, '[1]India EXIM'!$B$6:$C$580, 2, FALSE)</f>
        <v>6.4426513156000009E-2</v>
      </c>
      <c r="H115" s="11">
        <f>VLOOKUP(C115, '[1]China EXIM'!$B$6:$D$580, 3, FALSE)</f>
        <v>0.24030239656600003</v>
      </c>
    </row>
    <row r="116" spans="2:8" ht="27.95">
      <c r="B116" s="6" t="str">
        <f>VLOOKUP(C116, [1]Definition!$D$5:$K$5665, 8, FALSE)</f>
        <v>Capital Goods</v>
      </c>
      <c r="C116" s="7">
        <v>820750</v>
      </c>
      <c r="D116" s="8" t="s">
        <v>336</v>
      </c>
      <c r="E116" s="9" t="s">
        <v>65</v>
      </c>
      <c r="F116" s="17" t="str">
        <f>_xlfn.IFNA(VLOOKUP(C116, '[2]Unique HS'!$B$4:$J$999, 9, FALSE), "No")</f>
        <v>Yes</v>
      </c>
      <c r="G116" s="18">
        <f>VLOOKUP(C116, '[1]India EXIM'!$B$6:$C$580, 2, FALSE)</f>
        <v>6.3612462987999996E-2</v>
      </c>
      <c r="H116" s="11">
        <f>VLOOKUP(C116, '[1]China EXIM'!$B$6:$D$580, 3, FALSE)</f>
        <v>4.5378767303799998</v>
      </c>
    </row>
    <row r="117" spans="2:8" ht="27.95">
      <c r="B117" s="6" t="str">
        <f>VLOOKUP(C117, [1]Definition!$D$5:$K$5665, 8, FALSE)</f>
        <v>Capital Goods</v>
      </c>
      <c r="C117" s="7">
        <v>846023</v>
      </c>
      <c r="D117" s="8" t="s">
        <v>339</v>
      </c>
      <c r="E117" s="9" t="s">
        <v>65</v>
      </c>
      <c r="F117" s="17" t="str">
        <f>_xlfn.IFNA(VLOOKUP(C117, '[2]Unique HS'!$B$4:$J$999, 9, FALSE), "No")</f>
        <v>No</v>
      </c>
      <c r="G117" s="18">
        <f>VLOOKUP(C117, '[1]India EXIM'!$B$6:$C$580, 2, FALSE)</f>
        <v>6.1141555665E-2</v>
      </c>
      <c r="H117" s="11">
        <f>VLOOKUP(C117, '[1]China EXIM'!$B$6:$D$580, 3, FALSE)</f>
        <v>0.88233575990000002</v>
      </c>
    </row>
    <row r="118" spans="2:8" ht="27.95">
      <c r="B118" s="6" t="str">
        <f>VLOOKUP(C118, [1]Definition!$D$5:$K$5665, 8, FALSE)</f>
        <v>Capital Goods</v>
      </c>
      <c r="C118" s="7">
        <v>846232</v>
      </c>
      <c r="D118" s="8" t="s">
        <v>347</v>
      </c>
      <c r="E118" s="9" t="s">
        <v>65</v>
      </c>
      <c r="F118" s="17" t="str">
        <f>_xlfn.IFNA(VLOOKUP(C118, '[2]Unique HS'!$B$4:$J$999, 9, FALSE), "No")</f>
        <v>No</v>
      </c>
      <c r="G118" s="18">
        <f>VLOOKUP(C118, '[1]India EXIM'!$B$6:$C$580, 2, FALSE)</f>
        <v>5.9477119214E-2</v>
      </c>
      <c r="H118" s="11">
        <f>VLOOKUP(C118, '[1]China EXIM'!$B$6:$D$580, 3, FALSE)</f>
        <v>0.30567196612899999</v>
      </c>
    </row>
    <row r="119" spans="2:8" ht="27.95">
      <c r="B119" s="6" t="str">
        <f>VLOOKUP(C119, [1]Definition!$D$5:$K$5665, 8, FALSE)</f>
        <v>Capital Goods</v>
      </c>
      <c r="C119" s="7">
        <v>843229</v>
      </c>
      <c r="D119" s="8" t="s">
        <v>360</v>
      </c>
      <c r="E119" s="9" t="s">
        <v>1165</v>
      </c>
      <c r="F119" s="17" t="str">
        <f>_xlfn.IFNA(VLOOKUP(C119, '[2]Unique HS'!$B$4:$J$999, 9, FALSE), "No")</f>
        <v>Yes</v>
      </c>
      <c r="G119" s="18">
        <f>VLOOKUP(C119, '[1]India EXIM'!$B$6:$C$580, 2, FALSE)</f>
        <v>5.4329471673E-2</v>
      </c>
      <c r="H119" s="11">
        <f>VLOOKUP(C119, '[1]China EXIM'!$B$6:$D$580, 3, FALSE)</f>
        <v>1.7663218081800001</v>
      </c>
    </row>
    <row r="120" spans="2:8" ht="27.95">
      <c r="B120" s="6" t="str">
        <f>VLOOKUP(C120, [1]Definition!$D$5:$K$5665, 8, FALSE)</f>
        <v>Capital Goods</v>
      </c>
      <c r="C120" s="7">
        <v>903120</v>
      </c>
      <c r="D120" s="8" t="s">
        <v>317</v>
      </c>
      <c r="E120" s="9" t="s">
        <v>22</v>
      </c>
      <c r="F120" s="17" t="str">
        <f>_xlfn.IFNA(VLOOKUP(C120, '[2]Unique HS'!$B$4:$J$999, 9, FALSE), "No")</f>
        <v>Yes</v>
      </c>
      <c r="G120" s="18">
        <f>VLOOKUP(C120, '[1]India EXIM'!$B$6:$C$580, 2, FALSE)</f>
        <v>7.1139032106999997E-2</v>
      </c>
      <c r="H120" s="11">
        <f>VLOOKUP(C120, '[1]China EXIM'!$B$6:$D$580, 3, FALSE)</f>
        <v>1.734273707279</v>
      </c>
    </row>
    <row r="121" spans="2:8" ht="69.95">
      <c r="B121" s="6" t="str">
        <f>VLOOKUP(C121, [1]Definition!$D$5:$K$5665, 8, FALSE)</f>
        <v>Capital Goods</v>
      </c>
      <c r="C121" s="7">
        <v>902580</v>
      </c>
      <c r="D121" s="8" t="s">
        <v>518</v>
      </c>
      <c r="E121" s="9" t="s">
        <v>22</v>
      </c>
      <c r="F121" s="17" t="str">
        <f>_xlfn.IFNA(VLOOKUP(C121, '[2]Unique HS'!$B$4:$J$999, 9, FALSE), "No")</f>
        <v>Yes</v>
      </c>
      <c r="G121" s="18">
        <f>VLOOKUP(C121, '[1]India EXIM'!$B$6:$C$580, 2, FALSE)</f>
        <v>2.9271225416E-2</v>
      </c>
      <c r="H121" s="11">
        <f>VLOOKUP(C121, '[1]China EXIM'!$B$6:$D$580, 3, FALSE)</f>
        <v>1.7324008354360001</v>
      </c>
    </row>
    <row r="122" spans="2:8" ht="27.95">
      <c r="B122" s="6" t="str">
        <f>VLOOKUP(C122, [1]Definition!$D$5:$K$5665, 8, FALSE)</f>
        <v>Capital Goods</v>
      </c>
      <c r="C122" s="7">
        <v>844110</v>
      </c>
      <c r="D122" s="8" t="s">
        <v>280</v>
      </c>
      <c r="E122" s="9" t="s">
        <v>22</v>
      </c>
      <c r="F122" s="17" t="str">
        <f>_xlfn.IFNA(VLOOKUP(C122, '[2]Unique HS'!$B$4:$J$999, 9, FALSE), "No")</f>
        <v>No</v>
      </c>
      <c r="G122" s="18">
        <f>VLOOKUP(C122, '[1]India EXIM'!$B$6:$C$580, 2, FALSE)</f>
        <v>8.2488691057999997E-2</v>
      </c>
      <c r="H122" s="11">
        <f>VLOOKUP(C122, '[1]China EXIM'!$B$6:$D$580, 3, FALSE)</f>
        <v>1.714972609665</v>
      </c>
    </row>
    <row r="123" spans="2:8" ht="27.95">
      <c r="B123" s="6" t="str">
        <f>VLOOKUP(C123, [1]Definition!$D$5:$K$5665, 8, FALSE)</f>
        <v>Capital Goods</v>
      </c>
      <c r="C123" s="7">
        <v>844630</v>
      </c>
      <c r="D123" s="8" t="s">
        <v>54</v>
      </c>
      <c r="E123" s="9" t="s">
        <v>55</v>
      </c>
      <c r="F123" s="17" t="str">
        <f>_xlfn.IFNA(VLOOKUP(C123, '[2]Unique HS'!$B$4:$J$999, 9, FALSE), "No")</f>
        <v>No</v>
      </c>
      <c r="G123" s="18">
        <f>VLOOKUP(C123, '[1]India EXIM'!$B$6:$C$580, 2, FALSE)</f>
        <v>0.54152698235899999</v>
      </c>
      <c r="H123" s="11">
        <f>VLOOKUP(C123, '[1]China EXIM'!$B$6:$D$580, 3, FALSE)</f>
        <v>1.7074984034949998</v>
      </c>
    </row>
    <row r="124" spans="2:8">
      <c r="B124" s="6" t="str">
        <f>VLOOKUP(C124, [1]Definition!$D$5:$K$5665, 8, FALSE)</f>
        <v>Capital Goods</v>
      </c>
      <c r="C124" s="7">
        <v>845129</v>
      </c>
      <c r="D124" s="8" t="s">
        <v>761</v>
      </c>
      <c r="E124" s="9" t="s">
        <v>55</v>
      </c>
      <c r="F124" s="17" t="str">
        <f>_xlfn.IFNA(VLOOKUP(C124, '[2]Unique HS'!$B$4:$J$999, 9, FALSE), "No")</f>
        <v>No</v>
      </c>
      <c r="G124" s="18">
        <f>VLOOKUP(C124, '[1]India EXIM'!$B$6:$C$580, 2, FALSE)</f>
        <v>1.2386961129E-2</v>
      </c>
      <c r="H124" s="11">
        <f>VLOOKUP(C124, '[1]China EXIM'!$B$6:$D$580, 3, FALSE)</f>
        <v>1.69457222031</v>
      </c>
    </row>
    <row r="125" spans="2:8" ht="27.95">
      <c r="B125" s="6" t="str">
        <f>VLOOKUP(C125, [1]Definition!$D$5:$K$5665, 8, FALSE)</f>
        <v>Capital Goods</v>
      </c>
      <c r="C125" s="7">
        <v>902820</v>
      </c>
      <c r="D125" s="8" t="s">
        <v>902</v>
      </c>
      <c r="E125" s="9" t="s">
        <v>22</v>
      </c>
      <c r="F125" s="17" t="str">
        <f>_xlfn.IFNA(VLOOKUP(C125, '[2]Unique HS'!$B$4:$J$999, 9, FALSE), "No")</f>
        <v>Yes</v>
      </c>
      <c r="G125" s="18">
        <f>VLOOKUP(C125, '[1]India EXIM'!$B$6:$C$580, 2, FALSE)</f>
        <v>6.0392247369999994E-3</v>
      </c>
      <c r="H125" s="11">
        <f>VLOOKUP(C125, '[1]China EXIM'!$B$6:$D$580, 3, FALSE)</f>
        <v>1.6853011760850001</v>
      </c>
    </row>
    <row r="126" spans="2:8" ht="27.95">
      <c r="B126" s="6" t="str">
        <f>VLOOKUP(C126, [1]Definition!$D$5:$K$5665, 8, FALSE)</f>
        <v>Capital Goods</v>
      </c>
      <c r="C126" s="7">
        <v>842620</v>
      </c>
      <c r="D126" s="8" t="s">
        <v>411</v>
      </c>
      <c r="E126" s="9" t="s">
        <v>58</v>
      </c>
      <c r="F126" s="17" t="str">
        <f>_xlfn.IFNA(VLOOKUP(C126, '[2]Unique HS'!$B$4:$J$999, 9, FALSE), "No")</f>
        <v>No</v>
      </c>
      <c r="G126" s="18">
        <f>VLOOKUP(C126, '[1]India EXIM'!$B$6:$C$580, 2, FALSE)</f>
        <v>4.5616390159E-2</v>
      </c>
      <c r="H126" s="11">
        <f>VLOOKUP(C126, '[1]China EXIM'!$B$6:$D$580, 3, FALSE)</f>
        <v>1.658015275011</v>
      </c>
    </row>
    <row r="127" spans="2:8" ht="27.95">
      <c r="B127" s="6" t="str">
        <f>VLOOKUP(C127, [1]Definition!$D$5:$K$5665, 8, FALSE)</f>
        <v>Capital Goods</v>
      </c>
      <c r="C127" s="7">
        <v>843239</v>
      </c>
      <c r="D127" s="8" t="s">
        <v>396</v>
      </c>
      <c r="E127" s="9" t="s">
        <v>1165</v>
      </c>
      <c r="F127" s="17" t="str">
        <f>_xlfn.IFNA(VLOOKUP(C127, '[2]Unique HS'!$B$4:$J$999, 9, FALSE), "No")</f>
        <v>No</v>
      </c>
      <c r="G127" s="18">
        <f>VLOOKUP(C127, '[1]India EXIM'!$B$6:$C$580, 2, FALSE)</f>
        <v>6.2746932889999997E-3</v>
      </c>
      <c r="H127" s="11">
        <f>VLOOKUP(C127, '[1]China EXIM'!$B$6:$D$580, 3, FALSE)</f>
        <v>1.651706697566</v>
      </c>
    </row>
    <row r="128" spans="2:8" ht="42">
      <c r="B128" s="6" t="str">
        <f>VLOOKUP(C128, [1]Definition!$D$5:$K$5665, 8, FALSE)</f>
        <v>Capital Goods</v>
      </c>
      <c r="C128" s="7">
        <v>903084</v>
      </c>
      <c r="D128" s="8" t="s">
        <v>555</v>
      </c>
      <c r="E128" s="9" t="s">
        <v>46</v>
      </c>
      <c r="F128" s="17" t="str">
        <f>_xlfn.IFNA(VLOOKUP(C128, '[2]Unique HS'!$B$4:$J$999, 9, FALSE), "No")</f>
        <v>Yes</v>
      </c>
      <c r="G128" s="18">
        <f>VLOOKUP(C128, '[1]India EXIM'!$B$6:$C$580, 2, FALSE)</f>
        <v>2.5846311043000003E-2</v>
      </c>
      <c r="H128" s="11">
        <f>VLOOKUP(C128, '[1]China EXIM'!$B$6:$D$580, 3, FALSE)</f>
        <v>1.597133981352</v>
      </c>
    </row>
    <row r="129" spans="2:8" ht="27.95">
      <c r="B129" s="6" t="str">
        <f>VLOOKUP(C129, [1]Definition!$D$5:$K$5665, 8, FALSE)</f>
        <v>Capital Goods</v>
      </c>
      <c r="C129" s="7">
        <v>844180</v>
      </c>
      <c r="D129" s="8" t="s">
        <v>259</v>
      </c>
      <c r="E129" s="9" t="s">
        <v>22</v>
      </c>
      <c r="F129" s="17" t="str">
        <f>_xlfn.IFNA(VLOOKUP(C129, '[2]Unique HS'!$B$4:$J$999, 9, FALSE), "No")</f>
        <v>No</v>
      </c>
      <c r="G129" s="18">
        <f>VLOOKUP(C129, '[1]India EXIM'!$B$6:$C$580, 2, FALSE)</f>
        <v>8.9524779523000003E-2</v>
      </c>
      <c r="H129" s="11">
        <f>VLOOKUP(C129, '[1]China EXIM'!$B$6:$D$580, 3, FALSE)</f>
        <v>1.595632331782</v>
      </c>
    </row>
    <row r="130" spans="2:8" ht="42">
      <c r="B130" s="6" t="str">
        <f>VLOOKUP(C130, [1]Definition!$D$5:$K$5665, 8, FALSE)</f>
        <v>Capital Goods</v>
      </c>
      <c r="C130" s="7">
        <v>903033</v>
      </c>
      <c r="D130" s="8" t="s">
        <v>222</v>
      </c>
      <c r="E130" s="9" t="s">
        <v>22</v>
      </c>
      <c r="F130" s="17" t="str">
        <f>_xlfn.IFNA(VLOOKUP(C130, '[2]Unique HS'!$B$4:$J$999, 9, FALSE), "No")</f>
        <v>Yes</v>
      </c>
      <c r="G130" s="22">
        <f>VLOOKUP(C130, '[1]India EXIM'!$B$6:$C$580, 2, FALSE)</f>
        <v>0.114872960274</v>
      </c>
      <c r="H130" s="11">
        <f>VLOOKUP(C130, '[1]China EXIM'!$B$6:$D$580, 3, FALSE)</f>
        <v>2.8954207943829999</v>
      </c>
    </row>
    <row r="131" spans="2:8" ht="42">
      <c r="B131" s="6" t="str">
        <f>VLOOKUP(C131, [1]Definition!$D$5:$K$5665, 8, FALSE)</f>
        <v>Capital Goods</v>
      </c>
      <c r="C131" s="7">
        <v>841319</v>
      </c>
      <c r="D131" s="8" t="s">
        <v>582</v>
      </c>
      <c r="E131" s="9" t="s">
        <v>22</v>
      </c>
      <c r="F131" s="17" t="str">
        <f>_xlfn.IFNA(VLOOKUP(C131, '[2]Unique HS'!$B$4:$J$999, 9, FALSE), "No")</f>
        <v>Yes</v>
      </c>
      <c r="G131" s="18">
        <f>VLOOKUP(C131, '[1]India EXIM'!$B$6:$C$580, 2, FALSE)</f>
        <v>2.3554523824000001E-2</v>
      </c>
      <c r="H131" s="11">
        <f>VLOOKUP(C131, '[1]China EXIM'!$B$6:$D$580, 3, FALSE)</f>
        <v>1.5739793182569999</v>
      </c>
    </row>
    <row r="132" spans="2:8" ht="42">
      <c r="B132" s="6" t="str">
        <f>VLOOKUP(C132, [1]Definition!$D$5:$K$5665, 8, FALSE)</f>
        <v>Capital Goods</v>
      </c>
      <c r="C132" s="7">
        <v>844319</v>
      </c>
      <c r="D132" s="8" t="s">
        <v>244</v>
      </c>
      <c r="E132" s="9" t="s">
        <v>180</v>
      </c>
      <c r="F132" s="17" t="str">
        <f>_xlfn.IFNA(VLOOKUP(C132, '[2]Unique HS'!$B$4:$J$999, 9, FALSE), "No")</f>
        <v>No</v>
      </c>
      <c r="G132" s="18">
        <f>VLOOKUP(C132, '[1]India EXIM'!$B$6:$C$580, 2, FALSE)</f>
        <v>0.10055074059800001</v>
      </c>
      <c r="H132" s="11">
        <f>VLOOKUP(C132, '[1]China EXIM'!$B$6:$D$580, 3, FALSE)</f>
        <v>1.572719259591</v>
      </c>
    </row>
    <row r="133" spans="2:8" ht="27.95">
      <c r="B133" s="6" t="str">
        <f>VLOOKUP(C133, [1]Definition!$D$5:$K$5665, 8, FALSE)</f>
        <v>Capital Goods</v>
      </c>
      <c r="C133" s="7">
        <v>850819</v>
      </c>
      <c r="D133" s="8" t="s">
        <v>755</v>
      </c>
      <c r="E133" s="9" t="s">
        <v>22</v>
      </c>
      <c r="F133" s="17" t="str">
        <f>_xlfn.IFNA(VLOOKUP(C133, '[2]Unique HS'!$B$4:$J$999, 9, FALSE), "No")</f>
        <v>Yes</v>
      </c>
      <c r="G133" s="18">
        <f>VLOOKUP(C133, '[1]India EXIM'!$B$6:$C$580, 2, FALSE)</f>
        <v>1.3131796731000001E-2</v>
      </c>
      <c r="H133" s="11">
        <f>VLOOKUP(C133, '[1]China EXIM'!$B$6:$D$580, 3, FALSE)</f>
        <v>1.565520479136</v>
      </c>
    </row>
    <row r="134" spans="2:8" ht="42">
      <c r="B134" s="6" t="str">
        <f>VLOOKUP(C134, [1]Definition!$D$5:$K$5665, 8, FALSE)</f>
        <v>Capital Goods</v>
      </c>
      <c r="C134" s="7">
        <v>854330</v>
      </c>
      <c r="D134" s="8" t="s">
        <v>383</v>
      </c>
      <c r="E134" s="9" t="s">
        <v>46</v>
      </c>
      <c r="F134" s="17" t="str">
        <f>_xlfn.IFNA(VLOOKUP(C134, '[2]Unique HS'!$B$4:$J$999, 9, FALSE), "No")</f>
        <v>Yes</v>
      </c>
      <c r="G134" s="18">
        <f>VLOOKUP(C134, '[1]India EXIM'!$B$6:$C$580, 2, FALSE)</f>
        <v>4.8769632310999997E-2</v>
      </c>
      <c r="H134" s="11">
        <f>VLOOKUP(C134, '[1]China EXIM'!$B$6:$D$580, 3, FALSE)</f>
        <v>1.5600557511440001</v>
      </c>
    </row>
    <row r="135" spans="2:8" ht="27.95">
      <c r="B135" s="6" t="str">
        <f>VLOOKUP(C135, [1]Definition!$D$5:$K$5665, 8, FALSE)</f>
        <v>Capital Goods</v>
      </c>
      <c r="C135" s="7">
        <v>843320</v>
      </c>
      <c r="D135" s="8" t="s">
        <v>1055</v>
      </c>
      <c r="E135" s="9" t="s">
        <v>1165</v>
      </c>
      <c r="F135" s="17" t="str">
        <f>_xlfn.IFNA(VLOOKUP(C135, '[2]Unique HS'!$B$4:$J$999, 9, FALSE), "No")</f>
        <v>No</v>
      </c>
      <c r="G135" s="18">
        <f>VLOOKUP(C135, '[1]India EXIM'!$B$6:$C$580, 2, FALSE)</f>
        <v>8.6561132399999997E-4</v>
      </c>
      <c r="H135" s="11">
        <f>VLOOKUP(C135, '[1]China EXIM'!$B$6:$D$580, 3, FALSE)</f>
        <v>1.5560013951909999</v>
      </c>
    </row>
    <row r="136" spans="2:8" ht="56.1">
      <c r="B136" s="6" t="str">
        <f>VLOOKUP(C136, [1]Definition!$D$5:$K$5665, 8, FALSE)</f>
        <v>Capital Goods</v>
      </c>
      <c r="C136" s="7">
        <v>844339</v>
      </c>
      <c r="D136" s="8" t="s">
        <v>230</v>
      </c>
      <c r="E136" s="9" t="s">
        <v>180</v>
      </c>
      <c r="F136" s="17" t="str">
        <f>_xlfn.IFNA(VLOOKUP(C136, '[2]Unique HS'!$B$4:$J$999, 9, FALSE), "No")</f>
        <v>Yes</v>
      </c>
      <c r="G136" s="18">
        <f>VLOOKUP(C136, '[1]India EXIM'!$B$6:$C$580, 2, FALSE)</f>
        <v>0.109496026229</v>
      </c>
      <c r="H136" s="11">
        <f>VLOOKUP(C136, '[1]China EXIM'!$B$6:$D$580, 3, FALSE)</f>
        <v>1.5516297982230001</v>
      </c>
    </row>
    <row r="137" spans="2:8" ht="27.95">
      <c r="B137" s="6" t="str">
        <f>VLOOKUP(C137, [1]Definition!$D$5:$K$5665, 8, FALSE)</f>
        <v>Capital Goods</v>
      </c>
      <c r="C137" s="7">
        <v>843340</v>
      </c>
      <c r="D137" s="8" t="s">
        <v>418</v>
      </c>
      <c r="E137" s="9" t="s">
        <v>1165</v>
      </c>
      <c r="F137" s="17" t="str">
        <f>_xlfn.IFNA(VLOOKUP(C137, '[2]Unique HS'!$B$4:$J$999, 9, FALSE), "No")</f>
        <v>No</v>
      </c>
      <c r="G137" s="18">
        <f>VLOOKUP(C137, '[1]India EXIM'!$B$6:$C$580, 2, FALSE)</f>
        <v>1.5564917857000002E-2</v>
      </c>
      <c r="H137" s="11">
        <f>VLOOKUP(C137, '[1]China EXIM'!$B$6:$D$580, 3, FALSE)</f>
        <v>1.539914232319</v>
      </c>
    </row>
    <row r="138" spans="2:8" ht="27.95">
      <c r="B138" s="6" t="str">
        <f>VLOOKUP(C138, [1]Definition!$D$5:$K$5665, 8, FALSE)</f>
        <v>Capital Goods</v>
      </c>
      <c r="C138" s="7">
        <v>842790</v>
      </c>
      <c r="D138" s="8" t="s">
        <v>283</v>
      </c>
      <c r="E138" s="9" t="s">
        <v>58</v>
      </c>
      <c r="F138" s="17" t="str">
        <f>_xlfn.IFNA(VLOOKUP(C138, '[2]Unique HS'!$B$4:$J$999, 9, FALSE), "No")</f>
        <v>No</v>
      </c>
      <c r="G138" s="18">
        <f>VLOOKUP(C138, '[1]India EXIM'!$B$6:$C$580, 2, FALSE)</f>
        <v>8.2130282612000005E-2</v>
      </c>
      <c r="H138" s="11">
        <f>VLOOKUP(C138, '[1]China EXIM'!$B$6:$D$580, 3, FALSE)</f>
        <v>1.5081465035750001</v>
      </c>
    </row>
    <row r="139" spans="2:8" ht="42">
      <c r="B139" s="6" t="str">
        <f>VLOOKUP(C139, [1]Definition!$D$5:$K$5665, 8, FALSE)</f>
        <v>Capital Goods</v>
      </c>
      <c r="C139" s="7">
        <v>901180</v>
      </c>
      <c r="D139" s="8" t="s">
        <v>310</v>
      </c>
      <c r="E139" s="9" t="s">
        <v>22</v>
      </c>
      <c r="F139" s="17" t="str">
        <f>_xlfn.IFNA(VLOOKUP(C139, '[2]Unique HS'!$B$4:$J$999, 9, FALSE), "No")</f>
        <v>Yes</v>
      </c>
      <c r="G139" s="18">
        <f>VLOOKUP(C139, '[1]India EXIM'!$B$6:$C$580, 2, FALSE)</f>
        <v>7.1228741424E-2</v>
      </c>
      <c r="H139" s="11">
        <f>VLOOKUP(C139, '[1]China EXIM'!$B$6:$D$580, 3, FALSE)</f>
        <v>1.4780334768979999</v>
      </c>
    </row>
    <row r="140" spans="2:8">
      <c r="B140" s="6" t="str">
        <f>VLOOKUP(C140, [1]Definition!$D$5:$K$5665, 8, FALSE)</f>
        <v>Capital Goods</v>
      </c>
      <c r="C140" s="7">
        <v>846261</v>
      </c>
      <c r="D140" s="8" t="s">
        <v>354</v>
      </c>
      <c r="E140" s="9" t="s">
        <v>65</v>
      </c>
      <c r="F140" s="17" t="str">
        <f>_xlfn.IFNA(VLOOKUP(C140, '[2]Unique HS'!$B$4:$J$999, 9, FALSE), "No")</f>
        <v>No</v>
      </c>
      <c r="G140" s="18">
        <f>VLOOKUP(C140, '[1]India EXIM'!$B$6:$C$580, 2, FALSE)</f>
        <v>5.7158041978999999E-2</v>
      </c>
      <c r="H140" s="11">
        <f>VLOOKUP(C140, '[1]China EXIM'!$B$6:$D$580, 3, FALSE)</f>
        <v>0.90908541508299989</v>
      </c>
    </row>
    <row r="141" spans="2:8" ht="27.95">
      <c r="B141" s="6" t="str">
        <f>VLOOKUP(C141, [1]Definition!$D$5:$K$5665, 8, FALSE)</f>
        <v>Capital Goods</v>
      </c>
      <c r="C141" s="7">
        <v>842531</v>
      </c>
      <c r="D141" s="8" t="s">
        <v>809</v>
      </c>
      <c r="E141" s="9" t="s">
        <v>58</v>
      </c>
      <c r="F141" s="17" t="str">
        <f>_xlfn.IFNA(VLOOKUP(C141, '[2]Unique HS'!$B$4:$J$999, 9, FALSE), "No")</f>
        <v>No</v>
      </c>
      <c r="G141" s="18">
        <f>VLOOKUP(C141, '[1]India EXIM'!$B$6:$C$580, 2, FALSE)</f>
        <v>9.8695740139999998E-3</v>
      </c>
      <c r="H141" s="11">
        <f>VLOOKUP(C141, '[1]China EXIM'!$B$6:$D$580, 3, FALSE)</f>
        <v>1.4555112935280001</v>
      </c>
    </row>
    <row r="142" spans="2:8" ht="27.95">
      <c r="B142" s="6" t="str">
        <f>VLOOKUP(C142, [1]Definition!$D$5:$K$5665, 8, FALSE)</f>
        <v>Capital Goods</v>
      </c>
      <c r="C142" s="7">
        <v>843031</v>
      </c>
      <c r="D142" s="8" t="s">
        <v>359</v>
      </c>
      <c r="E142" s="9" t="s">
        <v>58</v>
      </c>
      <c r="F142" s="17" t="str">
        <f>_xlfn.IFNA(VLOOKUP(C142, '[2]Unique HS'!$B$4:$J$999, 9, FALSE), "No")</f>
        <v>No</v>
      </c>
      <c r="G142" s="18">
        <f>VLOOKUP(C142, '[1]India EXIM'!$B$6:$C$580, 2, FALSE)</f>
        <v>5.4367920917999996E-2</v>
      </c>
      <c r="H142" s="11">
        <f>VLOOKUP(C142, '[1]China EXIM'!$B$6:$D$580, 3, FALSE)</f>
        <v>1.446285292707</v>
      </c>
    </row>
    <row r="143" spans="2:8" ht="27.95">
      <c r="B143" s="6" t="str">
        <f>VLOOKUP(C143, [1]Definition!$D$5:$K$5665, 8, FALSE)</f>
        <v>Capital Goods</v>
      </c>
      <c r="C143" s="7">
        <v>843280</v>
      </c>
      <c r="D143" s="8" t="s">
        <v>898</v>
      </c>
      <c r="E143" s="9" t="s">
        <v>58</v>
      </c>
      <c r="F143" s="17" t="str">
        <f>_xlfn.IFNA(VLOOKUP(C143, '[2]Unique HS'!$B$4:$J$999, 9, FALSE), "No")</f>
        <v>No</v>
      </c>
      <c r="G143" s="18">
        <f>VLOOKUP(C143, '[1]India EXIM'!$B$6:$C$580, 2, FALSE)</f>
        <v>6.3556009110000006E-3</v>
      </c>
      <c r="H143" s="11">
        <f>VLOOKUP(C143, '[1]China EXIM'!$B$6:$D$580, 3, FALSE)</f>
        <v>1.4452164390220001</v>
      </c>
    </row>
    <row r="144" spans="2:8" ht="27.95">
      <c r="B144" s="6" t="str">
        <f>VLOOKUP(C144, [1]Definition!$D$5:$K$5665, 8, FALSE)</f>
        <v>Capital Goods</v>
      </c>
      <c r="C144" s="7">
        <v>847529</v>
      </c>
      <c r="D144" s="8" t="s">
        <v>292</v>
      </c>
      <c r="E144" s="9" t="s">
        <v>22</v>
      </c>
      <c r="F144" s="17" t="str">
        <f>_xlfn.IFNA(VLOOKUP(C144, '[2]Unique HS'!$B$4:$J$999, 9, FALSE), "No")</f>
        <v>No</v>
      </c>
      <c r="G144" s="18">
        <f>VLOOKUP(C144, '[1]India EXIM'!$B$6:$C$580, 2, FALSE)</f>
        <v>7.4120186952000011E-2</v>
      </c>
      <c r="H144" s="11">
        <f>VLOOKUP(C144, '[1]China EXIM'!$B$6:$D$580, 3, FALSE)</f>
        <v>1.437932210034</v>
      </c>
    </row>
    <row r="145" spans="2:8" ht="27.95">
      <c r="B145" s="6" t="str">
        <f>VLOOKUP(C145, [1]Definition!$D$5:$K$5665, 8, FALSE)</f>
        <v>Capital Goods</v>
      </c>
      <c r="C145" s="7">
        <v>846211</v>
      </c>
      <c r="D145" s="8" t="s">
        <v>369</v>
      </c>
      <c r="E145" s="9" t="s">
        <v>65</v>
      </c>
      <c r="F145" s="17" t="str">
        <f>_xlfn.IFNA(VLOOKUP(C145, '[2]Unique HS'!$B$4:$J$999, 9, FALSE), "No")</f>
        <v>No</v>
      </c>
      <c r="G145" s="18">
        <f>VLOOKUP(C145, '[1]India EXIM'!$B$6:$C$580, 2, FALSE)</f>
        <v>5.2360012625999999E-2</v>
      </c>
      <c r="H145" s="11">
        <f>VLOOKUP(C145, '[1]China EXIM'!$B$6:$D$580, 3, FALSE)</f>
        <v>0.49246440537399999</v>
      </c>
    </row>
    <row r="146" spans="2:8" ht="42">
      <c r="B146" s="6" t="str">
        <f>VLOOKUP(C146, [1]Definition!$D$5:$K$5665, 8, FALSE)</f>
        <v>Capital Goods</v>
      </c>
      <c r="C146" s="7">
        <v>847759</v>
      </c>
      <c r="D146" s="8" t="s">
        <v>215</v>
      </c>
      <c r="E146" s="9" t="s">
        <v>52</v>
      </c>
      <c r="F146" s="17" t="str">
        <f>_xlfn.IFNA(VLOOKUP(C146, '[2]Unique HS'!$B$4:$J$999, 9, FALSE), "No")</f>
        <v>No</v>
      </c>
      <c r="G146" s="18">
        <f>VLOOKUP(C146, '[1]India EXIM'!$B$6:$C$580, 2, FALSE)</f>
        <v>0.11997662432099999</v>
      </c>
      <c r="H146" s="11">
        <f>VLOOKUP(C146, '[1]China EXIM'!$B$6:$D$580, 3, FALSE)</f>
        <v>1.4301769840629999</v>
      </c>
    </row>
    <row r="147" spans="2:8" ht="27.95">
      <c r="B147" s="6" t="str">
        <f>VLOOKUP(C147, [1]Definition!$D$5:$K$5665, 8, FALSE)</f>
        <v>Capital Goods</v>
      </c>
      <c r="C147" s="7">
        <v>846721</v>
      </c>
      <c r="D147" s="8" t="s">
        <v>372</v>
      </c>
      <c r="E147" s="9" t="s">
        <v>65</v>
      </c>
      <c r="F147" s="17" t="str">
        <f>_xlfn.IFNA(VLOOKUP(C147, '[2]Unique HS'!$B$4:$J$999, 9, FALSE), "No")</f>
        <v>Yes</v>
      </c>
      <c r="G147" s="18">
        <f>VLOOKUP(C147, '[1]India EXIM'!$B$6:$C$580, 2, FALSE)</f>
        <v>5.1904876715000006E-2</v>
      </c>
      <c r="H147" s="11">
        <f>VLOOKUP(C147, '[1]China EXIM'!$B$6:$D$580, 3, FALSE)</f>
        <v>4.5133868513050004</v>
      </c>
    </row>
    <row r="148" spans="2:8" ht="42">
      <c r="B148" s="6" t="str">
        <f>VLOOKUP(C148, [1]Definition!$D$5:$K$5665, 8, FALSE)</f>
        <v>Capital Goods</v>
      </c>
      <c r="C148" s="7">
        <v>847730</v>
      </c>
      <c r="D148" s="8" t="s">
        <v>245</v>
      </c>
      <c r="E148" s="9" t="s">
        <v>52</v>
      </c>
      <c r="F148" s="17" t="str">
        <f>_xlfn.IFNA(VLOOKUP(C148, '[2]Unique HS'!$B$4:$J$999, 9, FALSE), "No")</f>
        <v>No</v>
      </c>
      <c r="G148" s="18">
        <f>VLOOKUP(C148, '[1]India EXIM'!$B$6:$C$580, 2, FALSE)</f>
        <v>9.9844386928000003E-2</v>
      </c>
      <c r="H148" s="11">
        <f>VLOOKUP(C148, '[1]China EXIM'!$B$6:$D$580, 3, FALSE)</f>
        <v>1.3901139551800001</v>
      </c>
    </row>
    <row r="149" spans="2:8" ht="27.95">
      <c r="B149" s="6" t="str">
        <f>VLOOKUP(C149, [1]Definition!$D$5:$K$5665, 8, FALSE)</f>
        <v>Capital Goods</v>
      </c>
      <c r="C149" s="7">
        <v>841940</v>
      </c>
      <c r="D149" s="8" t="s">
        <v>516</v>
      </c>
      <c r="E149" s="9" t="s">
        <v>22</v>
      </c>
      <c r="F149" s="17" t="str">
        <f>_xlfn.IFNA(VLOOKUP(C149, '[2]Unique HS'!$B$4:$J$999, 9, FALSE), "No")</f>
        <v>Yes</v>
      </c>
      <c r="G149" s="18">
        <f>VLOOKUP(C149, '[1]India EXIM'!$B$6:$C$580, 2, FALSE)</f>
        <v>2.9402068614E-2</v>
      </c>
      <c r="H149" s="11">
        <f>VLOOKUP(C149, '[1]China EXIM'!$B$6:$D$580, 3, FALSE)</f>
        <v>1.389044602747</v>
      </c>
    </row>
    <row r="150" spans="2:8" ht="27.95">
      <c r="B150" s="6" t="str">
        <f>VLOOKUP(C150, [1]Definition!$D$5:$K$5665, 8, FALSE)</f>
        <v>Capital Goods</v>
      </c>
      <c r="C150" s="7">
        <v>843629</v>
      </c>
      <c r="D150" s="16" t="s">
        <v>759</v>
      </c>
      <c r="E150" s="9" t="s">
        <v>61</v>
      </c>
      <c r="F150" s="17" t="str">
        <f>_xlfn.IFNA(VLOOKUP(C150, '[2]Unique HS'!$B$4:$J$999, 9, FALSE), "No")</f>
        <v>No</v>
      </c>
      <c r="G150" s="18">
        <f>VLOOKUP(C150, '[1]India EXIM'!$B$6:$C$580, 2, FALSE)</f>
        <v>1.2762712698999999E-2</v>
      </c>
      <c r="H150" s="11">
        <f>VLOOKUP(C150, '[1]China EXIM'!$B$6:$D$580, 3, FALSE)</f>
        <v>1.3829968884799999</v>
      </c>
    </row>
    <row r="151" spans="2:8" ht="27.95">
      <c r="B151" s="6" t="str">
        <f>VLOOKUP(C151, [1]Definition!$D$5:$K$5665, 8, FALSE)</f>
        <v>Capital Goods</v>
      </c>
      <c r="C151" s="7">
        <v>820770</v>
      </c>
      <c r="D151" s="8" t="s">
        <v>376</v>
      </c>
      <c r="E151" s="9" t="s">
        <v>65</v>
      </c>
      <c r="F151" s="17" t="str">
        <f>_xlfn.IFNA(VLOOKUP(C151, '[2]Unique HS'!$B$4:$J$999, 9, FALSE), "No")</f>
        <v>Yes</v>
      </c>
      <c r="G151" s="18">
        <f>VLOOKUP(C151, '[1]India EXIM'!$B$6:$C$580, 2, FALSE)</f>
        <v>5.1586156726999996E-2</v>
      </c>
      <c r="H151" s="11">
        <f>VLOOKUP(C151, '[1]China EXIM'!$B$6:$D$580, 3, FALSE)</f>
        <v>2.8063868964530001</v>
      </c>
    </row>
    <row r="152" spans="2:8" ht="27.95">
      <c r="B152" s="6" t="str">
        <f>VLOOKUP(C152, [1]Definition!$D$5:$K$5665, 8, FALSE)</f>
        <v>Capital Goods</v>
      </c>
      <c r="C152" s="7">
        <v>845891</v>
      </c>
      <c r="D152" s="8" t="s">
        <v>402</v>
      </c>
      <c r="E152" s="9" t="s">
        <v>65</v>
      </c>
      <c r="F152" s="17" t="str">
        <f>_xlfn.IFNA(VLOOKUP(C152, '[2]Unique HS'!$B$4:$J$999, 9, FALSE), "No")</f>
        <v>No</v>
      </c>
      <c r="G152" s="18">
        <f>VLOOKUP(C152, '[1]India EXIM'!$B$6:$C$580, 2, FALSE)</f>
        <v>4.6412194479999995E-2</v>
      </c>
      <c r="H152" s="11">
        <f>VLOOKUP(C152, '[1]China EXIM'!$B$6:$D$580, 3, FALSE)</f>
        <v>1.2016319750269999</v>
      </c>
    </row>
    <row r="153" spans="2:8" ht="42">
      <c r="B153" s="6" t="str">
        <f>VLOOKUP(C153, [1]Definition!$D$5:$K$5665, 8, FALSE)</f>
        <v>Capital Goods</v>
      </c>
      <c r="C153" s="7">
        <v>902480</v>
      </c>
      <c r="D153" s="8" t="s">
        <v>305</v>
      </c>
      <c r="E153" s="9" t="s">
        <v>22</v>
      </c>
      <c r="F153" s="17" t="str">
        <f>_xlfn.IFNA(VLOOKUP(C153, '[2]Unique HS'!$B$4:$J$999, 9, FALSE), "No")</f>
        <v>Yes</v>
      </c>
      <c r="G153" s="18">
        <f>VLOOKUP(C153, '[1]India EXIM'!$B$6:$C$580, 2, FALSE)</f>
        <v>7.2285559994999998E-2</v>
      </c>
      <c r="H153" s="11">
        <f>VLOOKUP(C153, '[1]China EXIM'!$B$6:$D$580, 3, FALSE)</f>
        <v>1.3486598420710001</v>
      </c>
    </row>
    <row r="154" spans="2:8">
      <c r="B154" s="6" t="str">
        <f>VLOOKUP(C154, [1]Definition!$D$5:$K$5665, 8, FALSE)</f>
        <v>Capital Goods</v>
      </c>
      <c r="C154" s="7">
        <v>842870</v>
      </c>
      <c r="D154" s="8" t="s">
        <v>697</v>
      </c>
      <c r="E154" s="9" t="s">
        <v>65</v>
      </c>
      <c r="F154" s="17" t="str">
        <f>_xlfn.IFNA(VLOOKUP(C154, '[2]Unique HS'!$B$4:$J$999, 9, FALSE), "No")</f>
        <v>Yes</v>
      </c>
      <c r="G154" s="18">
        <f>VLOOKUP(C154, '[1]India EXIM'!$B$6:$C$580, 2, FALSE)</f>
        <v>1.6246014533000001E-2</v>
      </c>
      <c r="H154" s="11">
        <f>VLOOKUP(C154, '[1]China EXIM'!$B$6:$D$580, 3, FALSE)</f>
        <v>1.3345155115899998</v>
      </c>
    </row>
    <row r="155" spans="2:8" ht="27.95">
      <c r="B155" s="6" t="str">
        <f>VLOOKUP(C155, [1]Definition!$D$5:$K$5665, 8, FALSE)</f>
        <v>Capital Goods</v>
      </c>
      <c r="C155" s="7">
        <v>848520</v>
      </c>
      <c r="D155" s="8" t="s">
        <v>804</v>
      </c>
      <c r="E155" s="9" t="s">
        <v>52</v>
      </c>
      <c r="F155" s="17" t="str">
        <f>_xlfn.IFNA(VLOOKUP(C155, '[2]Unique HS'!$B$4:$J$999, 9, FALSE), "No")</f>
        <v>No</v>
      </c>
      <c r="G155" s="18">
        <f>VLOOKUP(C155, '[1]India EXIM'!$B$6:$C$580, 2, FALSE)</f>
        <v>1.0299531886E-2</v>
      </c>
      <c r="H155" s="11">
        <f>VLOOKUP(C155, '[1]China EXIM'!$B$6:$D$580, 3, FALSE)</f>
        <v>1.3224036971240001</v>
      </c>
    </row>
    <row r="156" spans="2:8" ht="42">
      <c r="B156" s="6" t="str">
        <f>VLOOKUP(C156, [1]Definition!$D$5:$K$5665, 8, FALSE)</f>
        <v>Capital Goods</v>
      </c>
      <c r="C156" s="7">
        <v>851531</v>
      </c>
      <c r="D156" s="8" t="s">
        <v>412</v>
      </c>
      <c r="E156" s="9" t="s">
        <v>65</v>
      </c>
      <c r="F156" s="17" t="str">
        <f>_xlfn.IFNA(VLOOKUP(C156, '[2]Unique HS'!$B$4:$J$999, 9, FALSE), "No")</f>
        <v>Yes</v>
      </c>
      <c r="G156" s="18">
        <f>VLOOKUP(C156, '[1]India EXIM'!$B$6:$C$580, 2, FALSE)</f>
        <v>4.5591867567000004E-2</v>
      </c>
      <c r="H156" s="11">
        <f>VLOOKUP(C156, '[1]China EXIM'!$B$6:$D$580, 3, FALSE)</f>
        <v>1.8553353238099999</v>
      </c>
    </row>
    <row r="157" spans="2:8" ht="27.95">
      <c r="B157" s="6" t="str">
        <f>VLOOKUP(C157, [1]Definition!$D$5:$K$5665, 8, FALSE)</f>
        <v>Capital Goods</v>
      </c>
      <c r="C157" s="7">
        <v>844540</v>
      </c>
      <c r="D157" s="8" t="s">
        <v>175</v>
      </c>
      <c r="E157" s="9" t="s">
        <v>55</v>
      </c>
      <c r="F157" s="17" t="str">
        <f>_xlfn.IFNA(VLOOKUP(C157, '[2]Unique HS'!$B$4:$J$999, 9, FALSE), "No")</f>
        <v>No</v>
      </c>
      <c r="G157" s="18">
        <f>VLOOKUP(C157, '[1]India EXIM'!$B$6:$C$580, 2, FALSE)</f>
        <v>0.15382336005799999</v>
      </c>
      <c r="H157" s="11">
        <f>VLOOKUP(C157, '[1]China EXIM'!$B$6:$D$580, 3, FALSE)</f>
        <v>1.305928711055</v>
      </c>
    </row>
    <row r="158" spans="2:8">
      <c r="B158" s="6" t="str">
        <f>VLOOKUP(C158, [1]Definition!$D$5:$K$5665, 8, FALSE)</f>
        <v>Capital Goods</v>
      </c>
      <c r="C158" s="7">
        <v>844316</v>
      </c>
      <c r="D158" s="8" t="s">
        <v>403</v>
      </c>
      <c r="E158" s="9" t="s">
        <v>180</v>
      </c>
      <c r="F158" s="17" t="str">
        <f>_xlfn.IFNA(VLOOKUP(C158, '[2]Unique HS'!$B$4:$J$999, 9, FALSE), "No")</f>
        <v>No</v>
      </c>
      <c r="G158" s="18">
        <f>VLOOKUP(C158, '[1]India EXIM'!$B$6:$C$580, 2, FALSE)</f>
        <v>4.6407118471E-2</v>
      </c>
      <c r="H158" s="11">
        <f>VLOOKUP(C158, '[1]China EXIM'!$B$6:$D$580, 3, FALSE)</f>
        <v>1.3058100167160001</v>
      </c>
    </row>
    <row r="159" spans="2:8" ht="42">
      <c r="B159" s="6" t="str">
        <f>VLOOKUP(C159, [1]Definition!$D$5:$K$5665, 8, FALSE)</f>
        <v>Capital Goods</v>
      </c>
      <c r="C159" s="7">
        <v>842511</v>
      </c>
      <c r="D159" s="8" t="s">
        <v>510</v>
      </c>
      <c r="E159" s="9" t="s">
        <v>58</v>
      </c>
      <c r="F159" s="17" t="str">
        <f>_xlfn.IFNA(VLOOKUP(C159, '[2]Unique HS'!$B$4:$J$999, 9, FALSE), "No")</f>
        <v>No</v>
      </c>
      <c r="G159" s="18">
        <f>VLOOKUP(C159, '[1]India EXIM'!$B$6:$C$580, 2, FALSE)</f>
        <v>3.0094886103999997E-2</v>
      </c>
      <c r="H159" s="11">
        <f>VLOOKUP(C159, '[1]China EXIM'!$B$6:$D$580, 3, FALSE)</f>
        <v>1.3036309544619999</v>
      </c>
    </row>
    <row r="160" spans="2:8" ht="27.95">
      <c r="B160" s="6" t="str">
        <f>VLOOKUP(C160, [1]Definition!$D$5:$K$5665, 8, FALSE)</f>
        <v>Capital Goods</v>
      </c>
      <c r="C160" s="7">
        <v>841780</v>
      </c>
      <c r="D160" s="8" t="s">
        <v>216</v>
      </c>
      <c r="E160" s="9" t="s">
        <v>22</v>
      </c>
      <c r="F160" s="17" t="str">
        <f>_xlfn.IFNA(VLOOKUP(C160, '[2]Unique HS'!$B$4:$J$999, 9, FALSE), "No")</f>
        <v>No</v>
      </c>
      <c r="G160" s="18">
        <f>VLOOKUP(C160, '[1]India EXIM'!$B$6:$C$580, 2, FALSE)</f>
        <v>0.115086068431</v>
      </c>
      <c r="H160" s="11">
        <f>VLOOKUP(C160, '[1]China EXIM'!$B$6:$D$580, 3, FALSE)</f>
        <v>1.3015325557170001</v>
      </c>
    </row>
    <row r="161" spans="2:8" ht="27.95">
      <c r="B161" s="6" t="str">
        <f>VLOOKUP(C161, [1]Definition!$D$5:$K$5665, 8, FALSE)</f>
        <v>Capital Goods</v>
      </c>
      <c r="C161" s="7">
        <v>843820</v>
      </c>
      <c r="D161" s="8" t="s">
        <v>325</v>
      </c>
      <c r="E161" s="9" t="s">
        <v>61</v>
      </c>
      <c r="F161" s="17" t="str">
        <f>_xlfn.IFNA(VLOOKUP(C161, '[2]Unique HS'!$B$4:$J$999, 9, FALSE), "No")</f>
        <v>No</v>
      </c>
      <c r="G161" s="18">
        <f>VLOOKUP(C161, '[1]India EXIM'!$B$6:$C$580, 2, FALSE)</f>
        <v>6.9915952182999994E-2</v>
      </c>
      <c r="H161" s="11">
        <f>VLOOKUP(C161, '[1]China EXIM'!$B$6:$D$580, 3, FALSE)</f>
        <v>1.2997481195439999</v>
      </c>
    </row>
    <row r="162" spans="2:8" ht="27.95">
      <c r="B162" s="6" t="str">
        <f>VLOOKUP(C162, [1]Definition!$D$5:$K$5665, 8, FALSE)</f>
        <v>Capital Goods</v>
      </c>
      <c r="C162" s="7">
        <v>841960</v>
      </c>
      <c r="D162" s="8" t="s">
        <v>256</v>
      </c>
      <c r="E162" s="9" t="s">
        <v>22</v>
      </c>
      <c r="F162" s="17" t="str">
        <f>_xlfn.IFNA(VLOOKUP(C162, '[2]Unique HS'!$B$4:$J$999, 9, FALSE), "No")</f>
        <v>No</v>
      </c>
      <c r="G162" s="18">
        <f>VLOOKUP(C162, '[1]India EXIM'!$B$6:$C$580, 2, FALSE)</f>
        <v>9.0236484717999998E-2</v>
      </c>
      <c r="H162" s="11">
        <f>VLOOKUP(C162, '[1]China EXIM'!$B$6:$D$580, 3, FALSE)</f>
        <v>1.2844302528</v>
      </c>
    </row>
    <row r="163" spans="2:8" ht="27.95">
      <c r="B163" s="6" t="str">
        <f>VLOOKUP(C163, [1]Definition!$D$5:$K$5665, 8, FALSE)</f>
        <v>Capital Goods</v>
      </c>
      <c r="C163" s="7">
        <v>845630</v>
      </c>
      <c r="D163" s="8" t="s">
        <v>413</v>
      </c>
      <c r="E163" s="9" t="s">
        <v>65</v>
      </c>
      <c r="F163" s="17" t="str">
        <f>_xlfn.IFNA(VLOOKUP(C163, '[2]Unique HS'!$B$4:$J$999, 9, FALSE), "No")</f>
        <v>No</v>
      </c>
      <c r="G163" s="18">
        <f>VLOOKUP(C163, '[1]India EXIM'!$B$6:$C$580, 2, FALSE)</f>
        <v>4.5551206976000007E-2</v>
      </c>
      <c r="H163" s="11">
        <f>VLOOKUP(C163, '[1]China EXIM'!$B$6:$D$580, 3, FALSE)</f>
        <v>0.87904726366399999</v>
      </c>
    </row>
    <row r="164" spans="2:8">
      <c r="B164" s="6" t="str">
        <f>VLOOKUP(C164, [1]Definition!$D$5:$K$5665, 8, FALSE)</f>
        <v>Capital Goods</v>
      </c>
      <c r="C164" s="7">
        <v>844520</v>
      </c>
      <c r="D164" s="8" t="s">
        <v>203</v>
      </c>
      <c r="E164" s="9" t="s">
        <v>55</v>
      </c>
      <c r="F164" s="17" t="str">
        <f>_xlfn.IFNA(VLOOKUP(C164, '[2]Unique HS'!$B$4:$J$999, 9, FALSE), "No")</f>
        <v>No</v>
      </c>
      <c r="G164" s="18">
        <f>VLOOKUP(C164, '[1]India EXIM'!$B$6:$C$580, 2, FALSE)</f>
        <v>0.12359979195399999</v>
      </c>
      <c r="H164" s="11">
        <f>VLOOKUP(C164, '[1]China EXIM'!$B$6:$D$580, 3, FALSE)</f>
        <v>1.2708829996589999</v>
      </c>
    </row>
    <row r="165" spans="2:8" ht="27.95">
      <c r="B165" s="6" t="str">
        <f>VLOOKUP(C165, [1]Definition!$D$5:$K$5665, 8, FALSE)</f>
        <v>Capital Goods</v>
      </c>
      <c r="C165" s="7">
        <v>843069</v>
      </c>
      <c r="D165" s="8" t="s">
        <v>815</v>
      </c>
      <c r="E165" s="9" t="s">
        <v>58</v>
      </c>
      <c r="F165" s="17" t="str">
        <f>_xlfn.IFNA(VLOOKUP(C165, '[2]Unique HS'!$B$4:$J$999, 9, FALSE), "No")</f>
        <v>No</v>
      </c>
      <c r="G165" s="18">
        <f>VLOOKUP(C165, '[1]India EXIM'!$B$6:$C$580, 2, FALSE)</f>
        <v>9.615186789999999E-3</v>
      </c>
      <c r="H165" s="11">
        <f>VLOOKUP(C165, '[1]China EXIM'!$B$6:$D$580, 3, FALSE)</f>
        <v>1.265461331684</v>
      </c>
    </row>
    <row r="166" spans="2:8" ht="27.95">
      <c r="B166" s="6" t="str">
        <f>VLOOKUP(C166, [1]Definition!$D$5:$K$5665, 8, FALSE)</f>
        <v>Capital Goods</v>
      </c>
      <c r="C166" s="7">
        <v>901780</v>
      </c>
      <c r="D166" s="8" t="s">
        <v>938</v>
      </c>
      <c r="E166" s="9" t="s">
        <v>22</v>
      </c>
      <c r="F166" s="17" t="str">
        <f>_xlfn.IFNA(VLOOKUP(C166, '[2]Unique HS'!$B$4:$J$999, 9, FALSE), "No")</f>
        <v>Yes</v>
      </c>
      <c r="G166" s="18">
        <f>VLOOKUP(C166, '[1]India EXIM'!$B$6:$C$580, 2, FALSE)</f>
        <v>4.7484671210000001E-3</v>
      </c>
      <c r="H166" s="11">
        <f>VLOOKUP(C166, '[1]China EXIM'!$B$6:$D$580, 3, FALSE)</f>
        <v>1.265199224004</v>
      </c>
    </row>
    <row r="167" spans="2:8">
      <c r="B167" s="6" t="str">
        <f>VLOOKUP(C167, [1]Definition!$D$5:$K$5665, 8, FALSE)</f>
        <v>Capital Goods</v>
      </c>
      <c r="C167" s="7">
        <v>845221</v>
      </c>
      <c r="D167" s="8" t="s">
        <v>355</v>
      </c>
      <c r="E167" s="9" t="s">
        <v>55</v>
      </c>
      <c r="F167" s="17" t="str">
        <f>_xlfn.IFNA(VLOOKUP(C167, '[2]Unique HS'!$B$4:$J$999, 9, FALSE), "No")</f>
        <v>No</v>
      </c>
      <c r="G167" s="18">
        <f>VLOOKUP(C167, '[1]India EXIM'!$B$6:$C$580, 2, FALSE)</f>
        <v>5.6406885624000001E-2</v>
      </c>
      <c r="H167" s="11">
        <f>VLOOKUP(C167, '[1]China EXIM'!$B$6:$D$580, 3, FALSE)</f>
        <v>1.2633477899349999</v>
      </c>
    </row>
    <row r="168" spans="2:8" ht="27.95">
      <c r="B168" s="6" t="str">
        <f>VLOOKUP(C168, [1]Definition!$D$5:$K$5665, 8, FALSE)</f>
        <v>Capital Goods</v>
      </c>
      <c r="C168" s="7">
        <v>844400</v>
      </c>
      <c r="D168" s="8" t="s">
        <v>329</v>
      </c>
      <c r="E168" s="9" t="s">
        <v>55</v>
      </c>
      <c r="F168" s="17" t="str">
        <f>_xlfn.IFNA(VLOOKUP(C168, '[2]Unique HS'!$B$4:$J$999, 9, FALSE), "No")</f>
        <v>Yes</v>
      </c>
      <c r="G168" s="18">
        <f>VLOOKUP(C168, '[1]India EXIM'!$B$6:$C$580, 2, FALSE)</f>
        <v>6.7399447471000004E-2</v>
      </c>
      <c r="H168" s="11">
        <f>VLOOKUP(C168, '[1]China EXIM'!$B$6:$D$580, 3, FALSE)</f>
        <v>1.2616895306789999</v>
      </c>
    </row>
    <row r="169" spans="2:8" ht="27.95">
      <c r="B169" s="6" t="str">
        <f>VLOOKUP(C169, [1]Definition!$D$5:$K$5665, 8, FALSE)</f>
        <v>Capital Goods</v>
      </c>
      <c r="C169" s="7">
        <v>841920</v>
      </c>
      <c r="D169" s="8" t="s">
        <v>488</v>
      </c>
      <c r="E169" s="9" t="s">
        <v>22</v>
      </c>
      <c r="F169" s="17" t="str">
        <f>_xlfn.IFNA(VLOOKUP(C169, '[2]Unique HS'!$B$4:$J$999, 9, FALSE), "No")</f>
        <v>Yes</v>
      </c>
      <c r="G169" s="18">
        <f>VLOOKUP(C169, '[1]India EXIM'!$B$6:$C$580, 2, FALSE)</f>
        <v>3.4521047386000002E-2</v>
      </c>
      <c r="H169" s="11">
        <f>VLOOKUP(C169, '[1]China EXIM'!$B$6:$D$580, 3, FALSE)</f>
        <v>1.2508590092030001</v>
      </c>
    </row>
    <row r="170" spans="2:8">
      <c r="B170" s="6" t="str">
        <f>VLOOKUP(C170, [1]Definition!$D$5:$K$5665, 8, FALSE)</f>
        <v>Capital Goods</v>
      </c>
      <c r="C170" s="7">
        <v>846263</v>
      </c>
      <c r="D170" s="8" t="s">
        <v>421</v>
      </c>
      <c r="E170" s="9" t="s">
        <v>65</v>
      </c>
      <c r="F170" s="17" t="str">
        <f>_xlfn.IFNA(VLOOKUP(C170, '[2]Unique HS'!$B$4:$J$999, 9, FALSE), "No")</f>
        <v>No</v>
      </c>
      <c r="G170" s="18">
        <f>VLOOKUP(C170, '[1]India EXIM'!$B$6:$C$580, 2, FALSE)</f>
        <v>4.494813609E-2</v>
      </c>
      <c r="H170" s="11">
        <f>VLOOKUP(C170, '[1]China EXIM'!$B$6:$D$580, 3, FALSE)</f>
        <v>0.303521236375</v>
      </c>
    </row>
    <row r="171" spans="2:8" ht="42">
      <c r="B171" s="6" t="str">
        <f>VLOOKUP(C171, [1]Definition!$D$5:$K$5665, 8, FALSE)</f>
        <v>Capital Goods</v>
      </c>
      <c r="C171" s="7">
        <v>841320</v>
      </c>
      <c r="D171" s="8" t="s">
        <v>876</v>
      </c>
      <c r="E171" s="9" t="s">
        <v>22</v>
      </c>
      <c r="F171" s="17" t="str">
        <f>_xlfn.IFNA(VLOOKUP(C171, '[2]Unique HS'!$B$4:$J$999, 9, FALSE), "No")</f>
        <v>Yes</v>
      </c>
      <c r="G171" s="18">
        <f>VLOOKUP(C171, '[1]India EXIM'!$B$6:$C$580, 2, FALSE)</f>
        <v>7.5312262609999996E-3</v>
      </c>
      <c r="H171" s="11">
        <f>VLOOKUP(C171, '[1]China EXIM'!$B$6:$D$580, 3, FALSE)</f>
        <v>1.2280170536600001</v>
      </c>
    </row>
    <row r="172" spans="2:8" ht="27.95">
      <c r="B172" s="6" t="str">
        <f>VLOOKUP(C172, [1]Definition!$D$5:$K$5665, 8, FALSE)</f>
        <v>Capital Goods</v>
      </c>
      <c r="C172" s="7">
        <v>843610</v>
      </c>
      <c r="D172" s="8" t="s">
        <v>567</v>
      </c>
      <c r="E172" s="9" t="s">
        <v>61</v>
      </c>
      <c r="F172" s="17" t="str">
        <f>_xlfn.IFNA(VLOOKUP(C172, '[2]Unique HS'!$B$4:$J$999, 9, FALSE), "No")</f>
        <v>No</v>
      </c>
      <c r="G172" s="18">
        <f>VLOOKUP(C172, '[1]India EXIM'!$B$6:$C$580, 2, FALSE)</f>
        <v>2.4411253250999999E-2</v>
      </c>
      <c r="H172" s="11">
        <f>VLOOKUP(C172, '[1]China EXIM'!$B$6:$D$580, 3, FALSE)</f>
        <v>1.2184339111559999</v>
      </c>
    </row>
    <row r="173" spans="2:8" ht="27.95">
      <c r="B173" s="6" t="str">
        <f>VLOOKUP(C173, [1]Definition!$D$5:$K$5665, 8, FALSE)</f>
        <v>Capital Goods</v>
      </c>
      <c r="C173" s="7">
        <v>843920</v>
      </c>
      <c r="D173" s="8" t="s">
        <v>250</v>
      </c>
      <c r="E173" s="9" t="s">
        <v>22</v>
      </c>
      <c r="F173" s="17" t="str">
        <f>_xlfn.IFNA(VLOOKUP(C173, '[2]Unique HS'!$B$4:$J$999, 9, FALSE), "No")</f>
        <v>No</v>
      </c>
      <c r="G173" s="18">
        <f>VLOOKUP(C173, '[1]India EXIM'!$B$6:$C$580, 2, FALSE)</f>
        <v>9.7049355672999993E-2</v>
      </c>
      <c r="H173" s="11">
        <f>VLOOKUP(C173, '[1]China EXIM'!$B$6:$D$580, 3, FALSE)</f>
        <v>1.2180796592119998</v>
      </c>
    </row>
    <row r="174" spans="2:8" ht="56.1">
      <c r="B174" s="6" t="str">
        <f>VLOOKUP(C174, [1]Definition!$D$5:$K$5665, 8, FALSE)</f>
        <v>Capital Goods</v>
      </c>
      <c r="C174" s="7">
        <v>846090</v>
      </c>
      <c r="D174" s="8" t="s">
        <v>422</v>
      </c>
      <c r="E174" s="9" t="s">
        <v>65</v>
      </c>
      <c r="F174" s="17" t="str">
        <f>_xlfn.IFNA(VLOOKUP(C174, '[2]Unique HS'!$B$4:$J$999, 9, FALSE), "No")</f>
        <v>Yes</v>
      </c>
      <c r="G174" s="18">
        <f>VLOOKUP(C174, '[1]India EXIM'!$B$6:$C$580, 2, FALSE)</f>
        <v>4.4646310424000003E-2</v>
      </c>
      <c r="H174" s="11">
        <f>VLOOKUP(C174, '[1]China EXIM'!$B$6:$D$580, 3, FALSE)</f>
        <v>0.61184279975</v>
      </c>
    </row>
    <row r="175" spans="2:8" ht="27.95">
      <c r="B175" s="6" t="str">
        <f>VLOOKUP(C175, [1]Definition!$D$5:$K$5665, 8, FALSE)</f>
        <v>Capital Goods</v>
      </c>
      <c r="C175" s="7">
        <v>843360</v>
      </c>
      <c r="D175" s="8" t="s">
        <v>631</v>
      </c>
      <c r="E175" s="9" t="s">
        <v>61</v>
      </c>
      <c r="F175" s="17" t="str">
        <f>_xlfn.IFNA(VLOOKUP(C175, '[2]Unique HS'!$B$4:$J$999, 9, FALSE), "No")</f>
        <v>No</v>
      </c>
      <c r="G175" s="18">
        <f>VLOOKUP(C175, '[1]India EXIM'!$B$6:$C$580, 2, FALSE)</f>
        <v>2.0369429528999998E-2</v>
      </c>
      <c r="H175" s="11">
        <f>VLOOKUP(C175, '[1]China EXIM'!$B$6:$D$580, 3, FALSE)</f>
        <v>1.2080283842000001</v>
      </c>
    </row>
    <row r="176" spans="2:8" ht="27.95">
      <c r="B176" s="6" t="str">
        <f>VLOOKUP(C176, [1]Definition!$D$5:$K$5665, 8, FALSE)</f>
        <v>Capital Goods</v>
      </c>
      <c r="C176" s="7">
        <v>846711</v>
      </c>
      <c r="D176" s="8" t="s">
        <v>432</v>
      </c>
      <c r="E176" s="9" t="s">
        <v>65</v>
      </c>
      <c r="F176" s="17" t="str">
        <f>_xlfn.IFNA(VLOOKUP(C176, '[2]Unique HS'!$B$4:$J$999, 9, FALSE), "No")</f>
        <v>Yes</v>
      </c>
      <c r="G176" s="18">
        <f>VLOOKUP(C176, '[1]India EXIM'!$B$6:$C$580, 2, FALSE)</f>
        <v>4.2655846966999998E-2</v>
      </c>
      <c r="H176" s="11">
        <f>VLOOKUP(C176, '[1]China EXIM'!$B$6:$D$580, 3, FALSE)</f>
        <v>0.89248308480400007</v>
      </c>
    </row>
    <row r="177" spans="2:8" ht="42">
      <c r="B177" s="6" t="str">
        <f>VLOOKUP(C177, [1]Definition!$D$5:$K$5665, 8, FALSE)</f>
        <v>Capital Goods</v>
      </c>
      <c r="C177" s="7">
        <v>846310</v>
      </c>
      <c r="D177" s="8" t="s">
        <v>433</v>
      </c>
      <c r="E177" s="9" t="s">
        <v>65</v>
      </c>
      <c r="F177" s="17" t="str">
        <f>_xlfn.IFNA(VLOOKUP(C177, '[2]Unique HS'!$B$4:$J$999, 9, FALSE), "No")</f>
        <v>No</v>
      </c>
      <c r="G177" s="18">
        <f>VLOOKUP(C177, '[1]India EXIM'!$B$6:$C$580, 2, FALSE)</f>
        <v>4.2290907039999999E-2</v>
      </c>
      <c r="H177" s="11">
        <f>VLOOKUP(C177, '[1]China EXIM'!$B$6:$D$580, 3, FALSE)</f>
        <v>0.48831889063700001</v>
      </c>
    </row>
    <row r="178" spans="2:8">
      <c r="B178" s="6" t="str">
        <f>VLOOKUP(C178, [1]Definition!$D$5:$K$5665, 8, FALSE)</f>
        <v>Capital Goods</v>
      </c>
      <c r="C178" s="7">
        <v>845229</v>
      </c>
      <c r="D178" s="8" t="s">
        <v>114</v>
      </c>
      <c r="E178" s="9" t="s">
        <v>55</v>
      </c>
      <c r="F178" s="17" t="str">
        <f>_xlfn.IFNA(VLOOKUP(C178, '[2]Unique HS'!$B$4:$J$999, 9, FALSE), "No")</f>
        <v>Yes</v>
      </c>
      <c r="G178" s="18">
        <f>VLOOKUP(C178, '[1]India EXIM'!$B$6:$C$580, 2, FALSE)</f>
        <v>0.211593125947</v>
      </c>
      <c r="H178" s="11">
        <f>VLOOKUP(C178, '[1]China EXIM'!$B$6:$D$580, 3, FALSE)</f>
        <v>1.2014289408299998</v>
      </c>
    </row>
    <row r="179" spans="2:8" ht="27.95">
      <c r="B179" s="6" t="str">
        <f>VLOOKUP(C179, [1]Definition!$D$5:$K$5665, 8, FALSE)</f>
        <v>Capital Goods</v>
      </c>
      <c r="C179" s="7">
        <v>842820</v>
      </c>
      <c r="D179" s="8" t="s">
        <v>348</v>
      </c>
      <c r="E179" s="9" t="s">
        <v>58</v>
      </c>
      <c r="F179" s="17" t="str">
        <f>_xlfn.IFNA(VLOOKUP(C179, '[2]Unique HS'!$B$4:$J$999, 9, FALSE), "No")</f>
        <v>Yes</v>
      </c>
      <c r="G179" s="18">
        <f>VLOOKUP(C179, '[1]India EXIM'!$B$6:$C$580, 2, FALSE)</f>
        <v>5.9022702196000004E-2</v>
      </c>
      <c r="H179" s="11">
        <f>VLOOKUP(C179, '[1]China EXIM'!$B$6:$D$580, 3, FALSE)</f>
        <v>1.1935064308480001</v>
      </c>
    </row>
    <row r="180" spans="2:8" ht="27.95">
      <c r="B180" s="6" t="str">
        <f>VLOOKUP(C180, [1]Definition!$D$5:$K$5665, 8, FALSE)</f>
        <v>Capital Goods</v>
      </c>
      <c r="C180" s="7">
        <v>820890</v>
      </c>
      <c r="D180" s="8" t="s">
        <v>434</v>
      </c>
      <c r="E180" s="9" t="s">
        <v>65</v>
      </c>
      <c r="F180" s="17" t="str">
        <f>_xlfn.IFNA(VLOOKUP(C180, '[2]Unique HS'!$B$4:$J$999, 9, FALSE), "No")</f>
        <v>Yes</v>
      </c>
      <c r="G180" s="18">
        <f>VLOOKUP(C180, '[1]India EXIM'!$B$6:$C$580, 2, FALSE)</f>
        <v>4.0364762497000002E-2</v>
      </c>
      <c r="H180" s="11">
        <f>VLOOKUP(C180, '[1]China EXIM'!$B$6:$D$580, 3, FALSE)</f>
        <v>1.4560796053010001</v>
      </c>
    </row>
    <row r="181" spans="2:8" ht="27.95">
      <c r="B181" s="6" t="str">
        <f>VLOOKUP(C181, [1]Definition!$D$5:$K$5665, 8, FALSE)</f>
        <v>Capital Goods</v>
      </c>
      <c r="C181" s="7">
        <v>842449</v>
      </c>
      <c r="D181" s="8" t="s">
        <v>529</v>
      </c>
      <c r="E181" s="9" t="s">
        <v>22</v>
      </c>
      <c r="F181" s="17" t="str">
        <f>_xlfn.IFNA(VLOOKUP(C181, '[2]Unique HS'!$B$4:$J$999, 9, FALSE), "No")</f>
        <v>Yes</v>
      </c>
      <c r="G181" s="18">
        <f>VLOOKUP(C181, '[1]India EXIM'!$B$6:$C$580, 2, FALSE)</f>
        <v>2.8313323357999999E-2</v>
      </c>
      <c r="H181" s="11">
        <f>VLOOKUP(C181, '[1]China EXIM'!$B$6:$D$580, 3, FALSE)</f>
        <v>1.171731022301</v>
      </c>
    </row>
    <row r="182" spans="2:8" ht="27.95">
      <c r="B182" s="6" t="str">
        <f>VLOOKUP(C182, [1]Definition!$D$5:$K$5665, 8, FALSE)</f>
        <v>Capital Goods</v>
      </c>
      <c r="C182" s="7">
        <v>847431</v>
      </c>
      <c r="D182" s="8" t="s">
        <v>915</v>
      </c>
      <c r="E182" s="9" t="s">
        <v>58</v>
      </c>
      <c r="F182" s="17" t="str">
        <f>_xlfn.IFNA(VLOOKUP(C182, '[2]Unique HS'!$B$4:$J$999, 9, FALSE), "No")</f>
        <v>No</v>
      </c>
      <c r="G182" s="18">
        <f>VLOOKUP(C182, '[1]India EXIM'!$B$6:$C$580, 2, FALSE)</f>
        <v>5.2779969879999996E-3</v>
      </c>
      <c r="H182" s="11">
        <f>VLOOKUP(C182, '[1]China EXIM'!$B$6:$D$580, 3, FALSE)</f>
        <v>1.1529879786549999</v>
      </c>
    </row>
    <row r="183" spans="2:8" ht="56.1">
      <c r="B183" s="6" t="str">
        <f>VLOOKUP(C183, [1]Definition!$D$5:$K$5665, 8, FALSE)</f>
        <v>Capital Goods</v>
      </c>
      <c r="C183" s="7">
        <v>847930</v>
      </c>
      <c r="D183" s="8" t="s">
        <v>351</v>
      </c>
      <c r="E183" s="9" t="s">
        <v>55</v>
      </c>
      <c r="F183" s="17" t="str">
        <f>_xlfn.IFNA(VLOOKUP(C183, '[2]Unique HS'!$B$4:$J$999, 9, FALSE), "No")</f>
        <v>No</v>
      </c>
      <c r="G183" s="18">
        <f>VLOOKUP(C183, '[1]India EXIM'!$B$6:$C$580, 2, FALSE)</f>
        <v>5.8048496534999994E-2</v>
      </c>
      <c r="H183" s="11">
        <f>VLOOKUP(C183, '[1]China EXIM'!$B$6:$D$580, 3, FALSE)</f>
        <v>1.1357126161089999</v>
      </c>
    </row>
    <row r="184" spans="2:8" ht="27.95">
      <c r="B184" s="6" t="str">
        <f>VLOOKUP(C184, [1]Definition!$D$5:$K$5665, 8, FALSE)</f>
        <v>Capital Goods</v>
      </c>
      <c r="C184" s="7">
        <v>842539</v>
      </c>
      <c r="D184" s="8" t="s">
        <v>662</v>
      </c>
      <c r="E184" s="9" t="s">
        <v>58</v>
      </c>
      <c r="F184" s="17" t="str">
        <f>_xlfn.IFNA(VLOOKUP(C184, '[2]Unique HS'!$B$4:$J$999, 9, FALSE), "No")</f>
        <v>No</v>
      </c>
      <c r="G184" s="18">
        <f>VLOOKUP(C184, '[1]India EXIM'!$B$6:$C$580, 2, FALSE)</f>
        <v>1.7221554305000001E-2</v>
      </c>
      <c r="H184" s="11">
        <f>VLOOKUP(C184, '[1]China EXIM'!$B$6:$D$580, 3, FALSE)</f>
        <v>1.1166606162769999</v>
      </c>
    </row>
    <row r="185" spans="2:8" ht="27.95">
      <c r="B185" s="6" t="str">
        <f>VLOOKUP(C185, [1]Definition!$D$5:$K$5665, 8, FALSE)</f>
        <v>Capital Goods</v>
      </c>
      <c r="C185" s="7">
        <v>843050</v>
      </c>
      <c r="D185" s="8" t="s">
        <v>277</v>
      </c>
      <c r="E185" s="9" t="s">
        <v>58</v>
      </c>
      <c r="F185" s="17" t="str">
        <f>_xlfn.IFNA(VLOOKUP(C185, '[2]Unique HS'!$B$4:$J$999, 9, FALSE), "No")</f>
        <v>Yes</v>
      </c>
      <c r="G185" s="18">
        <f>VLOOKUP(C185, '[1]India EXIM'!$B$6:$C$580, 2, FALSE)</f>
        <v>8.3197856853000005E-2</v>
      </c>
      <c r="H185" s="11">
        <f>VLOOKUP(C185, '[1]China EXIM'!$B$6:$D$580, 3, FALSE)</f>
        <v>1.116646821425</v>
      </c>
    </row>
    <row r="186" spans="2:8" ht="27.95">
      <c r="B186" s="6" t="str">
        <f>VLOOKUP(C186, [1]Definition!$D$5:$K$5665, 8, FALSE)</f>
        <v>Capital Goods</v>
      </c>
      <c r="C186" s="7">
        <v>846024</v>
      </c>
      <c r="D186" s="8" t="s">
        <v>436</v>
      </c>
      <c r="E186" s="9" t="s">
        <v>65</v>
      </c>
      <c r="F186" s="17" t="str">
        <f>_xlfn.IFNA(VLOOKUP(C186, '[2]Unique HS'!$B$4:$J$999, 9, FALSE), "No")</f>
        <v>No</v>
      </c>
      <c r="G186" s="18">
        <f>VLOOKUP(C186, '[1]India EXIM'!$B$6:$C$580, 2, FALSE)</f>
        <v>4.0285582554999998E-2</v>
      </c>
      <c r="H186" s="11">
        <f>VLOOKUP(C186, '[1]China EXIM'!$B$6:$D$580, 3, FALSE)</f>
        <v>0.67453104088600002</v>
      </c>
    </row>
    <row r="187" spans="2:8" ht="42">
      <c r="B187" s="6" t="str">
        <f>VLOOKUP(C187, [1]Definition!$D$5:$K$5665, 8, FALSE)</f>
        <v>Capital Goods</v>
      </c>
      <c r="C187" s="7">
        <v>903039</v>
      </c>
      <c r="D187" s="8" t="s">
        <v>353</v>
      </c>
      <c r="E187" s="9" t="s">
        <v>22</v>
      </c>
      <c r="F187" s="17" t="str">
        <f>_xlfn.IFNA(VLOOKUP(C187, '[2]Unique HS'!$B$4:$J$999, 9, FALSE), "No")</f>
        <v>Yes</v>
      </c>
      <c r="G187" s="22">
        <f>VLOOKUP(C187, '[1]India EXIM'!$B$6:$C$580, 2, FALSE)</f>
        <v>5.7736262207999996E-2</v>
      </c>
      <c r="H187" s="11">
        <f>VLOOKUP(C187, '[1]China EXIM'!$B$6:$D$580, 3, FALSE)</f>
        <v>2.0689643973859999</v>
      </c>
    </row>
    <row r="188" spans="2:8" ht="27.95">
      <c r="B188" s="6" t="str">
        <f>VLOOKUP(C188, [1]Definition!$D$5:$K$5665, 8, FALSE)</f>
        <v>Capital Goods</v>
      </c>
      <c r="C188" s="7">
        <v>846150</v>
      </c>
      <c r="D188" s="8" t="s">
        <v>440</v>
      </c>
      <c r="E188" s="9" t="s">
        <v>65</v>
      </c>
      <c r="F188" s="17" t="str">
        <f>_xlfn.IFNA(VLOOKUP(C188, '[2]Unique HS'!$B$4:$J$999, 9, FALSE), "No")</f>
        <v>Yes</v>
      </c>
      <c r="G188" s="18">
        <f>VLOOKUP(C188, '[1]India EXIM'!$B$6:$C$580, 2, FALSE)</f>
        <v>3.9557989483000003E-2</v>
      </c>
      <c r="H188" s="11">
        <f>VLOOKUP(C188, '[1]China EXIM'!$B$6:$D$580, 3, FALSE)</f>
        <v>1.2090452149440001</v>
      </c>
    </row>
    <row r="189" spans="2:8" ht="56.1">
      <c r="B189" s="6" t="str">
        <f>VLOOKUP(C189, [1]Definition!$D$5:$K$5665, 8, FALSE)</f>
        <v>Capital Goods</v>
      </c>
      <c r="C189" s="7">
        <v>846249</v>
      </c>
      <c r="D189" s="8" t="s">
        <v>441</v>
      </c>
      <c r="E189" s="9" t="s">
        <v>65</v>
      </c>
      <c r="F189" s="17" t="str">
        <f>_xlfn.IFNA(VLOOKUP(C189, '[2]Unique HS'!$B$4:$J$999, 9, FALSE), "No")</f>
        <v>Yes</v>
      </c>
      <c r="G189" s="18">
        <f>VLOOKUP(C189, '[1]India EXIM'!$B$6:$C$580, 2, FALSE)</f>
        <v>3.9130166815999998E-2</v>
      </c>
      <c r="H189" s="11">
        <f>VLOOKUP(C189, '[1]China EXIM'!$B$6:$D$580, 3, FALSE)</f>
        <v>0.26135543557199997</v>
      </c>
    </row>
    <row r="190" spans="2:8" ht="27.95">
      <c r="B190" s="6" t="str">
        <f>VLOOKUP(C190, [1]Definition!$D$5:$K$5665, 8, FALSE)</f>
        <v>Capital Goods</v>
      </c>
      <c r="C190" s="7">
        <v>842010</v>
      </c>
      <c r="D190" s="8" t="s">
        <v>459</v>
      </c>
      <c r="E190" s="9" t="s">
        <v>55</v>
      </c>
      <c r="F190" s="17" t="str">
        <f>_xlfn.IFNA(VLOOKUP(C190, '[2]Unique HS'!$B$4:$J$999, 9, FALSE), "No")</f>
        <v>Yes</v>
      </c>
      <c r="G190" s="18">
        <f>VLOOKUP(C190, '[1]India EXIM'!$B$6:$C$580, 2, FALSE)</f>
        <v>3.7157922295E-2</v>
      </c>
      <c r="H190" s="11">
        <f>VLOOKUP(C190, '[1]China EXIM'!$B$6:$D$580, 3, FALSE)</f>
        <v>1.050121812694</v>
      </c>
    </row>
    <row r="191" spans="2:8" ht="42">
      <c r="B191" s="6" t="str">
        <f>VLOOKUP(C191, [1]Definition!$D$5:$K$5665, 8, FALSE)</f>
        <v>Capital Goods</v>
      </c>
      <c r="C191" s="7">
        <v>903020</v>
      </c>
      <c r="D191" s="8" t="s">
        <v>392</v>
      </c>
      <c r="E191" s="9" t="s">
        <v>46</v>
      </c>
      <c r="F191" s="17" t="str">
        <f>_xlfn.IFNA(VLOOKUP(C191, '[2]Unique HS'!$B$4:$J$999, 9, FALSE), "No")</f>
        <v>Yes</v>
      </c>
      <c r="G191" s="18">
        <f>VLOOKUP(C191, '[1]India EXIM'!$B$6:$C$580, 2, FALSE)</f>
        <v>4.6768788597999995E-2</v>
      </c>
      <c r="H191" s="11">
        <f>VLOOKUP(C191, '[1]China EXIM'!$B$6:$D$580, 3, FALSE)</f>
        <v>1.0498585999249999</v>
      </c>
    </row>
    <row r="192" spans="2:8" ht="27.95">
      <c r="B192" s="6" t="str">
        <f>VLOOKUP(C192, [1]Definition!$D$5:$K$5665, 8, FALSE)</f>
        <v>Capital Goods</v>
      </c>
      <c r="C192" s="7">
        <v>842219</v>
      </c>
      <c r="D192" s="16" t="s">
        <v>551</v>
      </c>
      <c r="E192" s="9" t="s">
        <v>61</v>
      </c>
      <c r="F192" s="17" t="str">
        <f>_xlfn.IFNA(VLOOKUP(C192, '[2]Unique HS'!$B$4:$J$999, 9, FALSE), "No")</f>
        <v>No</v>
      </c>
      <c r="G192" s="18">
        <f>VLOOKUP(C192, '[1]India EXIM'!$B$6:$C$580, 2, FALSE)</f>
        <v>1.447851518E-2</v>
      </c>
      <c r="H192" s="11">
        <f>VLOOKUP(C192, '[1]China EXIM'!$B$6:$D$580, 3, FALSE)</f>
        <v>1.0412079485670001</v>
      </c>
    </row>
    <row r="193" spans="2:8" ht="27.95">
      <c r="B193" s="6" t="str">
        <f>VLOOKUP(C193, [1]Definition!$D$5:$K$5665, 8, FALSE)</f>
        <v>Capital Goods</v>
      </c>
      <c r="C193" s="7">
        <v>870191</v>
      </c>
      <c r="D193" s="8" t="s">
        <v>1068</v>
      </c>
      <c r="E193" s="9" t="s">
        <v>58</v>
      </c>
      <c r="F193" s="17" t="str">
        <f>_xlfn.IFNA(VLOOKUP(C193, '[2]Unique HS'!$B$4:$J$999, 9, FALSE), "No")</f>
        <v>No</v>
      </c>
      <c r="G193" s="18">
        <f>VLOOKUP(C193, '[1]India EXIM'!$B$6:$C$580, 2, FALSE)</f>
        <v>5.9828328700000006E-4</v>
      </c>
      <c r="H193" s="11">
        <f>VLOOKUP(C193, '[1]China EXIM'!$B$6:$D$580, 3, FALSE)</f>
        <v>1.0287239699949999</v>
      </c>
    </row>
    <row r="194" spans="2:8" ht="56.1">
      <c r="B194" s="6" t="str">
        <f>VLOOKUP(C194, [1]Definition!$D$5:$K$5665, 8, FALSE)</f>
        <v>Capital Goods</v>
      </c>
      <c r="C194" s="7">
        <v>845180</v>
      </c>
      <c r="D194" s="8" t="s">
        <v>233</v>
      </c>
      <c r="E194" s="9" t="s">
        <v>55</v>
      </c>
      <c r="F194" s="17" t="str">
        <f>_xlfn.IFNA(VLOOKUP(C194, '[2]Unique HS'!$B$4:$J$999, 9, FALSE), "No")</f>
        <v>No</v>
      </c>
      <c r="G194" s="18">
        <f>VLOOKUP(C194, '[1]India EXIM'!$B$6:$C$580, 2, FALSE)</f>
        <v>0.103249811937</v>
      </c>
      <c r="H194" s="11">
        <f>VLOOKUP(C194, '[1]China EXIM'!$B$6:$D$580, 3, FALSE)</f>
        <v>1.0211504429180001</v>
      </c>
    </row>
    <row r="195" spans="2:8" ht="27.95">
      <c r="B195" s="6" t="str">
        <f>VLOOKUP(C195, [1]Definition!$D$5:$K$5665, 8, FALSE)</f>
        <v>Capital Goods</v>
      </c>
      <c r="C195" s="7">
        <v>842611</v>
      </c>
      <c r="D195" s="8" t="s">
        <v>671</v>
      </c>
      <c r="E195" s="9" t="s">
        <v>58</v>
      </c>
      <c r="F195" s="17" t="str">
        <f>_xlfn.IFNA(VLOOKUP(C195, '[2]Unique HS'!$B$4:$J$999, 9, FALSE), "No")</f>
        <v>No</v>
      </c>
      <c r="G195" s="18">
        <f>VLOOKUP(C195, '[1]India EXIM'!$B$6:$C$580, 2, FALSE)</f>
        <v>1.7102620940999999E-2</v>
      </c>
      <c r="H195" s="11">
        <f>VLOOKUP(C195, '[1]China EXIM'!$B$6:$D$580, 3, FALSE)</f>
        <v>1.018463931266</v>
      </c>
    </row>
    <row r="196" spans="2:8" ht="27.95">
      <c r="B196" s="6" t="str">
        <f>VLOOKUP(C196, [1]Definition!$D$5:$K$5665, 8, FALSE)</f>
        <v>Capital Goods</v>
      </c>
      <c r="C196" s="7">
        <v>845899</v>
      </c>
      <c r="D196" s="8" t="s">
        <v>445</v>
      </c>
      <c r="E196" s="9" t="s">
        <v>65</v>
      </c>
      <c r="F196" s="17" t="str">
        <f>_xlfn.IFNA(VLOOKUP(C196, '[2]Unique HS'!$B$4:$J$999, 9, FALSE), "No")</f>
        <v>No</v>
      </c>
      <c r="G196" s="18">
        <f>VLOOKUP(C196, '[1]India EXIM'!$B$6:$C$580, 2, FALSE)</f>
        <v>3.9027264292999998E-2</v>
      </c>
      <c r="H196" s="11">
        <f>VLOOKUP(C196, '[1]China EXIM'!$B$6:$D$580, 3, FALSE)</f>
        <v>0.21354861496799998</v>
      </c>
    </row>
    <row r="197" spans="2:8" ht="42">
      <c r="B197" s="6" t="str">
        <f>VLOOKUP(C197, [1]Definition!$D$5:$K$5665, 8, FALSE)</f>
        <v>Capital Goods</v>
      </c>
      <c r="C197" s="7">
        <v>847740</v>
      </c>
      <c r="D197" s="8" t="s">
        <v>571</v>
      </c>
      <c r="E197" s="9" t="s">
        <v>52</v>
      </c>
      <c r="F197" s="17" t="str">
        <f>_xlfn.IFNA(VLOOKUP(C197, '[2]Unique HS'!$B$4:$J$999, 9, FALSE), "No")</f>
        <v>Yes</v>
      </c>
      <c r="G197" s="18">
        <f>VLOOKUP(C197, '[1]India EXIM'!$B$6:$C$580, 2, FALSE)</f>
        <v>2.3991636124000001E-2</v>
      </c>
      <c r="H197" s="11">
        <f>VLOOKUP(C197, '[1]China EXIM'!$B$6:$D$580, 3, FALSE)</f>
        <v>1.0125384192209999</v>
      </c>
    </row>
    <row r="198" spans="2:8" ht="27.95">
      <c r="B198" s="6" t="str">
        <f>VLOOKUP(C198, [1]Definition!$D$5:$K$5665, 8, FALSE)</f>
        <v>Capital Goods</v>
      </c>
      <c r="C198" s="7">
        <v>845961</v>
      </c>
      <c r="D198" s="8" t="s">
        <v>455</v>
      </c>
      <c r="E198" s="9" t="s">
        <v>65</v>
      </c>
      <c r="F198" s="17" t="str">
        <f>_xlfn.IFNA(VLOOKUP(C198, '[2]Unique HS'!$B$4:$J$999, 9, FALSE), "No")</f>
        <v>No</v>
      </c>
      <c r="G198" s="18">
        <f>VLOOKUP(C198, '[1]India EXIM'!$B$6:$C$580, 2, FALSE)</f>
        <v>3.7855634436999998E-2</v>
      </c>
      <c r="H198" s="11">
        <f>VLOOKUP(C198, '[1]China EXIM'!$B$6:$D$580, 3, FALSE)</f>
        <v>0.89699737533400004</v>
      </c>
    </row>
    <row r="199" spans="2:8" ht="56.1">
      <c r="B199" s="6" t="str">
        <f>VLOOKUP(C199, [1]Definition!$D$5:$K$5665, 8, FALSE)</f>
        <v>Capital Goods</v>
      </c>
      <c r="C199" s="7">
        <v>820559</v>
      </c>
      <c r="D199" s="8" t="s">
        <v>462</v>
      </c>
      <c r="E199" s="9" t="s">
        <v>65</v>
      </c>
      <c r="F199" s="17" t="str">
        <f>_xlfn.IFNA(VLOOKUP(C199, '[2]Unique HS'!$B$4:$J$999, 9, FALSE), "No")</f>
        <v>Yes</v>
      </c>
      <c r="G199" s="18">
        <f>VLOOKUP(C199, '[1]India EXIM'!$B$6:$C$580, 2, FALSE)</f>
        <v>3.6883880537000001E-2</v>
      </c>
      <c r="H199" s="11">
        <f>VLOOKUP(C199, '[1]China EXIM'!$B$6:$D$580, 3, FALSE)</f>
        <v>4.5257598742259999</v>
      </c>
    </row>
    <row r="200" spans="2:8" ht="27.95">
      <c r="B200" s="6" t="str">
        <f>VLOOKUP(C200, [1]Definition!$D$5:$K$5665, 8, FALSE)</f>
        <v>Capital Goods</v>
      </c>
      <c r="C200" s="7">
        <v>845730</v>
      </c>
      <c r="D200" s="8" t="s">
        <v>475</v>
      </c>
      <c r="E200" s="9" t="s">
        <v>65</v>
      </c>
      <c r="F200" s="17" t="str">
        <f>_xlfn.IFNA(VLOOKUP(C200, '[2]Unique HS'!$B$4:$J$999, 9, FALSE), "No")</f>
        <v>No</v>
      </c>
      <c r="G200" s="18">
        <f>VLOOKUP(C200, '[1]India EXIM'!$B$6:$C$580, 2, FALSE)</f>
        <v>3.4317356400999997E-2</v>
      </c>
      <c r="H200" s="11">
        <f>VLOOKUP(C200, '[1]China EXIM'!$B$6:$D$580, 3, FALSE)</f>
        <v>0.59012683434699997</v>
      </c>
    </row>
    <row r="201" spans="2:8" ht="27.95">
      <c r="B201" s="6" t="str">
        <f>VLOOKUP(C201, [1]Definition!$D$5:$K$5665, 8, FALSE)</f>
        <v>Capital Goods</v>
      </c>
      <c r="C201" s="7">
        <v>847920</v>
      </c>
      <c r="D201" s="8" t="s">
        <v>669</v>
      </c>
      <c r="E201" s="9" t="s">
        <v>22</v>
      </c>
      <c r="F201" s="17" t="str">
        <f>_xlfn.IFNA(VLOOKUP(C201, '[2]Unique HS'!$B$4:$J$999, 9, FALSE), "No")</f>
        <v>No</v>
      </c>
      <c r="G201" s="18">
        <f>VLOOKUP(C201, '[1]India EXIM'!$B$6:$C$580, 2, FALSE)</f>
        <v>1.7111225274000001E-2</v>
      </c>
      <c r="H201" s="11">
        <f>VLOOKUP(C201, '[1]China EXIM'!$B$6:$D$580, 3, FALSE)</f>
        <v>1.0022013841749999</v>
      </c>
    </row>
    <row r="202" spans="2:8" ht="27.95">
      <c r="B202" s="6" t="str">
        <f>VLOOKUP(C202, [1]Definition!$D$5:$K$5665, 8, FALSE)</f>
        <v>Capital Goods</v>
      </c>
      <c r="C202" s="7">
        <v>844790</v>
      </c>
      <c r="D202" s="8" t="s">
        <v>66</v>
      </c>
      <c r="E202" s="9" t="s">
        <v>55</v>
      </c>
      <c r="F202" s="17" t="str">
        <f>_xlfn.IFNA(VLOOKUP(C202, '[2]Unique HS'!$B$4:$J$999, 9, FALSE), "No")</f>
        <v>No</v>
      </c>
      <c r="G202" s="18">
        <f>VLOOKUP(C202, '[1]India EXIM'!$B$6:$C$580, 2, FALSE)</f>
        <v>0.37993592745499999</v>
      </c>
      <c r="H202" s="11">
        <f>VLOOKUP(C202, '[1]China EXIM'!$B$6:$D$580, 3, FALSE)</f>
        <v>0.99697570118800005</v>
      </c>
    </row>
    <row r="203" spans="2:8" ht="27.95">
      <c r="B203" s="6" t="str">
        <f>VLOOKUP(C203, [1]Definition!$D$5:$K$5665, 8, FALSE)</f>
        <v>Capital Goods</v>
      </c>
      <c r="C203" s="7">
        <v>842220</v>
      </c>
      <c r="D203" s="8" t="s">
        <v>751</v>
      </c>
      <c r="E203" s="9" t="s">
        <v>61</v>
      </c>
      <c r="F203" s="17" t="str">
        <f>_xlfn.IFNA(VLOOKUP(C203, '[2]Unique HS'!$B$4:$J$999, 9, FALSE), "No")</f>
        <v>Yes</v>
      </c>
      <c r="G203" s="18">
        <f>VLOOKUP(C203, '[1]India EXIM'!$B$6:$C$580, 2, FALSE)</f>
        <v>1.3176121281E-2</v>
      </c>
      <c r="H203" s="11">
        <f>VLOOKUP(C203, '[1]China EXIM'!$B$6:$D$580, 3, FALSE)</f>
        <v>0.99618588906799999</v>
      </c>
    </row>
    <row r="204" spans="2:8" ht="27.95">
      <c r="B204" s="6" t="str">
        <f>VLOOKUP(C204, [1]Definition!$D$5:$K$5665, 8, FALSE)</f>
        <v>Capital Goods</v>
      </c>
      <c r="C204" s="7">
        <v>846781</v>
      </c>
      <c r="D204" s="8" t="s">
        <v>476</v>
      </c>
      <c r="E204" s="9" t="s">
        <v>65</v>
      </c>
      <c r="F204" s="17" t="str">
        <f>_xlfn.IFNA(VLOOKUP(C204, '[2]Unique HS'!$B$4:$J$999, 9, FALSE), "No")</f>
        <v>No</v>
      </c>
      <c r="G204" s="18">
        <f>VLOOKUP(C204, '[1]India EXIM'!$B$6:$C$580, 2, FALSE)</f>
        <v>3.4217680399999999E-2</v>
      </c>
      <c r="H204" s="11">
        <f>VLOOKUP(C204, '[1]China EXIM'!$B$6:$D$580, 3, FALSE)</f>
        <v>1.006053998779</v>
      </c>
    </row>
    <row r="205" spans="2:8" ht="27.95">
      <c r="B205" s="6" t="str">
        <f>VLOOKUP(C205, [1]Definition!$D$5:$K$5665, 8, FALSE)</f>
        <v>Capital Goods</v>
      </c>
      <c r="C205" s="7">
        <v>845430</v>
      </c>
      <c r="D205" s="8" t="s">
        <v>81</v>
      </c>
      <c r="E205" s="9" t="s">
        <v>82</v>
      </c>
      <c r="F205" s="17" t="str">
        <f>_xlfn.IFNA(VLOOKUP(C205, '[2]Unique HS'!$B$4:$J$999, 9, FALSE), "No")</f>
        <v>No</v>
      </c>
      <c r="G205" s="18">
        <f>VLOOKUP(C205, '[1]India EXIM'!$B$6:$C$580, 2, FALSE)</f>
        <v>0.31250048724299995</v>
      </c>
      <c r="H205" s="11">
        <f>VLOOKUP(C205, '[1]China EXIM'!$B$6:$D$580, 3, FALSE)</f>
        <v>0.98452318866999999</v>
      </c>
    </row>
    <row r="206" spans="2:8">
      <c r="B206" s="6" t="str">
        <f>VLOOKUP(C206, [1]Definition!$D$5:$K$5665, 8, FALSE)</f>
        <v>Capital Goods</v>
      </c>
      <c r="C206" s="7">
        <v>847940</v>
      </c>
      <c r="D206" s="8" t="s">
        <v>290</v>
      </c>
      <c r="E206" s="9" t="s">
        <v>55</v>
      </c>
      <c r="F206" s="17" t="str">
        <f>_xlfn.IFNA(VLOOKUP(C206, '[2]Unique HS'!$B$4:$J$999, 9, FALSE), "No")</f>
        <v>No</v>
      </c>
      <c r="G206" s="18">
        <f>VLOOKUP(C206, '[1]India EXIM'!$B$6:$C$580, 2, FALSE)</f>
        <v>7.4375279808999994E-2</v>
      </c>
      <c r="H206" s="11">
        <f>VLOOKUP(C206, '[1]China EXIM'!$B$6:$D$580, 3, FALSE)</f>
        <v>0.97746500599499997</v>
      </c>
    </row>
    <row r="207" spans="2:8">
      <c r="B207" s="6" t="str">
        <f>VLOOKUP(C207, [1]Definition!$D$5:$K$5665, 8, FALSE)</f>
        <v>Capital Goods</v>
      </c>
      <c r="C207" s="7">
        <v>846040</v>
      </c>
      <c r="D207" s="8" t="s">
        <v>481</v>
      </c>
      <c r="E207" s="9" t="s">
        <v>65</v>
      </c>
      <c r="F207" s="17" t="str">
        <f>_xlfn.IFNA(VLOOKUP(C207, '[2]Unique HS'!$B$4:$J$999, 9, FALSE), "No")</f>
        <v>No</v>
      </c>
      <c r="G207" s="18">
        <f>VLOOKUP(C207, '[1]India EXIM'!$B$6:$C$580, 2, FALSE)</f>
        <v>3.3303474519000002E-2</v>
      </c>
      <c r="H207" s="11">
        <f>VLOOKUP(C207, '[1]China EXIM'!$B$6:$D$580, 3, FALSE)</f>
        <v>0.35827570779900003</v>
      </c>
    </row>
    <row r="208" spans="2:8" ht="42">
      <c r="B208" s="6" t="str">
        <f>VLOOKUP(C208, [1]Definition!$D$5:$K$5665, 8, FALSE)</f>
        <v>Capital Goods</v>
      </c>
      <c r="C208" s="7">
        <v>841710</v>
      </c>
      <c r="D208" s="8" t="s">
        <v>131</v>
      </c>
      <c r="E208" s="9" t="s">
        <v>82</v>
      </c>
      <c r="F208" s="17" t="str">
        <f>_xlfn.IFNA(VLOOKUP(C208, '[2]Unique HS'!$B$4:$J$999, 9, FALSE), "No")</f>
        <v>No</v>
      </c>
      <c r="G208" s="18">
        <f>VLOOKUP(C208, '[1]India EXIM'!$B$6:$C$580, 2, FALSE)</f>
        <v>0.18278632127300001</v>
      </c>
      <c r="H208" s="11">
        <f>VLOOKUP(C208, '[1]China EXIM'!$B$6:$D$580, 3, FALSE)</f>
        <v>0.96328814488699999</v>
      </c>
    </row>
    <row r="209" spans="2:8" ht="27.95">
      <c r="B209" s="6" t="str">
        <f>VLOOKUP(C209, [1]Definition!$D$5:$K$5665, 8, FALSE)</f>
        <v>Capital Goods</v>
      </c>
      <c r="C209" s="7">
        <v>903210</v>
      </c>
      <c r="D209" s="8" t="s">
        <v>379</v>
      </c>
      <c r="E209" s="9" t="s">
        <v>22</v>
      </c>
      <c r="F209" s="17" t="str">
        <f>_xlfn.IFNA(VLOOKUP(C209, '[2]Unique HS'!$B$4:$J$999, 9, FALSE), "No")</f>
        <v>Yes</v>
      </c>
      <c r="G209" s="22">
        <f>VLOOKUP(C209, '[1]India EXIM'!$B$6:$C$580, 2, FALSE)</f>
        <v>5.0876872901E-2</v>
      </c>
      <c r="H209" s="11">
        <f>VLOOKUP(C209, '[1]China EXIM'!$B$6:$D$580, 3, FALSE)</f>
        <v>4.7264740327229999</v>
      </c>
    </row>
    <row r="210" spans="2:8" ht="27.95">
      <c r="B210" s="6" t="str">
        <f>VLOOKUP(C210, [1]Definition!$D$5:$K$5665, 8, FALSE)</f>
        <v>Capital Goods</v>
      </c>
      <c r="C210" s="7">
        <v>901110</v>
      </c>
      <c r="D210" s="8" t="s">
        <v>954</v>
      </c>
      <c r="E210" s="9" t="s">
        <v>22</v>
      </c>
      <c r="F210" s="17" t="str">
        <f>_xlfn.IFNA(VLOOKUP(C210, '[2]Unique HS'!$B$4:$J$999, 9, FALSE), "No")</f>
        <v>Yes</v>
      </c>
      <c r="G210" s="18">
        <f>VLOOKUP(C210, '[1]India EXIM'!$B$6:$C$580, 2, FALSE)</f>
        <v>3.8434990170000002E-3</v>
      </c>
      <c r="H210" s="11">
        <f>VLOOKUP(C210, '[1]China EXIM'!$B$6:$D$580, 3, FALSE)</f>
        <v>0.90967586394399991</v>
      </c>
    </row>
    <row r="211" spans="2:8" ht="42">
      <c r="B211" s="6" t="str">
        <f>VLOOKUP(C211, [1]Definition!$D$5:$K$5665, 8, FALSE)</f>
        <v>Capital Goods</v>
      </c>
      <c r="C211" s="7">
        <v>846420</v>
      </c>
      <c r="D211" s="8" t="s">
        <v>482</v>
      </c>
      <c r="E211" s="9" t="s">
        <v>65</v>
      </c>
      <c r="F211" s="17" t="str">
        <f>_xlfn.IFNA(VLOOKUP(C211, '[2]Unique HS'!$B$4:$J$999, 9, FALSE), "No")</f>
        <v>Yes</v>
      </c>
      <c r="G211" s="18">
        <f>VLOOKUP(C211, '[1]India EXIM'!$B$6:$C$580, 2, FALSE)</f>
        <v>3.3199120561000002E-2</v>
      </c>
      <c r="H211" s="11">
        <f>VLOOKUP(C211, '[1]China EXIM'!$B$6:$D$580, 3, FALSE)</f>
        <v>0.96563901758999993</v>
      </c>
    </row>
    <row r="212" spans="2:8" ht="27.95">
      <c r="B212" s="6" t="str">
        <f>VLOOKUP(C212, [1]Definition!$D$5:$K$5665, 8, FALSE)</f>
        <v>Capital Goods</v>
      </c>
      <c r="C212" s="7">
        <v>841620</v>
      </c>
      <c r="D212" s="8" t="s">
        <v>558</v>
      </c>
      <c r="E212" s="9" t="s">
        <v>22</v>
      </c>
      <c r="F212" s="17" t="str">
        <f>_xlfn.IFNA(VLOOKUP(C212, '[2]Unique HS'!$B$4:$J$999, 9, FALSE), "No")</f>
        <v>No</v>
      </c>
      <c r="G212" s="18">
        <f>VLOOKUP(C212, '[1]India EXIM'!$B$6:$C$580, 2, FALSE)</f>
        <v>2.5789905868E-2</v>
      </c>
      <c r="H212" s="11">
        <f>VLOOKUP(C212, '[1]China EXIM'!$B$6:$D$580, 3, FALSE)</f>
        <v>0.90618732547699998</v>
      </c>
    </row>
    <row r="213" spans="2:8">
      <c r="B213" s="6" t="str">
        <f>VLOOKUP(C213, [1]Definition!$D$5:$K$5665, 8, FALSE)</f>
        <v>Capital Goods</v>
      </c>
      <c r="C213" s="7">
        <v>820220</v>
      </c>
      <c r="D213" s="8" t="s">
        <v>619</v>
      </c>
      <c r="E213" s="9" t="s">
        <v>65</v>
      </c>
      <c r="F213" s="17" t="str">
        <f>_xlfn.IFNA(VLOOKUP(C213, '[2]Unique HS'!$B$4:$J$999, 9, FALSE), "No")</f>
        <v>No</v>
      </c>
      <c r="G213" s="18">
        <f>VLOOKUP(C213, '[1]India EXIM'!$B$6:$C$580, 2, FALSE)</f>
        <v>3.2898870078999998E-2</v>
      </c>
      <c r="H213" s="11">
        <f>VLOOKUP(C213, '[1]China EXIM'!$B$6:$D$580, 3, FALSE)</f>
        <v>0.73188064745699999</v>
      </c>
    </row>
    <row r="214" spans="2:8" ht="42">
      <c r="B214" s="6" t="str">
        <f>VLOOKUP(C214, [1]Definition!$D$5:$K$5665, 8, FALSE)</f>
        <v>Capital Goods</v>
      </c>
      <c r="C214" s="7">
        <v>846239</v>
      </c>
      <c r="D214" s="8" t="s">
        <v>487</v>
      </c>
      <c r="E214" s="9" t="s">
        <v>65</v>
      </c>
      <c r="F214" s="17" t="str">
        <f>_xlfn.IFNA(VLOOKUP(C214, '[2]Unique HS'!$B$4:$J$999, 9, FALSE), "No")</f>
        <v>No</v>
      </c>
      <c r="G214" s="18">
        <f>VLOOKUP(C214, '[1]India EXIM'!$B$6:$C$580, 2, FALSE)</f>
        <v>3.2817932192999999E-2</v>
      </c>
      <c r="H214" s="11">
        <f>VLOOKUP(C214, '[1]China EXIM'!$B$6:$D$580, 3, FALSE)</f>
        <v>0.29133711127399997</v>
      </c>
    </row>
    <row r="215" spans="2:8" ht="27.95">
      <c r="B215" s="6" t="str">
        <f>VLOOKUP(C215, [1]Definition!$D$5:$K$5665, 8, FALSE)</f>
        <v>Capital Goods</v>
      </c>
      <c r="C215" s="7">
        <v>843330</v>
      </c>
      <c r="D215" s="8" t="s">
        <v>624</v>
      </c>
      <c r="E215" s="9" t="s">
        <v>1165</v>
      </c>
      <c r="F215" s="17" t="str">
        <f>_xlfn.IFNA(VLOOKUP(C215, '[2]Unique HS'!$B$4:$J$999, 9, FALSE), "No")</f>
        <v>No</v>
      </c>
      <c r="G215" s="18">
        <f>VLOOKUP(C215, '[1]India EXIM'!$B$6:$C$580, 2, FALSE)</f>
        <v>6.3183544129999996E-3</v>
      </c>
      <c r="H215" s="11">
        <f>VLOOKUP(C215, '[1]China EXIM'!$B$6:$D$580, 3, FALSE)</f>
        <v>0.88480695283400002</v>
      </c>
    </row>
    <row r="216" spans="2:8" ht="27.95">
      <c r="B216" s="6" t="str">
        <f>VLOOKUP(C216, [1]Definition!$D$5:$K$5665, 8, FALSE)</f>
        <v>Capital Goods</v>
      </c>
      <c r="C216" s="7">
        <v>820740</v>
      </c>
      <c r="D216" s="8" t="s">
        <v>531</v>
      </c>
      <c r="E216" s="9" t="s">
        <v>65</v>
      </c>
      <c r="F216" s="17" t="str">
        <f>_xlfn.IFNA(VLOOKUP(C216, '[2]Unique HS'!$B$4:$J$999, 9, FALSE), "No")</f>
        <v>Yes</v>
      </c>
      <c r="G216" s="18">
        <f>VLOOKUP(C216, '[1]India EXIM'!$B$6:$C$580, 2, FALSE)</f>
        <v>2.8154091685E-2</v>
      </c>
      <c r="H216" s="11">
        <f>VLOOKUP(C216, '[1]China EXIM'!$B$6:$D$580, 3, FALSE)</f>
        <v>1.1744374112390001</v>
      </c>
    </row>
    <row r="217" spans="2:8" ht="69.95">
      <c r="B217" s="6" t="str">
        <f>VLOOKUP(C217, [1]Definition!$D$5:$K$5665, 8, FALSE)</f>
        <v>Capital Goods</v>
      </c>
      <c r="C217" s="7">
        <v>846226</v>
      </c>
      <c r="D217" s="8" t="s">
        <v>533</v>
      </c>
      <c r="E217" s="9" t="s">
        <v>65</v>
      </c>
      <c r="F217" s="17" t="str">
        <f>_xlfn.IFNA(VLOOKUP(C217, '[2]Unique HS'!$B$4:$J$999, 9, FALSE), "No")</f>
        <v>No</v>
      </c>
      <c r="G217" s="18">
        <f>VLOOKUP(C217, '[1]India EXIM'!$B$6:$C$580, 2, FALSE)</f>
        <v>2.7504413798000001E-2</v>
      </c>
      <c r="H217" s="11">
        <f>VLOOKUP(C217, '[1]China EXIM'!$B$6:$D$580, 3, FALSE)</f>
        <v>0.602499278699</v>
      </c>
    </row>
    <row r="218" spans="2:8" ht="27.95">
      <c r="B218" s="6" t="str">
        <f>VLOOKUP(C218, [1]Definition!$D$5:$K$5665, 8, FALSE)</f>
        <v>Capital Goods</v>
      </c>
      <c r="C218" s="7">
        <v>843860</v>
      </c>
      <c r="D218" s="8" t="s">
        <v>350</v>
      </c>
      <c r="E218" s="9" t="s">
        <v>61</v>
      </c>
      <c r="F218" s="17" t="str">
        <f>_xlfn.IFNA(VLOOKUP(C218, '[2]Unique HS'!$B$4:$J$999, 9, FALSE), "No")</f>
        <v>No</v>
      </c>
      <c r="G218" s="18">
        <f>VLOOKUP(C218, '[1]India EXIM'!$B$6:$C$580, 2, FALSE)</f>
        <v>5.8244575617999998E-2</v>
      </c>
      <c r="H218" s="11">
        <f>VLOOKUP(C218, '[1]China EXIM'!$B$6:$D$580, 3, FALSE)</f>
        <v>0.87266431336900008</v>
      </c>
    </row>
    <row r="219" spans="2:8" ht="27.95">
      <c r="B219" s="6" t="str">
        <f>VLOOKUP(C219, [1]Definition!$D$5:$K$5665, 8, FALSE)</f>
        <v>Capital Goods</v>
      </c>
      <c r="C219" s="7">
        <v>843020</v>
      </c>
      <c r="D219" s="8" t="s">
        <v>1067</v>
      </c>
      <c r="E219" s="9" t="s">
        <v>58</v>
      </c>
      <c r="F219" s="17" t="str">
        <f>_xlfn.IFNA(VLOOKUP(C219, '[2]Unique HS'!$B$4:$J$999, 9, FALSE), "No")</f>
        <v>No</v>
      </c>
      <c r="G219" s="18">
        <f>VLOOKUP(C219, '[1]India EXIM'!$B$6:$C$580, 2, FALSE)</f>
        <v>6.1041649799999998E-4</v>
      </c>
      <c r="H219" s="11">
        <f>VLOOKUP(C219, '[1]China EXIM'!$B$6:$D$580, 3, FALSE)</f>
        <v>0.86051019320299993</v>
      </c>
    </row>
    <row r="220" spans="2:8" ht="27.95">
      <c r="B220" s="6" t="str">
        <f>VLOOKUP(C220, [1]Definition!$D$5:$K$5665, 8, FALSE)</f>
        <v>Capital Goods</v>
      </c>
      <c r="C220" s="7">
        <v>845690</v>
      </c>
      <c r="D220" s="8" t="s">
        <v>534</v>
      </c>
      <c r="E220" s="9" t="s">
        <v>65</v>
      </c>
      <c r="F220" s="17" t="str">
        <f>_xlfn.IFNA(VLOOKUP(C220, '[2]Unique HS'!$B$4:$J$999, 9, FALSE), "No")</f>
        <v>Yes</v>
      </c>
      <c r="G220" s="18">
        <f>VLOOKUP(C220, '[1]India EXIM'!$B$6:$C$580, 2, FALSE)</f>
        <v>2.7341981206999998E-2</v>
      </c>
      <c r="H220" s="11">
        <f>VLOOKUP(C220, '[1]China EXIM'!$B$6:$D$580, 3, FALSE)</f>
        <v>0.28861160058399998</v>
      </c>
    </row>
    <row r="221" spans="2:8">
      <c r="B221" s="6" t="str">
        <f>VLOOKUP(C221, [1]Definition!$D$5:$K$5665, 8, FALSE)</f>
        <v>Capital Goods</v>
      </c>
      <c r="C221" s="7">
        <v>820299</v>
      </c>
      <c r="D221" s="8" t="s">
        <v>640</v>
      </c>
      <c r="E221" s="9" t="s">
        <v>65</v>
      </c>
      <c r="F221" s="17" t="str">
        <f>_xlfn.IFNA(VLOOKUP(C221, '[2]Unique HS'!$B$4:$J$999, 9, FALSE), "No")</f>
        <v>Yes</v>
      </c>
      <c r="G221" s="18">
        <f>VLOOKUP(C221, '[1]India EXIM'!$B$6:$C$580, 2, FALSE)</f>
        <v>2.6763827530000003E-2</v>
      </c>
      <c r="H221" s="11">
        <f>VLOOKUP(C221, '[1]China EXIM'!$B$6:$D$580, 3, FALSE)</f>
        <v>1.006735677967</v>
      </c>
    </row>
    <row r="222" spans="2:8" ht="27.95">
      <c r="B222" s="6" t="str">
        <f>VLOOKUP(C222, [1]Definition!$D$5:$K$5665, 8, FALSE)</f>
        <v>Capital Goods</v>
      </c>
      <c r="C222" s="7">
        <v>843410</v>
      </c>
      <c r="D222" s="8" t="s">
        <v>1059</v>
      </c>
      <c r="E222" s="9" t="s">
        <v>61</v>
      </c>
      <c r="F222" s="17" t="str">
        <f>_xlfn.IFNA(VLOOKUP(C222, '[2]Unique HS'!$B$4:$J$999, 9, FALSE), "No")</f>
        <v>No</v>
      </c>
      <c r="G222" s="18">
        <f>VLOOKUP(C222, '[1]India EXIM'!$B$6:$C$580, 2, FALSE)</f>
        <v>7.9140757400000003E-4</v>
      </c>
      <c r="H222" s="11">
        <f>VLOOKUP(C222, '[1]China EXIM'!$B$6:$D$580, 3, FALSE)</f>
        <v>0.81416678606900006</v>
      </c>
    </row>
    <row r="223" spans="2:8" ht="27.95">
      <c r="B223" s="6" t="str">
        <f>VLOOKUP(C223, [1]Definition!$D$5:$K$5665, 8, FALSE)</f>
        <v>Capital Goods</v>
      </c>
      <c r="C223" s="7">
        <v>846269</v>
      </c>
      <c r="D223" s="8" t="s">
        <v>540</v>
      </c>
      <c r="E223" s="9" t="s">
        <v>65</v>
      </c>
      <c r="F223" s="17" t="str">
        <f>_xlfn.IFNA(VLOOKUP(C223, '[2]Unique HS'!$B$4:$J$999, 9, FALSE), "No")</f>
        <v>No</v>
      </c>
      <c r="G223" s="18">
        <f>VLOOKUP(C223, '[1]India EXIM'!$B$6:$C$580, 2, FALSE)</f>
        <v>2.6760975469000001E-2</v>
      </c>
      <c r="H223" s="11">
        <f>VLOOKUP(C223, '[1]China EXIM'!$B$6:$D$580, 3, FALSE)</f>
        <v>0.114848270037</v>
      </c>
    </row>
    <row r="224" spans="2:8" ht="27.95">
      <c r="B224" s="6" t="str">
        <f>VLOOKUP(C224, [1]Definition!$D$5:$K$5665, 8, FALSE)</f>
        <v>Capital Goods</v>
      </c>
      <c r="C224" s="7">
        <v>845819</v>
      </c>
      <c r="D224" s="8" t="s">
        <v>541</v>
      </c>
      <c r="E224" s="9" t="s">
        <v>65</v>
      </c>
      <c r="F224" s="17" t="str">
        <f>_xlfn.IFNA(VLOOKUP(C224, '[2]Unique HS'!$B$4:$J$999, 9, FALSE), "No")</f>
        <v>No</v>
      </c>
      <c r="G224" s="18">
        <f>VLOOKUP(C224, '[1]India EXIM'!$B$6:$C$580, 2, FALSE)</f>
        <v>2.6459069801999999E-2</v>
      </c>
      <c r="H224" s="11">
        <f>VLOOKUP(C224, '[1]China EXIM'!$B$6:$D$580, 3, FALSE)</f>
        <v>0.38012057104900004</v>
      </c>
    </row>
    <row r="225" spans="2:8" ht="27.95">
      <c r="B225" s="6" t="str">
        <f>VLOOKUP(C225, [1]Definition!$D$5:$K$5665, 8, FALSE)</f>
        <v>Capital Goods</v>
      </c>
      <c r="C225" s="7">
        <v>845150</v>
      </c>
      <c r="D225" s="8" t="s">
        <v>423</v>
      </c>
      <c r="E225" s="9" t="s">
        <v>55</v>
      </c>
      <c r="F225" s="17" t="str">
        <f>_xlfn.IFNA(VLOOKUP(C225, '[2]Unique HS'!$B$4:$J$999, 9, FALSE), "No")</f>
        <v>No</v>
      </c>
      <c r="G225" s="18">
        <f>VLOOKUP(C225, '[1]India EXIM'!$B$6:$C$580, 2, FALSE)</f>
        <v>4.4358387925999998E-2</v>
      </c>
      <c r="H225" s="11">
        <f>VLOOKUP(C225, '[1]China EXIM'!$B$6:$D$580, 3, FALSE)</f>
        <v>0.78956889965699995</v>
      </c>
    </row>
    <row r="226" spans="2:8" ht="27.95">
      <c r="B226" s="6" t="str">
        <f>VLOOKUP(C226, [1]Definition!$D$5:$K$5665, 8, FALSE)</f>
        <v>Capital Goods</v>
      </c>
      <c r="C226" s="7">
        <v>843930</v>
      </c>
      <c r="D226" s="8" t="s">
        <v>506</v>
      </c>
      <c r="E226" s="9" t="s">
        <v>22</v>
      </c>
      <c r="F226" s="17" t="str">
        <f>_xlfn.IFNA(VLOOKUP(C226, '[2]Unique HS'!$B$4:$J$999, 9, FALSE), "No")</f>
        <v>No</v>
      </c>
      <c r="G226" s="18">
        <f>VLOOKUP(C226, '[1]India EXIM'!$B$6:$C$580, 2, FALSE)</f>
        <v>3.0397731394E-2</v>
      </c>
      <c r="H226" s="11">
        <f>VLOOKUP(C226, '[1]China EXIM'!$B$6:$D$580, 3, FALSE)</f>
        <v>0.78826712964300005</v>
      </c>
    </row>
    <row r="227" spans="2:8" ht="27.95">
      <c r="B227" s="6" t="str">
        <f>VLOOKUP(C227, [1]Definition!$D$5:$K$5665, 8, FALSE)</f>
        <v>Capital Goods</v>
      </c>
      <c r="C227" s="7">
        <v>843231</v>
      </c>
      <c r="D227" s="8" t="s">
        <v>651</v>
      </c>
      <c r="E227" s="9" t="s">
        <v>1165</v>
      </c>
      <c r="F227" s="17" t="str">
        <f>_xlfn.IFNA(VLOOKUP(C227, '[2]Unique HS'!$B$4:$J$999, 9, FALSE), "No")</f>
        <v>No</v>
      </c>
      <c r="G227" s="18">
        <f>VLOOKUP(C227, '[1]India EXIM'!$B$6:$C$580, 2, FALSE)</f>
        <v>1.026334563E-2</v>
      </c>
      <c r="H227" s="11">
        <f>VLOOKUP(C227, '[1]China EXIM'!$B$6:$D$580, 3, FALSE)</f>
        <v>0.786365078873</v>
      </c>
    </row>
    <row r="228" spans="2:8" ht="42">
      <c r="B228" s="6" t="str">
        <f>VLOOKUP(C228, [1]Definition!$D$5:$K$5665, 8, FALSE)</f>
        <v>Capital Goods</v>
      </c>
      <c r="C228" s="7">
        <v>843780</v>
      </c>
      <c r="D228" s="8" t="s">
        <v>282</v>
      </c>
      <c r="E228" s="9" t="s">
        <v>61</v>
      </c>
      <c r="F228" s="17" t="str">
        <f>_xlfn.IFNA(VLOOKUP(C228, '[2]Unique HS'!$B$4:$J$999, 9, FALSE), "No")</f>
        <v>No</v>
      </c>
      <c r="G228" s="18">
        <f>VLOOKUP(C228, '[1]India EXIM'!$B$6:$C$580, 2, FALSE)</f>
        <v>8.2388254710999989E-2</v>
      </c>
      <c r="H228" s="11">
        <f>VLOOKUP(C228, '[1]China EXIM'!$B$6:$D$580, 3, FALSE)</f>
        <v>0.78601445856399998</v>
      </c>
    </row>
    <row r="229" spans="2:8" ht="27.95">
      <c r="B229" s="6" t="str">
        <f>VLOOKUP(C229, [1]Definition!$D$5:$K$5665, 8, FALSE)</f>
        <v>Capital Goods</v>
      </c>
      <c r="C229" s="7">
        <v>901730</v>
      </c>
      <c r="D229" s="8" t="s">
        <v>501</v>
      </c>
      <c r="E229" s="9" t="s">
        <v>22</v>
      </c>
      <c r="F229" s="17" t="str">
        <f>_xlfn.IFNA(VLOOKUP(C229, '[2]Unique HS'!$B$4:$J$999, 9, FALSE), "No")</f>
        <v>Yes</v>
      </c>
      <c r="G229" s="18">
        <f>VLOOKUP(C229, '[1]India EXIM'!$B$6:$C$580, 2, FALSE)</f>
        <v>3.1253139842999995E-2</v>
      </c>
      <c r="H229" s="11">
        <f>VLOOKUP(C229, '[1]China EXIM'!$B$6:$D$580, 3, FALSE)</f>
        <v>0.78468209982899995</v>
      </c>
    </row>
    <row r="230" spans="2:8" ht="42">
      <c r="B230" s="6" t="str">
        <f>VLOOKUP(C230, [1]Definition!$D$5:$K$5665, 8, FALSE)</f>
        <v>Capital Goods</v>
      </c>
      <c r="C230" s="7">
        <v>851440</v>
      </c>
      <c r="D230" s="8" t="s">
        <v>408</v>
      </c>
      <c r="E230" s="9" t="s">
        <v>22</v>
      </c>
      <c r="F230" s="17" t="str">
        <f>_xlfn.IFNA(VLOOKUP(C230, '[2]Unique HS'!$B$4:$J$999, 9, FALSE), "No")</f>
        <v>Yes</v>
      </c>
      <c r="G230" s="18">
        <f>VLOOKUP(C230, '[1]India EXIM'!$B$6:$C$580, 2, FALSE)</f>
        <v>4.5779563894000001E-2</v>
      </c>
      <c r="H230" s="11">
        <f>VLOOKUP(C230, '[1]China EXIM'!$B$6:$D$580, 3, FALSE)</f>
        <v>0.78232562565699992</v>
      </c>
    </row>
    <row r="231" spans="2:8" ht="27.95">
      <c r="B231" s="6" t="str">
        <f>VLOOKUP(C231, [1]Definition!$D$5:$K$5665, 8, FALSE)</f>
        <v>Capital Goods</v>
      </c>
      <c r="C231" s="7">
        <v>851610</v>
      </c>
      <c r="D231" s="8" t="s">
        <v>585</v>
      </c>
      <c r="E231" s="9" t="s">
        <v>22</v>
      </c>
      <c r="F231" s="17" t="str">
        <f>_xlfn.IFNA(VLOOKUP(C231, '[2]Unique HS'!$B$4:$J$999, 9, FALSE), "No")</f>
        <v>Yes</v>
      </c>
      <c r="G231" s="22">
        <f>VLOOKUP(C231, '[1]India EXIM'!$B$6:$C$580, 2, FALSE)</f>
        <v>2.3548812299999999E-2</v>
      </c>
      <c r="H231" s="11">
        <f>VLOOKUP(C231, '[1]China EXIM'!$B$6:$D$580, 3, FALSE)</f>
        <v>3.6109116999590003</v>
      </c>
    </row>
    <row r="232" spans="2:8" ht="27.95">
      <c r="B232" s="6" t="str">
        <f>VLOOKUP(C232, [1]Definition!$D$5:$K$5665, 8, FALSE)</f>
        <v>Capital Goods</v>
      </c>
      <c r="C232" s="7">
        <v>840219</v>
      </c>
      <c r="D232" s="8" t="s">
        <v>827</v>
      </c>
      <c r="E232" s="9" t="s">
        <v>22</v>
      </c>
      <c r="F232" s="17" t="str">
        <f>_xlfn.IFNA(VLOOKUP(C232, '[2]Unique HS'!$B$4:$J$999, 9, FALSE), "No")</f>
        <v>No</v>
      </c>
      <c r="G232" s="18">
        <f>VLOOKUP(C232, '[1]India EXIM'!$B$6:$C$580, 2, FALSE)</f>
        <v>9.4500841539999995E-3</v>
      </c>
      <c r="H232" s="11">
        <f>VLOOKUP(C232, '[1]China EXIM'!$B$6:$D$580, 3, FALSE)</f>
        <v>0.76130414471500008</v>
      </c>
    </row>
    <row r="233" spans="2:8" ht="27.95">
      <c r="B233" s="6" t="str">
        <f>VLOOKUP(C233, [1]Definition!$D$5:$K$5665, 8, FALSE)</f>
        <v>Capital Goods</v>
      </c>
      <c r="C233" s="7">
        <v>843710</v>
      </c>
      <c r="D233" s="8" t="s">
        <v>254</v>
      </c>
      <c r="E233" s="9" t="s">
        <v>61</v>
      </c>
      <c r="F233" s="17" t="str">
        <f>_xlfn.IFNA(VLOOKUP(C233, '[2]Unique HS'!$B$4:$J$999, 9, FALSE), "No")</f>
        <v>Yes</v>
      </c>
      <c r="G233" s="18">
        <f>VLOOKUP(C233, '[1]India EXIM'!$B$6:$C$580, 2, FALSE)</f>
        <v>9.0459096823999996E-2</v>
      </c>
      <c r="H233" s="11">
        <f>VLOOKUP(C233, '[1]China EXIM'!$B$6:$D$580, 3, FALSE)</f>
        <v>0.75999658664000003</v>
      </c>
    </row>
    <row r="234" spans="2:8" ht="27.95">
      <c r="B234" s="6" t="str">
        <f>VLOOKUP(C234, [1]Definition!$D$5:$K$5665, 8, FALSE)</f>
        <v>Capital Goods</v>
      </c>
      <c r="C234" s="7">
        <v>820780</v>
      </c>
      <c r="D234" s="8" t="s">
        <v>553</v>
      </c>
      <c r="E234" s="9" t="s">
        <v>65</v>
      </c>
      <c r="F234" s="17" t="str">
        <f>_xlfn.IFNA(VLOOKUP(C234, '[2]Unique HS'!$B$4:$J$999, 9, FALSE), "No")</f>
        <v>Yes</v>
      </c>
      <c r="G234" s="18">
        <f>VLOOKUP(C234, '[1]India EXIM'!$B$6:$C$580, 2, FALSE)</f>
        <v>2.6028204888999998E-2</v>
      </c>
      <c r="H234" s="11">
        <f>VLOOKUP(C234, '[1]China EXIM'!$B$6:$D$580, 3, FALSE)</f>
        <v>0.78998360665400003</v>
      </c>
    </row>
    <row r="235" spans="2:8" ht="42">
      <c r="B235" s="6" t="str">
        <f>VLOOKUP(C235, [1]Definition!$D$5:$K$5665, 8, FALSE)</f>
        <v>Capital Goods</v>
      </c>
      <c r="C235" s="7">
        <v>846222</v>
      </c>
      <c r="D235" s="8" t="s">
        <v>565</v>
      </c>
      <c r="E235" s="9" t="s">
        <v>65</v>
      </c>
      <c r="F235" s="17" t="str">
        <f>_xlfn.IFNA(VLOOKUP(C235, '[2]Unique HS'!$B$4:$J$999, 9, FALSE), "No")</f>
        <v>No</v>
      </c>
      <c r="G235" s="18">
        <f>VLOOKUP(C235, '[1]India EXIM'!$B$6:$C$580, 2, FALSE)</f>
        <v>2.5342439256999999E-2</v>
      </c>
      <c r="H235" s="11">
        <f>VLOOKUP(C235, '[1]China EXIM'!$B$6:$D$580, 3, FALSE)</f>
        <v>0.45144876837499998</v>
      </c>
    </row>
    <row r="236" spans="2:8" ht="56.1">
      <c r="B236" s="6" t="str">
        <f>VLOOKUP(C236, [1]Definition!$D$5:$K$5665, 8, FALSE)</f>
        <v>Capital Goods</v>
      </c>
      <c r="C236" s="7">
        <v>842381</v>
      </c>
      <c r="D236" s="8" t="s">
        <v>927</v>
      </c>
      <c r="E236" s="9" t="s">
        <v>22</v>
      </c>
      <c r="F236" s="17" t="str">
        <f>_xlfn.IFNA(VLOOKUP(C236, '[2]Unique HS'!$B$4:$J$999, 9, FALSE), "No")</f>
        <v>Yes</v>
      </c>
      <c r="G236" s="18">
        <f>VLOOKUP(C236, '[1]India EXIM'!$B$6:$C$580, 2, FALSE)</f>
        <v>5.0134382229999998E-3</v>
      </c>
      <c r="H236" s="11">
        <f>VLOOKUP(C236, '[1]China EXIM'!$B$6:$D$580, 3, FALSE)</f>
        <v>0.74849261771599995</v>
      </c>
    </row>
    <row r="237" spans="2:8" ht="42">
      <c r="B237" s="6" t="str">
        <f>VLOOKUP(C237, [1]Definition!$D$5:$K$5665, 8, FALSE)</f>
        <v>Capital Goods</v>
      </c>
      <c r="C237" s="7">
        <v>846410</v>
      </c>
      <c r="D237" s="8" t="s">
        <v>588</v>
      </c>
      <c r="E237" s="9" t="s">
        <v>65</v>
      </c>
      <c r="F237" s="17" t="str">
        <f>_xlfn.IFNA(VLOOKUP(C237, '[2]Unique HS'!$B$4:$J$999, 9, FALSE), "No")</f>
        <v>No</v>
      </c>
      <c r="G237" s="18">
        <f>VLOOKUP(C237, '[1]India EXIM'!$B$6:$C$580, 2, FALSE)</f>
        <v>2.3380765152999999E-2</v>
      </c>
      <c r="H237" s="11">
        <f>VLOOKUP(C237, '[1]China EXIM'!$B$6:$D$580, 3, FALSE)</f>
        <v>0.62192466377199995</v>
      </c>
    </row>
    <row r="238" spans="2:8" ht="27.95">
      <c r="B238" s="6" t="str">
        <f>VLOOKUP(C238, [1]Definition!$D$5:$K$5665, 8, FALSE)</f>
        <v>Capital Goods</v>
      </c>
      <c r="C238" s="7">
        <v>842441</v>
      </c>
      <c r="D238" s="8" t="s">
        <v>672</v>
      </c>
      <c r="E238" s="9" t="s">
        <v>1165</v>
      </c>
      <c r="F238" s="17" t="str">
        <f>_xlfn.IFNA(VLOOKUP(C238, '[2]Unique HS'!$B$4:$J$999, 9, FALSE), "No")</f>
        <v>No</v>
      </c>
      <c r="G238" s="18">
        <f>VLOOKUP(C238, '[1]India EXIM'!$B$6:$C$580, 2, FALSE)</f>
        <v>2.4586809636999999E-2</v>
      </c>
      <c r="H238" s="11">
        <f>VLOOKUP(C238, '[1]China EXIM'!$B$6:$D$580, 3, FALSE)</f>
        <v>0.74577324205100004</v>
      </c>
    </row>
    <row r="239" spans="2:8" ht="42">
      <c r="B239" s="6" t="str">
        <f>VLOOKUP(C239, [1]Definition!$D$5:$K$5665, 8, FALSE)</f>
        <v>Capital Goods</v>
      </c>
      <c r="C239" s="7">
        <v>842382</v>
      </c>
      <c r="D239" s="8" t="s">
        <v>1007</v>
      </c>
      <c r="E239" s="9" t="s">
        <v>22</v>
      </c>
      <c r="F239" s="17" t="str">
        <f>_xlfn.IFNA(VLOOKUP(C239, '[2]Unique HS'!$B$4:$J$999, 9, FALSE), "No")</f>
        <v>Yes</v>
      </c>
      <c r="G239" s="19">
        <f>VLOOKUP(C239, '[1]India EXIM'!$B$6:$C$580, 2, FALSE)</f>
        <v>1.9837335560000001E-3</v>
      </c>
      <c r="H239" s="11">
        <f>VLOOKUP(C239, '[1]China EXIM'!$B$6:$D$580, 3, FALSE)</f>
        <v>0.74246686951199992</v>
      </c>
    </row>
    <row r="240" spans="2:8" ht="27.95">
      <c r="B240" s="6" t="str">
        <f>VLOOKUP(C240, [1]Definition!$D$5:$K$5665, 8, FALSE)</f>
        <v>Capital Goods</v>
      </c>
      <c r="C240" s="7">
        <v>851519</v>
      </c>
      <c r="D240" s="8" t="s">
        <v>589</v>
      </c>
      <c r="E240" s="9" t="s">
        <v>65</v>
      </c>
      <c r="F240" s="17" t="str">
        <f>_xlfn.IFNA(VLOOKUP(C240, '[2]Unique HS'!$B$4:$J$999, 9, FALSE), "No")</f>
        <v>Yes</v>
      </c>
      <c r="G240" s="18">
        <f>VLOOKUP(C240, '[1]India EXIM'!$B$6:$C$580, 2, FALSE)</f>
        <v>2.3043982052999998E-2</v>
      </c>
      <c r="H240" s="11">
        <f>VLOOKUP(C240, '[1]China EXIM'!$B$6:$D$580, 3, FALSE)</f>
        <v>0.66475508838899999</v>
      </c>
    </row>
    <row r="241" spans="2:8" ht="56.1">
      <c r="B241" s="6" t="str">
        <f>VLOOKUP(C241, [1]Definition!$D$5:$K$5665, 8, FALSE)</f>
        <v>Capital Goods</v>
      </c>
      <c r="C241" s="7">
        <v>903110</v>
      </c>
      <c r="D241" s="8" t="s">
        <v>686</v>
      </c>
      <c r="E241" s="9" t="s">
        <v>22</v>
      </c>
      <c r="F241" s="17" t="str">
        <f>_xlfn.IFNA(VLOOKUP(C241, '[2]Unique HS'!$B$4:$J$999, 9, FALSE), "No")</f>
        <v>No</v>
      </c>
      <c r="G241" s="22">
        <f>VLOOKUP(C241, '[1]India EXIM'!$B$6:$C$580, 2, FALSE)</f>
        <v>1.6636235433E-2</v>
      </c>
      <c r="H241" s="11">
        <f>VLOOKUP(C241, '[1]China EXIM'!$B$6:$D$580, 3, FALSE)</f>
        <v>0.489244696448</v>
      </c>
    </row>
    <row r="242" spans="2:8" ht="27.95">
      <c r="B242" s="6" t="str">
        <f>VLOOKUP(C242, [1]Definition!$D$5:$K$5665, 8, FALSE)</f>
        <v>Capital Goods</v>
      </c>
      <c r="C242" s="7">
        <v>846330</v>
      </c>
      <c r="D242" s="8" t="s">
        <v>595</v>
      </c>
      <c r="E242" s="9" t="s">
        <v>65</v>
      </c>
      <c r="F242" s="17" t="str">
        <f>_xlfn.IFNA(VLOOKUP(C242, '[2]Unique HS'!$B$4:$J$999, 9, FALSE), "No")</f>
        <v>No</v>
      </c>
      <c r="G242" s="18">
        <f>VLOOKUP(C242, '[1]India EXIM'!$B$6:$C$580, 2, FALSE)</f>
        <v>2.2755831717999997E-2</v>
      </c>
      <c r="H242" s="11">
        <f>VLOOKUP(C242, '[1]China EXIM'!$B$6:$D$580, 3, FALSE)</f>
        <v>0.474833037836</v>
      </c>
    </row>
    <row r="243" spans="2:8" ht="42">
      <c r="B243" s="6" t="str">
        <f>VLOOKUP(C243, [1]Definition!$D$5:$K$5665, 8, FALSE)</f>
        <v>Capital Goods</v>
      </c>
      <c r="C243" s="7">
        <v>842519</v>
      </c>
      <c r="D243" s="8" t="s">
        <v>770</v>
      </c>
      <c r="E243" s="9" t="s">
        <v>58</v>
      </c>
      <c r="F243" s="17" t="str">
        <f>_xlfn.IFNA(VLOOKUP(C243, '[2]Unique HS'!$B$4:$J$999, 9, FALSE), "No")</f>
        <v>No</v>
      </c>
      <c r="G243" s="18">
        <f>VLOOKUP(C243, '[1]India EXIM'!$B$6:$C$580, 2, FALSE)</f>
        <v>1.1692425219E-2</v>
      </c>
      <c r="H243" s="11">
        <f>VLOOKUP(C243, '[1]China EXIM'!$B$6:$D$580, 3, FALSE)</f>
        <v>0.71327302342799992</v>
      </c>
    </row>
    <row r="244" spans="2:8" ht="27.95">
      <c r="B244" s="6" t="str">
        <f>VLOOKUP(C244, [1]Definition!$D$5:$K$5665, 8, FALSE)</f>
        <v>Capital Goods</v>
      </c>
      <c r="C244" s="7">
        <v>842699</v>
      </c>
      <c r="D244" s="8" t="s">
        <v>782</v>
      </c>
      <c r="E244" s="9" t="s">
        <v>58</v>
      </c>
      <c r="F244" s="17" t="str">
        <f>_xlfn.IFNA(VLOOKUP(C244, '[2]Unique HS'!$B$4:$J$999, 9, FALSE), "No")</f>
        <v>No</v>
      </c>
      <c r="G244" s="18">
        <f>VLOOKUP(C244, '[1]India EXIM'!$B$6:$C$580, 2, FALSE)</f>
        <v>1.1022219622E-2</v>
      </c>
      <c r="H244" s="11">
        <f>VLOOKUP(C244, '[1]China EXIM'!$B$6:$D$580, 3, FALSE)</f>
        <v>0.71119894577800002</v>
      </c>
    </row>
    <row r="245" spans="2:8" ht="27.95">
      <c r="B245" s="6" t="str">
        <f>VLOOKUP(C245, [1]Definition!$D$5:$K$5665, 8, FALSE)</f>
        <v>Capital Goods</v>
      </c>
      <c r="C245" s="7">
        <v>846791</v>
      </c>
      <c r="D245" s="8" t="s">
        <v>691</v>
      </c>
      <c r="E245" s="9" t="s">
        <v>65</v>
      </c>
      <c r="F245" s="17" t="str">
        <f>_xlfn.IFNA(VLOOKUP(C245, '[2]Unique HS'!$B$4:$J$999, 9, FALSE), "No")</f>
        <v>No</v>
      </c>
      <c r="G245" s="18">
        <f>VLOOKUP(C245, '[1]India EXIM'!$B$6:$C$580, 2, FALSE)</f>
        <v>2.0811422419000001E-2</v>
      </c>
      <c r="H245" s="11">
        <f>VLOOKUP(C245, '[1]China EXIM'!$B$6:$D$580, 3, FALSE)</f>
        <v>0.37471774780800005</v>
      </c>
    </row>
    <row r="246" spans="2:8" ht="42">
      <c r="B246" s="6" t="str">
        <f>VLOOKUP(C246, [1]Definition!$D$5:$K$5665, 8, FALSE)</f>
        <v>Capital Goods</v>
      </c>
      <c r="C246" s="7">
        <v>844900</v>
      </c>
      <c r="D246" s="8" t="s">
        <v>391</v>
      </c>
      <c r="E246" s="9" t="s">
        <v>55</v>
      </c>
      <c r="F246" s="17" t="str">
        <f>_xlfn.IFNA(VLOOKUP(C246, '[2]Unique HS'!$B$4:$J$999, 9, FALSE), "No")</f>
        <v>Yes</v>
      </c>
      <c r="G246" s="18">
        <f>VLOOKUP(C246, '[1]India EXIM'!$B$6:$C$580, 2, FALSE)</f>
        <v>4.6792241805000002E-2</v>
      </c>
      <c r="H246" s="11">
        <f>VLOOKUP(C246, '[1]China EXIM'!$B$6:$D$580, 3, FALSE)</f>
        <v>0.70994372708099995</v>
      </c>
    </row>
    <row r="247" spans="2:8" ht="27.95">
      <c r="B247" s="6" t="str">
        <f>VLOOKUP(C247, [1]Definition!$D$5:$K$5665, 8, FALSE)</f>
        <v>Capital Goods</v>
      </c>
      <c r="C247" s="7">
        <v>847810</v>
      </c>
      <c r="D247" s="8" t="s">
        <v>627</v>
      </c>
      <c r="E247" s="9" t="s">
        <v>22</v>
      </c>
      <c r="F247" s="17" t="str">
        <f>_xlfn.IFNA(VLOOKUP(C247, '[2]Unique HS'!$B$4:$J$999, 9, FALSE), "No")</f>
        <v>No</v>
      </c>
      <c r="G247" s="18">
        <f>VLOOKUP(C247, '[1]India EXIM'!$B$6:$C$580, 2, FALSE)</f>
        <v>2.0497804056000001E-2</v>
      </c>
      <c r="H247" s="11">
        <f>VLOOKUP(C247, '[1]China EXIM'!$B$6:$D$580, 3, FALSE)</f>
        <v>0.69600618403699999</v>
      </c>
    </row>
    <row r="248" spans="2:8" ht="56.1">
      <c r="B248" s="6" t="str">
        <f>VLOOKUP(C248, [1]Definition!$D$5:$K$5665, 8, FALSE)</f>
        <v>Capital Goods</v>
      </c>
      <c r="C248" s="7">
        <v>851439</v>
      </c>
      <c r="D248" s="8" t="s">
        <v>437</v>
      </c>
      <c r="E248" s="9" t="s">
        <v>82</v>
      </c>
      <c r="F248" s="17" t="str">
        <f>_xlfn.IFNA(VLOOKUP(C248, '[2]Unique HS'!$B$4:$J$999, 9, FALSE), "No")</f>
        <v>Yes</v>
      </c>
      <c r="G248" s="18">
        <f>VLOOKUP(C248, '[1]India EXIM'!$B$6:$C$580, 2, FALSE)</f>
        <v>3.9662669281999997E-2</v>
      </c>
      <c r="H248" s="11">
        <f>VLOOKUP(C248, '[1]China EXIM'!$B$6:$D$580, 3, FALSE)</f>
        <v>0.69347657228900006</v>
      </c>
    </row>
    <row r="249" spans="2:8" ht="27.95">
      <c r="B249" s="6" t="str">
        <f>VLOOKUP(C249, [1]Definition!$D$5:$K$5665, 8, FALSE)</f>
        <v>Capital Goods</v>
      </c>
      <c r="C249" s="7">
        <v>846722</v>
      </c>
      <c r="D249" s="8" t="s">
        <v>638</v>
      </c>
      <c r="E249" s="9" t="s">
        <v>65</v>
      </c>
      <c r="F249" s="17" t="str">
        <f>_xlfn.IFNA(VLOOKUP(C249, '[2]Unique HS'!$B$4:$J$999, 9, FALSE), "No")</f>
        <v>Yes</v>
      </c>
      <c r="G249" s="18">
        <f>VLOOKUP(C249, '[1]India EXIM'!$B$6:$C$580, 2, FALSE)</f>
        <v>1.9746395931000003E-2</v>
      </c>
      <c r="H249" s="11">
        <f>VLOOKUP(C249, '[1]China EXIM'!$B$6:$D$580, 3, FALSE)</f>
        <v>3.4022948934770003</v>
      </c>
    </row>
    <row r="250" spans="2:8" ht="27.95">
      <c r="B250" s="6" t="str">
        <f>VLOOKUP(C250, [1]Definition!$D$5:$K$5665, 8, FALSE)</f>
        <v>Capital Goods</v>
      </c>
      <c r="C250" s="7">
        <v>761300</v>
      </c>
      <c r="D250" s="8" t="s">
        <v>762</v>
      </c>
      <c r="E250" s="9" t="s">
        <v>22</v>
      </c>
      <c r="F250" s="17" t="str">
        <f>_xlfn.IFNA(VLOOKUP(C250, '[2]Unique HS'!$B$4:$J$999, 9, FALSE), "No")</f>
        <v>No</v>
      </c>
      <c r="G250" s="18">
        <f>VLOOKUP(C250, '[1]India EXIM'!$B$6:$C$580, 2, FALSE)</f>
        <v>1.2344889826999999E-2</v>
      </c>
      <c r="H250" s="11">
        <f>VLOOKUP(C250, '[1]China EXIM'!$B$6:$D$580, 3, FALSE)</f>
        <v>0.68340405238399993</v>
      </c>
    </row>
    <row r="251" spans="2:8" ht="42">
      <c r="B251" s="6" t="str">
        <f>VLOOKUP(C251, [1]Definition!$D$5:$K$5665, 8, FALSE)</f>
        <v>Capital Goods</v>
      </c>
      <c r="C251" s="7">
        <v>842330</v>
      </c>
      <c r="D251" s="8" t="s">
        <v>576</v>
      </c>
      <c r="E251" s="9" t="s">
        <v>22</v>
      </c>
      <c r="F251" s="17" t="str">
        <f>_xlfn.IFNA(VLOOKUP(C251, '[2]Unique HS'!$B$4:$J$999, 9, FALSE), "No")</f>
        <v>Yes</v>
      </c>
      <c r="G251" s="18">
        <f>VLOOKUP(C251, '[1]India EXIM'!$B$6:$C$580, 2, FALSE)</f>
        <v>2.3756191811999998E-2</v>
      </c>
      <c r="H251" s="11">
        <f>VLOOKUP(C251, '[1]China EXIM'!$B$6:$D$580, 3, FALSE)</f>
        <v>0.68045448207799997</v>
      </c>
    </row>
    <row r="252" spans="2:8" ht="27.95">
      <c r="B252" s="6" t="str">
        <f>VLOOKUP(C252, [1]Definition!$D$5:$K$5665, 8, FALSE)</f>
        <v>Capital Goods</v>
      </c>
      <c r="C252" s="7">
        <v>901530</v>
      </c>
      <c r="D252" s="8" t="s">
        <v>856</v>
      </c>
      <c r="E252" s="9" t="s">
        <v>58</v>
      </c>
      <c r="F252" s="17" t="str">
        <f>_xlfn.IFNA(VLOOKUP(C252, '[2]Unique HS'!$B$4:$J$999, 9, FALSE), "No")</f>
        <v>Yes</v>
      </c>
      <c r="G252" s="18">
        <f>VLOOKUP(C252, '[1]India EXIM'!$B$6:$C$580, 2, FALSE)</f>
        <v>7.9850400869999998E-3</v>
      </c>
      <c r="H252" s="11">
        <f>VLOOKUP(C252, '[1]China EXIM'!$B$6:$D$580, 3, FALSE)</f>
        <v>0.68045336077699992</v>
      </c>
    </row>
    <row r="253" spans="2:8">
      <c r="B253" s="6" t="str">
        <f>VLOOKUP(C253, [1]Definition!$D$5:$K$5665, 8, FALSE)</f>
        <v>Capital Goods</v>
      </c>
      <c r="C253" s="7">
        <v>844010</v>
      </c>
      <c r="D253" s="8" t="s">
        <v>543</v>
      </c>
      <c r="E253" s="9" t="s">
        <v>180</v>
      </c>
      <c r="F253" s="17" t="str">
        <f>_xlfn.IFNA(VLOOKUP(C253, '[2]Unique HS'!$B$4:$J$999, 9, FALSE), "No")</f>
        <v>No</v>
      </c>
      <c r="G253" s="18">
        <f>VLOOKUP(C253, '[1]India EXIM'!$B$6:$C$580, 2, FALSE)</f>
        <v>2.6268873905999999E-2</v>
      </c>
      <c r="H253" s="11">
        <f>VLOOKUP(C253, '[1]China EXIM'!$B$6:$D$580, 3, FALSE)</f>
        <v>0.67765983825199994</v>
      </c>
    </row>
    <row r="254" spans="2:8" ht="42">
      <c r="B254" s="6" t="str">
        <f>VLOOKUP(C254, [1]Definition!$D$5:$K$5665, 8, FALSE)</f>
        <v>Capital Goods</v>
      </c>
      <c r="C254" s="7">
        <v>846223</v>
      </c>
      <c r="D254" s="8" t="s">
        <v>639</v>
      </c>
      <c r="E254" s="9" t="s">
        <v>65</v>
      </c>
      <c r="F254" s="17" t="str">
        <f>_xlfn.IFNA(VLOOKUP(C254, '[2]Unique HS'!$B$4:$J$999, 9, FALSE), "No")</f>
        <v>No</v>
      </c>
      <c r="G254" s="18">
        <f>VLOOKUP(C254, '[1]India EXIM'!$B$6:$C$580, 2, FALSE)</f>
        <v>1.9475821181000001E-2</v>
      </c>
      <c r="H254" s="11">
        <f>VLOOKUP(C254, '[1]China EXIM'!$B$6:$D$580, 3, FALSE)</f>
        <v>1.0837698496050001</v>
      </c>
    </row>
    <row r="255" spans="2:8" ht="42">
      <c r="B255" s="6" t="str">
        <f>VLOOKUP(C255, [1]Definition!$D$5:$K$5665, 8, FALSE)</f>
        <v>Capital Goods</v>
      </c>
      <c r="C255" s="7">
        <v>902410</v>
      </c>
      <c r="D255" s="8" t="s">
        <v>591</v>
      </c>
      <c r="E255" s="9" t="s">
        <v>82</v>
      </c>
      <c r="F255" s="17" t="str">
        <f>_xlfn.IFNA(VLOOKUP(C255, '[2]Unique HS'!$B$4:$J$999, 9, FALSE), "No")</f>
        <v>Yes</v>
      </c>
      <c r="G255" s="18">
        <f>VLOOKUP(C255, '[1]India EXIM'!$B$6:$C$580, 2, FALSE)</f>
        <v>2.2885620214999999E-2</v>
      </c>
      <c r="H255" s="11">
        <f>VLOOKUP(C255, '[1]China EXIM'!$B$6:$D$580, 3, FALSE)</f>
        <v>0.67026651880700006</v>
      </c>
    </row>
    <row r="256" spans="2:8" ht="27.95">
      <c r="B256" s="6" t="str">
        <f>VLOOKUP(C256, [1]Definition!$D$5:$K$5665, 8, FALSE)</f>
        <v>Capital Goods</v>
      </c>
      <c r="C256" s="7">
        <v>842630</v>
      </c>
      <c r="D256" s="8" t="s">
        <v>637</v>
      </c>
      <c r="E256" s="9" t="s">
        <v>58</v>
      </c>
      <c r="F256" s="17" t="str">
        <f>_xlfn.IFNA(VLOOKUP(C256, '[2]Unique HS'!$B$4:$J$999, 9, FALSE), "No")</f>
        <v>No</v>
      </c>
      <c r="G256" s="18">
        <f>VLOOKUP(C256, '[1]India EXIM'!$B$6:$C$580, 2, FALSE)</f>
        <v>2.0068890871E-2</v>
      </c>
      <c r="H256" s="11">
        <f>VLOOKUP(C256, '[1]China EXIM'!$B$6:$D$580, 3, FALSE)</f>
        <v>0.66918608881899999</v>
      </c>
    </row>
    <row r="257" spans="2:8">
      <c r="B257" s="6" t="str">
        <f>VLOOKUP(C257, [1]Definition!$D$5:$K$5665, 8, FALSE)</f>
        <v>Capital Goods</v>
      </c>
      <c r="C257" s="7">
        <v>844720</v>
      </c>
      <c r="D257" s="8" t="s">
        <v>368</v>
      </c>
      <c r="E257" s="9" t="s">
        <v>55</v>
      </c>
      <c r="F257" s="17" t="str">
        <f>_xlfn.IFNA(VLOOKUP(C257, '[2]Unique HS'!$B$4:$J$999, 9, FALSE), "No")</f>
        <v>No</v>
      </c>
      <c r="G257" s="18">
        <f>VLOOKUP(C257, '[1]India EXIM'!$B$6:$C$580, 2, FALSE)</f>
        <v>5.3188586038000002E-2</v>
      </c>
      <c r="H257" s="11">
        <f>VLOOKUP(C257, '[1]China EXIM'!$B$6:$D$580, 3, FALSE)</f>
        <v>0.66717570651799996</v>
      </c>
    </row>
    <row r="258" spans="2:8">
      <c r="B258" s="6" t="str">
        <f>VLOOKUP(C258, [1]Definition!$D$5:$K$5665, 8, FALSE)</f>
        <v>Capital Goods</v>
      </c>
      <c r="C258" s="7">
        <v>845140</v>
      </c>
      <c r="D258" s="8" t="s">
        <v>382</v>
      </c>
      <c r="E258" s="9" t="s">
        <v>55</v>
      </c>
      <c r="F258" s="17" t="str">
        <f>_xlfn.IFNA(VLOOKUP(C258, '[2]Unique HS'!$B$4:$J$999, 9, FALSE), "No")</f>
        <v>No</v>
      </c>
      <c r="G258" s="18">
        <f>VLOOKUP(C258, '[1]India EXIM'!$B$6:$C$580, 2, FALSE)</f>
        <v>5.0547174006999998E-2</v>
      </c>
      <c r="H258" s="11">
        <f>VLOOKUP(C258, '[1]China EXIM'!$B$6:$D$580, 3, FALSE)</f>
        <v>0.66580091346000003</v>
      </c>
    </row>
    <row r="259" spans="2:8" ht="27.95">
      <c r="B259" s="6" t="str">
        <f>VLOOKUP(C259, [1]Definition!$D$5:$K$5665, 8, FALSE)</f>
        <v>Capital Goods</v>
      </c>
      <c r="C259" s="7">
        <v>845969</v>
      </c>
      <c r="D259" s="8" t="s">
        <v>643</v>
      </c>
      <c r="E259" s="9" t="s">
        <v>65</v>
      </c>
      <c r="F259" s="17" t="str">
        <f>_xlfn.IFNA(VLOOKUP(C259, '[2]Unique HS'!$B$4:$J$999, 9, FALSE), "No")</f>
        <v>No</v>
      </c>
      <c r="G259" s="18">
        <f>VLOOKUP(C259, '[1]India EXIM'!$B$6:$C$580, 2, FALSE)</f>
        <v>1.8598575374999999E-2</v>
      </c>
      <c r="H259" s="11">
        <f>VLOOKUP(C259, '[1]China EXIM'!$B$6:$D$580, 3, FALSE)</f>
        <v>0.30442855307300004</v>
      </c>
    </row>
    <row r="260" spans="2:8">
      <c r="B260" s="6" t="str">
        <f>VLOOKUP(C260, [1]Definition!$D$5:$K$5665, 8, FALSE)</f>
        <v>Capital Goods</v>
      </c>
      <c r="C260" s="7">
        <v>845522</v>
      </c>
      <c r="D260" s="8" t="s">
        <v>123</v>
      </c>
      <c r="E260" s="9" t="s">
        <v>82</v>
      </c>
      <c r="F260" s="17" t="str">
        <f>_xlfn.IFNA(VLOOKUP(C260, '[2]Unique HS'!$B$4:$J$999, 9, FALSE), "No")</f>
        <v>No</v>
      </c>
      <c r="G260" s="18">
        <f>VLOOKUP(C260, '[1]India EXIM'!$B$6:$C$580, 2, FALSE)</f>
        <v>0.19598846997700001</v>
      </c>
      <c r="H260" s="11">
        <f>VLOOKUP(C260, '[1]China EXIM'!$B$6:$D$580, 3, FALSE)</f>
        <v>0.64496026407200002</v>
      </c>
    </row>
    <row r="261" spans="2:8" ht="56.1">
      <c r="B261" s="6" t="str">
        <f>VLOOKUP(C261, [1]Definition!$D$5:$K$5665, 8, FALSE)</f>
        <v>Capital Goods</v>
      </c>
      <c r="C261" s="7">
        <v>846242</v>
      </c>
      <c r="D261" s="8" t="s">
        <v>644</v>
      </c>
      <c r="E261" s="9" t="s">
        <v>65</v>
      </c>
      <c r="F261" s="17" t="str">
        <f>_xlfn.IFNA(VLOOKUP(C261, '[2]Unique HS'!$B$4:$J$999, 9, FALSE), "No")</f>
        <v>No</v>
      </c>
      <c r="G261" s="18">
        <f>VLOOKUP(C261, '[1]India EXIM'!$B$6:$C$580, 2, FALSE)</f>
        <v>1.855601497E-2</v>
      </c>
      <c r="H261" s="11">
        <f>VLOOKUP(C261, '[1]China EXIM'!$B$6:$D$580, 3, FALSE)</f>
        <v>1.0136742219500001</v>
      </c>
    </row>
    <row r="262" spans="2:8" ht="27.95">
      <c r="B262" s="6" t="str">
        <f>VLOOKUP(C262, [1]Definition!$D$5:$K$5665, 8, FALSE)</f>
        <v>Capital Goods</v>
      </c>
      <c r="C262" s="7">
        <v>842612</v>
      </c>
      <c r="D262" s="8" t="s">
        <v>645</v>
      </c>
      <c r="E262" s="9" t="s">
        <v>58</v>
      </c>
      <c r="F262" s="17" t="str">
        <f>_xlfn.IFNA(VLOOKUP(C262, '[2]Unique HS'!$B$4:$J$999, 9, FALSE), "No")</f>
        <v>No</v>
      </c>
      <c r="G262" s="18">
        <f>VLOOKUP(C262, '[1]India EXIM'!$B$6:$C$580, 2, FALSE)</f>
        <v>1.8546175695E-2</v>
      </c>
      <c r="H262" s="11">
        <f>VLOOKUP(C262, '[1]China EXIM'!$B$6:$D$580, 3, FALSE)</f>
        <v>0.63700656155099999</v>
      </c>
    </row>
    <row r="263" spans="2:8" ht="42">
      <c r="B263" s="6" t="str">
        <f>VLOOKUP(C263, [1]Definition!$D$5:$K$5665, 8, FALSE)</f>
        <v>Capital Goods</v>
      </c>
      <c r="C263" s="7">
        <v>840410</v>
      </c>
      <c r="D263" s="8" t="s">
        <v>881</v>
      </c>
      <c r="E263" s="9" t="s">
        <v>22</v>
      </c>
      <c r="F263" s="17" t="str">
        <f>_xlfn.IFNA(VLOOKUP(C263, '[2]Unique HS'!$B$4:$J$999, 9, FALSE), "No")</f>
        <v>No</v>
      </c>
      <c r="G263" s="18">
        <f>VLOOKUP(C263, '[1]India EXIM'!$B$6:$C$580, 2, FALSE)</f>
        <v>7.523214294E-3</v>
      </c>
      <c r="H263" s="11">
        <f>VLOOKUP(C263, '[1]China EXIM'!$B$6:$D$580, 3, FALSE)</f>
        <v>0.63232031817000001</v>
      </c>
    </row>
    <row r="264" spans="2:8" ht="27.95">
      <c r="B264" s="6" t="str">
        <f>VLOOKUP(C264, [1]Definition!$D$5:$K$5665, 8, FALSE)</f>
        <v>Capital Goods</v>
      </c>
      <c r="C264" s="7">
        <v>845929</v>
      </c>
      <c r="D264" s="8" t="s">
        <v>647</v>
      </c>
      <c r="E264" s="9" t="s">
        <v>65</v>
      </c>
      <c r="F264" s="17" t="str">
        <f>_xlfn.IFNA(VLOOKUP(C264, '[2]Unique HS'!$B$4:$J$999, 9, FALSE), "No")</f>
        <v>Yes</v>
      </c>
      <c r="G264" s="18">
        <f>VLOOKUP(C264, '[1]India EXIM'!$B$6:$C$580, 2, FALSE)</f>
        <v>1.8214169145E-2</v>
      </c>
      <c r="H264" s="11">
        <f>VLOOKUP(C264, '[1]China EXIM'!$B$6:$D$580, 3, FALSE)</f>
        <v>0.33413212411100002</v>
      </c>
    </row>
    <row r="265" spans="2:8" ht="27.95">
      <c r="B265" s="6" t="str">
        <f>VLOOKUP(C265, [1]Definition!$D$5:$K$5665, 8, FALSE)</f>
        <v>Capital Goods</v>
      </c>
      <c r="C265" s="7">
        <v>843353</v>
      </c>
      <c r="D265" s="8" t="s">
        <v>737</v>
      </c>
      <c r="E265" s="9" t="s">
        <v>1165</v>
      </c>
      <c r="F265" s="17" t="str">
        <f>_xlfn.IFNA(VLOOKUP(C265, '[2]Unique HS'!$B$4:$J$999, 9, FALSE), "No")</f>
        <v>No</v>
      </c>
      <c r="G265" s="18">
        <f>VLOOKUP(C265, '[1]India EXIM'!$B$6:$C$580, 2, FALSE)</f>
        <v>2.7115549099999996E-4</v>
      </c>
      <c r="H265" s="11">
        <f>VLOOKUP(C265, '[1]China EXIM'!$B$6:$D$580, 3, FALSE)</f>
        <v>0.62521515595499999</v>
      </c>
    </row>
    <row r="266" spans="2:8" ht="27.95">
      <c r="B266" s="6" t="str">
        <f>VLOOKUP(C266, [1]Definition!$D$5:$K$5665, 8, FALSE)</f>
        <v>Capital Goods</v>
      </c>
      <c r="C266" s="7">
        <v>846031</v>
      </c>
      <c r="D266" s="8" t="s">
        <v>648</v>
      </c>
      <c r="E266" s="9" t="s">
        <v>65</v>
      </c>
      <c r="F266" s="17" t="str">
        <f>_xlfn.IFNA(VLOOKUP(C266, '[2]Unique HS'!$B$4:$J$999, 9, FALSE), "No")</f>
        <v>No</v>
      </c>
      <c r="G266" s="18">
        <f>VLOOKUP(C266, '[1]India EXIM'!$B$6:$C$580, 2, FALSE)</f>
        <v>1.8177315651999999E-2</v>
      </c>
      <c r="H266" s="11">
        <f>VLOOKUP(C266, '[1]China EXIM'!$B$6:$D$580, 3, FALSE)</f>
        <v>0.39964715150500002</v>
      </c>
    </row>
    <row r="267" spans="2:8" ht="27.95">
      <c r="B267" s="6" t="str">
        <f>VLOOKUP(C267, [1]Definition!$D$5:$K$5665, 8, FALSE)</f>
        <v>Capital Goods</v>
      </c>
      <c r="C267" s="7">
        <v>843221</v>
      </c>
      <c r="D267" s="8" t="s">
        <v>1121</v>
      </c>
      <c r="E267" s="9" t="s">
        <v>1165</v>
      </c>
      <c r="F267" s="17" t="str">
        <f>_xlfn.IFNA(VLOOKUP(C267, '[2]Unique HS'!$B$4:$J$999, 9, FALSE), "No")</f>
        <v>No</v>
      </c>
      <c r="G267" s="18">
        <f>VLOOKUP(C267, '[1]India EXIM'!$B$6:$C$580, 2, FALSE)</f>
        <v>3.2536782999999997E-5</v>
      </c>
      <c r="H267" s="11">
        <f>VLOOKUP(C267, '[1]China EXIM'!$B$6:$D$580, 3, FALSE)</f>
        <v>0.62040193158699997</v>
      </c>
    </row>
    <row r="268" spans="2:8" ht="27.95">
      <c r="B268" s="6" t="str">
        <f>VLOOKUP(C268, [1]Definition!$D$5:$K$5665, 8, FALSE)</f>
        <v>Capital Goods</v>
      </c>
      <c r="C268" s="7">
        <v>845720</v>
      </c>
      <c r="D268" s="8" t="s">
        <v>659</v>
      </c>
      <c r="E268" s="9" t="s">
        <v>65</v>
      </c>
      <c r="F268" s="17" t="str">
        <f>_xlfn.IFNA(VLOOKUP(C268, '[2]Unique HS'!$B$4:$J$999, 9, FALSE), "No")</f>
        <v>No</v>
      </c>
      <c r="G268" s="18">
        <f>VLOOKUP(C268, '[1]India EXIM'!$B$6:$C$580, 2, FALSE)</f>
        <v>1.7629745007E-2</v>
      </c>
      <c r="H268" s="11">
        <f>VLOOKUP(C268, '[1]China EXIM'!$B$6:$D$580, 3, FALSE)</f>
        <v>6.0701960588000002E-2</v>
      </c>
    </row>
    <row r="269" spans="2:8" ht="27.95">
      <c r="B269" s="6" t="str">
        <f>VLOOKUP(C269, [1]Definition!$D$5:$K$5665, 8, FALSE)</f>
        <v>Capital Goods</v>
      </c>
      <c r="C269" s="7">
        <v>820231</v>
      </c>
      <c r="D269" s="8" t="s">
        <v>745</v>
      </c>
      <c r="E269" s="9" t="s">
        <v>65</v>
      </c>
      <c r="F269" s="17" t="str">
        <f>_xlfn.IFNA(VLOOKUP(C269, '[2]Unique HS'!$B$4:$J$999, 9, FALSE), "No")</f>
        <v>No</v>
      </c>
      <c r="G269" s="18">
        <f>VLOOKUP(C269, '[1]India EXIM'!$B$6:$C$580, 2, FALSE)</f>
        <v>1.7495762100999998E-2</v>
      </c>
      <c r="H269" s="11">
        <f>VLOOKUP(C269, '[1]China EXIM'!$B$6:$D$580, 3, FALSE)</f>
        <v>0.56286728058400004</v>
      </c>
    </row>
    <row r="270" spans="2:8" ht="27.95">
      <c r="B270" s="6" t="str">
        <f>VLOOKUP(C270, [1]Definition!$D$5:$K$5665, 8, FALSE)</f>
        <v>Capital Goods</v>
      </c>
      <c r="C270" s="7">
        <v>846012</v>
      </c>
      <c r="D270" s="8" t="s">
        <v>661</v>
      </c>
      <c r="E270" s="9" t="s">
        <v>65</v>
      </c>
      <c r="F270" s="17" t="str">
        <f>_xlfn.IFNA(VLOOKUP(C270, '[2]Unique HS'!$B$4:$J$999, 9, FALSE), "No")</f>
        <v>No</v>
      </c>
      <c r="G270" s="18">
        <f>VLOOKUP(C270, '[1]India EXIM'!$B$6:$C$580, 2, FALSE)</f>
        <v>1.7226516718999999E-2</v>
      </c>
      <c r="H270" s="11">
        <f>VLOOKUP(C270, '[1]China EXIM'!$B$6:$D$580, 3, FALSE)</f>
        <v>0.44105261386299999</v>
      </c>
    </row>
    <row r="271" spans="2:8" ht="27.95">
      <c r="B271" s="6" t="str">
        <f>VLOOKUP(C271, [1]Definition!$D$5:$K$5665, 8, FALSE)</f>
        <v>Capital Goods</v>
      </c>
      <c r="C271" s="7">
        <v>841340</v>
      </c>
      <c r="D271" s="8" t="s">
        <v>816</v>
      </c>
      <c r="E271" s="9" t="s">
        <v>58</v>
      </c>
      <c r="F271" s="17" t="str">
        <f>_xlfn.IFNA(VLOOKUP(C271, '[2]Unique HS'!$B$4:$J$999, 9, FALSE), "No")</f>
        <v>No</v>
      </c>
      <c r="G271" s="18">
        <f>VLOOKUP(C271, '[1]India EXIM'!$B$6:$C$580, 2, FALSE)</f>
        <v>9.5851393980000005E-3</v>
      </c>
      <c r="H271" s="11">
        <f>VLOOKUP(C271, '[1]China EXIM'!$B$6:$D$580, 3, FALSE)</f>
        <v>0.5957925747870001</v>
      </c>
    </row>
    <row r="272" spans="2:8" ht="27.95">
      <c r="B272" s="6" t="str">
        <f>VLOOKUP(C272, [1]Definition!$D$5:$K$5665, 8, FALSE)</f>
        <v>Capital Goods</v>
      </c>
      <c r="C272" s="7">
        <v>843840</v>
      </c>
      <c r="D272" s="8" t="s">
        <v>1027</v>
      </c>
      <c r="E272" s="9" t="s">
        <v>61</v>
      </c>
      <c r="F272" s="17" t="str">
        <f>_xlfn.IFNA(VLOOKUP(C272, '[2]Unique HS'!$B$4:$J$999, 9, FALSE), "No")</f>
        <v>No</v>
      </c>
      <c r="G272" s="18">
        <f>VLOOKUP(C272, '[1]India EXIM'!$B$6:$C$580, 2, FALSE)</f>
        <v>1.6458055539999999E-3</v>
      </c>
      <c r="H272" s="11">
        <f>VLOOKUP(C272, '[1]China EXIM'!$B$6:$D$580, 3, FALSE)</f>
        <v>0.59570659939999993</v>
      </c>
    </row>
    <row r="273" spans="2:8" ht="27.95">
      <c r="B273" s="6" t="str">
        <f>VLOOKUP(C273, [1]Definition!$D$5:$K$5665, 8, FALSE)</f>
        <v>Capital Goods</v>
      </c>
      <c r="C273" s="7">
        <v>845521</v>
      </c>
      <c r="D273" s="8" t="s">
        <v>106</v>
      </c>
      <c r="E273" s="9" t="s">
        <v>82</v>
      </c>
      <c r="F273" s="17" t="str">
        <f>_xlfn.IFNA(VLOOKUP(C273, '[2]Unique HS'!$B$4:$J$999, 9, FALSE), "No")</f>
        <v>No</v>
      </c>
      <c r="G273" s="18">
        <f>VLOOKUP(C273, '[1]India EXIM'!$B$6:$C$580, 2, FALSE)</f>
        <v>0.255416278035</v>
      </c>
      <c r="H273" s="11">
        <f>VLOOKUP(C273, '[1]China EXIM'!$B$6:$D$580, 3, FALSE)</f>
        <v>0.59172417046000003</v>
      </c>
    </row>
    <row r="274" spans="2:8" ht="27.95">
      <c r="B274" s="6" t="str">
        <f>VLOOKUP(C274, [1]Definition!$D$5:$K$5665, 8, FALSE)</f>
        <v>Capital Goods</v>
      </c>
      <c r="C274" s="7">
        <v>846022</v>
      </c>
      <c r="D274" s="8" t="s">
        <v>674</v>
      </c>
      <c r="E274" s="9" t="s">
        <v>65</v>
      </c>
      <c r="F274" s="17" t="str">
        <f>_xlfn.IFNA(VLOOKUP(C274, '[2]Unique HS'!$B$4:$J$999, 9, FALSE), "No")</f>
        <v>No</v>
      </c>
      <c r="G274" s="18">
        <f>VLOOKUP(C274, '[1]India EXIM'!$B$6:$C$580, 2, FALSE)</f>
        <v>1.6848597728E-2</v>
      </c>
      <c r="H274" s="11">
        <f>VLOOKUP(C274, '[1]China EXIM'!$B$6:$D$580, 3, FALSE)</f>
        <v>0.154975347584</v>
      </c>
    </row>
    <row r="275" spans="2:8" ht="27.95">
      <c r="B275" s="6" t="str">
        <f>VLOOKUP(C275, [1]Definition!$D$5:$K$5665, 8, FALSE)</f>
        <v>Capital Goods</v>
      </c>
      <c r="C275" s="7">
        <v>846591</v>
      </c>
      <c r="D275" s="8" t="s">
        <v>681</v>
      </c>
      <c r="E275" s="9" t="s">
        <v>65</v>
      </c>
      <c r="F275" s="17" t="str">
        <f>_xlfn.IFNA(VLOOKUP(C275, '[2]Unique HS'!$B$4:$J$999, 9, FALSE), "No")</f>
        <v>No</v>
      </c>
      <c r="G275" s="18">
        <f>VLOOKUP(C275, '[1]India EXIM'!$B$6:$C$580, 2, FALSE)</f>
        <v>1.6697005773000002E-2</v>
      </c>
      <c r="H275" s="11">
        <f>VLOOKUP(C275, '[1]China EXIM'!$B$6:$D$580, 3, FALSE)</f>
        <v>2.1957360485419999</v>
      </c>
    </row>
    <row r="276" spans="2:8" ht="27.95">
      <c r="B276" s="6" t="str">
        <f>VLOOKUP(C276, [1]Definition!$D$5:$K$5665, 8, FALSE)</f>
        <v>Capital Goods</v>
      </c>
      <c r="C276" s="7">
        <v>842840</v>
      </c>
      <c r="D276" s="8" t="s">
        <v>765</v>
      </c>
      <c r="E276" s="9" t="s">
        <v>58</v>
      </c>
      <c r="F276" s="17" t="str">
        <f>_xlfn.IFNA(VLOOKUP(C276, '[2]Unique HS'!$B$4:$J$999, 9, FALSE), "No")</f>
        <v>No</v>
      </c>
      <c r="G276" s="18">
        <f>VLOOKUP(C276, '[1]India EXIM'!$B$6:$C$580, 2, FALSE)</f>
        <v>2.6543323905999998E-2</v>
      </c>
      <c r="H276" s="11">
        <f>VLOOKUP(C276, '[1]China EXIM'!$B$6:$D$580, 3, FALSE)</f>
        <v>0.57540366947099997</v>
      </c>
    </row>
    <row r="277" spans="2:8" ht="42">
      <c r="B277" s="6" t="str">
        <f>VLOOKUP(C277, [1]Definition!$D$5:$K$5665, 8, FALSE)</f>
        <v>Capital Goods</v>
      </c>
      <c r="C277" s="7">
        <v>847439</v>
      </c>
      <c r="D277" s="8" t="s">
        <v>622</v>
      </c>
      <c r="E277" s="9" t="s">
        <v>58</v>
      </c>
      <c r="F277" s="17" t="str">
        <f>_xlfn.IFNA(VLOOKUP(C277, '[2]Unique HS'!$B$4:$J$999, 9, FALSE), "No")</f>
        <v>Yes</v>
      </c>
      <c r="G277" s="18">
        <f>VLOOKUP(C277, '[1]India EXIM'!$B$6:$C$580, 2, FALSE)</f>
        <v>2.1030613242E-2</v>
      </c>
      <c r="H277" s="11">
        <f>VLOOKUP(C277, '[1]China EXIM'!$B$6:$D$580, 3, FALSE)</f>
        <v>0.57140625548899993</v>
      </c>
    </row>
    <row r="278" spans="2:8" ht="27.95">
      <c r="B278" s="6" t="str">
        <f>VLOOKUP(C278, [1]Definition!$D$5:$K$5665, 8, FALSE)</f>
        <v>Capital Goods</v>
      </c>
      <c r="C278" s="7">
        <v>843010</v>
      </c>
      <c r="D278" s="8" t="s">
        <v>767</v>
      </c>
      <c r="E278" s="9" t="s">
        <v>58</v>
      </c>
      <c r="F278" s="17" t="str">
        <f>_xlfn.IFNA(VLOOKUP(C278, '[2]Unique HS'!$B$4:$J$999, 9, FALSE), "No")</f>
        <v>No</v>
      </c>
      <c r="G278" s="18">
        <f>VLOOKUP(C278, '[1]India EXIM'!$B$6:$C$580, 2, FALSE)</f>
        <v>1.1747595123E-2</v>
      </c>
      <c r="H278" s="11">
        <f>VLOOKUP(C278, '[1]China EXIM'!$B$6:$D$580, 3, FALSE)</f>
        <v>0.56993954137199998</v>
      </c>
    </row>
    <row r="279" spans="2:8" ht="27.95">
      <c r="B279" s="6" t="str">
        <f>VLOOKUP(C279, [1]Definition!$D$5:$K$5665, 8, FALSE)</f>
        <v>Capital Goods</v>
      </c>
      <c r="C279" s="7">
        <v>901600</v>
      </c>
      <c r="D279" s="8" t="s">
        <v>468</v>
      </c>
      <c r="E279" s="9" t="s">
        <v>22</v>
      </c>
      <c r="F279" s="17" t="str">
        <f>_xlfn.IFNA(VLOOKUP(C279, '[2]Unique HS'!$B$4:$J$999, 9, FALSE), "No")</f>
        <v>Yes</v>
      </c>
      <c r="G279" s="18">
        <f>VLOOKUP(C279, '[1]India EXIM'!$B$6:$C$580, 2, FALSE)</f>
        <v>3.4679655512000002E-2</v>
      </c>
      <c r="H279" s="11">
        <f>VLOOKUP(C279, '[1]China EXIM'!$B$6:$D$580, 3, FALSE)</f>
        <v>0.55667217047899997</v>
      </c>
    </row>
    <row r="280" spans="2:8" ht="27.95">
      <c r="B280" s="6" t="str">
        <f>VLOOKUP(C280, [1]Definition!$D$5:$K$5665, 8, FALSE)</f>
        <v>Capital Goods</v>
      </c>
      <c r="C280" s="7">
        <v>847621</v>
      </c>
      <c r="D280" s="8" t="s">
        <v>1021</v>
      </c>
      <c r="E280" s="9" t="s">
        <v>61</v>
      </c>
      <c r="F280" s="17" t="str">
        <f>_xlfn.IFNA(VLOOKUP(C280, '[2]Unique HS'!$B$4:$J$999, 9, FALSE), "No")</f>
        <v>No</v>
      </c>
      <c r="G280" s="18">
        <f>VLOOKUP(C280, '[1]India EXIM'!$B$6:$C$580, 2, FALSE)</f>
        <v>1.7461058789999999E-3</v>
      </c>
      <c r="H280" s="11">
        <f>VLOOKUP(C280, '[1]China EXIM'!$B$6:$D$580, 3, FALSE)</f>
        <v>0.5438157708689999</v>
      </c>
    </row>
    <row r="281" spans="2:8" ht="27.95">
      <c r="B281" s="6" t="str">
        <f>VLOOKUP(C281, [1]Definition!$D$5:$K$5665, 8, FALSE)</f>
        <v>Capital Goods</v>
      </c>
      <c r="C281" s="7">
        <v>843420</v>
      </c>
      <c r="D281" s="8" t="s">
        <v>653</v>
      </c>
      <c r="E281" s="9" t="s">
        <v>61</v>
      </c>
      <c r="F281" s="17" t="str">
        <f>_xlfn.IFNA(VLOOKUP(C281, '[2]Unique HS'!$B$4:$J$999, 9, FALSE), "No")</f>
        <v>No</v>
      </c>
      <c r="G281" s="18">
        <f>VLOOKUP(C281, '[1]India EXIM'!$B$6:$C$580, 2, FALSE)</f>
        <v>1.812502719E-2</v>
      </c>
      <c r="H281" s="11">
        <f>VLOOKUP(C281, '[1]China EXIM'!$B$6:$D$580, 3, FALSE)</f>
        <v>0.54070258566700002</v>
      </c>
    </row>
    <row r="282" spans="2:8" ht="27.95">
      <c r="B282" s="6" t="str">
        <f>VLOOKUP(C282, [1]Definition!$D$5:$K$5665, 8, FALSE)</f>
        <v>Capital Goods</v>
      </c>
      <c r="C282" s="7">
        <v>844712</v>
      </c>
      <c r="D282" s="8" t="s">
        <v>338</v>
      </c>
      <c r="E282" s="9" t="s">
        <v>55</v>
      </c>
      <c r="F282" s="17" t="str">
        <f>_xlfn.IFNA(VLOOKUP(C282, '[2]Unique HS'!$B$4:$J$999, 9, FALSE), "No")</f>
        <v>No</v>
      </c>
      <c r="G282" s="18">
        <f>VLOOKUP(C282, '[1]India EXIM'!$B$6:$C$580, 2, FALSE)</f>
        <v>6.2082175198000002E-2</v>
      </c>
      <c r="H282" s="11">
        <f>VLOOKUP(C282, '[1]China EXIM'!$B$6:$D$580, 3, FALSE)</f>
        <v>0.54010465475800007</v>
      </c>
    </row>
    <row r="283" spans="2:8" ht="27.95">
      <c r="B283" s="6" t="str">
        <f>VLOOKUP(C283, [1]Definition!$D$5:$K$5665, 8, FALSE)</f>
        <v>Capital Goods</v>
      </c>
      <c r="C283" s="7">
        <v>820110</v>
      </c>
      <c r="D283" s="8" t="s">
        <v>908</v>
      </c>
      <c r="E283" s="9" t="s">
        <v>58</v>
      </c>
      <c r="F283" s="17" t="str">
        <f>_xlfn.IFNA(VLOOKUP(C283, '[2]Unique HS'!$B$4:$J$999, 9, FALSE), "No")</f>
        <v>No</v>
      </c>
      <c r="G283" s="18">
        <f>VLOOKUP(C283, '[1]India EXIM'!$B$6:$C$580, 2, FALSE)</f>
        <v>5.6399013640000004E-3</v>
      </c>
      <c r="H283" s="11">
        <f>VLOOKUP(C283, '[1]China EXIM'!$B$6:$D$580, 3, FALSE)</f>
        <v>0.53924147599799999</v>
      </c>
    </row>
    <row r="284" spans="2:8" ht="27.95">
      <c r="B284" s="6" t="str">
        <f>VLOOKUP(C284, [1]Definition!$D$5:$K$5665, 8, FALSE)</f>
        <v>Capital Goods</v>
      </c>
      <c r="C284" s="7">
        <v>843039</v>
      </c>
      <c r="D284" s="8" t="s">
        <v>885</v>
      </c>
      <c r="E284" s="9" t="s">
        <v>58</v>
      </c>
      <c r="F284" s="17" t="str">
        <f>_xlfn.IFNA(VLOOKUP(C284, '[2]Unique HS'!$B$4:$J$999, 9, FALSE), "No")</f>
        <v>No</v>
      </c>
      <c r="G284" s="18">
        <f>VLOOKUP(C284, '[1]India EXIM'!$B$6:$C$580, 2, FALSE)</f>
        <v>7.1597729280000006E-3</v>
      </c>
      <c r="H284" s="11">
        <f>VLOOKUP(C284, '[1]China EXIM'!$B$6:$D$580, 3, FALSE)</f>
        <v>0.53373622704099999</v>
      </c>
    </row>
    <row r="285" spans="2:8" ht="42">
      <c r="B285" s="6" t="str">
        <f>VLOOKUP(C285, [1]Definition!$D$5:$K$5665, 8, FALSE)</f>
        <v>Capital Goods</v>
      </c>
      <c r="C285" s="7">
        <v>820411</v>
      </c>
      <c r="D285" s="8" t="s">
        <v>689</v>
      </c>
      <c r="E285" s="9" t="s">
        <v>65</v>
      </c>
      <c r="F285" s="17" t="str">
        <f>_xlfn.IFNA(VLOOKUP(C285, '[2]Unique HS'!$B$4:$J$999, 9, FALSE), "No")</f>
        <v>Yes</v>
      </c>
      <c r="G285" s="18">
        <f>VLOOKUP(C285, '[1]India EXIM'!$B$6:$C$580, 2, FALSE)</f>
        <v>1.6606013154E-2</v>
      </c>
      <c r="H285" s="11">
        <f>VLOOKUP(C285, '[1]China EXIM'!$B$6:$D$580, 3, FALSE)</f>
        <v>1.788504010017</v>
      </c>
    </row>
    <row r="286" spans="2:8" ht="27.95">
      <c r="B286" s="6" t="str">
        <f>VLOOKUP(C286, [1]Definition!$D$5:$K$5665, 8, FALSE)</f>
        <v>Capital Goods</v>
      </c>
      <c r="C286" s="7">
        <v>851420</v>
      </c>
      <c r="D286" s="8" t="s">
        <v>676</v>
      </c>
      <c r="E286" s="9" t="s">
        <v>82</v>
      </c>
      <c r="F286" s="17" t="str">
        <f>_xlfn.IFNA(VLOOKUP(C286, '[2]Unique HS'!$B$4:$J$999, 9, FALSE), "No")</f>
        <v>No</v>
      </c>
      <c r="G286" s="18">
        <f>VLOOKUP(C286, '[1]India EXIM'!$B$6:$C$580, 2, FALSE)</f>
        <v>1.6811100624999999E-2</v>
      </c>
      <c r="H286" s="11">
        <f>VLOOKUP(C286, '[1]China EXIM'!$B$6:$D$580, 3, FALSE)</f>
        <v>0.52533891815199996</v>
      </c>
    </row>
    <row r="287" spans="2:8" ht="42">
      <c r="B287" s="6" t="str">
        <f>VLOOKUP(C287, [1]Definition!$D$5:$K$5665, 8, FALSE)</f>
        <v>Capital Goods</v>
      </c>
      <c r="C287" s="7">
        <v>846593</v>
      </c>
      <c r="D287" s="8" t="s">
        <v>698</v>
      </c>
      <c r="E287" s="9" t="s">
        <v>65</v>
      </c>
      <c r="F287" s="17" t="str">
        <f>_xlfn.IFNA(VLOOKUP(C287, '[2]Unique HS'!$B$4:$J$999, 9, FALSE), "No")</f>
        <v>Yes</v>
      </c>
      <c r="G287" s="18">
        <f>VLOOKUP(C287, '[1]India EXIM'!$B$6:$C$580, 2, FALSE)</f>
        <v>1.6090745842000001E-2</v>
      </c>
      <c r="H287" s="11">
        <f>VLOOKUP(C287, '[1]China EXIM'!$B$6:$D$580, 3, FALSE)</f>
        <v>0.46200377844099999</v>
      </c>
    </row>
    <row r="288" spans="2:8" ht="27.95">
      <c r="B288" s="6" t="str">
        <f>VLOOKUP(C288, [1]Definition!$D$5:$K$5665, 8, FALSE)</f>
        <v>Capital Goods</v>
      </c>
      <c r="C288" s="7">
        <v>820420</v>
      </c>
      <c r="D288" s="8" t="s">
        <v>706</v>
      </c>
      <c r="E288" s="9" t="s">
        <v>65</v>
      </c>
      <c r="F288" s="17" t="str">
        <f>_xlfn.IFNA(VLOOKUP(C288, '[2]Unique HS'!$B$4:$J$999, 9, FALSE), "No")</f>
        <v>Yes</v>
      </c>
      <c r="G288" s="18">
        <f>VLOOKUP(C288, '[1]India EXIM'!$B$6:$C$580, 2, FALSE)</f>
        <v>1.554721631E-2</v>
      </c>
      <c r="H288" s="11">
        <f>VLOOKUP(C288, '[1]China EXIM'!$B$6:$D$580, 3, FALSE)</f>
        <v>1.39476596898</v>
      </c>
    </row>
    <row r="289" spans="2:8" ht="27.95">
      <c r="B289" s="6" t="str">
        <f>VLOOKUP(C289, [1]Definition!$D$5:$K$5665, 8, FALSE)</f>
        <v>Capital Goods</v>
      </c>
      <c r="C289" s="7">
        <v>846719</v>
      </c>
      <c r="D289" s="8" t="s">
        <v>718</v>
      </c>
      <c r="E289" s="9" t="s">
        <v>65</v>
      </c>
      <c r="F289" s="17" t="str">
        <f>_xlfn.IFNA(VLOOKUP(C289, '[2]Unique HS'!$B$4:$J$999, 9, FALSE), "No")</f>
        <v>Yes</v>
      </c>
      <c r="G289" s="18">
        <f>VLOOKUP(C289, '[1]India EXIM'!$B$6:$C$580, 2, FALSE)</f>
        <v>1.4527597217000001E-2</v>
      </c>
      <c r="H289" s="11">
        <f>VLOOKUP(C289, '[1]China EXIM'!$B$6:$D$580, 3, FALSE)</f>
        <v>0.84554381550899993</v>
      </c>
    </row>
    <row r="290" spans="2:8" ht="27.95">
      <c r="B290" s="6" t="str">
        <f>VLOOKUP(C290, [1]Definition!$D$5:$K$5665, 8, FALSE)</f>
        <v>Capital Goods</v>
      </c>
      <c r="C290" s="7">
        <v>847432</v>
      </c>
      <c r="D290" s="8" t="s">
        <v>1114</v>
      </c>
      <c r="E290" s="9" t="s">
        <v>58</v>
      </c>
      <c r="F290" s="17" t="str">
        <f>_xlfn.IFNA(VLOOKUP(C290, '[2]Unique HS'!$B$4:$J$999, 9, FALSE), "No")</f>
        <v>No</v>
      </c>
      <c r="G290" s="18">
        <f>VLOOKUP(C290, '[1]India EXIM'!$B$6:$C$580, 2, FALSE)</f>
        <v>7.2724862999999998E-5</v>
      </c>
      <c r="H290" s="11">
        <f>VLOOKUP(C290, '[1]China EXIM'!$B$6:$D$580, 3, FALSE)</f>
        <v>0.50045830492999999</v>
      </c>
    </row>
    <row r="291" spans="2:8" ht="27.95">
      <c r="B291" s="6" t="str">
        <f>VLOOKUP(C291, [1]Definition!$D$5:$K$5665, 8, FALSE)</f>
        <v>Capital Goods</v>
      </c>
      <c r="C291" s="7">
        <v>847960</v>
      </c>
      <c r="D291" s="8" t="s">
        <v>799</v>
      </c>
      <c r="E291" s="9" t="s">
        <v>22</v>
      </c>
      <c r="F291" s="17" t="str">
        <f>_xlfn.IFNA(VLOOKUP(C291, '[2]Unique HS'!$B$4:$J$999, 9, FALSE), "No")</f>
        <v>No</v>
      </c>
      <c r="G291" s="18">
        <f>VLOOKUP(C291, '[1]India EXIM'!$B$6:$C$580, 2, FALSE)</f>
        <v>5.5642388499999992E-3</v>
      </c>
      <c r="H291" s="11">
        <f>VLOOKUP(C291, '[1]China EXIM'!$B$6:$D$580, 3, FALSE)</f>
        <v>0.49887506184800001</v>
      </c>
    </row>
    <row r="292" spans="2:8" ht="27.95">
      <c r="B292" s="6" t="str">
        <f>VLOOKUP(C292, [1]Definition!$D$5:$K$5665, 8, FALSE)</f>
        <v>Capital Goods</v>
      </c>
      <c r="C292" s="7">
        <v>820320</v>
      </c>
      <c r="D292" s="8" t="s">
        <v>719</v>
      </c>
      <c r="E292" s="9" t="s">
        <v>65</v>
      </c>
      <c r="F292" s="17" t="str">
        <f>_xlfn.IFNA(VLOOKUP(C292, '[2]Unique HS'!$B$4:$J$999, 9, FALSE), "No")</f>
        <v>Yes</v>
      </c>
      <c r="G292" s="18">
        <f>VLOOKUP(C292, '[1]India EXIM'!$B$6:$C$580, 2, FALSE)</f>
        <v>1.4470685642999999E-2</v>
      </c>
      <c r="H292" s="11">
        <f>VLOOKUP(C292, '[1]China EXIM'!$B$6:$D$580, 3, FALSE)</f>
        <v>2.1679671587750002</v>
      </c>
    </row>
    <row r="293" spans="2:8" ht="42">
      <c r="B293" s="6" t="str">
        <f>VLOOKUP(C293, [1]Definition!$D$5:$K$5665, 8, FALSE)</f>
        <v>Capital Goods</v>
      </c>
      <c r="C293" s="7">
        <v>846820</v>
      </c>
      <c r="D293" s="8" t="s">
        <v>720</v>
      </c>
      <c r="E293" s="9" t="s">
        <v>65</v>
      </c>
      <c r="F293" s="17" t="str">
        <f>_xlfn.IFNA(VLOOKUP(C293, '[2]Unique HS'!$B$4:$J$999, 9, FALSE), "No")</f>
        <v>Yes</v>
      </c>
      <c r="G293" s="18">
        <f>VLOOKUP(C293, '[1]India EXIM'!$B$6:$C$580, 2, FALSE)</f>
        <v>1.4462528816999999E-2</v>
      </c>
      <c r="H293" s="11">
        <f>VLOOKUP(C293, '[1]China EXIM'!$B$6:$D$580, 3, FALSE)</f>
        <v>0.15406347080000002</v>
      </c>
    </row>
    <row r="294" spans="2:8" ht="56.1">
      <c r="B294" s="6" t="str">
        <f>VLOOKUP(C294, [1]Definition!$D$5:$K$5665, 8, FALSE)</f>
        <v>Capital Goods</v>
      </c>
      <c r="C294" s="7">
        <v>820590</v>
      </c>
      <c r="D294" s="8" t="s">
        <v>722</v>
      </c>
      <c r="E294" s="9" t="s">
        <v>65</v>
      </c>
      <c r="F294" s="17" t="str">
        <f>_xlfn.IFNA(VLOOKUP(C294, '[2]Unique HS'!$B$4:$J$999, 9, FALSE), "No")</f>
        <v>Yes</v>
      </c>
      <c r="G294" s="18">
        <f>VLOOKUP(C294, '[1]India EXIM'!$B$6:$C$580, 2, FALSE)</f>
        <v>1.4341919346000001E-2</v>
      </c>
      <c r="H294" s="11">
        <f>VLOOKUP(C294, '[1]China EXIM'!$B$6:$D$580, 3, FALSE)</f>
        <v>0.48862769455900001</v>
      </c>
    </row>
    <row r="295" spans="2:8" ht="27.95">
      <c r="B295" s="6" t="str">
        <f>VLOOKUP(C295, [1]Definition!$D$5:$K$5665, 8, FALSE)</f>
        <v>Capital Goods</v>
      </c>
      <c r="C295" s="7">
        <v>845959</v>
      </c>
      <c r="D295" s="8" t="s">
        <v>739</v>
      </c>
      <c r="E295" s="9" t="s">
        <v>65</v>
      </c>
      <c r="F295" s="17" t="str">
        <f>_xlfn.IFNA(VLOOKUP(C295, '[2]Unique HS'!$B$4:$J$999, 9, FALSE), "No")</f>
        <v>No</v>
      </c>
      <c r="G295" s="18">
        <f>VLOOKUP(C295, '[1]India EXIM'!$B$6:$C$580, 2, FALSE)</f>
        <v>1.3541398991E-2</v>
      </c>
      <c r="H295" s="11">
        <f>VLOOKUP(C295, '[1]China EXIM'!$B$6:$D$580, 3, FALSE)</f>
        <v>6.7902212363999986E-2</v>
      </c>
    </row>
    <row r="296" spans="2:8" ht="27.95">
      <c r="B296" s="6" t="str">
        <f>VLOOKUP(C296, [1]Definition!$D$5:$K$5665, 8, FALSE)</f>
        <v>Capital Goods</v>
      </c>
      <c r="C296" s="7">
        <v>841720</v>
      </c>
      <c r="D296" s="8" t="s">
        <v>725</v>
      </c>
      <c r="E296" s="9" t="s">
        <v>61</v>
      </c>
      <c r="F296" s="17" t="str">
        <f>_xlfn.IFNA(VLOOKUP(C296, '[2]Unique HS'!$B$4:$J$999, 9, FALSE), "No")</f>
        <v>No</v>
      </c>
      <c r="G296" s="18">
        <f>VLOOKUP(C296, '[1]India EXIM'!$B$6:$C$580, 2, FALSE)</f>
        <v>1.4036316646E-2</v>
      </c>
      <c r="H296" s="11">
        <f>VLOOKUP(C296, '[1]China EXIM'!$B$6:$D$580, 3, FALSE)</f>
        <v>0.48045118946600002</v>
      </c>
    </row>
    <row r="297" spans="2:8" ht="27.95">
      <c r="B297" s="6" t="str">
        <f>VLOOKUP(C297, [1]Definition!$D$5:$K$5665, 8, FALSE)</f>
        <v>Capital Goods</v>
      </c>
      <c r="C297" s="7">
        <v>843061</v>
      </c>
      <c r="D297" s="8" t="s">
        <v>1065</v>
      </c>
      <c r="E297" s="9" t="s">
        <v>58</v>
      </c>
      <c r="F297" s="17" t="str">
        <f>_xlfn.IFNA(VLOOKUP(C297, '[2]Unique HS'!$B$4:$J$999, 9, FALSE), "No")</f>
        <v>No</v>
      </c>
      <c r="G297" s="18">
        <f>VLOOKUP(C297, '[1]India EXIM'!$B$6:$C$580, 2, FALSE)</f>
        <v>6.8110672499999993E-4</v>
      </c>
      <c r="H297" s="11">
        <f>VLOOKUP(C297, '[1]China EXIM'!$B$6:$D$580, 3, FALSE)</f>
        <v>0.47769965841399997</v>
      </c>
    </row>
    <row r="298" spans="2:8" ht="27.95">
      <c r="B298" s="6" t="str">
        <f>VLOOKUP(C298, [1]Definition!$D$5:$K$5665, 8, FALSE)</f>
        <v>Capital Goods</v>
      </c>
      <c r="C298" s="7">
        <v>843210</v>
      </c>
      <c r="D298" s="8" t="s">
        <v>840</v>
      </c>
      <c r="E298" s="9" t="s">
        <v>58</v>
      </c>
      <c r="F298" s="17" t="str">
        <f>_xlfn.IFNA(VLOOKUP(C298, '[2]Unique HS'!$B$4:$J$999, 9, FALSE), "No")</f>
        <v>No</v>
      </c>
      <c r="G298" s="18">
        <f>VLOOKUP(C298, '[1]India EXIM'!$B$6:$C$580, 2, FALSE)</f>
        <v>8.8997210220000001E-3</v>
      </c>
      <c r="H298" s="11">
        <f>VLOOKUP(C298, '[1]China EXIM'!$B$6:$D$580, 3, FALSE)</f>
        <v>0.47624062479400003</v>
      </c>
    </row>
    <row r="299" spans="2:8" ht="42">
      <c r="B299" s="6" t="str">
        <f>VLOOKUP(C299, [1]Definition!$D$5:$K$5665, 8, FALSE)</f>
        <v>Capital Goods</v>
      </c>
      <c r="C299" s="7">
        <v>846592</v>
      </c>
      <c r="D299" s="8" t="s">
        <v>743</v>
      </c>
      <c r="E299" s="9" t="s">
        <v>65</v>
      </c>
      <c r="F299" s="17" t="str">
        <f>_xlfn.IFNA(VLOOKUP(C299, '[2]Unique HS'!$B$4:$J$999, 9, FALSE), "No")</f>
        <v>Yes</v>
      </c>
      <c r="G299" s="18">
        <f>VLOOKUP(C299, '[1]India EXIM'!$B$6:$C$580, 2, FALSE)</f>
        <v>1.3392149016000001E-2</v>
      </c>
      <c r="H299" s="11">
        <f>VLOOKUP(C299, '[1]China EXIM'!$B$6:$D$580, 3, FALSE)</f>
        <v>0.830239783432</v>
      </c>
    </row>
    <row r="300" spans="2:8">
      <c r="B300" s="6" t="str">
        <f>VLOOKUP(C300, [1]Definition!$D$5:$K$5665, 8, FALSE)</f>
        <v>Capital Goods</v>
      </c>
      <c r="C300" s="7">
        <v>845130</v>
      </c>
      <c r="D300" s="8" t="s">
        <v>660</v>
      </c>
      <c r="E300" s="9" t="s">
        <v>55</v>
      </c>
      <c r="F300" s="17" t="str">
        <f>_xlfn.IFNA(VLOOKUP(C300, '[2]Unique HS'!$B$4:$J$999, 9, FALSE), "No")</f>
        <v>Yes</v>
      </c>
      <c r="G300" s="18">
        <f>VLOOKUP(C300, '[1]India EXIM'!$B$6:$C$580, 2, FALSE)</f>
        <v>1.7510714486000001E-2</v>
      </c>
      <c r="H300" s="11">
        <f>VLOOKUP(C300, '[1]China EXIM'!$B$6:$D$580, 3, FALSE)</f>
        <v>0.46330159517400005</v>
      </c>
    </row>
    <row r="301" spans="2:8" ht="27.95">
      <c r="B301" s="6" t="str">
        <f>VLOOKUP(C301, [1]Definition!$D$5:$K$5665, 8, FALSE)</f>
        <v>Capital Goods</v>
      </c>
      <c r="C301" s="7">
        <v>846880</v>
      </c>
      <c r="D301" s="8" t="s">
        <v>744</v>
      </c>
      <c r="E301" s="9" t="s">
        <v>65</v>
      </c>
      <c r="F301" s="17" t="str">
        <f>_xlfn.IFNA(VLOOKUP(C301, '[2]Unique HS'!$B$4:$J$999, 9, FALSE), "No")</f>
        <v>Yes</v>
      </c>
      <c r="G301" s="18">
        <f>VLOOKUP(C301, '[1]India EXIM'!$B$6:$C$580, 2, FALSE)</f>
        <v>1.3335155652E-2</v>
      </c>
      <c r="H301" s="11">
        <f>VLOOKUP(C301, '[1]China EXIM'!$B$6:$D$580, 3, FALSE)</f>
        <v>0.31306515985299999</v>
      </c>
    </row>
    <row r="302" spans="2:8" ht="27.95">
      <c r="B302" s="6" t="str">
        <f>VLOOKUP(C302, [1]Definition!$D$5:$K$5665, 8, FALSE)</f>
        <v>Capital Goods</v>
      </c>
      <c r="C302" s="7">
        <v>903220</v>
      </c>
      <c r="D302" s="8" t="s">
        <v>548</v>
      </c>
      <c r="E302" s="9" t="s">
        <v>22</v>
      </c>
      <c r="F302" s="17" t="str">
        <f>_xlfn.IFNA(VLOOKUP(C302, '[2]Unique HS'!$B$4:$J$999, 9, FALSE), "No")</f>
        <v>Yes</v>
      </c>
      <c r="G302" s="22">
        <f>VLOOKUP(C302, '[1]India EXIM'!$B$6:$C$580, 2, FALSE)</f>
        <v>2.6152454889999999E-2</v>
      </c>
      <c r="H302" s="11">
        <f>VLOOKUP(C302, '[1]China EXIM'!$B$6:$D$580, 3, FALSE)</f>
        <v>0.96828691626100005</v>
      </c>
    </row>
    <row r="303" spans="2:8" ht="27.95">
      <c r="B303" s="6" t="str">
        <f>VLOOKUP(C303, [1]Definition!$D$5:$K$5665, 8, FALSE)</f>
        <v>Capital Goods</v>
      </c>
      <c r="C303" s="7">
        <v>843242</v>
      </c>
      <c r="D303" s="8" t="s">
        <v>821</v>
      </c>
      <c r="E303" s="9" t="s">
        <v>1165</v>
      </c>
      <c r="F303" s="17" t="str">
        <f>_xlfn.IFNA(VLOOKUP(C303, '[2]Unique HS'!$B$4:$J$999, 9, FALSE), "No")</f>
        <v>No</v>
      </c>
      <c r="G303" s="18">
        <f>VLOOKUP(C303, '[1]India EXIM'!$B$6:$C$580, 2, FALSE)</f>
        <v>3.6125402399999999E-4</v>
      </c>
      <c r="H303" s="11">
        <f>VLOOKUP(C303, '[1]China EXIM'!$B$6:$D$580, 3, FALSE)</f>
        <v>0.45849022075700002</v>
      </c>
    </row>
    <row r="304" spans="2:8" ht="42">
      <c r="B304" s="6" t="str">
        <f>VLOOKUP(C304, [1]Definition!$D$5:$K$5665, 8, FALSE)</f>
        <v>Capital Goods</v>
      </c>
      <c r="C304" s="7">
        <v>846594</v>
      </c>
      <c r="D304" s="8" t="s">
        <v>752</v>
      </c>
      <c r="E304" s="9" t="s">
        <v>65</v>
      </c>
      <c r="F304" s="17" t="str">
        <f>_xlfn.IFNA(VLOOKUP(C304, '[2]Unique HS'!$B$4:$J$999, 9, FALSE), "No")</f>
        <v>No</v>
      </c>
      <c r="G304" s="18">
        <f>VLOOKUP(C304, '[1]India EXIM'!$B$6:$C$580, 2, FALSE)</f>
        <v>1.3162167999E-2</v>
      </c>
      <c r="H304" s="11">
        <f>VLOOKUP(C304, '[1]China EXIM'!$B$6:$D$580, 3, FALSE)</f>
        <v>0.52046420449099995</v>
      </c>
    </row>
    <row r="305" spans="2:8" ht="27.95">
      <c r="B305" s="6" t="str">
        <f>VLOOKUP(C305, [1]Definition!$D$5:$K$5665, 8, FALSE)</f>
        <v>Capital Goods</v>
      </c>
      <c r="C305" s="7">
        <v>847751</v>
      </c>
      <c r="D305" s="8" t="s">
        <v>493</v>
      </c>
      <c r="E305" s="9" t="s">
        <v>52</v>
      </c>
      <c r="F305" s="17" t="str">
        <f>_xlfn.IFNA(VLOOKUP(C305, '[2]Unique HS'!$B$4:$J$999, 9, FALSE), "No")</f>
        <v>No</v>
      </c>
      <c r="G305" s="18">
        <f>VLOOKUP(C305, '[1]India EXIM'!$B$6:$C$580, 2, FALSE)</f>
        <v>3.2357283179000003E-2</v>
      </c>
      <c r="H305" s="11">
        <f>VLOOKUP(C305, '[1]China EXIM'!$B$6:$D$580, 3, FALSE)</f>
        <v>0.44286583328100004</v>
      </c>
    </row>
    <row r="306" spans="2:8" ht="42">
      <c r="B306" s="6" t="str">
        <f>VLOOKUP(C306, [1]Definition!$D$5:$K$5665, 8, FALSE)</f>
        <v>Capital Goods</v>
      </c>
      <c r="C306" s="7">
        <v>846190</v>
      </c>
      <c r="D306" s="8" t="s">
        <v>758</v>
      </c>
      <c r="E306" s="9" t="s">
        <v>65</v>
      </c>
      <c r="F306" s="17" t="str">
        <f>_xlfn.IFNA(VLOOKUP(C306, '[2]Unique HS'!$B$4:$J$999, 9, FALSE), "No")</f>
        <v>Yes</v>
      </c>
      <c r="G306" s="18">
        <f>VLOOKUP(C306, '[1]India EXIM'!$B$6:$C$580, 2, FALSE)</f>
        <v>1.2926780814E-2</v>
      </c>
      <c r="H306" s="11">
        <f>VLOOKUP(C306, '[1]China EXIM'!$B$6:$D$580, 3, FALSE)</f>
        <v>0.20224366631099999</v>
      </c>
    </row>
    <row r="307" spans="2:8" ht="27.95">
      <c r="B307" s="6" t="str">
        <f>VLOOKUP(C307, [1]Definition!$D$5:$K$5665, 8, FALSE)</f>
        <v>Capital Goods</v>
      </c>
      <c r="C307" s="7">
        <v>844120</v>
      </c>
      <c r="D307" s="8" t="s">
        <v>636</v>
      </c>
      <c r="E307" s="9" t="s">
        <v>22</v>
      </c>
      <c r="F307" s="17" t="str">
        <f>_xlfn.IFNA(VLOOKUP(C307, '[2]Unique HS'!$B$4:$J$999, 9, FALSE), "No")</f>
        <v>No</v>
      </c>
      <c r="G307" s="18">
        <f>VLOOKUP(C307, '[1]India EXIM'!$B$6:$C$580, 2, FALSE)</f>
        <v>2.0258815359000003E-2</v>
      </c>
      <c r="H307" s="11">
        <f>VLOOKUP(C307, '[1]China EXIM'!$B$6:$D$580, 3, FALSE)</f>
        <v>0.43859306065699999</v>
      </c>
    </row>
    <row r="308" spans="2:8" ht="27.95">
      <c r="B308" s="6" t="str">
        <f>VLOOKUP(C308, [1]Definition!$D$5:$K$5665, 8, FALSE)</f>
        <v>Capital Goods</v>
      </c>
      <c r="C308" s="7">
        <v>843910</v>
      </c>
      <c r="D308" s="8" t="s">
        <v>525</v>
      </c>
      <c r="E308" s="9" t="s">
        <v>22</v>
      </c>
      <c r="F308" s="17" t="str">
        <f>_xlfn.IFNA(VLOOKUP(C308, '[2]Unique HS'!$B$4:$J$999, 9, FALSE), "No")</f>
        <v>No</v>
      </c>
      <c r="G308" s="18">
        <f>VLOOKUP(C308, '[1]India EXIM'!$B$6:$C$580, 2, FALSE)</f>
        <v>2.8967591728000001E-2</v>
      </c>
      <c r="H308" s="11">
        <f>VLOOKUP(C308, '[1]China EXIM'!$B$6:$D$580, 3, FALSE)</f>
        <v>0.43554344337799999</v>
      </c>
    </row>
    <row r="309" spans="2:8" ht="42">
      <c r="B309" s="6" t="str">
        <f>VLOOKUP(C309, [1]Definition!$D$5:$K$5665, 8, FALSE)</f>
        <v>Capital Goods</v>
      </c>
      <c r="C309" s="7">
        <v>820190</v>
      </c>
      <c r="D309" s="8" t="s">
        <v>958</v>
      </c>
      <c r="E309" s="9" t="s">
        <v>1165</v>
      </c>
      <c r="F309" s="17" t="str">
        <f>_xlfn.IFNA(VLOOKUP(C309, '[2]Unique HS'!$B$4:$J$999, 9, FALSE), "No")</f>
        <v>No</v>
      </c>
      <c r="G309" s="18">
        <f>VLOOKUP(C309, '[1]India EXIM'!$B$6:$C$580, 2, FALSE)</f>
        <v>3.7236850399999999E-3</v>
      </c>
      <c r="H309" s="11">
        <f>VLOOKUP(C309, '[1]China EXIM'!$B$6:$D$580, 3, FALSE)</f>
        <v>0.42888158659500003</v>
      </c>
    </row>
    <row r="310" spans="2:8" ht="42">
      <c r="B310" s="6" t="str">
        <f>VLOOKUP(C310, [1]Definition!$D$5:$K$5665, 8, FALSE)</f>
        <v>Capital Goods</v>
      </c>
      <c r="C310" s="7">
        <v>846233</v>
      </c>
      <c r="D310" s="8" t="s">
        <v>764</v>
      </c>
      <c r="E310" s="9" t="s">
        <v>65</v>
      </c>
      <c r="F310" s="17" t="str">
        <f>_xlfn.IFNA(VLOOKUP(C310, '[2]Unique HS'!$B$4:$J$999, 9, FALSE), "No")</f>
        <v>No</v>
      </c>
      <c r="G310" s="18">
        <f>VLOOKUP(C310, '[1]India EXIM'!$B$6:$C$580, 2, FALSE)</f>
        <v>1.1885505051999999E-2</v>
      </c>
      <c r="H310" s="11">
        <f>VLOOKUP(C310, '[1]China EXIM'!$B$6:$D$580, 3, FALSE)</f>
        <v>0.14139328349399999</v>
      </c>
    </row>
    <row r="311" spans="2:8" ht="27.95">
      <c r="B311" s="6" t="str">
        <f>VLOOKUP(C311, [1]Definition!$D$5:$K$5665, 8, FALSE)</f>
        <v>Capital Goods</v>
      </c>
      <c r="C311" s="7">
        <v>840211</v>
      </c>
      <c r="D311" s="8" t="s">
        <v>783</v>
      </c>
      <c r="E311" s="9" t="s">
        <v>22</v>
      </c>
      <c r="F311" s="17" t="str">
        <f>_xlfn.IFNA(VLOOKUP(C311, '[2]Unique HS'!$B$4:$J$999, 9, FALSE), "No")</f>
        <v>No</v>
      </c>
      <c r="G311" s="18">
        <f>VLOOKUP(C311, '[1]India EXIM'!$B$6:$C$580, 2, FALSE)</f>
        <v>1.0988167665E-2</v>
      </c>
      <c r="H311" s="11">
        <f>VLOOKUP(C311, '[1]China EXIM'!$B$6:$D$580, 3, FALSE)</f>
        <v>0.40087449295700001</v>
      </c>
    </row>
    <row r="312" spans="2:8" ht="27.95">
      <c r="B312" s="6" t="str">
        <f>VLOOKUP(C312, [1]Definition!$D$5:$K$5665, 8, FALSE)</f>
        <v>Capital Goods</v>
      </c>
      <c r="C312" s="7">
        <v>845921</v>
      </c>
      <c r="D312" s="8" t="s">
        <v>766</v>
      </c>
      <c r="E312" s="9" t="s">
        <v>65</v>
      </c>
      <c r="F312" s="17" t="str">
        <f>_xlfn.IFNA(VLOOKUP(C312, '[2]Unique HS'!$B$4:$J$999, 9, FALSE), "No")</f>
        <v>No</v>
      </c>
      <c r="G312" s="18">
        <f>VLOOKUP(C312, '[1]India EXIM'!$B$6:$C$580, 2, FALSE)</f>
        <v>1.1754759929E-2</v>
      </c>
      <c r="H312" s="11">
        <f>VLOOKUP(C312, '[1]China EXIM'!$B$6:$D$580, 3, FALSE)</f>
        <v>0.28959708055599998</v>
      </c>
    </row>
    <row r="313" spans="2:8">
      <c r="B313" s="6" t="str">
        <f>VLOOKUP(C313, [1]Definition!$D$5:$K$5665, 8, FALSE)</f>
        <v>Capital Goods</v>
      </c>
      <c r="C313" s="7">
        <v>848510</v>
      </c>
      <c r="D313" s="8" t="s">
        <v>777</v>
      </c>
      <c r="E313" s="9" t="s">
        <v>65</v>
      </c>
      <c r="F313" s="17" t="str">
        <f>_xlfn.IFNA(VLOOKUP(C313, '[2]Unique HS'!$B$4:$J$999, 9, FALSE), "No")</f>
        <v>No</v>
      </c>
      <c r="G313" s="18">
        <f>VLOOKUP(C313, '[1]India EXIM'!$B$6:$C$580, 2, FALSE)</f>
        <v>1.1317817186000001E-2</v>
      </c>
      <c r="H313" s="11">
        <f>VLOOKUP(C313, '[1]China EXIM'!$B$6:$D$580, 3, FALSE)</f>
        <v>0.39446926355099998</v>
      </c>
    </row>
    <row r="314" spans="2:8" ht="27.95">
      <c r="B314" s="6" t="str">
        <f>VLOOKUP(C314, [1]Definition!$D$5:$K$5665, 8, FALSE)</f>
        <v>Capital Goods</v>
      </c>
      <c r="C314" s="7">
        <v>846019</v>
      </c>
      <c r="D314" s="8" t="s">
        <v>791</v>
      </c>
      <c r="E314" s="9" t="s">
        <v>65</v>
      </c>
      <c r="F314" s="17" t="str">
        <f>_xlfn.IFNA(VLOOKUP(C314, '[2]Unique HS'!$B$4:$J$999, 9, FALSE), "No")</f>
        <v>No</v>
      </c>
      <c r="G314" s="18">
        <f>VLOOKUP(C314, '[1]India EXIM'!$B$6:$C$580, 2, FALSE)</f>
        <v>1.0822878317E-2</v>
      </c>
      <c r="H314" s="11">
        <f>VLOOKUP(C314, '[1]China EXIM'!$B$6:$D$580, 3, FALSE)</f>
        <v>0.179783676128</v>
      </c>
    </row>
    <row r="315" spans="2:8">
      <c r="B315" s="6" t="str">
        <f>VLOOKUP(C315, [1]Definition!$D$5:$K$5665, 8, FALSE)</f>
        <v>Capital Goods</v>
      </c>
      <c r="C315" s="7">
        <v>820130</v>
      </c>
      <c r="D315" s="8" t="s">
        <v>1062</v>
      </c>
      <c r="E315" s="9" t="s">
        <v>65</v>
      </c>
      <c r="F315" s="17" t="str">
        <f>_xlfn.IFNA(VLOOKUP(C315, '[2]Unique HS'!$B$4:$J$999, 9, FALSE), "No")</f>
        <v>No</v>
      </c>
      <c r="G315" s="18">
        <f>VLOOKUP(C315, '[1]India EXIM'!$B$6:$C$580, 2, FALSE)</f>
        <v>7.3403838499999999E-4</v>
      </c>
      <c r="H315" s="11">
        <f>VLOOKUP(C315, '[1]China EXIM'!$B$6:$D$580, 3, FALSE)</f>
        <v>0.3917525013</v>
      </c>
    </row>
    <row r="316" spans="2:8" ht="27.95">
      <c r="B316" s="6" t="str">
        <f>VLOOKUP(C316, [1]Definition!$D$5:$K$5665, 8, FALSE)</f>
        <v>Capital Goods</v>
      </c>
      <c r="C316" s="7">
        <v>844140</v>
      </c>
      <c r="D316" s="8" t="s">
        <v>575</v>
      </c>
      <c r="E316" s="9" t="s">
        <v>22</v>
      </c>
      <c r="F316" s="17" t="str">
        <f>_xlfn.IFNA(VLOOKUP(C316, '[2]Unique HS'!$B$4:$J$999, 9, FALSE), "No")</f>
        <v>No</v>
      </c>
      <c r="G316" s="18">
        <f>VLOOKUP(C316, '[1]India EXIM'!$B$6:$C$580, 2, FALSE)</f>
        <v>2.3793220885999999E-2</v>
      </c>
      <c r="H316" s="11">
        <f>VLOOKUP(C316, '[1]China EXIM'!$B$6:$D$580, 3, FALSE)</f>
        <v>0.381606533503</v>
      </c>
    </row>
    <row r="317" spans="2:8" ht="27.95">
      <c r="B317" s="6" t="str">
        <f>VLOOKUP(C317, [1]Definition!$D$5:$K$5665, 8, FALSE)</f>
        <v>Capital Goods</v>
      </c>
      <c r="C317" s="7">
        <v>846039</v>
      </c>
      <c r="D317" s="8" t="s">
        <v>792</v>
      </c>
      <c r="E317" s="9" t="s">
        <v>65</v>
      </c>
      <c r="F317" s="17" t="str">
        <f>_xlfn.IFNA(VLOOKUP(C317, '[2]Unique HS'!$B$4:$J$999, 9, FALSE), "No")</f>
        <v>No</v>
      </c>
      <c r="G317" s="18">
        <f>VLOOKUP(C317, '[1]India EXIM'!$B$6:$C$580, 2, FALSE)</f>
        <v>1.0690990198000001E-2</v>
      </c>
      <c r="H317" s="11">
        <f>VLOOKUP(C317, '[1]China EXIM'!$B$6:$D$580, 3, FALSE)</f>
        <v>0.19471443838899999</v>
      </c>
    </row>
    <row r="318" spans="2:8" ht="27.95">
      <c r="B318" s="6" t="str">
        <f>VLOOKUP(C318, [1]Definition!$D$5:$K$5665, 8, FALSE)</f>
        <v>Capital Goods</v>
      </c>
      <c r="C318" s="7">
        <v>843241</v>
      </c>
      <c r="D318" s="8" t="s">
        <v>853</v>
      </c>
      <c r="E318" s="9" t="s">
        <v>1165</v>
      </c>
      <c r="F318" s="17" t="str">
        <f>_xlfn.IFNA(VLOOKUP(C318, '[2]Unique HS'!$B$4:$J$999, 9, FALSE), "No")</f>
        <v>No</v>
      </c>
      <c r="G318" s="18">
        <f>VLOOKUP(C318, '[1]India EXIM'!$B$6:$C$580, 2, FALSE)</f>
        <v>6.690839200000001E-5</v>
      </c>
      <c r="H318" s="11">
        <f>VLOOKUP(C318, '[1]China EXIM'!$B$6:$D$580, 3, FALSE)</f>
        <v>0.37922891085999999</v>
      </c>
    </row>
    <row r="319" spans="2:8" ht="27.95">
      <c r="B319" s="6" t="str">
        <f>VLOOKUP(C319, [1]Definition!$D$5:$K$5665, 8, FALSE)</f>
        <v>Capital Goods</v>
      </c>
      <c r="C319" s="7">
        <v>842122</v>
      </c>
      <c r="D319" s="8" t="s">
        <v>929</v>
      </c>
      <c r="E319" s="9" t="s">
        <v>61</v>
      </c>
      <c r="F319" s="17" t="str">
        <f>_xlfn.IFNA(VLOOKUP(C319, '[2]Unique HS'!$B$4:$J$999, 9, FALSE), "No")</f>
        <v>No</v>
      </c>
      <c r="G319" s="18">
        <f>VLOOKUP(C319, '[1]India EXIM'!$B$6:$C$580, 2, FALSE)</f>
        <v>4.9387774819999999E-3</v>
      </c>
      <c r="H319" s="11">
        <f>VLOOKUP(C319, '[1]China EXIM'!$B$6:$D$580, 3, FALSE)</f>
        <v>0.376830092231</v>
      </c>
    </row>
    <row r="320" spans="2:8" ht="42">
      <c r="B320" s="6" t="str">
        <f>VLOOKUP(C320, [1]Definition!$D$5:$K$5665, 8, FALSE)</f>
        <v>Capital Goods</v>
      </c>
      <c r="C320" s="7">
        <v>846596</v>
      </c>
      <c r="D320" s="8" t="s">
        <v>794</v>
      </c>
      <c r="E320" s="9" t="s">
        <v>65</v>
      </c>
      <c r="F320" s="17" t="str">
        <f>_xlfn.IFNA(VLOOKUP(C320, '[2]Unique HS'!$B$4:$J$999, 9, FALSE), "No")</f>
        <v>Yes</v>
      </c>
      <c r="G320" s="18">
        <f>VLOOKUP(C320, '[1]India EXIM'!$B$6:$C$580, 2, FALSE)</f>
        <v>1.0670088027000001E-2</v>
      </c>
      <c r="H320" s="11">
        <f>VLOOKUP(C320, '[1]China EXIM'!$B$6:$D$580, 3, FALSE)</f>
        <v>0.69202842178400004</v>
      </c>
    </row>
    <row r="321" spans="2:8" ht="27.95">
      <c r="B321" s="6" t="str">
        <f>VLOOKUP(C321, [1]Definition!$D$5:$K$5665, 8, FALSE)</f>
        <v>Capital Goods</v>
      </c>
      <c r="C321" s="7">
        <v>841935</v>
      </c>
      <c r="D321" s="8" t="s">
        <v>1036</v>
      </c>
      <c r="E321" s="9" t="s">
        <v>22</v>
      </c>
      <c r="F321" s="17" t="str">
        <f>_xlfn.IFNA(VLOOKUP(C321, '[2]Unique HS'!$B$4:$J$999, 9, FALSE), "No")</f>
        <v>No</v>
      </c>
      <c r="G321" s="18">
        <f>VLOOKUP(C321, '[1]India EXIM'!$B$6:$C$580, 2, FALSE)</f>
        <v>1.3313856259999999E-3</v>
      </c>
      <c r="H321" s="11">
        <f>VLOOKUP(C321, '[1]China EXIM'!$B$6:$D$580, 3, FALSE)</f>
        <v>0.37217928822899998</v>
      </c>
    </row>
    <row r="322" spans="2:8" ht="27.95">
      <c r="B322" s="6" t="str">
        <f>VLOOKUP(C322, [1]Definition!$D$5:$K$5665, 8, FALSE)</f>
        <v>Capital Goods</v>
      </c>
      <c r="C322" s="7">
        <v>843510</v>
      </c>
      <c r="D322" s="8" t="s">
        <v>949</v>
      </c>
      <c r="E322" s="9" t="s">
        <v>61</v>
      </c>
      <c r="F322" s="17" t="str">
        <f>_xlfn.IFNA(VLOOKUP(C322, '[2]Unique HS'!$B$4:$J$999, 9, FALSE), "No")</f>
        <v>No</v>
      </c>
      <c r="G322" s="18">
        <f>VLOOKUP(C322, '[1]India EXIM'!$B$6:$C$580, 2, FALSE)</f>
        <v>4.1452551189999996E-3</v>
      </c>
      <c r="H322" s="11">
        <f>VLOOKUP(C322, '[1]China EXIM'!$B$6:$D$580, 3, FALSE)</f>
        <v>0.366117492682</v>
      </c>
    </row>
    <row r="323" spans="2:8" ht="27.95">
      <c r="B323" s="6" t="str">
        <f>VLOOKUP(C323, [1]Definition!$D$5:$K$5665, 8, FALSE)</f>
        <v>Capital Goods</v>
      </c>
      <c r="C323" s="7">
        <v>840212</v>
      </c>
      <c r="D323" s="8" t="s">
        <v>1052</v>
      </c>
      <c r="E323" s="9" t="s">
        <v>22</v>
      </c>
      <c r="F323" s="17" t="str">
        <f>_xlfn.IFNA(VLOOKUP(C323, '[2]Unique HS'!$B$4:$J$999, 9, FALSE), "No")</f>
        <v>No</v>
      </c>
      <c r="G323" s="18">
        <f>VLOOKUP(C323, '[1]India EXIM'!$B$6:$C$580, 2, FALSE)</f>
        <v>9.4832389700000004E-4</v>
      </c>
      <c r="H323" s="11">
        <f>VLOOKUP(C323, '[1]China EXIM'!$B$6:$D$580, 3, FALSE)</f>
        <v>0.36238825265800001</v>
      </c>
    </row>
    <row r="324" spans="2:8" ht="27.95">
      <c r="B324" s="6" t="str">
        <f>VLOOKUP(C324, [1]Definition!$D$5:$K$5665, 8, FALSE)</f>
        <v>Capital Goods</v>
      </c>
      <c r="C324" s="7">
        <v>845939</v>
      </c>
      <c r="D324" s="8" t="s">
        <v>795</v>
      </c>
      <c r="E324" s="9" t="s">
        <v>65</v>
      </c>
      <c r="F324" s="17" t="str">
        <f>_xlfn.IFNA(VLOOKUP(C324, '[2]Unique HS'!$B$4:$J$999, 9, FALSE), "No")</f>
        <v>No</v>
      </c>
      <c r="G324" s="18">
        <f>VLOOKUP(C324, '[1]India EXIM'!$B$6:$C$580, 2, FALSE)</f>
        <v>1.06513435E-2</v>
      </c>
      <c r="H324" s="11">
        <f>VLOOKUP(C324, '[1]China EXIM'!$B$6:$D$580, 3, FALSE)</f>
        <v>6.4032458902999995E-2</v>
      </c>
    </row>
    <row r="325" spans="2:8">
      <c r="B325" s="6" t="str">
        <f>VLOOKUP(C325, [1]Definition!$D$5:$K$5665, 8, FALSE)</f>
        <v>Capital Goods</v>
      </c>
      <c r="C325" s="7">
        <v>820570</v>
      </c>
      <c r="D325" s="8" t="s">
        <v>796</v>
      </c>
      <c r="E325" s="9" t="s">
        <v>65</v>
      </c>
      <c r="F325" s="17" t="str">
        <f>_xlfn.IFNA(VLOOKUP(C325, '[2]Unique HS'!$B$4:$J$999, 9, FALSE), "No")</f>
        <v>Yes</v>
      </c>
      <c r="G325" s="18">
        <f>VLOOKUP(C325, '[1]India EXIM'!$B$6:$C$580, 2, FALSE)</f>
        <v>1.0614685003E-2</v>
      </c>
      <c r="H325" s="11">
        <f>VLOOKUP(C325, '[1]China EXIM'!$B$6:$D$580, 3, FALSE)</f>
        <v>0.71002200190499998</v>
      </c>
    </row>
    <row r="326" spans="2:8" ht="27.95">
      <c r="B326" s="6" t="str">
        <f>VLOOKUP(C326, [1]Definition!$D$5:$K$5665, 8, FALSE)</f>
        <v>Capital Goods</v>
      </c>
      <c r="C326" s="7">
        <v>844519</v>
      </c>
      <c r="D326" s="8" t="s">
        <v>566</v>
      </c>
      <c r="E326" s="9" t="s">
        <v>55</v>
      </c>
      <c r="F326" s="17" t="str">
        <f>_xlfn.IFNA(VLOOKUP(C326, '[2]Unique HS'!$B$4:$J$999, 9, FALSE), "No")</f>
        <v>No</v>
      </c>
      <c r="G326" s="18">
        <f>VLOOKUP(C326, '[1]India EXIM'!$B$6:$C$580, 2, FALSE)</f>
        <v>2.4988518561000001E-2</v>
      </c>
      <c r="H326" s="11">
        <f>VLOOKUP(C326, '[1]China EXIM'!$B$6:$D$580, 3, FALSE)</f>
        <v>0.35633849525900002</v>
      </c>
    </row>
    <row r="327" spans="2:8" ht="42">
      <c r="B327" s="6" t="str">
        <f>VLOOKUP(C327, [1]Definition!$D$5:$K$5665, 8, FALSE)</f>
        <v>Capital Goods</v>
      </c>
      <c r="C327" s="7">
        <v>854310</v>
      </c>
      <c r="D327" s="8" t="s">
        <v>818</v>
      </c>
      <c r="E327" s="9" t="s">
        <v>46</v>
      </c>
      <c r="F327" s="17" t="str">
        <f>_xlfn.IFNA(VLOOKUP(C327, '[2]Unique HS'!$B$4:$J$999, 9, FALSE), "No")</f>
        <v>Yes</v>
      </c>
      <c r="G327" s="18">
        <f>VLOOKUP(C327, '[1]India EXIM'!$B$6:$C$580, 2, FALSE)</f>
        <v>9.4955832819999999E-3</v>
      </c>
      <c r="H327" s="11">
        <f>VLOOKUP(C327, '[1]China EXIM'!$B$6:$D$580, 3, FALSE)</f>
        <v>0.23980954883199998</v>
      </c>
    </row>
    <row r="328" spans="2:8" ht="42">
      <c r="B328" s="6" t="str">
        <f>VLOOKUP(C328, [1]Definition!$D$5:$K$5665, 8, FALSE)</f>
        <v>Capital Goods</v>
      </c>
      <c r="C328" s="7">
        <v>846224</v>
      </c>
      <c r="D328" s="8" t="s">
        <v>798</v>
      </c>
      <c r="E328" s="9" t="s">
        <v>65</v>
      </c>
      <c r="F328" s="17" t="str">
        <f>_xlfn.IFNA(VLOOKUP(C328, '[2]Unique HS'!$B$4:$J$999, 9, FALSE), "No")</f>
        <v>No</v>
      </c>
      <c r="G328" s="18">
        <f>VLOOKUP(C328, '[1]India EXIM'!$B$6:$C$580, 2, FALSE)</f>
        <v>1.0568701468E-2</v>
      </c>
      <c r="H328" s="11">
        <f>VLOOKUP(C328, '[1]China EXIM'!$B$6:$D$580, 3, FALSE)</f>
        <v>0.35972161594300001</v>
      </c>
    </row>
    <row r="329" spans="2:8" ht="42">
      <c r="B329" s="6" t="str">
        <f>VLOOKUP(C329, [1]Definition!$D$5:$K$5665, 8, FALSE)</f>
        <v>Capital Goods</v>
      </c>
      <c r="C329" s="7">
        <v>844230</v>
      </c>
      <c r="D329" s="8" t="s">
        <v>629</v>
      </c>
      <c r="E329" s="9" t="s">
        <v>180</v>
      </c>
      <c r="F329" s="17" t="str">
        <f>_xlfn.IFNA(VLOOKUP(C329, '[2]Unique HS'!$B$4:$J$999, 9, FALSE), "No")</f>
        <v>No</v>
      </c>
      <c r="G329" s="18">
        <f>VLOOKUP(C329, '[1]India EXIM'!$B$6:$C$580, 2, FALSE)</f>
        <v>2.0441231136999999E-2</v>
      </c>
      <c r="H329" s="11">
        <f>VLOOKUP(C329, '[1]China EXIM'!$B$6:$D$580, 3, FALSE)</f>
        <v>0.35168459129599999</v>
      </c>
    </row>
    <row r="330" spans="2:8" ht="27.95">
      <c r="B330" s="6" t="str">
        <f>VLOOKUP(C330, [1]Definition!$D$5:$K$5665, 8, FALSE)</f>
        <v>Capital Goods</v>
      </c>
      <c r="C330" s="7">
        <v>845320</v>
      </c>
      <c r="D330" s="8" t="s">
        <v>430</v>
      </c>
      <c r="E330" s="9" t="s">
        <v>55</v>
      </c>
      <c r="F330" s="17" t="str">
        <f>_xlfn.IFNA(VLOOKUP(C330, '[2]Unique HS'!$B$4:$J$999, 9, FALSE), "No")</f>
        <v>No</v>
      </c>
      <c r="G330" s="18">
        <f>VLOOKUP(C330, '[1]India EXIM'!$B$6:$C$580, 2, FALSE)</f>
        <v>4.3395221333E-2</v>
      </c>
      <c r="H330" s="11">
        <f>VLOOKUP(C330, '[1]China EXIM'!$B$6:$D$580, 3, FALSE)</f>
        <v>0.34947839206699999</v>
      </c>
    </row>
    <row r="331" spans="2:8">
      <c r="B331" s="6" t="str">
        <f>VLOOKUP(C331, [1]Definition!$D$5:$K$5665, 8, FALSE)</f>
        <v>Capital Goods</v>
      </c>
      <c r="C331" s="7">
        <v>845970</v>
      </c>
      <c r="D331" s="8" t="s">
        <v>803</v>
      </c>
      <c r="E331" s="9" t="s">
        <v>65</v>
      </c>
      <c r="F331" s="17" t="str">
        <f>_xlfn.IFNA(VLOOKUP(C331, '[2]Unique HS'!$B$4:$J$999, 9, FALSE), "No")</f>
        <v>Yes</v>
      </c>
      <c r="G331" s="18">
        <f>VLOOKUP(C331, '[1]India EXIM'!$B$6:$C$580, 2, FALSE)</f>
        <v>1.0429799848999999E-2</v>
      </c>
      <c r="H331" s="11">
        <f>VLOOKUP(C331, '[1]China EXIM'!$B$6:$D$580, 3, FALSE)</f>
        <v>0.14641238812400001</v>
      </c>
    </row>
    <row r="332" spans="2:8" ht="42">
      <c r="B332" s="6" t="str">
        <f>VLOOKUP(C332, [1]Definition!$D$5:$K$5665, 8, FALSE)</f>
        <v>Capital Goods</v>
      </c>
      <c r="C332" s="7">
        <v>854320</v>
      </c>
      <c r="D332" s="8" t="s">
        <v>414</v>
      </c>
      <c r="E332" s="9" t="s">
        <v>46</v>
      </c>
      <c r="F332" s="17" t="str">
        <f>_xlfn.IFNA(VLOOKUP(C332, '[2]Unique HS'!$B$4:$J$999, 9, FALSE), "No")</f>
        <v>Yes</v>
      </c>
      <c r="G332" s="18">
        <f>VLOOKUP(C332, '[1]India EXIM'!$B$6:$C$580, 2, FALSE)</f>
        <v>4.4982441042000006E-2</v>
      </c>
      <c r="H332" s="11">
        <f>VLOOKUP(C332, '[1]China EXIM'!$B$6:$D$580, 3, FALSE)</f>
        <v>1.9374402628699998</v>
      </c>
    </row>
    <row r="333" spans="2:8">
      <c r="B333" s="6" t="str">
        <f>VLOOKUP(C333, [1]Definition!$D$5:$K$5665, 8, FALSE)</f>
        <v>Capital Goods</v>
      </c>
      <c r="C333" s="7">
        <v>820240</v>
      </c>
      <c r="D333" s="8" t="s">
        <v>887</v>
      </c>
      <c r="E333" s="9" t="s">
        <v>65</v>
      </c>
      <c r="F333" s="17" t="str">
        <f>_xlfn.IFNA(VLOOKUP(C333, '[2]Unique HS'!$B$4:$J$999, 9, FALSE), "No")</f>
        <v>Yes</v>
      </c>
      <c r="G333" s="18">
        <f>VLOOKUP(C333, '[1]India EXIM'!$B$6:$C$580, 2, FALSE)</f>
        <v>1.0103856092000001E-2</v>
      </c>
      <c r="H333" s="11">
        <f>VLOOKUP(C333, '[1]China EXIM'!$B$6:$D$580, 3, FALSE)</f>
        <v>0.75877359668799993</v>
      </c>
    </row>
    <row r="334" spans="2:8" ht="27.95">
      <c r="B334" s="6" t="str">
        <f>VLOOKUP(C334, [1]Definition!$D$5:$K$5665, 8, FALSE)</f>
        <v>Capital Goods</v>
      </c>
      <c r="C334" s="7">
        <v>841912</v>
      </c>
      <c r="D334" s="8" t="s">
        <v>1072</v>
      </c>
      <c r="E334" s="9" t="s">
        <v>22</v>
      </c>
      <c r="F334" s="17" t="str">
        <f>_xlfn.IFNA(VLOOKUP(C334, '[2]Unique HS'!$B$4:$J$999, 9, FALSE), "No")</f>
        <v>No</v>
      </c>
      <c r="G334" s="18">
        <f>VLOOKUP(C334, '[1]India EXIM'!$B$6:$C$580, 2, FALSE)</f>
        <v>4.7837040000000002E-4</v>
      </c>
      <c r="H334" s="11">
        <f>VLOOKUP(C334, '[1]China EXIM'!$B$6:$D$580, 3, FALSE)</f>
        <v>0.32870317426200002</v>
      </c>
    </row>
    <row r="335" spans="2:8" ht="27.95">
      <c r="B335" s="6" t="str">
        <f>VLOOKUP(C335, [1]Definition!$D$5:$K$5665, 8, FALSE)</f>
        <v>Capital Goods</v>
      </c>
      <c r="C335" s="7">
        <v>841934</v>
      </c>
      <c r="D335" s="8" t="s">
        <v>849</v>
      </c>
      <c r="E335" s="9" t="s">
        <v>61</v>
      </c>
      <c r="F335" s="17" t="str">
        <f>_xlfn.IFNA(VLOOKUP(C335, '[2]Unique HS'!$B$4:$J$999, 9, FALSE), "No")</f>
        <v>No</v>
      </c>
      <c r="G335" s="18">
        <f>VLOOKUP(C335, '[1]India EXIM'!$B$6:$C$580, 2, FALSE)</f>
        <v>8.3558803799999998E-3</v>
      </c>
      <c r="H335" s="11">
        <f>VLOOKUP(C335, '[1]China EXIM'!$B$6:$D$580, 3, FALSE)</f>
        <v>0.32773246788300003</v>
      </c>
    </row>
    <row r="336" spans="2:8">
      <c r="B336" s="6" t="str">
        <f>VLOOKUP(C336, [1]Definition!$D$5:$K$5665, 8, FALSE)</f>
        <v>Capital Goods</v>
      </c>
      <c r="C336" s="7">
        <v>844311</v>
      </c>
      <c r="D336" s="8" t="s">
        <v>975</v>
      </c>
      <c r="E336" s="9" t="s">
        <v>180</v>
      </c>
      <c r="F336" s="17" t="str">
        <f>_xlfn.IFNA(VLOOKUP(C336, '[2]Unique HS'!$B$4:$J$999, 9, FALSE), "No")</f>
        <v>No</v>
      </c>
      <c r="G336" s="18">
        <f>VLOOKUP(C336, '[1]India EXIM'!$B$6:$C$580, 2, FALSE)</f>
        <v>3.047254895E-3</v>
      </c>
      <c r="H336" s="11">
        <f>VLOOKUP(C336, '[1]China EXIM'!$B$6:$D$580, 3, FALSE)</f>
        <v>0.32669080397200001</v>
      </c>
    </row>
    <row r="337" spans="2:8" ht="27.95">
      <c r="B337" s="6" t="str">
        <f>VLOOKUP(C337, [1]Definition!$D$5:$K$5665, 8, FALSE)</f>
        <v>Capital Goods</v>
      </c>
      <c r="C337" s="7">
        <v>842832</v>
      </c>
      <c r="D337" s="8" t="s">
        <v>865</v>
      </c>
      <c r="E337" s="9" t="s">
        <v>58</v>
      </c>
      <c r="F337" s="17" t="str">
        <f>_xlfn.IFNA(VLOOKUP(C337, '[2]Unique HS'!$B$4:$J$999, 9, FALSE), "No")</f>
        <v>No</v>
      </c>
      <c r="G337" s="18">
        <f>VLOOKUP(C337, '[1]India EXIM'!$B$6:$C$580, 2, FALSE)</f>
        <v>7.9054458070000003E-3</v>
      </c>
      <c r="H337" s="11">
        <f>VLOOKUP(C337, '[1]China EXIM'!$B$6:$D$580, 3, FALSE)</f>
        <v>0.32305859716099999</v>
      </c>
    </row>
    <row r="338" spans="2:8" ht="27.95">
      <c r="B338" s="6" t="str">
        <f>VLOOKUP(C338, [1]Definition!$D$5:$K$5665, 8, FALSE)</f>
        <v>Capital Goods</v>
      </c>
      <c r="C338" s="7">
        <v>820830</v>
      </c>
      <c r="D338" s="16" t="s">
        <v>1018</v>
      </c>
      <c r="E338" s="9" t="s">
        <v>61</v>
      </c>
      <c r="F338" s="17" t="str">
        <f>_xlfn.IFNA(VLOOKUP(C338, '[2]Unique HS'!$B$4:$J$999, 9, FALSE), "No")</f>
        <v>No</v>
      </c>
      <c r="G338" s="18">
        <f>VLOOKUP(C338, '[1]India EXIM'!$B$6:$C$580, 2, FALSE)</f>
        <v>1.8283943950000001E-3</v>
      </c>
      <c r="H338" s="11">
        <f>VLOOKUP(C338, '[1]China EXIM'!$B$6:$D$580, 3, FALSE)</f>
        <v>0.31950945043400003</v>
      </c>
    </row>
    <row r="339" spans="2:8" ht="27.95">
      <c r="B339" s="6" t="str">
        <f>VLOOKUP(C339, [1]Definition!$D$5:$K$5665, 8, FALSE)</f>
        <v>Capital Goods</v>
      </c>
      <c r="C339" s="7">
        <v>820760</v>
      </c>
      <c r="D339" s="8" t="s">
        <v>806</v>
      </c>
      <c r="E339" s="9" t="s">
        <v>65</v>
      </c>
      <c r="F339" s="17" t="str">
        <f>_xlfn.IFNA(VLOOKUP(C339, '[2]Unique HS'!$B$4:$J$999, 9, FALSE), "No")</f>
        <v>No</v>
      </c>
      <c r="G339" s="18">
        <f>VLOOKUP(C339, '[1]India EXIM'!$B$6:$C$580, 2, FALSE)</f>
        <v>1.0096554509999999E-2</v>
      </c>
      <c r="H339" s="11">
        <f>VLOOKUP(C339, '[1]China EXIM'!$B$6:$D$580, 3, FALSE)</f>
        <v>0.48196138775700004</v>
      </c>
    </row>
    <row r="340" spans="2:8" ht="27.95">
      <c r="B340" s="6" t="str">
        <f>VLOOKUP(C340, [1]Definition!$D$5:$K$5665, 8, FALSE)</f>
        <v>Capital Goods</v>
      </c>
      <c r="C340" s="7">
        <v>845931</v>
      </c>
      <c r="D340" s="8" t="s">
        <v>810</v>
      </c>
      <c r="E340" s="9" t="s">
        <v>65</v>
      </c>
      <c r="F340" s="17" t="str">
        <f>_xlfn.IFNA(VLOOKUP(C340, '[2]Unique HS'!$B$4:$J$999, 9, FALSE), "No")</f>
        <v>No</v>
      </c>
      <c r="G340" s="18">
        <f>VLOOKUP(C340, '[1]India EXIM'!$B$6:$C$580, 2, FALSE)</f>
        <v>9.8121450859999983E-3</v>
      </c>
      <c r="H340" s="11">
        <f>VLOOKUP(C340, '[1]China EXIM'!$B$6:$D$580, 3, FALSE)</f>
        <v>0.62877440420599995</v>
      </c>
    </row>
    <row r="341" spans="2:8" ht="27.95">
      <c r="B341" s="6" t="str">
        <f>VLOOKUP(C341, [1]Definition!$D$5:$K$5665, 8, FALSE)</f>
        <v>Capital Goods</v>
      </c>
      <c r="C341" s="7">
        <v>845951</v>
      </c>
      <c r="D341" s="8" t="s">
        <v>811</v>
      </c>
      <c r="E341" s="9" t="s">
        <v>65</v>
      </c>
      <c r="F341" s="17" t="str">
        <f>_xlfn.IFNA(VLOOKUP(C341, '[2]Unique HS'!$B$4:$J$999, 9, FALSE), "No")</f>
        <v>No</v>
      </c>
      <c r="G341" s="18">
        <f>VLOOKUP(C341, '[1]India EXIM'!$B$6:$C$580, 2, FALSE)</f>
        <v>9.7398915349999997E-3</v>
      </c>
      <c r="H341" s="11">
        <f>VLOOKUP(C341, '[1]China EXIM'!$B$6:$D$580, 3, FALSE)</f>
        <v>5.3653980487999998E-2</v>
      </c>
    </row>
    <row r="342" spans="2:8" ht="27.95">
      <c r="B342" s="6" t="str">
        <f>VLOOKUP(C342, [1]Definition!$D$5:$K$5665, 8, FALSE)</f>
        <v>Capital Goods</v>
      </c>
      <c r="C342" s="7">
        <v>845949</v>
      </c>
      <c r="D342" s="8" t="s">
        <v>828</v>
      </c>
      <c r="E342" s="9" t="s">
        <v>65</v>
      </c>
      <c r="F342" s="17" t="str">
        <f>_xlfn.IFNA(VLOOKUP(C342, '[2]Unique HS'!$B$4:$J$999, 9, FALSE), "No")</f>
        <v>No</v>
      </c>
      <c r="G342" s="18">
        <f>VLOOKUP(C342, '[1]India EXIM'!$B$6:$C$580, 2, FALSE)</f>
        <v>9.4043554600000013E-3</v>
      </c>
      <c r="H342" s="11">
        <f>VLOOKUP(C342, '[1]China EXIM'!$B$6:$D$580, 3, FALSE)</f>
        <v>3.7659043289999999E-2</v>
      </c>
    </row>
    <row r="343" spans="2:8" ht="27.95">
      <c r="B343" s="6" t="str">
        <f>VLOOKUP(C343, [1]Definition!$D$5:$K$5665, 8, FALSE)</f>
        <v>Capital Goods</v>
      </c>
      <c r="C343" s="7">
        <v>846320</v>
      </c>
      <c r="D343" s="8" t="s">
        <v>829</v>
      </c>
      <c r="E343" s="9" t="s">
        <v>65</v>
      </c>
      <c r="F343" s="17" t="str">
        <f>_xlfn.IFNA(VLOOKUP(C343, '[2]Unique HS'!$B$4:$J$999, 9, FALSE), "No")</f>
        <v>No</v>
      </c>
      <c r="G343" s="18">
        <f>VLOOKUP(C343, '[1]India EXIM'!$B$6:$C$580, 2, FALSE)</f>
        <v>9.3504416889999987E-3</v>
      </c>
      <c r="H343" s="11">
        <f>VLOOKUP(C343, '[1]China EXIM'!$B$6:$D$580, 3, FALSE)</f>
        <v>0.111215654331</v>
      </c>
    </row>
    <row r="344" spans="2:8">
      <c r="B344" s="6" t="str">
        <f>VLOOKUP(C344, [1]Definition!$D$5:$K$5665, 8, FALSE)</f>
        <v>Capital Goods</v>
      </c>
      <c r="C344" s="7">
        <v>846792</v>
      </c>
      <c r="D344" s="8" t="s">
        <v>830</v>
      </c>
      <c r="E344" s="9" t="s">
        <v>65</v>
      </c>
      <c r="F344" s="17" t="str">
        <f>_xlfn.IFNA(VLOOKUP(C344, '[2]Unique HS'!$B$4:$J$999, 9, FALSE), "No")</f>
        <v>Yes</v>
      </c>
      <c r="G344" s="18">
        <f>VLOOKUP(C344, '[1]India EXIM'!$B$6:$C$580, 2, FALSE)</f>
        <v>9.33247517E-3</v>
      </c>
      <c r="H344" s="11">
        <f>VLOOKUP(C344, '[1]China EXIM'!$B$6:$D$580, 3, FALSE)</f>
        <v>0.57857817113999999</v>
      </c>
    </row>
    <row r="345" spans="2:8" ht="27.95">
      <c r="B345" s="6" t="str">
        <f>VLOOKUP(C345, [1]Definition!$D$5:$K$5665, 8, FALSE)</f>
        <v>Capital Goods</v>
      </c>
      <c r="C345" s="7">
        <v>870110</v>
      </c>
      <c r="D345" s="8" t="s">
        <v>1124</v>
      </c>
      <c r="E345" s="9" t="s">
        <v>58</v>
      </c>
      <c r="F345" s="17" t="str">
        <f>_xlfn.IFNA(VLOOKUP(C345, '[2]Unique HS'!$B$4:$J$999, 9, FALSE), "No")</f>
        <v>No</v>
      </c>
      <c r="G345" s="18">
        <f>VLOOKUP(C345, '[1]India EXIM'!$B$6:$C$580, 2, FALSE)</f>
        <v>2.5588682000000002E-5</v>
      </c>
      <c r="H345" s="11">
        <f>VLOOKUP(C345, '[1]China EXIM'!$B$6:$D$580, 3, FALSE)</f>
        <v>0.29246089718000001</v>
      </c>
    </row>
    <row r="346" spans="2:8" ht="27.95">
      <c r="B346" s="6" t="str">
        <f>VLOOKUP(C346, [1]Definition!$D$5:$K$5665, 8, FALSE)</f>
        <v>Capital Goods</v>
      </c>
      <c r="C346" s="7">
        <v>845941</v>
      </c>
      <c r="D346" s="8" t="s">
        <v>832</v>
      </c>
      <c r="E346" s="9" t="s">
        <v>65</v>
      </c>
      <c r="F346" s="17" t="str">
        <f>_xlfn.IFNA(VLOOKUP(C346, '[2]Unique HS'!$B$4:$J$999, 9, FALSE), "No")</f>
        <v>No</v>
      </c>
      <c r="G346" s="18">
        <f>VLOOKUP(C346, '[1]India EXIM'!$B$6:$C$580, 2, FALSE)</f>
        <v>9.1793842660000003E-3</v>
      </c>
      <c r="H346" s="11">
        <f>VLOOKUP(C346, '[1]China EXIM'!$B$6:$D$580, 3, FALSE)</f>
        <v>9.3900105080999996E-2</v>
      </c>
    </row>
    <row r="347" spans="2:8" ht="42">
      <c r="B347" s="6" t="str">
        <f>VLOOKUP(C347, [1]Definition!$D$5:$K$5665, 8, FALSE)</f>
        <v>Capital Goods</v>
      </c>
      <c r="C347" s="7">
        <v>851529</v>
      </c>
      <c r="D347" s="8" t="s">
        <v>833</v>
      </c>
      <c r="E347" s="9" t="s">
        <v>65</v>
      </c>
      <c r="F347" s="17" t="str">
        <f>_xlfn.IFNA(VLOOKUP(C347, '[2]Unique HS'!$B$4:$J$999, 9, FALSE), "No")</f>
        <v>Yes</v>
      </c>
      <c r="G347" s="18">
        <f>VLOOKUP(C347, '[1]India EXIM'!$B$6:$C$580, 2, FALSE)</f>
        <v>9.1409723680000009E-3</v>
      </c>
      <c r="H347" s="11">
        <f>VLOOKUP(C347, '[1]China EXIM'!$B$6:$D$580, 3, FALSE)</f>
        <v>0.23266553060100001</v>
      </c>
    </row>
    <row r="348" spans="2:8" ht="42">
      <c r="B348" s="6" t="str">
        <f>VLOOKUP(C348, [1]Definition!$D$5:$K$5665, 8, FALSE)</f>
        <v>Capital Goods</v>
      </c>
      <c r="C348" s="7">
        <v>820412</v>
      </c>
      <c r="D348" s="8" t="s">
        <v>841</v>
      </c>
      <c r="E348" s="9" t="s">
        <v>65</v>
      </c>
      <c r="F348" s="17" t="str">
        <f>_xlfn.IFNA(VLOOKUP(C348, '[2]Unique HS'!$B$4:$J$999, 9, FALSE), "No")</f>
        <v>Yes</v>
      </c>
      <c r="G348" s="18">
        <f>VLOOKUP(C348, '[1]India EXIM'!$B$6:$C$580, 2, FALSE)</f>
        <v>8.8509458469999986E-3</v>
      </c>
      <c r="H348" s="11">
        <f>VLOOKUP(C348, '[1]China EXIM'!$B$6:$D$580, 3, FALSE)</f>
        <v>0.74652295927300005</v>
      </c>
    </row>
    <row r="349" spans="2:8" ht="27.95">
      <c r="B349" s="6" t="str">
        <f>VLOOKUP(C349, [1]Definition!$D$5:$K$5665, 8, FALSE)</f>
        <v>Capital Goods</v>
      </c>
      <c r="C349" s="7">
        <v>843621</v>
      </c>
      <c r="D349" s="16" t="s">
        <v>893</v>
      </c>
      <c r="E349" s="9" t="s">
        <v>61</v>
      </c>
      <c r="F349" s="17" t="str">
        <f>_xlfn.IFNA(VLOOKUP(C349, '[2]Unique HS'!$B$4:$J$999, 9, FALSE), "No")</f>
        <v>No</v>
      </c>
      <c r="G349" s="18">
        <f>VLOOKUP(C349, '[1]India EXIM'!$B$6:$C$580, 2, FALSE)</f>
        <v>6.839239964E-3</v>
      </c>
      <c r="H349" s="11">
        <f>VLOOKUP(C349, '[1]China EXIM'!$B$6:$D$580, 3, FALSE)</f>
        <v>0.27866290154000001</v>
      </c>
    </row>
    <row r="350" spans="2:8" ht="27.95">
      <c r="B350" s="6" t="str">
        <f>VLOOKUP(C350, [1]Definition!$D$5:$K$5665, 8, FALSE)</f>
        <v>Capital Goods</v>
      </c>
      <c r="C350" s="7">
        <v>820140</v>
      </c>
      <c r="D350" s="8" t="s">
        <v>1100</v>
      </c>
      <c r="E350" s="9" t="s">
        <v>1165</v>
      </c>
      <c r="F350" s="17" t="str">
        <f>_xlfn.IFNA(VLOOKUP(C350, '[2]Unique HS'!$B$4:$J$999, 9, FALSE), "No")</f>
        <v>No</v>
      </c>
      <c r="G350" s="18">
        <f>VLOOKUP(C350, '[1]India EXIM'!$B$6:$C$580, 2, FALSE)</f>
        <v>2.4727206200000001E-4</v>
      </c>
      <c r="H350" s="11">
        <f>VLOOKUP(C350, '[1]China EXIM'!$B$6:$D$580, 3, FALSE)</f>
        <v>0.27707168058699999</v>
      </c>
    </row>
    <row r="351" spans="2:8" ht="56.1">
      <c r="B351" s="6" t="str">
        <f>VLOOKUP(C351, [1]Definition!$D$5:$K$5665, 8, FALSE)</f>
        <v>Capital Goods</v>
      </c>
      <c r="C351" s="7">
        <v>761100</v>
      </c>
      <c r="D351" s="8" t="s">
        <v>694</v>
      </c>
      <c r="E351" s="9" t="s">
        <v>22</v>
      </c>
      <c r="F351" s="17" t="str">
        <f>_xlfn.IFNA(VLOOKUP(C351, '[2]Unique HS'!$B$4:$J$999, 9, FALSE), "No")</f>
        <v>No</v>
      </c>
      <c r="G351" s="18">
        <f>VLOOKUP(C351, '[1]India EXIM'!$B$6:$C$580, 2, FALSE)</f>
        <v>1.6419606212999999E-2</v>
      </c>
      <c r="H351" s="11">
        <f>VLOOKUP(C351, '[1]China EXIM'!$B$6:$D$580, 3, FALSE)</f>
        <v>0.27677543251700004</v>
      </c>
    </row>
    <row r="352" spans="2:8" ht="27.95">
      <c r="B352" s="6" t="str">
        <f>VLOOKUP(C352, [1]Definition!$D$5:$K$5665, 8, FALSE)</f>
        <v>Capital Goods</v>
      </c>
      <c r="C352" s="7">
        <v>841933</v>
      </c>
      <c r="D352" s="8" t="s">
        <v>860</v>
      </c>
      <c r="E352" s="9" t="s">
        <v>22</v>
      </c>
      <c r="F352" s="17" t="str">
        <f>_xlfn.IFNA(VLOOKUP(C352, '[2]Unique HS'!$B$4:$J$999, 9, FALSE), "No")</f>
        <v>No</v>
      </c>
      <c r="G352" s="18">
        <f>VLOOKUP(C352, '[1]India EXIM'!$B$6:$C$580, 2, FALSE)</f>
        <v>7.9487122560000009E-3</v>
      </c>
      <c r="H352" s="11">
        <f>VLOOKUP(C352, '[1]China EXIM'!$B$6:$D$580, 3, FALSE)</f>
        <v>0.27471570207999996</v>
      </c>
    </row>
    <row r="353" spans="2:8">
      <c r="B353" s="6" t="str">
        <f>VLOOKUP(C353, [1]Definition!$D$5:$K$5665, 8, FALSE)</f>
        <v>Capital Goods</v>
      </c>
      <c r="C353" s="7">
        <v>844317</v>
      </c>
      <c r="D353" s="8" t="s">
        <v>512</v>
      </c>
      <c r="E353" s="9" t="s">
        <v>180</v>
      </c>
      <c r="F353" s="17" t="str">
        <f>_xlfn.IFNA(VLOOKUP(C353, '[2]Unique HS'!$B$4:$J$999, 9, FALSE), "No")</f>
        <v>No</v>
      </c>
      <c r="G353" s="18">
        <f>VLOOKUP(C353, '[1]India EXIM'!$B$6:$C$580, 2, FALSE)</f>
        <v>2.9865455377E-2</v>
      </c>
      <c r="H353" s="11">
        <f>VLOOKUP(C353, '[1]China EXIM'!$B$6:$D$580, 3, FALSE)</f>
        <v>0.26310089732399999</v>
      </c>
    </row>
    <row r="354" spans="2:8" ht="27.95">
      <c r="B354" s="6" t="str">
        <f>VLOOKUP(C354, [1]Definition!$D$5:$K$5665, 8, FALSE)</f>
        <v>Capital Goods</v>
      </c>
      <c r="C354" s="7">
        <v>842919</v>
      </c>
      <c r="D354" s="8" t="s">
        <v>561</v>
      </c>
      <c r="E354" s="9" t="s">
        <v>58</v>
      </c>
      <c r="F354" s="17" t="str">
        <f>_xlfn.IFNA(VLOOKUP(C354, '[2]Unique HS'!$B$4:$J$999, 9, FALSE), "No")</f>
        <v>No</v>
      </c>
      <c r="G354" s="18">
        <f>VLOOKUP(C354, '[1]India EXIM'!$B$6:$C$580, 2, FALSE)</f>
        <v>2.562460473E-2</v>
      </c>
      <c r="H354" s="11">
        <f>VLOOKUP(C354, '[1]China EXIM'!$B$6:$D$580, 3, FALSE)</f>
        <v>0.26171949981799997</v>
      </c>
    </row>
    <row r="355" spans="2:8" ht="27.95">
      <c r="B355" s="6" t="str">
        <f>VLOOKUP(C355, [1]Definition!$D$5:$K$5665, 8, FALSE)</f>
        <v>Capital Goods</v>
      </c>
      <c r="C355" s="7">
        <v>845640</v>
      </c>
      <c r="D355" s="8" t="s">
        <v>843</v>
      </c>
      <c r="E355" s="9" t="s">
        <v>65</v>
      </c>
      <c r="F355" s="17" t="str">
        <f>_xlfn.IFNA(VLOOKUP(C355, '[2]Unique HS'!$B$4:$J$999, 9, FALSE), "No")</f>
        <v>No</v>
      </c>
      <c r="G355" s="18">
        <f>VLOOKUP(C355, '[1]India EXIM'!$B$6:$C$580, 2, FALSE)</f>
        <v>8.5975756339999997E-3</v>
      </c>
      <c r="H355" s="11">
        <f>VLOOKUP(C355, '[1]China EXIM'!$B$6:$D$580, 3, FALSE)</f>
        <v>0.51588565378700002</v>
      </c>
    </row>
    <row r="356" spans="2:8" ht="42">
      <c r="B356" s="6" t="str">
        <f>VLOOKUP(C356, [1]Definition!$D$5:$K$5665, 8, FALSE)</f>
        <v>Capital Goods</v>
      </c>
      <c r="C356" s="7">
        <v>846595</v>
      </c>
      <c r="D356" s="8" t="s">
        <v>844</v>
      </c>
      <c r="E356" s="9" t="s">
        <v>65</v>
      </c>
      <c r="F356" s="17" t="str">
        <f>_xlfn.IFNA(VLOOKUP(C356, '[2]Unique HS'!$B$4:$J$999, 9, FALSE), "No")</f>
        <v>No</v>
      </c>
      <c r="G356" s="18">
        <f>VLOOKUP(C356, '[1]India EXIM'!$B$6:$C$580, 2, FALSE)</f>
        <v>8.5850920129999994E-3</v>
      </c>
      <c r="H356" s="11">
        <f>VLOOKUP(C356, '[1]China EXIM'!$B$6:$D$580, 3, FALSE)</f>
        <v>0.52546282407400002</v>
      </c>
    </row>
    <row r="357" spans="2:8" ht="27.95">
      <c r="B357" s="6" t="str">
        <f>VLOOKUP(C357, [1]Definition!$D$5:$K$5665, 8, FALSE)</f>
        <v>Capital Goods</v>
      </c>
      <c r="C357" s="7">
        <v>846251</v>
      </c>
      <c r="D357" s="8" t="s">
        <v>852</v>
      </c>
      <c r="E357" s="9" t="s">
        <v>65</v>
      </c>
      <c r="F357" s="17" t="str">
        <f>_xlfn.IFNA(VLOOKUP(C357, '[2]Unique HS'!$B$4:$J$999, 9, FALSE), "No")</f>
        <v>No</v>
      </c>
      <c r="G357" s="18">
        <f>VLOOKUP(C357, '[1]India EXIM'!$B$6:$C$580, 2, FALSE)</f>
        <v>8.0838840119999995E-3</v>
      </c>
      <c r="H357" s="11">
        <f>VLOOKUP(C357, '[1]China EXIM'!$B$6:$D$580, 3, FALSE)</f>
        <v>0.23315133930199999</v>
      </c>
    </row>
    <row r="358" spans="2:8" ht="27.95">
      <c r="B358" s="6" t="str">
        <f>VLOOKUP(C358, [1]Definition!$D$5:$K$5665, 8, FALSE)</f>
        <v>Capital Goods</v>
      </c>
      <c r="C358" s="7">
        <v>845310</v>
      </c>
      <c r="D358" s="8" t="s">
        <v>789</v>
      </c>
      <c r="E358" s="9" t="s">
        <v>55</v>
      </c>
      <c r="F358" s="17" t="str">
        <f>_xlfn.IFNA(VLOOKUP(C358, '[2]Unique HS'!$B$4:$J$999, 9, FALSE), "No")</f>
        <v>No</v>
      </c>
      <c r="G358" s="18">
        <f>VLOOKUP(C358, '[1]India EXIM'!$B$6:$C$580, 2, FALSE)</f>
        <v>1.0884678294E-2</v>
      </c>
      <c r="H358" s="11">
        <f>VLOOKUP(C358, '[1]China EXIM'!$B$6:$D$580, 3, FALSE)</f>
        <v>0.23774777932899999</v>
      </c>
    </row>
    <row r="359" spans="2:8" ht="27.95">
      <c r="B359" s="6" t="str">
        <f>VLOOKUP(C359, [1]Definition!$D$5:$K$5665, 8, FALSE)</f>
        <v>Capital Goods</v>
      </c>
      <c r="C359" s="7">
        <v>901540</v>
      </c>
      <c r="D359" s="8" t="s">
        <v>605</v>
      </c>
      <c r="E359" s="9" t="s">
        <v>58</v>
      </c>
      <c r="F359" s="17" t="str">
        <f>_xlfn.IFNA(VLOOKUP(C359, '[2]Unique HS'!$B$4:$J$999, 9, FALSE), "No")</f>
        <v>Yes</v>
      </c>
      <c r="G359" s="18">
        <f>VLOOKUP(C359, '[1]India EXIM'!$B$6:$C$580, 2, FALSE)</f>
        <v>2.1685819835000002E-2</v>
      </c>
      <c r="H359" s="11">
        <f>VLOOKUP(C359, '[1]China EXIM'!$B$6:$D$580, 3, FALSE)</f>
        <v>0.235014388219</v>
      </c>
    </row>
    <row r="360" spans="2:8" ht="27.95">
      <c r="B360" s="6" t="str">
        <f>VLOOKUP(C360, [1]Definition!$D$5:$K$5665, 8, FALSE)</f>
        <v>Capital Goods</v>
      </c>
      <c r="C360" s="7">
        <v>841610</v>
      </c>
      <c r="D360" s="8" t="s">
        <v>919</v>
      </c>
      <c r="E360" s="9" t="s">
        <v>22</v>
      </c>
      <c r="F360" s="17" t="str">
        <f>_xlfn.IFNA(VLOOKUP(C360, '[2]Unique HS'!$B$4:$J$999, 9, FALSE), "No")</f>
        <v>No</v>
      </c>
      <c r="G360" s="18">
        <f>VLOOKUP(C360, '[1]India EXIM'!$B$6:$C$580, 2, FALSE)</f>
        <v>5.1920741189999996E-3</v>
      </c>
      <c r="H360" s="11">
        <f>VLOOKUP(C360, '[1]China EXIM'!$B$6:$D$580, 3, FALSE)</f>
        <v>0.23399765947699999</v>
      </c>
    </row>
    <row r="361" spans="2:8" ht="27.95">
      <c r="B361" s="6" t="str">
        <f>VLOOKUP(C361, [1]Definition!$D$5:$K$5665, 8, FALSE)</f>
        <v>Capital Goods</v>
      </c>
      <c r="C361" s="7">
        <v>820600</v>
      </c>
      <c r="D361" s="8" t="s">
        <v>884</v>
      </c>
      <c r="E361" s="9" t="s">
        <v>65</v>
      </c>
      <c r="F361" s="17" t="str">
        <f>_xlfn.IFNA(VLOOKUP(C361, '[2]Unique HS'!$B$4:$J$999, 9, FALSE), "No")</f>
        <v>Yes</v>
      </c>
      <c r="G361" s="18">
        <f>VLOOKUP(C361, '[1]India EXIM'!$B$6:$C$580, 2, FALSE)</f>
        <v>7.2351876019999999E-3</v>
      </c>
      <c r="H361" s="11">
        <f>VLOOKUP(C361, '[1]China EXIM'!$B$6:$D$580, 3, FALSE)</f>
        <v>1.8768980583479999</v>
      </c>
    </row>
    <row r="362" spans="2:8" ht="56.1">
      <c r="B362" s="6" t="str">
        <f>VLOOKUP(C362, [1]Definition!$D$5:$K$5665, 8, FALSE)</f>
        <v>Capital Goods</v>
      </c>
      <c r="C362" s="7">
        <v>846510</v>
      </c>
      <c r="D362" s="8" t="s">
        <v>886</v>
      </c>
      <c r="E362" s="9" t="s">
        <v>65</v>
      </c>
      <c r="F362" s="17" t="str">
        <f>_xlfn.IFNA(VLOOKUP(C362, '[2]Unique HS'!$B$4:$J$999, 9, FALSE), "No")</f>
        <v>No</v>
      </c>
      <c r="G362" s="18">
        <f>VLOOKUP(C362, '[1]India EXIM'!$B$6:$C$580, 2, FALSE)</f>
        <v>7.0830125650000004E-3</v>
      </c>
      <c r="H362" s="11">
        <f>VLOOKUP(C362, '[1]China EXIM'!$B$6:$D$580, 3, FALSE)</f>
        <v>1.3173001751089999</v>
      </c>
    </row>
    <row r="363" spans="2:8">
      <c r="B363" s="6" t="str">
        <f>VLOOKUP(C363, [1]Definition!$D$5:$K$5665, 8, FALSE)</f>
        <v>Capital Goods</v>
      </c>
      <c r="C363" s="7">
        <v>845510</v>
      </c>
      <c r="D363" s="8" t="s">
        <v>248</v>
      </c>
      <c r="E363" s="9" t="s">
        <v>82</v>
      </c>
      <c r="F363" s="17" t="str">
        <f>_xlfn.IFNA(VLOOKUP(C363, '[2]Unique HS'!$B$4:$J$999, 9, FALSE), "No")</f>
        <v>No</v>
      </c>
      <c r="G363" s="18">
        <f>VLOOKUP(C363, '[1]India EXIM'!$B$6:$C$580, 2, FALSE)</f>
        <v>9.7560921055999991E-2</v>
      </c>
      <c r="H363" s="11">
        <f>VLOOKUP(C363, '[1]China EXIM'!$B$6:$D$580, 3, FALSE)</f>
        <v>0.231572879791</v>
      </c>
    </row>
    <row r="364" spans="2:8" ht="27.95">
      <c r="B364" s="6" t="str">
        <f>VLOOKUP(C364, [1]Definition!$D$5:$K$5665, 8, FALSE)</f>
        <v>Capital Goods</v>
      </c>
      <c r="C364" s="7">
        <v>844711</v>
      </c>
      <c r="D364" s="8" t="s">
        <v>702</v>
      </c>
      <c r="E364" s="9" t="s">
        <v>55</v>
      </c>
      <c r="F364" s="17" t="str">
        <f>_xlfn.IFNA(VLOOKUP(C364, '[2]Unique HS'!$B$4:$J$999, 9, FALSE), "No")</f>
        <v>No</v>
      </c>
      <c r="G364" s="18">
        <f>VLOOKUP(C364, '[1]India EXIM'!$B$6:$C$580, 2, FALSE)</f>
        <v>1.5885132451000001E-2</v>
      </c>
      <c r="H364" s="11">
        <f>VLOOKUP(C364, '[1]China EXIM'!$B$6:$D$580, 3, FALSE)</f>
        <v>0.22891004633500001</v>
      </c>
    </row>
    <row r="365" spans="2:8" ht="27.95">
      <c r="B365" s="6" t="str">
        <f>VLOOKUP(C365, [1]Definition!$D$5:$K$5665, 8, FALSE)</f>
        <v>Capital Goods</v>
      </c>
      <c r="C365" s="7">
        <v>848580</v>
      </c>
      <c r="D365" s="8" t="s">
        <v>891</v>
      </c>
      <c r="E365" s="9" t="s">
        <v>65</v>
      </c>
      <c r="F365" s="17" t="str">
        <f>_xlfn.IFNA(VLOOKUP(C365, '[2]Unique HS'!$B$4:$J$999, 9, FALSE), "No")</f>
        <v>No</v>
      </c>
      <c r="G365" s="18">
        <f>VLOOKUP(C365, '[1]India EXIM'!$B$6:$C$580, 2, FALSE)</f>
        <v>6.8783455270000002E-3</v>
      </c>
      <c r="H365" s="11">
        <f>VLOOKUP(C365, '[1]China EXIM'!$B$6:$D$580, 3, FALSE)</f>
        <v>0.10475965274400001</v>
      </c>
    </row>
    <row r="366" spans="2:8" ht="42">
      <c r="B366" s="6" t="str">
        <f>VLOOKUP(C366, [1]Definition!$D$5:$K$5665, 8, FALSE)</f>
        <v>Capital Goods</v>
      </c>
      <c r="C366" s="7">
        <v>842389</v>
      </c>
      <c r="D366" s="8" t="s">
        <v>867</v>
      </c>
      <c r="E366" s="9" t="s">
        <v>22</v>
      </c>
      <c r="F366" s="17" t="str">
        <f>_xlfn.IFNA(VLOOKUP(C366, '[2]Unique HS'!$B$4:$J$999, 9, FALSE), "No")</f>
        <v>No</v>
      </c>
      <c r="G366" s="18">
        <f>VLOOKUP(C366, '[1]India EXIM'!$B$6:$C$580, 2, FALSE)</f>
        <v>7.6521632790000002E-3</v>
      </c>
      <c r="H366" s="11">
        <f>VLOOKUP(C366, '[1]China EXIM'!$B$6:$D$580, 3, FALSE)</f>
        <v>0.22441687813800001</v>
      </c>
    </row>
    <row r="367" spans="2:8" ht="27.95">
      <c r="B367" s="6" t="str">
        <f>VLOOKUP(C367, [1]Definition!$D$5:$K$5665, 8, FALSE)</f>
        <v>Capital Goods</v>
      </c>
      <c r="C367" s="7">
        <v>843352</v>
      </c>
      <c r="D367" s="8" t="s">
        <v>969</v>
      </c>
      <c r="E367" s="9" t="s">
        <v>1165</v>
      </c>
      <c r="F367" s="17" t="str">
        <f>_xlfn.IFNA(VLOOKUP(C367, '[2]Unique HS'!$B$4:$J$999, 9, FALSE), "No")</f>
        <v>No</v>
      </c>
      <c r="G367" s="18">
        <f>VLOOKUP(C367, '[1]India EXIM'!$B$6:$C$580, 2, FALSE)</f>
        <v>2.50283743E-3</v>
      </c>
      <c r="H367" s="11">
        <f>VLOOKUP(C367, '[1]China EXIM'!$B$6:$D$580, 3, FALSE)</f>
        <v>0.22262219779100001</v>
      </c>
    </row>
    <row r="368" spans="2:8">
      <c r="B368" s="6" t="str">
        <f>VLOOKUP(C368, [1]Definition!$D$5:$K$5665, 8, FALSE)</f>
        <v>Capital Goods</v>
      </c>
      <c r="C368" s="7">
        <v>820540</v>
      </c>
      <c r="D368" s="8" t="s">
        <v>897</v>
      </c>
      <c r="E368" s="9" t="s">
        <v>65</v>
      </c>
      <c r="F368" s="17" t="str">
        <f>_xlfn.IFNA(VLOOKUP(C368, '[2]Unique HS'!$B$4:$J$999, 9, FALSE), "No")</f>
        <v>Yes</v>
      </c>
      <c r="G368" s="18">
        <f>VLOOKUP(C368, '[1]India EXIM'!$B$6:$C$580, 2, FALSE)</f>
        <v>6.3898275439999994E-3</v>
      </c>
      <c r="H368" s="11">
        <f>VLOOKUP(C368, '[1]China EXIM'!$B$6:$D$580, 3, FALSE)</f>
        <v>0.98494840515299997</v>
      </c>
    </row>
    <row r="369" spans="2:8" ht="27.95">
      <c r="B369" s="6" t="str">
        <f>VLOOKUP(C369, [1]Definition!$D$5:$K$5665, 8, FALSE)</f>
        <v>Capital Goods</v>
      </c>
      <c r="C369" s="7">
        <v>820810</v>
      </c>
      <c r="D369" s="8" t="s">
        <v>905</v>
      </c>
      <c r="E369" s="9" t="s">
        <v>65</v>
      </c>
      <c r="F369" s="17" t="str">
        <f>_xlfn.IFNA(VLOOKUP(C369, '[2]Unique HS'!$B$4:$J$999, 9, FALSE), "No")</f>
        <v>Yes</v>
      </c>
      <c r="G369" s="18">
        <f>VLOOKUP(C369, '[1]India EXIM'!$B$6:$C$580, 2, FALSE)</f>
        <v>5.9598144050000005E-3</v>
      </c>
      <c r="H369" s="11">
        <f>VLOOKUP(C369, '[1]China EXIM'!$B$6:$D$580, 3, FALSE)</f>
        <v>0.75919324810900002</v>
      </c>
    </row>
    <row r="370" spans="2:8" ht="42">
      <c r="B370" s="6" t="str">
        <f>VLOOKUP(C370, [1]Definition!$D$5:$K$5665, 8, FALSE)</f>
        <v>Capital Goods</v>
      </c>
      <c r="C370" s="7">
        <v>846259</v>
      </c>
      <c r="D370" s="8" t="s">
        <v>912</v>
      </c>
      <c r="E370" s="9" t="s">
        <v>65</v>
      </c>
      <c r="F370" s="17" t="str">
        <f>_xlfn.IFNA(VLOOKUP(C370, '[2]Unique HS'!$B$4:$J$999, 9, FALSE), "No")</f>
        <v>No</v>
      </c>
      <c r="G370" s="18">
        <f>VLOOKUP(C370, '[1]India EXIM'!$B$6:$C$580, 2, FALSE)</f>
        <v>5.3935788679999996E-3</v>
      </c>
      <c r="H370" s="11">
        <f>VLOOKUP(C370, '[1]China EXIM'!$B$6:$D$580, 3, FALSE)</f>
        <v>9.8322923110000002E-2</v>
      </c>
    </row>
    <row r="371" spans="2:8" ht="27.95">
      <c r="B371" s="6" t="str">
        <f>VLOOKUP(C371, [1]Definition!$D$5:$K$5665, 8, FALSE)</f>
        <v>Capital Goods</v>
      </c>
      <c r="C371" s="7">
        <v>820820</v>
      </c>
      <c r="D371" s="8" t="s">
        <v>917</v>
      </c>
      <c r="E371" s="9" t="s">
        <v>65</v>
      </c>
      <c r="F371" s="17" t="str">
        <f>_xlfn.IFNA(VLOOKUP(C371, '[2]Unique HS'!$B$4:$J$999, 9, FALSE), "No")</f>
        <v>Yes</v>
      </c>
      <c r="G371" s="18">
        <f>VLOOKUP(C371, '[1]India EXIM'!$B$6:$C$580, 2, FALSE)</f>
        <v>5.2303163430000004E-3</v>
      </c>
      <c r="H371" s="11">
        <f>VLOOKUP(C371, '[1]China EXIM'!$B$6:$D$580, 3, FALSE)</f>
        <v>0.41519456610900002</v>
      </c>
    </row>
    <row r="372" spans="2:8">
      <c r="B372" s="6" t="str">
        <f>VLOOKUP(C372, [1]Definition!$D$5:$K$5665, 8, FALSE)</f>
        <v>Capital Goods</v>
      </c>
      <c r="C372" s="7">
        <v>844511</v>
      </c>
      <c r="D372" s="8" t="s">
        <v>773</v>
      </c>
      <c r="E372" s="9" t="s">
        <v>55</v>
      </c>
      <c r="F372" s="17" t="str">
        <f>_xlfn.IFNA(VLOOKUP(C372, '[2]Unique HS'!$B$4:$J$999, 9, FALSE), "No")</f>
        <v>No</v>
      </c>
      <c r="G372" s="18">
        <f>VLOOKUP(C372, '[1]India EXIM'!$B$6:$C$580, 2, FALSE)</f>
        <v>1.1493970186000001E-2</v>
      </c>
      <c r="H372" s="11">
        <f>VLOOKUP(C372, '[1]China EXIM'!$B$6:$D$580, 3, FALSE)</f>
        <v>0.20230513088400001</v>
      </c>
    </row>
    <row r="373" spans="2:8" ht="42">
      <c r="B373" s="6" t="str">
        <f>VLOOKUP(C373, [1]Definition!$D$5:$K$5665, 8, FALSE)</f>
        <v>Capital Goods</v>
      </c>
      <c r="C373" s="7">
        <v>821193</v>
      </c>
      <c r="D373" s="8" t="s">
        <v>923</v>
      </c>
      <c r="E373" s="9" t="s">
        <v>65</v>
      </c>
      <c r="F373" s="17" t="str">
        <f>_xlfn.IFNA(VLOOKUP(C373, '[2]Unique HS'!$B$4:$J$999, 9, FALSE), "No")</f>
        <v>Yes</v>
      </c>
      <c r="G373" s="18">
        <f>VLOOKUP(C373, '[1]India EXIM'!$B$6:$C$580, 2, FALSE)</f>
        <v>5.1773559139999996E-3</v>
      </c>
      <c r="H373" s="11">
        <f>VLOOKUP(C373, '[1]China EXIM'!$B$6:$D$580, 3, FALSE)</f>
        <v>0.72264639154099997</v>
      </c>
    </row>
    <row r="374" spans="2:8" ht="27.95">
      <c r="B374" s="6" t="str">
        <f>VLOOKUP(C374, [1]Definition!$D$5:$K$5665, 8, FALSE)</f>
        <v>Capital Goods</v>
      </c>
      <c r="C374" s="7">
        <v>901520</v>
      </c>
      <c r="D374" s="8" t="s">
        <v>679</v>
      </c>
      <c r="E374" s="9" t="s">
        <v>58</v>
      </c>
      <c r="F374" s="17" t="str">
        <f>_xlfn.IFNA(VLOOKUP(C374, '[2]Unique HS'!$B$4:$J$999, 9, FALSE), "No")</f>
        <v>No</v>
      </c>
      <c r="G374" s="22">
        <f>VLOOKUP(C374, '[1]India EXIM'!$B$6:$C$580, 2, FALSE)</f>
        <v>1.6802813107000002E-2</v>
      </c>
      <c r="H374" s="11">
        <f>VLOOKUP(C374, '[1]China EXIM'!$B$6:$D$580, 3, FALSE)</f>
        <v>0.87679933888299999</v>
      </c>
    </row>
    <row r="375" spans="2:8" ht="27.95">
      <c r="B375" s="6" t="str">
        <f>VLOOKUP(C375, [1]Definition!$D$5:$K$5665, 8, FALSE)</f>
        <v>Capital Goods</v>
      </c>
      <c r="C375" s="7">
        <v>846130</v>
      </c>
      <c r="D375" s="8" t="s">
        <v>937</v>
      </c>
      <c r="E375" s="9" t="s">
        <v>65</v>
      </c>
      <c r="F375" s="17" t="str">
        <f>_xlfn.IFNA(VLOOKUP(C375, '[2]Unique HS'!$B$4:$J$999, 9, FALSE), "No")</f>
        <v>No</v>
      </c>
      <c r="G375" s="18">
        <f>VLOOKUP(C375, '[1]India EXIM'!$B$6:$C$580, 2, FALSE)</f>
        <v>4.8071338970000002E-3</v>
      </c>
      <c r="H375" s="11">
        <f>VLOOKUP(C375, '[1]China EXIM'!$B$6:$D$580, 3, FALSE)</f>
        <v>7.268036863699999E-2</v>
      </c>
    </row>
    <row r="376" spans="2:8" ht="27.95">
      <c r="B376" s="6" t="str">
        <f>VLOOKUP(C376, [1]Definition!$D$5:$K$5665, 8, FALSE)</f>
        <v>Capital Goods</v>
      </c>
      <c r="C376" s="7">
        <v>846120</v>
      </c>
      <c r="D376" s="8" t="s">
        <v>940</v>
      </c>
      <c r="E376" s="9" t="s">
        <v>65</v>
      </c>
      <c r="F376" s="17" t="str">
        <f>_xlfn.IFNA(VLOOKUP(C376, '[2]Unique HS'!$B$4:$J$999, 9, FALSE), "No")</f>
        <v>No</v>
      </c>
      <c r="G376" s="18">
        <f>VLOOKUP(C376, '[1]India EXIM'!$B$6:$C$580, 2, FALSE)</f>
        <v>4.7003518880000001E-3</v>
      </c>
      <c r="H376" s="11">
        <f>VLOOKUP(C376, '[1]China EXIM'!$B$6:$D$580, 3, FALSE)</f>
        <v>5.2598386744999996E-2</v>
      </c>
    </row>
    <row r="377" spans="2:8" ht="27.95">
      <c r="B377" s="6" t="str">
        <f>VLOOKUP(C377, [1]Definition!$D$5:$K$5665, 8, FALSE)</f>
        <v>Capital Goods</v>
      </c>
      <c r="C377" s="7">
        <v>820551</v>
      </c>
      <c r="D377" s="8" t="s">
        <v>941</v>
      </c>
      <c r="E377" s="9" t="s">
        <v>65</v>
      </c>
      <c r="F377" s="17" t="str">
        <f>_xlfn.IFNA(VLOOKUP(C377, '[2]Unique HS'!$B$4:$J$999, 9, FALSE), "No")</f>
        <v>Yes</v>
      </c>
      <c r="G377" s="18">
        <f>VLOOKUP(C377, '[1]India EXIM'!$B$6:$C$580, 2, FALSE)</f>
        <v>4.672591278E-3</v>
      </c>
      <c r="H377" s="11">
        <f>VLOOKUP(C377, '[1]China EXIM'!$B$6:$D$580, 3, FALSE)</f>
        <v>2.0490730426370001</v>
      </c>
    </row>
    <row r="378" spans="2:8" ht="27.95">
      <c r="B378" s="6" t="str">
        <f>VLOOKUP(C378, [1]Definition!$D$5:$K$5665, 8, FALSE)</f>
        <v>Capital Goods</v>
      </c>
      <c r="C378" s="7">
        <v>842320</v>
      </c>
      <c r="D378" s="8" t="s">
        <v>947</v>
      </c>
      <c r="E378" s="9" t="s">
        <v>22</v>
      </c>
      <c r="F378" s="17" t="str">
        <f>_xlfn.IFNA(VLOOKUP(C378, '[2]Unique HS'!$B$4:$J$999, 9, FALSE), "No")</f>
        <v>No</v>
      </c>
      <c r="G378" s="18">
        <f>VLOOKUP(C378, '[1]India EXIM'!$B$6:$C$580, 2, FALSE)</f>
        <v>4.4414912569999999E-3</v>
      </c>
      <c r="H378" s="11">
        <f>VLOOKUP(C378, '[1]China EXIM'!$B$6:$D$580, 3, FALSE)</f>
        <v>0.18378948881999999</v>
      </c>
    </row>
    <row r="379" spans="2:8" ht="27.95">
      <c r="B379" s="6" t="str">
        <f>VLOOKUP(C379, [1]Definition!$D$5:$K$5665, 8, FALSE)</f>
        <v>Capital Goods</v>
      </c>
      <c r="C379" s="7">
        <v>845650</v>
      </c>
      <c r="D379" s="8" t="s">
        <v>942</v>
      </c>
      <c r="E379" s="9" t="s">
        <v>65</v>
      </c>
      <c r="F379" s="17" t="str">
        <f>_xlfn.IFNA(VLOOKUP(C379, '[2]Unique HS'!$B$4:$J$999, 9, FALSE), "No")</f>
        <v>No</v>
      </c>
      <c r="G379" s="18">
        <f>VLOOKUP(C379, '[1]India EXIM'!$B$6:$C$580, 2, FALSE)</f>
        <v>4.5695161619999994E-3</v>
      </c>
      <c r="H379" s="11">
        <f>VLOOKUP(C379, '[1]China EXIM'!$B$6:$D$580, 3, FALSE)</f>
        <v>0.22500944265299999</v>
      </c>
    </row>
    <row r="380" spans="2:8" ht="27.95">
      <c r="B380" s="6" t="str">
        <f>VLOOKUP(C380, [1]Definition!$D$5:$K$5665, 8, FALSE)</f>
        <v>Capital Goods</v>
      </c>
      <c r="C380" s="7">
        <v>901120</v>
      </c>
      <c r="D380" s="8" t="s">
        <v>1010</v>
      </c>
      <c r="E380" s="9" t="s">
        <v>22</v>
      </c>
      <c r="F380" s="17" t="str">
        <f>_xlfn.IFNA(VLOOKUP(C380, '[2]Unique HS'!$B$4:$J$999, 9, FALSE), "No")</f>
        <v>Yes</v>
      </c>
      <c r="G380" s="18">
        <f>VLOOKUP(C380, '[1]India EXIM'!$B$6:$C$580, 2, FALSE)</f>
        <v>1.9596942779999999E-3</v>
      </c>
      <c r="H380" s="11">
        <f>VLOOKUP(C380, '[1]China EXIM'!$B$6:$D$580, 3, FALSE)</f>
        <v>0.18004843889399999</v>
      </c>
    </row>
    <row r="381" spans="2:8" ht="27.95">
      <c r="B381" s="6" t="str">
        <f>VLOOKUP(C381, [1]Definition!$D$5:$K$5665, 8, FALSE)</f>
        <v>Capital Goods</v>
      </c>
      <c r="C381" s="7">
        <v>821194</v>
      </c>
      <c r="D381" s="8" t="s">
        <v>1002</v>
      </c>
      <c r="E381" s="9" t="s">
        <v>65</v>
      </c>
      <c r="F381" s="17" t="str">
        <f>_xlfn.IFNA(VLOOKUP(C381, '[2]Unique HS'!$B$4:$J$999, 9, FALSE), "No")</f>
        <v>Yes</v>
      </c>
      <c r="G381" s="18">
        <f>VLOOKUP(C381, '[1]India EXIM'!$B$6:$C$580, 2, FALSE)</f>
        <v>4.1866588420000003E-3</v>
      </c>
      <c r="H381" s="11">
        <f>VLOOKUP(C381, '[1]China EXIM'!$B$6:$D$580, 3, FALSE)</f>
        <v>0.21612750982600001</v>
      </c>
    </row>
    <row r="382" spans="2:8" ht="27.95">
      <c r="B382" s="6" t="str">
        <f>VLOOKUP(C382, [1]Definition!$D$5:$K$5665, 8, FALSE)</f>
        <v>Capital Goods</v>
      </c>
      <c r="C382" s="7">
        <v>842930</v>
      </c>
      <c r="D382" s="8" t="s">
        <v>664</v>
      </c>
      <c r="E382" s="9" t="s">
        <v>58</v>
      </c>
      <c r="F382" s="17" t="str">
        <f>_xlfn.IFNA(VLOOKUP(C382, '[2]Unique HS'!$B$4:$J$999, 9, FALSE), "No")</f>
        <v>No</v>
      </c>
      <c r="G382" s="18">
        <f>VLOOKUP(C382, '[1]India EXIM'!$B$6:$C$580, 2, FALSE)</f>
        <v>1.7137022530999999E-2</v>
      </c>
      <c r="H382" s="11">
        <f>VLOOKUP(C382, '[1]China EXIM'!$B$6:$D$580, 3, FALSE)</f>
        <v>0.17903210250999999</v>
      </c>
    </row>
    <row r="383" spans="2:8" ht="27.95">
      <c r="B383" s="6" t="str">
        <f>VLOOKUP(C383, [1]Definition!$D$5:$K$5665, 8, FALSE)</f>
        <v>Capital Goods</v>
      </c>
      <c r="C383" s="7">
        <v>844590</v>
      </c>
      <c r="D383" s="8" t="s">
        <v>458</v>
      </c>
      <c r="E383" s="9" t="s">
        <v>55</v>
      </c>
      <c r="F383" s="17" t="str">
        <f>_xlfn.IFNA(VLOOKUP(C383, '[2]Unique HS'!$B$4:$J$999, 9, FALSE), "No")</f>
        <v>No</v>
      </c>
      <c r="G383" s="18">
        <f>VLOOKUP(C383, '[1]India EXIM'!$B$6:$C$580, 2, FALSE)</f>
        <v>3.7215073660999999E-2</v>
      </c>
      <c r="H383" s="11">
        <f>VLOOKUP(C383, '[1]China EXIM'!$B$6:$D$580, 3, FALSE)</f>
        <v>0.17238647058500001</v>
      </c>
    </row>
    <row r="384" spans="2:8" ht="27.95">
      <c r="B384" s="6" t="str">
        <f>VLOOKUP(C384, [1]Definition!$D$5:$K$5665, 8, FALSE)</f>
        <v>Capital Goods</v>
      </c>
      <c r="C384" s="7">
        <v>840420</v>
      </c>
      <c r="D384" s="8" t="s">
        <v>808</v>
      </c>
      <c r="E384" s="9" t="s">
        <v>22</v>
      </c>
      <c r="F384" s="17" t="str">
        <f>_xlfn.IFNA(VLOOKUP(C384, '[2]Unique HS'!$B$4:$J$999, 9, FALSE), "No")</f>
        <v>No</v>
      </c>
      <c r="G384" s="18">
        <f>VLOOKUP(C384, '[1]India EXIM'!$B$6:$C$580, 2, FALSE)</f>
        <v>1.0091391779999999E-2</v>
      </c>
      <c r="H384" s="11">
        <f>VLOOKUP(C384, '[1]China EXIM'!$B$6:$D$580, 3, FALSE)</f>
        <v>0.17124725090599999</v>
      </c>
    </row>
    <row r="385" spans="2:8" ht="27.95">
      <c r="B385" s="6" t="str">
        <f>VLOOKUP(C385, [1]Definition!$D$5:$K$5665, 8, FALSE)</f>
        <v>Capital Goods</v>
      </c>
      <c r="C385" s="7">
        <v>841630</v>
      </c>
      <c r="D385" s="8" t="s">
        <v>1101</v>
      </c>
      <c r="E385" s="9" t="s">
        <v>82</v>
      </c>
      <c r="F385" s="17" t="str">
        <f>_xlfn.IFNA(VLOOKUP(C385, '[2]Unique HS'!$B$4:$J$999, 9, FALSE), "No")</f>
        <v>No</v>
      </c>
      <c r="G385" s="18">
        <f>VLOOKUP(C385, '[1]India EXIM'!$B$6:$C$580, 2, FALSE)</f>
        <v>2.3559994899999999E-4</v>
      </c>
      <c r="H385" s="11">
        <f>VLOOKUP(C385, '[1]China EXIM'!$B$6:$D$580, 3, FALSE)</f>
        <v>0.16675596526</v>
      </c>
    </row>
    <row r="386" spans="2:8">
      <c r="B386" s="6" t="str">
        <f>VLOOKUP(C386, [1]Definition!$D$5:$K$5665, 8, FALSE)</f>
        <v>Capital Goods</v>
      </c>
      <c r="C386" s="7">
        <v>844530</v>
      </c>
      <c r="D386" s="8" t="s">
        <v>896</v>
      </c>
      <c r="E386" s="9" t="s">
        <v>55</v>
      </c>
      <c r="F386" s="17" t="str">
        <f>_xlfn.IFNA(VLOOKUP(C386, '[2]Unique HS'!$B$4:$J$999, 9, FALSE), "No")</f>
        <v>No</v>
      </c>
      <c r="G386" s="18">
        <f>VLOOKUP(C386, '[1]India EXIM'!$B$6:$C$580, 2, FALSE)</f>
        <v>6.6320594960000007E-3</v>
      </c>
      <c r="H386" s="11">
        <f>VLOOKUP(C386, '[1]China EXIM'!$B$6:$D$580, 3, FALSE)</f>
        <v>0.161341095159</v>
      </c>
    </row>
    <row r="387" spans="2:8" ht="27.95">
      <c r="B387" s="6" t="str">
        <f>VLOOKUP(C387, [1]Definition!$D$5:$K$5665, 8, FALSE)</f>
        <v>Capital Goods</v>
      </c>
      <c r="C387" s="7">
        <v>902810</v>
      </c>
      <c r="D387" s="8" t="s">
        <v>709</v>
      </c>
      <c r="E387" s="9" t="s">
        <v>22</v>
      </c>
      <c r="F387" s="17" t="str">
        <f>_xlfn.IFNA(VLOOKUP(C387, '[2]Unique HS'!$B$4:$J$999, 9, FALSE), "No")</f>
        <v>No</v>
      </c>
      <c r="G387" s="22">
        <f>VLOOKUP(C387, '[1]India EXIM'!$B$6:$C$580, 2, FALSE)</f>
        <v>1.5000717320000001E-2</v>
      </c>
      <c r="H387" s="11">
        <f>VLOOKUP(C387, '[1]China EXIM'!$B$6:$D$580, 3, FALSE)</f>
        <v>0.86118053160300001</v>
      </c>
    </row>
    <row r="388" spans="2:8" ht="27.95">
      <c r="B388" s="6" t="str">
        <f>VLOOKUP(C388, [1]Definition!$D$5:$K$5665, 8, FALSE)</f>
        <v>Capital Goods</v>
      </c>
      <c r="C388" s="7">
        <v>820340</v>
      </c>
      <c r="D388" s="8" t="s">
        <v>963</v>
      </c>
      <c r="E388" s="9" t="s">
        <v>65</v>
      </c>
      <c r="F388" s="17" t="str">
        <f>_xlfn.IFNA(VLOOKUP(C388, '[2]Unique HS'!$B$4:$J$999, 9, FALSE), "No")</f>
        <v>Yes</v>
      </c>
      <c r="G388" s="18">
        <f>VLOOKUP(C388, '[1]India EXIM'!$B$6:$C$580, 2, FALSE)</f>
        <v>3.4194521129999999E-3</v>
      </c>
      <c r="H388" s="11">
        <f>VLOOKUP(C388, '[1]China EXIM'!$B$6:$D$580, 3, FALSE)</f>
        <v>0.23898831548800001</v>
      </c>
    </row>
    <row r="389" spans="2:8" ht="27.95">
      <c r="B389" s="6" t="str">
        <f>VLOOKUP(C389, [1]Definition!$D$5:$K$5665, 8, FALSE)</f>
        <v>Capital Goods</v>
      </c>
      <c r="C389" s="7">
        <v>844513</v>
      </c>
      <c r="D389" s="8" t="s">
        <v>987</v>
      </c>
      <c r="E389" s="9" t="s">
        <v>55</v>
      </c>
      <c r="F389" s="17" t="str">
        <f>_xlfn.IFNA(VLOOKUP(C389, '[2]Unique HS'!$B$4:$J$999, 9, FALSE), "No")</f>
        <v>No</v>
      </c>
      <c r="G389" s="18">
        <f>VLOOKUP(C389, '[1]India EXIM'!$B$6:$C$580, 2, FALSE)</f>
        <v>2.523491573E-3</v>
      </c>
      <c r="H389" s="11">
        <f>VLOOKUP(C389, '[1]China EXIM'!$B$6:$D$580, 3, FALSE)</f>
        <v>0.15427294245100001</v>
      </c>
    </row>
    <row r="390" spans="2:8" ht="42">
      <c r="B390" s="6" t="str">
        <f>VLOOKUP(C390, [1]Definition!$D$5:$K$5665, 8, FALSE)</f>
        <v>Capital Goods</v>
      </c>
      <c r="C390" s="7">
        <v>821192</v>
      </c>
      <c r="D390" s="8" t="s">
        <v>964</v>
      </c>
      <c r="E390" s="9" t="s">
        <v>65</v>
      </c>
      <c r="F390" s="17" t="str">
        <f>_xlfn.IFNA(VLOOKUP(C390, '[2]Unique HS'!$B$4:$J$999, 9, FALSE), "No")</f>
        <v>Yes</v>
      </c>
      <c r="G390" s="18">
        <f>VLOOKUP(C390, '[1]India EXIM'!$B$6:$C$580, 2, FALSE)</f>
        <v>3.22617153E-3</v>
      </c>
      <c r="H390" s="11">
        <f>VLOOKUP(C390, '[1]China EXIM'!$B$6:$D$580, 3, FALSE)</f>
        <v>1.246791502667</v>
      </c>
    </row>
    <row r="391" spans="2:8" ht="56.1">
      <c r="B391" s="6" t="str">
        <f>VLOOKUP(C391, [1]Definition!$D$5:$K$5665, 8, FALSE)</f>
        <v>Capital Goods</v>
      </c>
      <c r="C391" s="7">
        <v>902229</v>
      </c>
      <c r="D391" s="8" t="s">
        <v>753</v>
      </c>
      <c r="E391" s="9" t="s">
        <v>22</v>
      </c>
      <c r="F391" s="17" t="str">
        <f>_xlfn.IFNA(VLOOKUP(C391, '[2]Unique HS'!$B$4:$J$999, 9, FALSE), "No")</f>
        <v>No</v>
      </c>
      <c r="G391" s="22">
        <f>VLOOKUP(C391, '[1]India EXIM'!$B$6:$C$580, 2, FALSE)</f>
        <v>1.3157796492000001E-2</v>
      </c>
      <c r="H391" s="11">
        <f>VLOOKUP(C391, '[1]China EXIM'!$B$6:$D$580, 3, FALSE)</f>
        <v>0.28884891755000003</v>
      </c>
    </row>
    <row r="392" spans="2:8" ht="27.95">
      <c r="B392" s="6" t="str">
        <f>VLOOKUP(C392, [1]Definition!$D$5:$K$5665, 8, FALSE)</f>
        <v>Capital Goods</v>
      </c>
      <c r="C392" s="7">
        <v>846520</v>
      </c>
      <c r="D392" s="8" t="s">
        <v>974</v>
      </c>
      <c r="E392" s="9" t="s">
        <v>65</v>
      </c>
      <c r="F392" s="17" t="str">
        <f>_xlfn.IFNA(VLOOKUP(C392, '[2]Unique HS'!$B$4:$J$999, 9, FALSE), "No")</f>
        <v>No</v>
      </c>
      <c r="G392" s="18">
        <f>VLOOKUP(C392, '[1]India EXIM'!$B$6:$C$580, 2, FALSE)</f>
        <v>3.1069388349999998E-3</v>
      </c>
      <c r="H392" s="11">
        <f>VLOOKUP(C392, '[1]China EXIM'!$B$6:$D$580, 3, FALSE)</f>
        <v>0.74216435900800004</v>
      </c>
    </row>
    <row r="393" spans="2:8">
      <c r="B393" s="6" t="str">
        <f>VLOOKUP(C393, [1]Definition!$D$5:$K$5665, 8, FALSE)</f>
        <v>Capital Goods</v>
      </c>
      <c r="C393" s="7">
        <v>848010</v>
      </c>
      <c r="D393" s="8" t="s">
        <v>723</v>
      </c>
      <c r="E393" s="9" t="s">
        <v>82</v>
      </c>
      <c r="F393" s="17" t="str">
        <f>_xlfn.IFNA(VLOOKUP(C393, '[2]Unique HS'!$B$4:$J$999, 9, FALSE), "No")</f>
        <v>No</v>
      </c>
      <c r="G393" s="18">
        <f>VLOOKUP(C393, '[1]India EXIM'!$B$6:$C$580, 2, FALSE)</f>
        <v>1.4120798823E-2</v>
      </c>
      <c r="H393" s="11">
        <f>VLOOKUP(C393, '[1]China EXIM'!$B$6:$D$580, 3, FALSE)</f>
        <v>0.14399084233000001</v>
      </c>
    </row>
    <row r="394" spans="2:8" ht="27.95">
      <c r="B394" s="6" t="str">
        <f>VLOOKUP(C394, [1]Definition!$D$5:$K$5665, 8, FALSE)</f>
        <v>Capital Goods</v>
      </c>
      <c r="C394" s="7">
        <v>820840</v>
      </c>
      <c r="D394" s="8" t="s">
        <v>976</v>
      </c>
      <c r="E394" s="9" t="s">
        <v>65</v>
      </c>
      <c r="F394" s="17" t="str">
        <f>_xlfn.IFNA(VLOOKUP(C394, '[2]Unique HS'!$B$4:$J$999, 9, FALSE), "No")</f>
        <v>No</v>
      </c>
      <c r="G394" s="18">
        <f>VLOOKUP(C394, '[1]India EXIM'!$B$6:$C$580, 2, FALSE)</f>
        <v>2.9674902930000003E-3</v>
      </c>
      <c r="H394" s="11">
        <f>VLOOKUP(C394, '[1]China EXIM'!$B$6:$D$580, 3, FALSE)</f>
        <v>0.63863003637299998</v>
      </c>
    </row>
    <row r="395" spans="2:8" ht="27.95">
      <c r="B395" s="6" t="str">
        <f>VLOOKUP(C395, [1]Definition!$D$5:$K$5665, 8, FALSE)</f>
        <v>Capital Goods</v>
      </c>
      <c r="C395" s="7">
        <v>841382</v>
      </c>
      <c r="D395" s="8" t="s">
        <v>1040</v>
      </c>
      <c r="E395" s="9" t="s">
        <v>22</v>
      </c>
      <c r="F395" s="17" t="str">
        <f>_xlfn.IFNA(VLOOKUP(C395, '[2]Unique HS'!$B$4:$J$999, 9, FALSE), "No")</f>
        <v>Yes</v>
      </c>
      <c r="G395" s="18">
        <f>VLOOKUP(C395, '[1]India EXIM'!$B$6:$C$580, 2, FALSE)</f>
        <v>1.232805015E-3</v>
      </c>
      <c r="H395" s="11">
        <f>VLOOKUP(C395, '[1]China EXIM'!$B$6:$D$580, 3, FALSE)</f>
        <v>0.13941234777600001</v>
      </c>
    </row>
    <row r="396" spans="2:8" ht="56.1">
      <c r="B396" s="6" t="str">
        <f>VLOOKUP(C396, [1]Definition!$D$5:$K$5665, 8, FALSE)</f>
        <v>Capital Goods</v>
      </c>
      <c r="C396" s="7">
        <v>903031</v>
      </c>
      <c r="D396" s="8" t="s">
        <v>572</v>
      </c>
      <c r="E396" s="9" t="s">
        <v>22</v>
      </c>
      <c r="F396" s="17" t="str">
        <f>_xlfn.IFNA(VLOOKUP(C396, '[2]Unique HS'!$B$4:$J$999, 9, FALSE), "No")</f>
        <v>Yes</v>
      </c>
      <c r="G396" s="18">
        <f>VLOOKUP(C396, '[1]India EXIM'!$B$6:$C$580, 2, FALSE)</f>
        <v>2.3806969264E-2</v>
      </c>
      <c r="H396" s="11">
        <f>VLOOKUP(C396, '[1]China EXIM'!$B$6:$D$580, 3, FALSE)</f>
        <v>0.91721026553499996</v>
      </c>
    </row>
    <row r="397" spans="2:8" ht="27.95">
      <c r="B397" s="6" t="str">
        <f>VLOOKUP(C397, [1]Definition!$D$5:$K$5665, 8, FALSE)</f>
        <v>Capital Goods</v>
      </c>
      <c r="C397" s="7">
        <v>902511</v>
      </c>
      <c r="D397" s="8" t="s">
        <v>961</v>
      </c>
      <c r="E397" s="9" t="s">
        <v>22</v>
      </c>
      <c r="F397" s="17" t="str">
        <f>_xlfn.IFNA(VLOOKUP(C397, '[2]Unique HS'!$B$4:$J$999, 9, FALSE), "No")</f>
        <v>Yes</v>
      </c>
      <c r="G397" s="18">
        <f>VLOOKUP(C397, '[1]India EXIM'!$B$6:$C$580, 2, FALSE)</f>
        <v>3.5479142190000001E-3</v>
      </c>
      <c r="H397" s="11">
        <f>VLOOKUP(C397, '[1]China EXIM'!$B$6:$D$580, 3, FALSE)</f>
        <v>0.13176210341399999</v>
      </c>
    </row>
    <row r="398" spans="2:8" ht="27.95">
      <c r="B398" s="6" t="str">
        <f>VLOOKUP(C398, [1]Definition!$D$5:$K$5665, 8, FALSE)</f>
        <v>Capital Goods</v>
      </c>
      <c r="C398" s="7">
        <v>843830</v>
      </c>
      <c r="D398" s="8" t="s">
        <v>989</v>
      </c>
      <c r="E398" s="9" t="s">
        <v>61</v>
      </c>
      <c r="F398" s="17" t="str">
        <f>_xlfn.IFNA(VLOOKUP(C398, '[2]Unique HS'!$B$4:$J$999, 9, FALSE), "No")</f>
        <v>No</v>
      </c>
      <c r="G398" s="18">
        <f>VLOOKUP(C398, '[1]India EXIM'!$B$6:$C$580, 2, FALSE)</f>
        <v>2.4267727209999999E-3</v>
      </c>
      <c r="H398" s="11">
        <f>VLOOKUP(C398, '[1]China EXIM'!$B$6:$D$580, 3, FALSE)</f>
        <v>0.131279999343</v>
      </c>
    </row>
    <row r="399" spans="2:8" ht="27.95">
      <c r="B399" s="6" t="str">
        <f>VLOOKUP(C399, [1]Definition!$D$5:$K$5665, 8, FALSE)</f>
        <v>Capital Goods</v>
      </c>
      <c r="C399" s="7">
        <v>903032</v>
      </c>
      <c r="D399" s="8" t="s">
        <v>879</v>
      </c>
      <c r="E399" s="9" t="s">
        <v>22</v>
      </c>
      <c r="F399" s="17" t="str">
        <f>_xlfn.IFNA(VLOOKUP(C399, '[2]Unique HS'!$B$4:$J$999, 9, FALSE), "No")</f>
        <v>Yes</v>
      </c>
      <c r="G399" s="18">
        <f>VLOOKUP(C399, '[1]India EXIM'!$B$6:$C$580, 2, FALSE)</f>
        <v>7.5312118709999999E-3</v>
      </c>
      <c r="H399" s="11">
        <f>VLOOKUP(C399, '[1]China EXIM'!$B$6:$D$580, 3, FALSE)</f>
        <v>0.606064966318</v>
      </c>
    </row>
    <row r="400" spans="2:8" ht="27.95">
      <c r="B400" s="6" t="str">
        <f>VLOOKUP(C400, [1]Definition!$D$5:$K$5665, 8, FALSE)</f>
        <v>Capital Goods</v>
      </c>
      <c r="C400" s="7">
        <v>840220</v>
      </c>
      <c r="D400" s="8" t="s">
        <v>973</v>
      </c>
      <c r="E400" s="9" t="s">
        <v>22</v>
      </c>
      <c r="F400" s="17" t="str">
        <f>_xlfn.IFNA(VLOOKUP(C400, '[2]Unique HS'!$B$4:$J$999, 9, FALSE), "No")</f>
        <v>No</v>
      </c>
      <c r="G400" s="18">
        <f>VLOOKUP(C400, '[1]India EXIM'!$B$6:$C$580, 2, FALSE)</f>
        <v>3.1633205589999998E-3</v>
      </c>
      <c r="H400" s="11">
        <f>VLOOKUP(C400, '[1]China EXIM'!$B$6:$D$580, 3, FALSE)</f>
        <v>0.120342515947</v>
      </c>
    </row>
    <row r="401" spans="2:8" ht="27.95">
      <c r="B401" s="6" t="str">
        <f>VLOOKUP(C401, [1]Definition!$D$5:$K$5665, 8, FALSE)</f>
        <v>Capital Goods</v>
      </c>
      <c r="C401" s="7">
        <v>845620</v>
      </c>
      <c r="D401" s="8" t="s">
        <v>986</v>
      </c>
      <c r="E401" s="9" t="s">
        <v>65</v>
      </c>
      <c r="F401" s="17" t="str">
        <f>_xlfn.IFNA(VLOOKUP(C401, '[2]Unique HS'!$B$4:$J$999, 9, FALSE), "No")</f>
        <v>No</v>
      </c>
      <c r="G401" s="18">
        <f>VLOOKUP(C401, '[1]India EXIM'!$B$6:$C$580, 2, FALSE)</f>
        <v>2.5361403369999996E-3</v>
      </c>
      <c r="H401" s="11">
        <f>VLOOKUP(C401, '[1]China EXIM'!$B$6:$D$580, 3, FALSE)</f>
        <v>8.2337257578000006E-2</v>
      </c>
    </row>
    <row r="402" spans="2:8" ht="27.95">
      <c r="B402" s="6" t="str">
        <f>VLOOKUP(C402, [1]Definition!$D$5:$K$5665, 8, FALSE)</f>
        <v>Capital Goods</v>
      </c>
      <c r="C402" s="7">
        <v>851511</v>
      </c>
      <c r="D402" s="8" t="s">
        <v>988</v>
      </c>
      <c r="E402" s="9" t="s">
        <v>65</v>
      </c>
      <c r="F402" s="17" t="str">
        <f>_xlfn.IFNA(VLOOKUP(C402, '[2]Unique HS'!$B$4:$J$999, 9, FALSE), "No")</f>
        <v>Yes</v>
      </c>
      <c r="G402" s="18">
        <f>VLOOKUP(C402, '[1]India EXIM'!$B$6:$C$580, 2, FALSE)</f>
        <v>2.5070605610000001E-3</v>
      </c>
      <c r="H402" s="11">
        <f>VLOOKUP(C402, '[1]China EXIM'!$B$6:$D$580, 3, FALSE)</f>
        <v>0.29740653620499996</v>
      </c>
    </row>
    <row r="403" spans="2:8">
      <c r="B403" s="6" t="str">
        <f>VLOOKUP(C403, [1]Definition!$D$5:$K$5665, 8, FALSE)</f>
        <v>Capital Goods</v>
      </c>
      <c r="C403" s="7">
        <v>820310</v>
      </c>
      <c r="D403" s="8" t="s">
        <v>1000</v>
      </c>
      <c r="E403" s="9" t="s">
        <v>65</v>
      </c>
      <c r="F403" s="17" t="str">
        <f>_xlfn.IFNA(VLOOKUP(C403, '[2]Unique HS'!$B$4:$J$999, 9, FALSE), "No")</f>
        <v>Yes</v>
      </c>
      <c r="G403" s="18">
        <f>VLOOKUP(C403, '[1]India EXIM'!$B$6:$C$580, 2, FALSE)</f>
        <v>2.2157337110000003E-3</v>
      </c>
      <c r="H403" s="11">
        <f>VLOOKUP(C403, '[1]China EXIM'!$B$6:$D$580, 3, FALSE)</f>
        <v>0.31033747891500002</v>
      </c>
    </row>
    <row r="404" spans="2:8" ht="42">
      <c r="B404" s="6" t="str">
        <f>VLOOKUP(C404, [1]Definition!$D$5:$K$5665, 8, FALSE)</f>
        <v>Capital Goods</v>
      </c>
      <c r="C404" s="7">
        <v>846225</v>
      </c>
      <c r="D404" s="8" t="s">
        <v>1006</v>
      </c>
      <c r="E404" s="9" t="s">
        <v>65</v>
      </c>
      <c r="F404" s="17" t="str">
        <f>_xlfn.IFNA(VLOOKUP(C404, '[2]Unique HS'!$B$4:$J$999, 9, FALSE), "No")</f>
        <v>No</v>
      </c>
      <c r="G404" s="18">
        <f>VLOOKUP(C404, '[1]India EXIM'!$B$6:$C$580, 2, FALSE)</f>
        <v>2.0115704139999999E-3</v>
      </c>
      <c r="H404" s="11">
        <f>VLOOKUP(C404, '[1]China EXIM'!$B$6:$D$580, 3, FALSE)</f>
        <v>8.5691921983000005E-2</v>
      </c>
    </row>
    <row r="405" spans="2:8" ht="27.95">
      <c r="B405" s="6" t="str">
        <f>VLOOKUP(C405, [1]Definition!$D$5:$K$5665, 8, FALSE)</f>
        <v>Capital Goods</v>
      </c>
      <c r="C405" s="7">
        <v>845380</v>
      </c>
      <c r="D405" s="8" t="s">
        <v>851</v>
      </c>
      <c r="E405" s="9" t="s">
        <v>55</v>
      </c>
      <c r="F405" s="17" t="str">
        <f>_xlfn.IFNA(VLOOKUP(C405, '[2]Unique HS'!$B$4:$J$999, 9, FALSE), "No")</f>
        <v>No</v>
      </c>
      <c r="G405" s="18">
        <f>VLOOKUP(C405, '[1]India EXIM'!$B$6:$C$580, 2, FALSE)</f>
        <v>8.2228574660000008E-3</v>
      </c>
      <c r="H405" s="11">
        <f>VLOOKUP(C405, '[1]China EXIM'!$B$6:$D$580, 3, FALSE)</f>
        <v>9.9836082310000004E-2</v>
      </c>
    </row>
    <row r="406" spans="2:8" ht="27.95">
      <c r="B406" s="6" t="str">
        <f>VLOOKUP(C406, [1]Definition!$D$5:$K$5665, 8, FALSE)</f>
        <v>Capital Goods</v>
      </c>
      <c r="C406" s="7">
        <v>846810</v>
      </c>
      <c r="D406" s="8" t="s">
        <v>1009</v>
      </c>
      <c r="E406" s="9" t="s">
        <v>65</v>
      </c>
      <c r="F406" s="17" t="str">
        <f>_xlfn.IFNA(VLOOKUP(C406, '[2]Unique HS'!$B$4:$J$999, 9, FALSE), "No")</f>
        <v>No</v>
      </c>
      <c r="G406" s="18">
        <f>VLOOKUP(C406, '[1]India EXIM'!$B$6:$C$580, 2, FALSE)</f>
        <v>1.9794627009999998E-3</v>
      </c>
      <c r="H406" s="11">
        <f>VLOOKUP(C406, '[1]China EXIM'!$B$6:$D$580, 3, FALSE)</f>
        <v>0.19493323899000001</v>
      </c>
    </row>
    <row r="407" spans="2:8">
      <c r="B407" s="6" t="str">
        <f>VLOOKUP(C407, [1]Definition!$D$5:$K$5665, 8, FALSE)</f>
        <v>Capital Goods</v>
      </c>
      <c r="C407" s="7">
        <v>820510</v>
      </c>
      <c r="D407" s="8" t="s">
        <v>1013</v>
      </c>
      <c r="E407" s="9" t="s">
        <v>65</v>
      </c>
      <c r="F407" s="17" t="str">
        <f>_xlfn.IFNA(VLOOKUP(C407, '[2]Unique HS'!$B$4:$J$999, 9, FALSE), "No")</f>
        <v>Yes</v>
      </c>
      <c r="G407" s="18">
        <f>VLOOKUP(C407, '[1]India EXIM'!$B$6:$C$580, 2, FALSE)</f>
        <v>1.9382935209999999E-3</v>
      </c>
      <c r="H407" s="11">
        <f>VLOOKUP(C407, '[1]China EXIM'!$B$6:$D$580, 3, FALSE)</f>
        <v>0.208936921345</v>
      </c>
    </row>
    <row r="408" spans="2:8" ht="27.95">
      <c r="B408" s="6" t="str">
        <f>VLOOKUP(C408, [1]Definition!$D$5:$K$5665, 8, FALSE)</f>
        <v>Capital Goods</v>
      </c>
      <c r="C408" s="7">
        <v>851411</v>
      </c>
      <c r="D408" s="8" t="s">
        <v>966</v>
      </c>
      <c r="E408" s="9" t="s">
        <v>82</v>
      </c>
      <c r="F408" s="17" t="str">
        <f>_xlfn.IFNA(VLOOKUP(C408, '[2]Unique HS'!$B$4:$J$999, 9, FALSE), "No")</f>
        <v>No</v>
      </c>
      <c r="G408" s="18">
        <f>VLOOKUP(C408, '[1]India EXIM'!$B$6:$C$580, 2, FALSE)</f>
        <v>3.1763435610000002E-3</v>
      </c>
      <c r="H408" s="11">
        <f>VLOOKUP(C408, '[1]China EXIM'!$B$6:$D$580, 3, FALSE)</f>
        <v>9.3482277823999996E-2</v>
      </c>
    </row>
    <row r="409" spans="2:8" ht="27.95">
      <c r="B409" s="6" t="str">
        <f>VLOOKUP(C409, [1]Definition!$D$5:$K$5665, 8, FALSE)</f>
        <v>Capital Goods</v>
      </c>
      <c r="C409" s="7">
        <v>844621</v>
      </c>
      <c r="D409" s="8" t="s">
        <v>992</v>
      </c>
      <c r="E409" s="9" t="s">
        <v>55</v>
      </c>
      <c r="F409" s="17" t="str">
        <f>_xlfn.IFNA(VLOOKUP(C409, '[2]Unique HS'!$B$4:$J$999, 9, FALSE), "No")</f>
        <v>No</v>
      </c>
      <c r="G409" s="18">
        <f>VLOOKUP(C409, '[1]India EXIM'!$B$6:$C$580, 2, FALSE)</f>
        <v>2.3842027499999998E-3</v>
      </c>
      <c r="H409" s="11">
        <f>VLOOKUP(C409, '[1]China EXIM'!$B$6:$D$580, 3, FALSE)</f>
        <v>8.9094064187999991E-2</v>
      </c>
    </row>
    <row r="410" spans="2:8" ht="27.95">
      <c r="B410" s="6" t="str">
        <f>VLOOKUP(C410, [1]Definition!$D$5:$K$5665, 8, FALSE)</f>
        <v>Capital Goods</v>
      </c>
      <c r="C410" s="7">
        <v>844610</v>
      </c>
      <c r="D410" s="8" t="s">
        <v>866</v>
      </c>
      <c r="E410" s="9" t="s">
        <v>55</v>
      </c>
      <c r="F410" s="17" t="str">
        <f>_xlfn.IFNA(VLOOKUP(C410, '[2]Unique HS'!$B$4:$J$999, 9, FALSE), "No")</f>
        <v>No</v>
      </c>
      <c r="G410" s="18">
        <f>VLOOKUP(C410, '[1]India EXIM'!$B$6:$C$580, 2, FALSE)</f>
        <v>7.6721218969999999E-3</v>
      </c>
      <c r="H410" s="11">
        <f>VLOOKUP(C410, '[1]China EXIM'!$B$6:$D$580, 3, FALSE)</f>
        <v>8.8625011005999996E-2</v>
      </c>
    </row>
    <row r="411" spans="2:8" ht="27.95">
      <c r="B411" s="6" t="str">
        <f>VLOOKUP(C411, [1]Definition!$D$5:$K$5665, 8, FALSE)</f>
        <v>Capital Goods</v>
      </c>
      <c r="C411" s="7">
        <v>847521</v>
      </c>
      <c r="D411" s="8" t="s">
        <v>550</v>
      </c>
      <c r="E411" s="9" t="s">
        <v>22</v>
      </c>
      <c r="F411" s="17" t="str">
        <f>_xlfn.IFNA(VLOOKUP(C411, '[2]Unique HS'!$B$4:$J$999, 9, FALSE), "No")</f>
        <v>No</v>
      </c>
      <c r="G411" s="18">
        <f>VLOOKUP(C411, '[1]India EXIM'!$B$6:$C$580, 2, FALSE)</f>
        <v>2.6140251361999999E-2</v>
      </c>
      <c r="H411" s="11">
        <f>VLOOKUP(C411, '[1]China EXIM'!$B$6:$D$580, 3, FALSE)</f>
        <v>8.8111445949E-2</v>
      </c>
    </row>
    <row r="412" spans="2:8">
      <c r="B412" s="6" t="str">
        <f>VLOOKUP(C412, [1]Definition!$D$5:$K$5665, 8, FALSE)</f>
        <v>Capital Goods</v>
      </c>
      <c r="C412" s="7">
        <v>845410</v>
      </c>
      <c r="D412" s="8" t="s">
        <v>715</v>
      </c>
      <c r="E412" s="9" t="s">
        <v>82</v>
      </c>
      <c r="F412" s="17" t="str">
        <f>_xlfn.IFNA(VLOOKUP(C412, '[2]Unique HS'!$B$4:$J$999, 9, FALSE), "No")</f>
        <v>No</v>
      </c>
      <c r="G412" s="18">
        <f>VLOOKUP(C412, '[1]India EXIM'!$B$6:$C$580, 2, FALSE)</f>
        <v>1.4883507964999999E-2</v>
      </c>
      <c r="H412" s="11">
        <f>VLOOKUP(C412, '[1]China EXIM'!$B$6:$D$580, 3, FALSE)</f>
        <v>8.6213125506999999E-2</v>
      </c>
    </row>
    <row r="413" spans="2:8" ht="42">
      <c r="B413" s="6" t="str">
        <f>VLOOKUP(C413, [1]Definition!$D$5:$K$5665, 8, FALSE)</f>
        <v>Capital Goods</v>
      </c>
      <c r="C413" s="7">
        <v>842831</v>
      </c>
      <c r="D413" s="8" t="s">
        <v>914</v>
      </c>
      <c r="E413" s="9" t="s">
        <v>58</v>
      </c>
      <c r="F413" s="17" t="str">
        <f>_xlfn.IFNA(VLOOKUP(C413, '[2]Unique HS'!$B$4:$J$999, 9, FALSE), "No")</f>
        <v>No</v>
      </c>
      <c r="G413" s="18">
        <f>VLOOKUP(C413, '[1]India EXIM'!$B$6:$C$580, 2, FALSE)</f>
        <v>5.3905385760000006E-3</v>
      </c>
      <c r="H413" s="11">
        <f>VLOOKUP(C413, '[1]China EXIM'!$B$6:$D$580, 3, FALSE)</f>
        <v>8.6136436755999995E-2</v>
      </c>
    </row>
    <row r="414" spans="2:8">
      <c r="B414" s="6" t="str">
        <f>VLOOKUP(C414, [1]Definition!$D$5:$K$5665, 8, FALSE)</f>
        <v>Capital Goods</v>
      </c>
      <c r="C414" s="7">
        <v>820210</v>
      </c>
      <c r="D414" s="8" t="s">
        <v>1015</v>
      </c>
      <c r="E414" s="9" t="s">
        <v>65</v>
      </c>
      <c r="F414" s="17" t="str">
        <f>_xlfn.IFNA(VLOOKUP(C414, '[2]Unique HS'!$B$4:$J$999, 9, FALSE), "No")</f>
        <v>Yes</v>
      </c>
      <c r="G414" s="18">
        <f>VLOOKUP(C414, '[1]India EXIM'!$B$6:$C$580, 2, FALSE)</f>
        <v>1.882845925E-3</v>
      </c>
      <c r="H414" s="11">
        <f>VLOOKUP(C414, '[1]China EXIM'!$B$6:$D$580, 3, FALSE)</f>
        <v>0.35258873735699997</v>
      </c>
    </row>
    <row r="415" spans="2:8" ht="27.95">
      <c r="B415" s="6" t="str">
        <f>VLOOKUP(C415, [1]Definition!$D$5:$K$5665, 8, FALSE)</f>
        <v>Capital Goods</v>
      </c>
      <c r="C415" s="7">
        <v>844512</v>
      </c>
      <c r="D415" s="8" t="s">
        <v>805</v>
      </c>
      <c r="E415" s="9" t="s">
        <v>55</v>
      </c>
      <c r="F415" s="17" t="str">
        <f>_xlfn.IFNA(VLOOKUP(C415, '[2]Unique HS'!$B$4:$J$999, 9, FALSE), "No")</f>
        <v>No</v>
      </c>
      <c r="G415" s="18">
        <f>VLOOKUP(C415, '[1]India EXIM'!$B$6:$C$580, 2, FALSE)</f>
        <v>1.0156202186000001E-2</v>
      </c>
      <c r="H415" s="11">
        <f>VLOOKUP(C415, '[1]China EXIM'!$B$6:$D$580, 3, FALSE)</f>
        <v>8.4837781619000005E-2</v>
      </c>
    </row>
    <row r="416" spans="2:8">
      <c r="B416" s="6" t="str">
        <f>VLOOKUP(C416, [1]Definition!$D$5:$K$5665, 8, FALSE)</f>
        <v>Capital Goods</v>
      </c>
      <c r="C416" s="7">
        <v>820520</v>
      </c>
      <c r="D416" s="8" t="s">
        <v>1016</v>
      </c>
      <c r="E416" s="9" t="s">
        <v>65</v>
      </c>
      <c r="F416" s="17" t="str">
        <f>_xlfn.IFNA(VLOOKUP(C416, '[2]Unique HS'!$B$4:$J$999, 9, FALSE), "No")</f>
        <v>Yes</v>
      </c>
      <c r="G416" s="18">
        <f>VLOOKUP(C416, '[1]India EXIM'!$B$6:$C$580, 2, FALSE)</f>
        <v>1.862382566E-3</v>
      </c>
      <c r="H416" s="11">
        <f>VLOOKUP(C416, '[1]China EXIM'!$B$6:$D$580, 3, FALSE)</f>
        <v>0.51860673902100007</v>
      </c>
    </row>
    <row r="417" spans="2:8" ht="27.95">
      <c r="B417" s="6" t="str">
        <f>VLOOKUP(C417, [1]Definition!$D$5:$K$5665, 8, FALSE)</f>
        <v>Capital Goods</v>
      </c>
      <c r="C417" s="7">
        <v>840120</v>
      </c>
      <c r="D417" s="8" t="s">
        <v>1131</v>
      </c>
      <c r="E417" s="9" t="s">
        <v>22</v>
      </c>
      <c r="F417" s="17" t="str">
        <f>_xlfn.IFNA(VLOOKUP(C417, '[2]Unique HS'!$B$4:$J$999, 9, FALSE), "No")</f>
        <v>No</v>
      </c>
      <c r="G417" s="18">
        <f>VLOOKUP(C417, '[1]India EXIM'!$B$6:$C$580, 2, FALSE)</f>
        <v>2.9796600000000001E-7</v>
      </c>
      <c r="H417" s="11">
        <f>VLOOKUP(C417, '[1]China EXIM'!$B$6:$D$580, 3, FALSE)</f>
        <v>7.8387131832999987E-2</v>
      </c>
    </row>
    <row r="418" spans="2:8" ht="42">
      <c r="B418" s="6" t="str">
        <f>VLOOKUP(C418, [1]Definition!$D$5:$K$5665, 8, FALSE)</f>
        <v>Capital Goods</v>
      </c>
      <c r="C418" s="7">
        <v>845910</v>
      </c>
      <c r="D418" s="8" t="s">
        <v>1020</v>
      </c>
      <c r="E418" s="9" t="s">
        <v>65</v>
      </c>
      <c r="F418" s="17" t="str">
        <f>_xlfn.IFNA(VLOOKUP(C418, '[2]Unique HS'!$B$4:$J$999, 9, FALSE), "No")</f>
        <v>No</v>
      </c>
      <c r="G418" s="18">
        <f>VLOOKUP(C418, '[1]India EXIM'!$B$6:$C$580, 2, FALSE)</f>
        <v>1.8202856950000001E-3</v>
      </c>
      <c r="H418" s="11">
        <f>VLOOKUP(C418, '[1]China EXIM'!$B$6:$D$580, 3, FALSE)</f>
        <v>4.8341103938E-2</v>
      </c>
    </row>
    <row r="419" spans="2:8" ht="27.95">
      <c r="B419" s="6" t="str">
        <f>VLOOKUP(C419, [1]Definition!$D$5:$K$5665, 8, FALSE)</f>
        <v>Capital Goods</v>
      </c>
      <c r="C419" s="7">
        <v>844314</v>
      </c>
      <c r="D419" s="8" t="s">
        <v>985</v>
      </c>
      <c r="E419" s="9" t="s">
        <v>180</v>
      </c>
      <c r="F419" s="17" t="str">
        <f>_xlfn.IFNA(VLOOKUP(C419, '[2]Unique HS'!$B$4:$J$999, 9, FALSE), "No")</f>
        <v>No</v>
      </c>
      <c r="G419" s="18">
        <f>VLOOKUP(C419, '[1]India EXIM'!$B$6:$C$580, 2, FALSE)</f>
        <v>2.7522083489999998E-3</v>
      </c>
      <c r="H419" s="11">
        <f>VLOOKUP(C419, '[1]China EXIM'!$B$6:$D$580, 3, FALSE)</f>
        <v>6.9663280073000003E-2</v>
      </c>
    </row>
    <row r="420" spans="2:8">
      <c r="B420" s="6" t="str">
        <f>VLOOKUP(C420, [1]Definition!$D$5:$K$5665, 8, FALSE)</f>
        <v>Capital Goods</v>
      </c>
      <c r="C420" s="13">
        <v>820291</v>
      </c>
      <c r="D420" s="14" t="s">
        <v>1022</v>
      </c>
      <c r="E420" s="9" t="s">
        <v>65</v>
      </c>
      <c r="F420" s="17" t="str">
        <f>_xlfn.IFNA(VLOOKUP(C420, '[2]Unique HS'!$B$4:$J$999, 9, FALSE), "No")</f>
        <v>No</v>
      </c>
      <c r="G420" s="18">
        <f>VLOOKUP(C420, '[1]India EXIM'!$B$6:$C$580, 2, FALSE)</f>
        <v>1.7341076080000001E-3</v>
      </c>
      <c r="H420" s="11">
        <f>VLOOKUP(C420, '[1]China EXIM'!$B$6:$D$580, 3, FALSE)</f>
        <v>0.19740255071200002</v>
      </c>
    </row>
    <row r="421" spans="2:8">
      <c r="B421" s="6" t="str">
        <f>VLOOKUP(C421, [1]Definition!$D$5:$K$5665, 8, FALSE)</f>
        <v>Capital Goods</v>
      </c>
      <c r="C421" s="7">
        <v>847983</v>
      </c>
      <c r="D421" s="8" t="s">
        <v>1063</v>
      </c>
      <c r="E421" s="9" t="s">
        <v>82</v>
      </c>
      <c r="F421" s="17" t="str">
        <f>_xlfn.IFNA(VLOOKUP(C421, '[2]Unique HS'!$B$4:$J$999, 9, FALSE), "No")</f>
        <v>No</v>
      </c>
      <c r="G421" s="18">
        <f>VLOOKUP(C421, '[1]India EXIM'!$B$6:$C$580, 2, FALSE)</f>
        <v>7.1420767000000005E-4</v>
      </c>
      <c r="H421" s="11">
        <f>VLOOKUP(C421, '[1]China EXIM'!$B$6:$D$580, 3, FALSE)</f>
        <v>6.5195440292000001E-2</v>
      </c>
    </row>
    <row r="422" spans="2:8" ht="27.95">
      <c r="B422" s="6" t="str">
        <f>VLOOKUP(C422, [1]Definition!$D$5:$K$5665, 8, FALSE)</f>
        <v>Capital Goods</v>
      </c>
      <c r="C422" s="7">
        <v>820530</v>
      </c>
      <c r="D422" s="8" t="s">
        <v>1023</v>
      </c>
      <c r="E422" s="9" t="s">
        <v>65</v>
      </c>
      <c r="F422" s="17" t="str">
        <f>_xlfn.IFNA(VLOOKUP(C422, '[2]Unique HS'!$B$4:$J$999, 9, FALSE), "No")</f>
        <v>No</v>
      </c>
      <c r="G422" s="18">
        <f>VLOOKUP(C422, '[1]India EXIM'!$B$6:$C$580, 2, FALSE)</f>
        <v>1.733496039E-3</v>
      </c>
      <c r="H422" s="11">
        <f>VLOOKUP(C422, '[1]China EXIM'!$B$6:$D$580, 3, FALSE)</f>
        <v>0.18135374604400001</v>
      </c>
    </row>
    <row r="423" spans="2:8" ht="27.95">
      <c r="B423" s="6" t="str">
        <f>VLOOKUP(C423, [1]Definition!$D$5:$K$5665, 8, FALSE)</f>
        <v>Capital Goods</v>
      </c>
      <c r="C423" s="7">
        <v>820160</v>
      </c>
      <c r="D423" s="8" t="s">
        <v>1026</v>
      </c>
      <c r="E423" s="9" t="s">
        <v>65</v>
      </c>
      <c r="F423" s="17" t="str">
        <f>_xlfn.IFNA(VLOOKUP(C423, '[2]Unique HS'!$B$4:$J$999, 9, FALSE), "No")</f>
        <v>No</v>
      </c>
      <c r="G423" s="18">
        <f>VLOOKUP(C423, '[1]India EXIM'!$B$6:$C$580, 2, FALSE)</f>
        <v>1.653390934E-3</v>
      </c>
      <c r="H423" s="11">
        <f>VLOOKUP(C423, '[1]China EXIM'!$B$6:$D$580, 3, FALSE)</f>
        <v>0.203385461584</v>
      </c>
    </row>
    <row r="424" spans="2:8">
      <c r="B424" s="6" t="str">
        <f>VLOOKUP(C424, [1]Definition!$D$5:$K$5665, 8, FALSE)</f>
        <v>Capital Goods</v>
      </c>
      <c r="C424" s="7">
        <v>842112</v>
      </c>
      <c r="D424" s="8" t="s">
        <v>1108</v>
      </c>
      <c r="E424" s="9" t="s">
        <v>55</v>
      </c>
      <c r="F424" s="17" t="str">
        <f>_xlfn.IFNA(VLOOKUP(C424, '[2]Unique HS'!$B$4:$J$999, 9, FALSE), "No")</f>
        <v>Yes</v>
      </c>
      <c r="G424" s="18">
        <f>VLOOKUP(C424, '[1]India EXIM'!$B$6:$C$580, 2, FALSE)</f>
        <v>1.35634878E-4</v>
      </c>
      <c r="H424" s="11">
        <f>VLOOKUP(C424, '[1]China EXIM'!$B$6:$D$580, 3, FALSE)</f>
        <v>5.7354655440999998E-2</v>
      </c>
    </row>
    <row r="425" spans="2:8" ht="27.95">
      <c r="B425" s="6" t="str">
        <f>VLOOKUP(C425, [1]Definition!$D$5:$K$5665, 8, FALSE)</f>
        <v>Capital Goods</v>
      </c>
      <c r="C425" s="7">
        <v>820150</v>
      </c>
      <c r="D425" s="8" t="s">
        <v>1028</v>
      </c>
      <c r="E425" s="9" t="s">
        <v>65</v>
      </c>
      <c r="F425" s="17" t="str">
        <f>_xlfn.IFNA(VLOOKUP(C425, '[2]Unique HS'!$B$4:$J$999, 9, FALSE), "No")</f>
        <v>No</v>
      </c>
      <c r="G425" s="18">
        <f>VLOOKUP(C425, '[1]India EXIM'!$B$6:$C$580, 2, FALSE)</f>
        <v>1.6390526610000002E-3</v>
      </c>
      <c r="H425" s="11">
        <f>VLOOKUP(C425, '[1]China EXIM'!$B$6:$D$580, 3, FALSE)</f>
        <v>0.34182840103600004</v>
      </c>
    </row>
    <row r="426" spans="2:8" ht="27.95">
      <c r="B426" s="6" t="str">
        <f>VLOOKUP(C426, [1]Definition!$D$5:$K$5665, 8, FALSE)</f>
        <v>Capital Goods</v>
      </c>
      <c r="C426" s="7">
        <v>842111</v>
      </c>
      <c r="D426" s="8" t="s">
        <v>870</v>
      </c>
      <c r="E426" s="9" t="s">
        <v>61</v>
      </c>
      <c r="F426" s="17" t="str">
        <f>_xlfn.IFNA(VLOOKUP(C426, '[2]Unique HS'!$B$4:$J$999, 9, FALSE), "No")</f>
        <v>Yes</v>
      </c>
      <c r="G426" s="18">
        <f>VLOOKUP(C426, '[1]India EXIM'!$B$6:$C$580, 2, FALSE)</f>
        <v>7.5978792000000002E-3</v>
      </c>
      <c r="H426" s="11">
        <f>VLOOKUP(C426, '[1]China EXIM'!$B$6:$D$580, 3, FALSE)</f>
        <v>5.3507848977999997E-2</v>
      </c>
    </row>
    <row r="427" spans="2:8">
      <c r="B427" s="6" t="str">
        <f>VLOOKUP(C427, [1]Definition!$D$5:$K$5665, 8, FALSE)</f>
        <v>Capital Goods</v>
      </c>
      <c r="C427" s="7">
        <v>845110</v>
      </c>
      <c r="D427" s="8" t="s">
        <v>993</v>
      </c>
      <c r="E427" s="9" t="s">
        <v>55</v>
      </c>
      <c r="F427" s="17" t="str">
        <f>_xlfn.IFNA(VLOOKUP(C427, '[2]Unique HS'!$B$4:$J$999, 9, FALSE), "No")</f>
        <v>No</v>
      </c>
      <c r="G427" s="18">
        <f>VLOOKUP(C427, '[1]India EXIM'!$B$6:$C$580, 2, FALSE)</f>
        <v>2.3807487680000002E-3</v>
      </c>
      <c r="H427" s="11">
        <f>VLOOKUP(C427, '[1]China EXIM'!$B$6:$D$580, 3, FALSE)</f>
        <v>5.2732955996000003E-2</v>
      </c>
    </row>
    <row r="428" spans="2:8">
      <c r="B428" s="6" t="str">
        <f>VLOOKUP(C428, [1]Definition!$D$5:$K$5665, 8, FALSE)</f>
        <v>Capital Goods</v>
      </c>
      <c r="C428" s="7">
        <v>820330</v>
      </c>
      <c r="D428" s="8" t="s">
        <v>1039</v>
      </c>
      <c r="E428" s="9" t="s">
        <v>65</v>
      </c>
      <c r="F428" s="17" t="str">
        <f>_xlfn.IFNA(VLOOKUP(C428, '[2]Unique HS'!$B$4:$J$999, 9, FALSE), "No")</f>
        <v>Yes</v>
      </c>
      <c r="G428" s="18">
        <f>VLOOKUP(C428, '[1]India EXIM'!$B$6:$C$580, 2, FALSE)</f>
        <v>1.268057743E-3</v>
      </c>
      <c r="H428" s="11">
        <f>VLOOKUP(C428, '[1]China EXIM'!$B$6:$D$580, 3, FALSE)</f>
        <v>0.18804970043399999</v>
      </c>
    </row>
    <row r="429" spans="2:8" ht="42">
      <c r="B429" s="6" t="str">
        <f>VLOOKUP(C429, [1]Definition!$D$5:$K$5665, 8, FALSE)</f>
        <v>Capital Goods</v>
      </c>
      <c r="C429" s="7">
        <v>847510</v>
      </c>
      <c r="D429" s="8" t="s">
        <v>1004</v>
      </c>
      <c r="E429" s="9" t="s">
        <v>46</v>
      </c>
      <c r="F429" s="17" t="str">
        <f>_xlfn.IFNA(VLOOKUP(C429, '[2]Unique HS'!$B$4:$J$999, 9, FALSE), "No")</f>
        <v>No</v>
      </c>
      <c r="G429" s="18">
        <f>VLOOKUP(C429, '[1]India EXIM'!$B$6:$C$580, 2, FALSE)</f>
        <v>2.0772048240000002E-3</v>
      </c>
      <c r="H429" s="11">
        <f>VLOOKUP(C429, '[1]China EXIM'!$B$6:$D$580, 3, FALSE)</f>
        <v>5.2568090975000002E-2</v>
      </c>
    </row>
    <row r="430" spans="2:8" ht="42">
      <c r="B430" s="6" t="str">
        <f>VLOOKUP(C430, [1]Definition!$D$5:$K$5665, 8, FALSE)</f>
        <v>Capital Goods</v>
      </c>
      <c r="C430" s="7">
        <v>851432</v>
      </c>
      <c r="D430" s="8" t="s">
        <v>1115</v>
      </c>
      <c r="E430" s="9" t="s">
        <v>82</v>
      </c>
      <c r="F430" s="17" t="str">
        <f>_xlfn.IFNA(VLOOKUP(C430, '[2]Unique HS'!$B$4:$J$999, 9, FALSE), "No")</f>
        <v>No</v>
      </c>
      <c r="G430" s="18">
        <f>VLOOKUP(C430, '[1]India EXIM'!$B$6:$C$580, 2, FALSE)</f>
        <v>6.7075490000000011E-5</v>
      </c>
      <c r="H430" s="11">
        <f>VLOOKUP(C430, '[1]China EXIM'!$B$6:$D$580, 3, FALSE)</f>
        <v>4.9590998007000002E-2</v>
      </c>
    </row>
    <row r="431" spans="2:8" ht="42">
      <c r="B431" s="6" t="str">
        <f>VLOOKUP(C431, [1]Definition!$D$5:$K$5665, 8, FALSE)</f>
        <v>Capital Goods</v>
      </c>
      <c r="C431" s="7">
        <v>821110</v>
      </c>
      <c r="D431" s="8" t="s">
        <v>1048</v>
      </c>
      <c r="E431" s="9" t="s">
        <v>65</v>
      </c>
      <c r="F431" s="17" t="str">
        <f>_xlfn.IFNA(VLOOKUP(C431, '[2]Unique HS'!$B$4:$J$999, 9, FALSE), "No")</f>
        <v>Yes</v>
      </c>
      <c r="G431" s="18">
        <f>VLOOKUP(C431, '[1]India EXIM'!$B$6:$C$580, 2, FALSE)</f>
        <v>1.001217315E-3</v>
      </c>
      <c r="H431" s="11">
        <f>VLOOKUP(C431, '[1]China EXIM'!$B$6:$D$580, 3, FALSE)</f>
        <v>0.62011874147399992</v>
      </c>
    </row>
    <row r="432" spans="2:8" ht="42">
      <c r="B432" s="6" t="str">
        <f>VLOOKUP(C432, [1]Definition!$D$5:$K$5665, 8, FALSE)</f>
        <v>Capital Goods</v>
      </c>
      <c r="C432" s="7">
        <v>851431</v>
      </c>
      <c r="D432" s="8" t="s">
        <v>1093</v>
      </c>
      <c r="E432" s="9" t="s">
        <v>82</v>
      </c>
      <c r="F432" s="17" t="str">
        <f>_xlfn.IFNA(VLOOKUP(C432, '[2]Unique HS'!$B$4:$J$999, 9, FALSE), "No")</f>
        <v>No</v>
      </c>
      <c r="G432" s="18">
        <f>VLOOKUP(C432, '[1]India EXIM'!$B$6:$C$580, 2, FALSE)</f>
        <v>3.08138288E-4</v>
      </c>
      <c r="H432" s="11">
        <f>VLOOKUP(C432, '[1]China EXIM'!$B$6:$D$580, 3, FALSE)</f>
        <v>4.7764497395000001E-2</v>
      </c>
    </row>
    <row r="433" spans="2:8" ht="27.95">
      <c r="B433" s="6" t="str">
        <f>VLOOKUP(C433, [1]Definition!$D$5:$K$5665, 8, FALSE)</f>
        <v>Capital Goods</v>
      </c>
      <c r="C433" s="7">
        <v>844629</v>
      </c>
      <c r="D433" s="8" t="s">
        <v>1076</v>
      </c>
      <c r="E433" s="9" t="s">
        <v>55</v>
      </c>
      <c r="F433" s="17" t="str">
        <f>_xlfn.IFNA(VLOOKUP(C433, '[2]Unique HS'!$B$4:$J$999, 9, FALSE), "No")</f>
        <v>No</v>
      </c>
      <c r="G433" s="18">
        <f>VLOOKUP(C433, '[1]India EXIM'!$B$6:$C$580, 2, FALSE)</f>
        <v>4.3982872799999998E-4</v>
      </c>
      <c r="H433" s="11">
        <f>VLOOKUP(C433, '[1]China EXIM'!$B$6:$D$580, 3, FALSE)</f>
        <v>4.0450776711999994E-2</v>
      </c>
    </row>
    <row r="434" spans="2:8" ht="27.95">
      <c r="B434" s="6" t="str">
        <f>VLOOKUP(C434, [1]Definition!$D$5:$K$5665, 8, FALSE)</f>
        <v>Capital Goods</v>
      </c>
      <c r="C434" s="7">
        <v>844315</v>
      </c>
      <c r="D434" s="8" t="s">
        <v>1034</v>
      </c>
      <c r="E434" s="9" t="s">
        <v>180</v>
      </c>
      <c r="F434" s="17" t="str">
        <f>_xlfn.IFNA(VLOOKUP(C434, '[2]Unique HS'!$B$4:$J$999, 9, FALSE), "No")</f>
        <v>No</v>
      </c>
      <c r="G434" s="18">
        <f>VLOOKUP(C434, '[1]India EXIM'!$B$6:$C$580, 2, FALSE)</f>
        <v>1.399163465E-3</v>
      </c>
      <c r="H434" s="11">
        <f>VLOOKUP(C434, '[1]China EXIM'!$B$6:$D$580, 3, FALSE)</f>
        <v>4.0080895928000002E-2</v>
      </c>
    </row>
    <row r="435" spans="2:8">
      <c r="B435" s="6" t="str">
        <f>VLOOKUP(C435, [1]Definition!$D$5:$K$5665, 8, FALSE)</f>
        <v>Capital Goods</v>
      </c>
      <c r="C435" s="7">
        <v>821195</v>
      </c>
      <c r="D435" s="8" t="s">
        <v>1050</v>
      </c>
      <c r="E435" s="9" t="s">
        <v>65</v>
      </c>
      <c r="F435" s="17" t="str">
        <f>_xlfn.IFNA(VLOOKUP(C435, '[2]Unique HS'!$B$4:$J$999, 9, FALSE), "No")</f>
        <v>No</v>
      </c>
      <c r="G435" s="18">
        <f>VLOOKUP(C435, '[1]India EXIM'!$B$6:$C$580, 2, FALSE)</f>
        <v>9.8645208999999993E-4</v>
      </c>
      <c r="H435" s="11">
        <f>VLOOKUP(C435, '[1]China EXIM'!$B$6:$D$580, 3, FALSE)</f>
        <v>2.097410584E-2</v>
      </c>
    </row>
    <row r="436" spans="2:8" ht="42">
      <c r="B436" s="6" t="str">
        <f>VLOOKUP(C436, [1]Definition!$D$5:$K$5665, 8, FALSE)</f>
        <v>Capital Goods</v>
      </c>
      <c r="C436" s="7">
        <v>845612</v>
      </c>
      <c r="D436" s="8" t="s">
        <v>1075</v>
      </c>
      <c r="E436" s="9" t="s">
        <v>65</v>
      </c>
      <c r="F436" s="17" t="str">
        <f>_xlfn.IFNA(VLOOKUP(C436, '[2]Unique HS'!$B$4:$J$999, 9, FALSE), "No")</f>
        <v>No</v>
      </c>
      <c r="G436" s="18">
        <f>VLOOKUP(C436, '[1]India EXIM'!$B$6:$C$580, 2, FALSE)</f>
        <v>4.4698665100000002E-4</v>
      </c>
      <c r="H436" s="11">
        <f>VLOOKUP(C436, '[1]China EXIM'!$B$6:$D$580, 3, FALSE)</f>
        <v>3.9558874250000001E-2</v>
      </c>
    </row>
    <row r="437" spans="2:8" ht="27.95">
      <c r="B437" s="6" t="str">
        <f>VLOOKUP(C437, [1]Definition!$D$5:$K$5665, 8, FALSE)</f>
        <v>Capital Goods</v>
      </c>
      <c r="C437" s="7">
        <v>870120</v>
      </c>
      <c r="D437" s="8" t="s">
        <v>1142</v>
      </c>
      <c r="E437" s="9" t="s">
        <v>58</v>
      </c>
      <c r="F437" s="17" t="str">
        <f>_xlfn.IFNA(VLOOKUP(C437, '[2]Unique HS'!$B$4:$J$999, 9, FALSE), "No")</f>
        <v>No</v>
      </c>
      <c r="G437" s="18">
        <f>VLOOKUP(C437, '[1]India EXIM'!$B$6:$C$580, 2, FALSE)</f>
        <v>0</v>
      </c>
      <c r="H437" s="11">
        <f>VLOOKUP(C437, '[1]China EXIM'!$B$6:$D$580, 3, FALSE)</f>
        <v>3.5834470433000011E-2</v>
      </c>
    </row>
    <row r="438" spans="2:8" ht="27.95">
      <c r="B438" s="6" t="str">
        <f>VLOOKUP(C438, [1]Definition!$D$5:$K$5665, 8, FALSE)</f>
        <v>Capital Goods</v>
      </c>
      <c r="C438" s="7">
        <v>847629</v>
      </c>
      <c r="D438" s="8" t="s">
        <v>1045</v>
      </c>
      <c r="E438" s="9" t="s">
        <v>61</v>
      </c>
      <c r="F438" s="17" t="str">
        <f>_xlfn.IFNA(VLOOKUP(C438, '[2]Unique HS'!$B$4:$J$999, 9, FALSE), "No")</f>
        <v>No</v>
      </c>
      <c r="G438" s="18">
        <f>VLOOKUP(C438, '[1]India EXIM'!$B$6:$C$580, 2, FALSE)</f>
        <v>1.0737469929999999E-3</v>
      </c>
      <c r="H438" s="11">
        <f>VLOOKUP(C438, '[1]China EXIM'!$B$6:$D$580, 3, FALSE)</f>
        <v>3.0897769349000001E-2</v>
      </c>
    </row>
    <row r="439" spans="2:8" ht="27.95">
      <c r="B439" s="6" t="str">
        <f>VLOOKUP(C439, [1]Definition!$D$5:$K$5665, 8, FALSE)</f>
        <v>Capital Goods</v>
      </c>
      <c r="C439" s="7">
        <v>844312</v>
      </c>
      <c r="D439" s="8" t="s">
        <v>960</v>
      </c>
      <c r="E439" s="9" t="s">
        <v>180</v>
      </c>
      <c r="F439" s="17" t="str">
        <f>_xlfn.IFNA(VLOOKUP(C439, '[2]Unique HS'!$B$4:$J$999, 9, FALSE), "No")</f>
        <v>No</v>
      </c>
      <c r="G439" s="18">
        <f>VLOOKUP(C439, '[1]India EXIM'!$B$6:$C$580, 2, FALSE)</f>
        <v>3.6054036400000001E-3</v>
      </c>
      <c r="H439" s="11">
        <f>VLOOKUP(C439, '[1]China EXIM'!$B$6:$D$580, 3, FALSE)</f>
        <v>2.2212821681E-2</v>
      </c>
    </row>
    <row r="440" spans="2:8">
      <c r="B440" s="6" t="str">
        <f>VLOOKUP(C440, [1]Definition!$D$5:$K$5665, 8, FALSE)</f>
        <v>Capital Goods</v>
      </c>
      <c r="C440" s="7">
        <v>820560</v>
      </c>
      <c r="D440" s="8" t="s">
        <v>1122</v>
      </c>
      <c r="E440" s="9" t="s">
        <v>65</v>
      </c>
      <c r="F440" s="17" t="str">
        <f>_xlfn.IFNA(VLOOKUP(C440, '[2]Unique HS'!$B$4:$J$999, 9, FALSE), "No")</f>
        <v>No</v>
      </c>
      <c r="G440" s="18">
        <f>VLOOKUP(C440, '[1]India EXIM'!$B$6:$C$580, 2, FALSE)</f>
        <v>2.9486206999999998E-5</v>
      </c>
      <c r="H440" s="11">
        <f>VLOOKUP(C440, '[1]China EXIM'!$B$6:$D$580, 3, FALSE)</f>
        <v>0.10281466376700001</v>
      </c>
    </row>
    <row r="441" spans="2:8" ht="252">
      <c r="B441" s="6" t="str">
        <f>VLOOKUP(C441, [1]Definition!$D$5:$K$5665, 8, FALSE)</f>
        <v>Capital Goods</v>
      </c>
      <c r="C441" s="7">
        <v>902780</v>
      </c>
      <c r="D441" s="8" t="s">
        <v>1143</v>
      </c>
      <c r="E441" s="9" t="s">
        <v>22</v>
      </c>
      <c r="F441" s="17" t="str">
        <f>_xlfn.IFNA(VLOOKUP(C441, '[2]Unique HS'!$B$4:$J$999, 9, FALSE), "No")</f>
        <v>Yes</v>
      </c>
      <c r="G441" s="18">
        <f>VLOOKUP(C441, '[1]India EXIM'!$B$6:$C$580, 2, FALSE)</f>
        <v>0</v>
      </c>
      <c r="H441" s="11">
        <f>VLOOKUP(C441, '[1]China EXIM'!$B$6:$D$580, 3, FALSE)</f>
        <v>2.0384769191000001E-2</v>
      </c>
    </row>
    <row r="442" spans="2:8" ht="27.95">
      <c r="B442" s="6" t="str">
        <f>VLOOKUP(C442, [1]Definition!$D$5:$K$5665, 8, FALSE)</f>
        <v>Capital Goods</v>
      </c>
      <c r="C442" s="7">
        <v>848530</v>
      </c>
      <c r="D442" s="8" t="s">
        <v>1118</v>
      </c>
      <c r="E442" s="9" t="s">
        <v>22</v>
      </c>
      <c r="F442" s="17" t="str">
        <f>_xlfn.IFNA(VLOOKUP(C442, '[2]Unique HS'!$B$4:$J$999, 9, FALSE), "No")</f>
        <v>No</v>
      </c>
      <c r="G442" s="18">
        <f>VLOOKUP(C442, '[1]India EXIM'!$B$6:$C$580, 2, FALSE)</f>
        <v>4.2259061999999999E-5</v>
      </c>
      <c r="H442" s="11">
        <f>VLOOKUP(C442, '[1]China EXIM'!$B$6:$D$580, 3, FALSE)</f>
        <v>1.5198732721999999E-2</v>
      </c>
    </row>
    <row r="443" spans="2:8" ht="27.95">
      <c r="B443" s="6" t="str">
        <f>VLOOKUP(C443, [1]Definition!$D$5:$K$5665, 8, FALSE)</f>
        <v>Capital Goods</v>
      </c>
      <c r="C443" s="7">
        <v>870190</v>
      </c>
      <c r="D443" s="8" t="s">
        <v>1150</v>
      </c>
      <c r="E443" s="9" t="s">
        <v>58</v>
      </c>
      <c r="F443" s="17" t="str">
        <f>_xlfn.IFNA(VLOOKUP(C443, '[2]Unique HS'!$B$4:$J$999, 9, FALSE), "No")</f>
        <v>No</v>
      </c>
      <c r="G443" s="18">
        <f>VLOOKUP(C443, '[1]India EXIM'!$B$6:$C$580, 2, FALSE)</f>
        <v>0</v>
      </c>
      <c r="H443" s="11">
        <f>VLOOKUP(C443, '[1]China EXIM'!$B$6:$D$580, 3, FALSE)</f>
        <v>8.1980968579999994E-3</v>
      </c>
    </row>
    <row r="444" spans="2:8" ht="27.95">
      <c r="B444" s="6" t="str">
        <f>VLOOKUP(C444, [1]Definition!$D$5:$K$5665, 8, FALSE)</f>
        <v>Capital Goods</v>
      </c>
      <c r="C444" s="7">
        <v>841931</v>
      </c>
      <c r="D444" s="8" t="s">
        <v>1147</v>
      </c>
      <c r="E444" s="9" t="s">
        <v>61</v>
      </c>
      <c r="F444" s="17" t="str">
        <f>_xlfn.IFNA(VLOOKUP(C444, '[2]Unique HS'!$B$4:$J$999, 9, FALSE), "No")</f>
        <v>No</v>
      </c>
      <c r="G444" s="18">
        <f>VLOOKUP(C444, '[1]India EXIM'!$B$6:$C$580, 2, FALSE)</f>
        <v>0</v>
      </c>
      <c r="H444" s="11">
        <f>VLOOKUP(C444, '[1]China EXIM'!$B$6:$D$580, 3, FALSE)</f>
        <v>1.4534151259999999E-3</v>
      </c>
    </row>
    <row r="445" spans="2:8" ht="237.95">
      <c r="B445" s="6" t="str">
        <f>VLOOKUP(C445, [1]Definition!$D$5:$K$5665, 8, FALSE)</f>
        <v>Capital Goods</v>
      </c>
      <c r="C445" s="7">
        <v>846299</v>
      </c>
      <c r="D445" s="8" t="s">
        <v>1151</v>
      </c>
      <c r="E445" s="9" t="s">
        <v>65</v>
      </c>
      <c r="F445" s="17" t="str">
        <f>_xlfn.IFNA(VLOOKUP(C445, '[2]Unique HS'!$B$4:$J$999, 9, FALSE), "No")</f>
        <v>Yes</v>
      </c>
      <c r="G445" s="18">
        <f>VLOOKUP(C445, '[1]India EXIM'!$B$6:$C$580, 2, FALSE)</f>
        <v>0</v>
      </c>
      <c r="H445" s="11">
        <f>VLOOKUP(C445, '[1]China EXIM'!$B$6:$D$580, 3, FALSE)</f>
        <v>6.1895092000000007E-4</v>
      </c>
    </row>
    <row r="446" spans="2:8" ht="237.95">
      <c r="B446" s="6" t="str">
        <f>VLOOKUP(C446, [1]Definition!$D$5:$K$5665, 8, FALSE)</f>
        <v>Capital Goods</v>
      </c>
      <c r="C446" s="7">
        <v>846291</v>
      </c>
      <c r="D446" s="8" t="s">
        <v>1152</v>
      </c>
      <c r="E446" s="9" t="s">
        <v>65</v>
      </c>
      <c r="F446" s="17" t="str">
        <f>_xlfn.IFNA(VLOOKUP(C446, '[2]Unique HS'!$B$4:$J$999, 9, FALSE), "No")</f>
        <v>No</v>
      </c>
      <c r="G446" s="18">
        <f>VLOOKUP(C446, '[1]India EXIM'!$B$6:$C$580, 2, FALSE)</f>
        <v>0</v>
      </c>
      <c r="H446" s="11">
        <f>VLOOKUP(C446, '[1]China EXIM'!$B$6:$D$580, 3, FALSE)</f>
        <v>2.4221716599999999E-4</v>
      </c>
    </row>
    <row r="447" spans="2:8" ht="42">
      <c r="B447" s="6" t="str">
        <f>VLOOKUP(C447, [1]Definition!$D$5:$K$5665, 8, FALSE)</f>
        <v>Capital Goods</v>
      </c>
      <c r="C447" s="7">
        <v>851410</v>
      </c>
      <c r="D447" s="8" t="s">
        <v>1153</v>
      </c>
      <c r="E447" s="9" t="s">
        <v>22</v>
      </c>
      <c r="F447" s="17" t="str">
        <f>_xlfn.IFNA(VLOOKUP(C447, '[2]Unique HS'!$B$4:$J$999, 9, FALSE), "No")</f>
        <v>Yes</v>
      </c>
      <c r="G447" s="18">
        <f>VLOOKUP(C447, '[1]India EXIM'!$B$6:$C$580, 2, FALSE)</f>
        <v>0</v>
      </c>
      <c r="H447" s="11">
        <f>VLOOKUP(C447, '[1]China EXIM'!$B$6:$D$580, 3, FALSE)</f>
        <v>2.1857658600000002E-4</v>
      </c>
    </row>
    <row r="448" spans="2:8" ht="42">
      <c r="B448" s="6" t="str">
        <f>VLOOKUP(C448, [1]Definition!$D$5:$K$5665, 8, FALSE)</f>
        <v>Capital Goods</v>
      </c>
      <c r="C448" s="7">
        <v>842481</v>
      </c>
      <c r="D448" s="8" t="s">
        <v>1156</v>
      </c>
      <c r="E448" s="9" t="s">
        <v>1165</v>
      </c>
      <c r="F448" s="17" t="str">
        <f>_xlfn.IFNA(VLOOKUP(C448, '[2]Unique HS'!$B$4:$J$999, 9, FALSE), "No")</f>
        <v>No</v>
      </c>
      <c r="G448" s="18">
        <f>VLOOKUP(C448, '[1]India EXIM'!$B$6:$C$580, 2, FALSE)</f>
        <v>0</v>
      </c>
      <c r="H448" s="11">
        <f>VLOOKUP(C448, '[1]China EXIM'!$B$6:$D$580, 3, FALSE)</f>
        <v>2.16799941E-4</v>
      </c>
    </row>
    <row r="449" spans="2:8" ht="27.95">
      <c r="B449" s="6" t="str">
        <f>VLOOKUP(C449, [1]Definition!$D$5:$K$5665, 8, FALSE)</f>
        <v>Capital Goods</v>
      </c>
      <c r="C449" s="7">
        <v>843230</v>
      </c>
      <c r="D449" s="8" t="s">
        <v>1157</v>
      </c>
      <c r="E449" s="9" t="s">
        <v>1165</v>
      </c>
      <c r="F449" s="17" t="str">
        <f>_xlfn.IFNA(VLOOKUP(C449, '[2]Unique HS'!$B$4:$J$999, 9, FALSE), "No")</f>
        <v>No</v>
      </c>
      <c r="G449" s="18">
        <f>VLOOKUP(C449, '[1]India EXIM'!$B$6:$C$580, 2, FALSE)</f>
        <v>0</v>
      </c>
      <c r="H449" s="11">
        <f>VLOOKUP(C449, '[1]China EXIM'!$B$6:$D$580, 3, FALSE)</f>
        <v>6.3942747000000002E-5</v>
      </c>
    </row>
    <row r="450" spans="2:8" ht="27.95">
      <c r="B450" s="6" t="str">
        <f>VLOOKUP(C450, [1]Definition!$D$5:$K$5665, 8, FALSE)</f>
        <v>Capital Goods</v>
      </c>
      <c r="C450" s="7">
        <v>820120</v>
      </c>
      <c r="D450" s="8" t="s">
        <v>1158</v>
      </c>
      <c r="E450" s="9" t="s">
        <v>58</v>
      </c>
      <c r="F450" s="17" t="str">
        <f>_xlfn.IFNA(VLOOKUP(C450, '[2]Unique HS'!$B$4:$J$999, 9, FALSE), "No")</f>
        <v>No</v>
      </c>
      <c r="G450" s="18">
        <f>VLOOKUP(C450, '[1]India EXIM'!$B$6:$C$580, 2, FALSE)</f>
        <v>0</v>
      </c>
      <c r="H450" s="11">
        <f>VLOOKUP(C450, '[1]China EXIM'!$B$6:$D$580, 3, FALSE)</f>
        <v>0</v>
      </c>
    </row>
    <row r="451" spans="2:8">
      <c r="B451" s="6" t="str">
        <f>VLOOKUP(C451, [1]Definition!$D$5:$K$5665, 8, FALSE)</f>
        <v>Capital Goods</v>
      </c>
      <c r="C451" s="7">
        <v>820580</v>
      </c>
      <c r="D451" s="8" t="s">
        <v>1159</v>
      </c>
      <c r="E451" s="9" t="s">
        <v>65</v>
      </c>
      <c r="F451" s="17" t="str">
        <f>_xlfn.IFNA(VLOOKUP(C451, '[2]Unique HS'!$B$4:$J$999, 9, FALSE), "No")</f>
        <v>No</v>
      </c>
      <c r="G451" s="18">
        <f>VLOOKUP(C451, '[1]India EXIM'!$B$6:$C$580, 2, FALSE)</f>
        <v>0</v>
      </c>
      <c r="H451" s="11">
        <f>VLOOKUP(C451, '[1]China EXIM'!$B$6:$D$580, 3, FALSE)</f>
        <v>0</v>
      </c>
    </row>
    <row r="452" spans="2:8" ht="27.95">
      <c r="B452" s="6" t="str">
        <f>VLOOKUP(C452, [1]Definition!$D$5:$K$5665, 8, FALSE)</f>
        <v>Capital Goods</v>
      </c>
      <c r="C452" s="7">
        <v>841932</v>
      </c>
      <c r="D452" s="8" t="s">
        <v>1160</v>
      </c>
      <c r="E452" s="9" t="s">
        <v>22</v>
      </c>
      <c r="F452" s="17" t="str">
        <f>_xlfn.IFNA(VLOOKUP(C452, '[2]Unique HS'!$B$4:$J$999, 9, FALSE), "No")</f>
        <v>No</v>
      </c>
      <c r="G452" s="18">
        <f>VLOOKUP(C452, '[1]India EXIM'!$B$6:$C$580, 2, FALSE)</f>
        <v>0</v>
      </c>
      <c r="H452" s="11">
        <f>VLOOKUP(C452, '[1]China EXIM'!$B$6:$D$580, 3, FALSE)</f>
        <v>0</v>
      </c>
    </row>
    <row r="453" spans="2:8" ht="27.95">
      <c r="B453" s="6" t="str">
        <f>VLOOKUP(C453, [1]Definition!$D$5:$K$5665, 8, FALSE)</f>
        <v>Capital Goods</v>
      </c>
      <c r="C453" s="7">
        <v>843240</v>
      </c>
      <c r="D453" s="8" t="s">
        <v>1162</v>
      </c>
      <c r="E453" s="9" t="s">
        <v>1165</v>
      </c>
      <c r="F453" s="17" t="str">
        <f>_xlfn.IFNA(VLOOKUP(C453, '[2]Unique HS'!$B$4:$J$999, 9, FALSE), "No")</f>
        <v>No</v>
      </c>
      <c r="G453" s="18">
        <f>VLOOKUP(C453, '[1]India EXIM'!$B$6:$C$580, 2, FALSE)</f>
        <v>0</v>
      </c>
      <c r="H453" s="11">
        <f>VLOOKUP(C453, '[1]China EXIM'!$B$6:$D$580, 3, FALSE)</f>
        <v>0</v>
      </c>
    </row>
    <row r="454" spans="2:8" ht="252">
      <c r="B454" s="6" t="str">
        <f>VLOOKUP(C454, [1]Definition!$D$5:$K$5665, 8, FALSE)</f>
        <v>Capital Goods</v>
      </c>
      <c r="C454" s="7">
        <v>846241</v>
      </c>
      <c r="D454" s="8" t="s">
        <v>1163</v>
      </c>
      <c r="E454" s="9" t="s">
        <v>65</v>
      </c>
      <c r="F454" s="17" t="str">
        <f>_xlfn.IFNA(VLOOKUP(C454, '[2]Unique HS'!$B$4:$J$999, 9, FALSE), "No")</f>
        <v>Yes</v>
      </c>
      <c r="G454" s="18">
        <f>VLOOKUP(C454, '[1]India EXIM'!$B$6:$C$580, 2, FALSE)</f>
        <v>0</v>
      </c>
      <c r="H454" s="11">
        <f>VLOOKUP(C454, '[1]China EXIM'!$B$6:$D$580, 3, FALSE)</f>
        <v>0</v>
      </c>
    </row>
  </sheetData>
  <autoFilter ref="B4:H454" xr:uid="{0EB4BAE9-B798-447C-9449-242089AB2F4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9165B-57E0-4EBC-96B5-D8EF85F528AF}">
  <dimension ref="B2:H69"/>
  <sheetViews>
    <sheetView zoomScale="79" workbookViewId="0">
      <selection activeCell="B3" sqref="B3"/>
    </sheetView>
  </sheetViews>
  <sheetFormatPr defaultRowHeight="14.45"/>
  <cols>
    <col min="2" max="2" width="11.85546875" customWidth="1"/>
    <col min="3" max="3" width="10.85546875" customWidth="1"/>
    <col min="4" max="4" width="49.140625" customWidth="1"/>
    <col min="5" max="5" width="19.85546875" customWidth="1"/>
    <col min="6" max="6" width="13.85546875" customWidth="1"/>
    <col min="7" max="8" width="18.140625" customWidth="1"/>
  </cols>
  <sheetData>
    <row r="2" spans="2:8">
      <c r="B2" t="s">
        <v>1166</v>
      </c>
    </row>
    <row r="4" spans="2:8" ht="27.95">
      <c r="B4" s="4" t="s">
        <v>0</v>
      </c>
      <c r="C4" s="4" t="s">
        <v>1</v>
      </c>
      <c r="D4" s="4" t="s">
        <v>2</v>
      </c>
      <c r="E4" s="4" t="s">
        <v>6</v>
      </c>
      <c r="F4" s="4" t="s">
        <v>8</v>
      </c>
      <c r="G4" s="4" t="s">
        <v>9</v>
      </c>
      <c r="H4" s="4" t="s">
        <v>10</v>
      </c>
    </row>
    <row r="5" spans="2:8" ht="27.95">
      <c r="B5" s="9" t="s">
        <v>1167</v>
      </c>
      <c r="C5" s="7">
        <v>842123</v>
      </c>
      <c r="D5" s="8" t="s">
        <v>204</v>
      </c>
      <c r="E5" s="9" t="s">
        <v>22</v>
      </c>
      <c r="F5" s="17" t="str">
        <f>_xlfn.IFNA(VLOOKUP(C5, '[2]Unique HS'!$B$4:$J$999, 9, FALSE), "No")</f>
        <v>Yes</v>
      </c>
      <c r="G5" s="18">
        <f>VLOOKUP(C5, '[1]India EXIM'!$B$6:$C$580, 2, FALSE)</f>
        <v>0.123083453116</v>
      </c>
      <c r="H5" s="11">
        <f>VLOOKUP(C5, '[1]China EXIM'!$B$6:$D$580, 3, FALSE)</f>
        <v>8.7109218797349985</v>
      </c>
    </row>
    <row r="6" spans="2:8" ht="27.95">
      <c r="B6" s="9" t="s">
        <v>1167</v>
      </c>
      <c r="C6" s="7">
        <v>841221</v>
      </c>
      <c r="D6" s="8" t="s">
        <v>118</v>
      </c>
      <c r="E6" s="9" t="s">
        <v>58</v>
      </c>
      <c r="F6" s="17" t="str">
        <f>_xlfn.IFNA(VLOOKUP(C6, '[2]Unique HS'!$B$4:$J$999, 9, FALSE), "No")</f>
        <v>Yes</v>
      </c>
      <c r="G6" s="18">
        <f>VLOOKUP(C6, '[1]India EXIM'!$B$6:$C$580, 2, FALSE)</f>
        <v>0.105051476595</v>
      </c>
      <c r="H6" s="11">
        <f>VLOOKUP(C6, '[1]China EXIM'!$B$6:$D$580, 3, FALSE)</f>
        <v>8.116513637433</v>
      </c>
    </row>
    <row r="7" spans="2:8" ht="42">
      <c r="B7" s="9" t="s">
        <v>1167</v>
      </c>
      <c r="C7" s="7">
        <v>820730</v>
      </c>
      <c r="D7" s="8" t="s">
        <v>148</v>
      </c>
      <c r="E7" s="9" t="s">
        <v>149</v>
      </c>
      <c r="F7" s="17" t="str">
        <f>_xlfn.IFNA(VLOOKUP(C7, '[2]Unique HS'!$B$4:$J$999, 9, FALSE), "No")</f>
        <v>Yes</v>
      </c>
      <c r="G7" s="18">
        <f>VLOOKUP(C7, '[1]India EXIM'!$B$6:$C$580, 2, FALSE)</f>
        <v>0.241639356483</v>
      </c>
      <c r="H7" s="11">
        <f>VLOOKUP(C7, '[1]China EXIM'!$B$6:$D$580, 3, FALSE)</f>
        <v>6.4433875873120003</v>
      </c>
    </row>
    <row r="8" spans="2:8" ht="27.95">
      <c r="B8" s="9" t="s">
        <v>1167</v>
      </c>
      <c r="C8" s="7">
        <v>840681</v>
      </c>
      <c r="D8" s="8" t="s">
        <v>1168</v>
      </c>
      <c r="E8" s="9" t="s">
        <v>30</v>
      </c>
      <c r="F8" s="17" t="str">
        <f>_xlfn.IFNA(VLOOKUP(C8, '[2]Unique HS'!$B$4:$J$999, 9, FALSE), "No")</f>
        <v>No</v>
      </c>
      <c r="G8" s="22">
        <f>VLOOKUP(C8, '[1]India EXIM'!$B$6:$C$580, 2, FALSE)</f>
        <v>5.8546769999999996E-6</v>
      </c>
      <c r="H8" s="11">
        <f>VLOOKUP(C8, '[1]China EXIM'!$B$6:$D$580, 3, FALSE)</f>
        <v>0.46181119755700001</v>
      </c>
    </row>
    <row r="9" spans="2:8" ht="27.95">
      <c r="B9" s="9" t="s">
        <v>1167</v>
      </c>
      <c r="C9" s="7">
        <v>840682</v>
      </c>
      <c r="D9" s="8" t="s">
        <v>1169</v>
      </c>
      <c r="E9" s="9" t="s">
        <v>30</v>
      </c>
      <c r="F9" s="17" t="str">
        <f>_xlfn.IFNA(VLOOKUP(C9, '[2]Unique HS'!$B$4:$J$999, 9, FALSE), "No")</f>
        <v>No</v>
      </c>
      <c r="G9" s="22">
        <f>VLOOKUP(C9, '[1]India EXIM'!$B$6:$C$580, 2, FALSE)</f>
        <v>1.3913999016000001E-2</v>
      </c>
      <c r="H9" s="11">
        <f>VLOOKUP(C9, '[1]China EXIM'!$B$6:$D$580, 3, FALSE)</f>
        <v>0.335480127219</v>
      </c>
    </row>
    <row r="10" spans="2:8" ht="27.95">
      <c r="B10" s="9" t="s">
        <v>1167</v>
      </c>
      <c r="C10" s="7">
        <v>841229</v>
      </c>
      <c r="D10" s="8" t="s">
        <v>196</v>
      </c>
      <c r="E10" s="9" t="s">
        <v>58</v>
      </c>
      <c r="F10" s="17" t="str">
        <f>_xlfn.IFNA(VLOOKUP(C10, '[2]Unique HS'!$B$4:$J$999, 9, FALSE), "No")</f>
        <v>Yes</v>
      </c>
      <c r="G10" s="18">
        <f>VLOOKUP(C10, '[1]India EXIM'!$B$6:$C$580, 2, FALSE)</f>
        <v>0.24957013580199999</v>
      </c>
      <c r="H10" s="11">
        <f>VLOOKUP(C10, '[1]China EXIM'!$B$6:$D$580, 3, FALSE)</f>
        <v>5.142234933189</v>
      </c>
    </row>
    <row r="11" spans="2:8" ht="27.95">
      <c r="B11" s="9" t="s">
        <v>1167</v>
      </c>
      <c r="C11" s="7">
        <v>841011</v>
      </c>
      <c r="D11" s="8" t="s">
        <v>1170</v>
      </c>
      <c r="E11" s="9" t="s">
        <v>30</v>
      </c>
      <c r="F11" s="17" t="str">
        <f>_xlfn.IFNA(VLOOKUP(C11, '[2]Unique HS'!$B$4:$J$999, 9, FALSE), "No")</f>
        <v>No</v>
      </c>
      <c r="G11" s="22">
        <f>VLOOKUP(C11, '[1]India EXIM'!$B$6:$C$580, 2, FALSE)</f>
        <v>8.5176139999999995E-6</v>
      </c>
      <c r="H11" s="11">
        <f>VLOOKUP(C11, '[1]China EXIM'!$B$6:$D$580, 3, FALSE)</f>
        <v>6.6972995337999996E-2</v>
      </c>
    </row>
    <row r="12" spans="2:8" ht="27.95">
      <c r="B12" s="9" t="s">
        <v>1167</v>
      </c>
      <c r="C12" s="7">
        <v>841012</v>
      </c>
      <c r="D12" s="8" t="s">
        <v>1171</v>
      </c>
      <c r="E12" s="9" t="s">
        <v>30</v>
      </c>
      <c r="F12" s="17" t="str">
        <f>_xlfn.IFNA(VLOOKUP(C12, '[2]Unique HS'!$B$4:$J$999, 9, FALSE), "No")</f>
        <v>No</v>
      </c>
      <c r="G12" s="22">
        <f>VLOOKUP(C12, '[1]India EXIM'!$B$6:$C$580, 2, FALSE)</f>
        <v>2.7986594799999997E-4</v>
      </c>
      <c r="H12" s="11">
        <f>VLOOKUP(C12, '[1]China EXIM'!$B$6:$D$580, 3, FALSE)</f>
        <v>4.5509305097999997E-2</v>
      </c>
    </row>
    <row r="13" spans="2:8" ht="27.95">
      <c r="B13" s="9" t="s">
        <v>1167</v>
      </c>
      <c r="C13" s="7">
        <v>820239</v>
      </c>
      <c r="D13" s="8" t="s">
        <v>208</v>
      </c>
      <c r="E13" s="9" t="s">
        <v>65</v>
      </c>
      <c r="F13" s="17" t="str">
        <f>_xlfn.IFNA(VLOOKUP(C13, '[2]Unique HS'!$B$4:$J$999, 9, FALSE), "No")</f>
        <v>Yes</v>
      </c>
      <c r="G13" s="18">
        <f>VLOOKUP(C13, '[1]India EXIM'!$B$6:$C$580, 2, FALSE)</f>
        <v>0.11016713011200001</v>
      </c>
      <c r="H13" s="11">
        <f>VLOOKUP(C13, '[1]China EXIM'!$B$6:$D$580, 3, FALSE)</f>
        <v>1.374345268995</v>
      </c>
    </row>
    <row r="14" spans="2:8" ht="27.95">
      <c r="B14" s="9" t="s">
        <v>1167</v>
      </c>
      <c r="C14" s="7">
        <v>841013</v>
      </c>
      <c r="D14" s="8" t="s">
        <v>1172</v>
      </c>
      <c r="E14" s="9" t="s">
        <v>30</v>
      </c>
      <c r="F14" s="17" t="str">
        <f>_xlfn.IFNA(VLOOKUP(C14, '[2]Unique HS'!$B$4:$J$999, 9, FALSE), "No")</f>
        <v>No</v>
      </c>
      <c r="G14" s="22">
        <f>VLOOKUP(C14, '[1]India EXIM'!$B$6:$C$580, 2, FALSE)</f>
        <v>3.3999064200000001E-4</v>
      </c>
      <c r="H14" s="11">
        <f>VLOOKUP(C14, '[1]China EXIM'!$B$6:$D$580, 3, FALSE)</f>
        <v>7.048984778499999E-2</v>
      </c>
    </row>
    <row r="15" spans="2:8" ht="27.95">
      <c r="B15" s="9" t="s">
        <v>1167</v>
      </c>
      <c r="C15" s="7">
        <v>850440</v>
      </c>
      <c r="D15" s="8" t="s">
        <v>26</v>
      </c>
      <c r="E15" s="9" t="s">
        <v>30</v>
      </c>
      <c r="F15" s="17" t="str">
        <f>_xlfn.IFNA(VLOOKUP(C15, '[2]Unique HS'!$B$4:$J$999, 9, FALSE), "No")</f>
        <v>Yes</v>
      </c>
      <c r="G15" s="22">
        <f>VLOOKUP(C15, '[1]India EXIM'!$B$6:$C$580, 2, FALSE)</f>
        <v>1.8930651773940002</v>
      </c>
      <c r="H15" s="11">
        <f>VLOOKUP(C15, '[1]China EXIM'!$B$6:$D$580, 3, FALSE)</f>
        <v>103.79885451238499</v>
      </c>
    </row>
    <row r="16" spans="2:8" ht="42">
      <c r="B16" s="9" t="s">
        <v>1167</v>
      </c>
      <c r="C16" s="7">
        <v>854159</v>
      </c>
      <c r="D16" s="8" t="s">
        <v>300</v>
      </c>
      <c r="E16" s="9" t="s">
        <v>46</v>
      </c>
      <c r="F16" s="17" t="str">
        <f>_xlfn.IFNA(VLOOKUP(C16, '[2]Unique HS'!$B$4:$J$999, 9, FALSE), "No")</f>
        <v>Yes</v>
      </c>
      <c r="G16" s="18">
        <f>VLOOKUP(C16, '[1]India EXIM'!$B$6:$C$580, 2, FALSE)</f>
        <v>3.9928650770999996E-2</v>
      </c>
      <c r="H16" s="11">
        <f>VLOOKUP(C16, '[1]China EXIM'!$B$6:$D$580, 3, FALSE)</f>
        <v>2.780863121266</v>
      </c>
    </row>
    <row r="17" spans="2:8" ht="27.95">
      <c r="B17" s="9" t="s">
        <v>1167</v>
      </c>
      <c r="C17" s="7">
        <v>850133</v>
      </c>
      <c r="D17" s="8" t="s">
        <v>712</v>
      </c>
      <c r="E17" s="9" t="s">
        <v>30</v>
      </c>
      <c r="F17" s="17" t="str">
        <f>_xlfn.IFNA(VLOOKUP(C17, '[2]Unique HS'!$B$4:$J$999, 9, FALSE), "No")</f>
        <v>No</v>
      </c>
      <c r="G17" s="22">
        <f>VLOOKUP(C17, '[1]India EXIM'!$B$6:$C$580, 2, FALSE)</f>
        <v>1.4969715938999999E-2</v>
      </c>
      <c r="H17" s="11">
        <f>VLOOKUP(C17, '[1]China EXIM'!$B$6:$D$580, 3, FALSE)</f>
        <v>0.53685649164100002</v>
      </c>
    </row>
    <row r="18" spans="2:8" ht="42">
      <c r="B18" s="9" t="s">
        <v>1167</v>
      </c>
      <c r="C18" s="7">
        <v>901480</v>
      </c>
      <c r="D18" s="8" t="s">
        <v>340</v>
      </c>
      <c r="E18" s="9" t="s">
        <v>166</v>
      </c>
      <c r="F18" s="17" t="str">
        <f>_xlfn.IFNA(VLOOKUP(C18, '[2]Unique HS'!$B$4:$J$999, 9, FALSE), "No")</f>
        <v>Yes</v>
      </c>
      <c r="G18" s="18">
        <f>VLOOKUP(C18, '[1]India EXIM'!$B$6:$C$580, 2, FALSE)</f>
        <v>2.9226501497000002E-2</v>
      </c>
      <c r="H18" s="11">
        <f>VLOOKUP(C18, '[1]China EXIM'!$B$6:$D$580, 3, FALSE)</f>
        <v>2.1337567572720002</v>
      </c>
    </row>
    <row r="19" spans="2:8" ht="27.95">
      <c r="B19" s="9" t="s">
        <v>1167</v>
      </c>
      <c r="C19" s="7">
        <v>841231</v>
      </c>
      <c r="D19" s="8" t="s">
        <v>449</v>
      </c>
      <c r="E19" s="9" t="s">
        <v>22</v>
      </c>
      <c r="F19" s="17" t="str">
        <f>_xlfn.IFNA(VLOOKUP(C19, '[2]Unique HS'!$B$4:$J$999, 9, FALSE), "No")</f>
        <v>Yes</v>
      </c>
      <c r="G19" s="18">
        <f>VLOOKUP(C19, '[1]India EXIM'!$B$6:$C$580, 2, FALSE)</f>
        <v>3.8379564751000003E-2</v>
      </c>
      <c r="H19" s="11">
        <f>VLOOKUP(C19, '[1]China EXIM'!$B$6:$D$580, 3, FALSE)</f>
        <v>2.1283018358740002</v>
      </c>
    </row>
    <row r="20" spans="2:8" ht="42">
      <c r="B20" s="9" t="s">
        <v>1167</v>
      </c>
      <c r="C20" s="7">
        <v>902000</v>
      </c>
      <c r="D20" s="8" t="s">
        <v>597</v>
      </c>
      <c r="E20" s="9" t="s">
        <v>166</v>
      </c>
      <c r="F20" s="17" t="str">
        <f>_xlfn.IFNA(VLOOKUP(C20, '[2]Unique HS'!$B$4:$J$999, 9, FALSE), "No")</f>
        <v>Yes</v>
      </c>
      <c r="G20" s="18">
        <f>VLOOKUP(C20, '[1]India EXIM'!$B$6:$C$580, 2, FALSE)</f>
        <v>2.2340444381E-2</v>
      </c>
      <c r="H20" s="11">
        <f>VLOOKUP(C20, '[1]China EXIM'!$B$6:$D$580, 3, FALSE)</f>
        <v>2.1000296261389999</v>
      </c>
    </row>
    <row r="21" spans="2:8" ht="27.95">
      <c r="B21" s="9" t="s">
        <v>1167</v>
      </c>
      <c r="C21" s="7">
        <v>850134</v>
      </c>
      <c r="D21" s="8" t="s">
        <v>943</v>
      </c>
      <c r="E21" s="9" t="s">
        <v>30</v>
      </c>
      <c r="F21" s="17" t="str">
        <f>_xlfn.IFNA(VLOOKUP(C21, '[2]Unique HS'!$B$4:$J$999, 9, FALSE), "No")</f>
        <v>No</v>
      </c>
      <c r="G21" s="22">
        <f>VLOOKUP(C21, '[1]India EXIM'!$B$6:$C$580, 2, FALSE)</f>
        <v>4.5201696950000004E-3</v>
      </c>
      <c r="H21" s="11">
        <f>VLOOKUP(C21, '[1]China EXIM'!$B$6:$D$580, 3, FALSE)</f>
        <v>0.202711154586</v>
      </c>
    </row>
    <row r="22" spans="2:8" ht="27.95">
      <c r="B22" s="9" t="s">
        <v>1167</v>
      </c>
      <c r="C22" s="7">
        <v>850152</v>
      </c>
      <c r="D22" s="8" t="s">
        <v>126</v>
      </c>
      <c r="E22" s="9" t="s">
        <v>30</v>
      </c>
      <c r="F22" s="17" t="str">
        <f>_xlfn.IFNA(VLOOKUP(C22, '[2]Unique HS'!$B$4:$J$999, 9, FALSE), "No")</f>
        <v>Yes</v>
      </c>
      <c r="G22" s="22">
        <f>VLOOKUP(C22, '[1]India EXIM'!$B$6:$C$580, 2, FALSE)</f>
        <v>0.19026122149000002</v>
      </c>
      <c r="H22" s="11">
        <f>VLOOKUP(C22, '[1]China EXIM'!$B$6:$D$580, 3, FALSE)</f>
        <v>10.357186422568001</v>
      </c>
    </row>
    <row r="23" spans="2:8" ht="42">
      <c r="B23" s="9" t="s">
        <v>1167</v>
      </c>
      <c r="C23" s="7">
        <v>853590</v>
      </c>
      <c r="D23" s="8" t="s">
        <v>169</v>
      </c>
      <c r="E23" s="9" t="s">
        <v>30</v>
      </c>
      <c r="F23" s="17" t="str">
        <f>_xlfn.IFNA(VLOOKUP(C23, '[2]Unique HS'!$B$4:$J$999, 9, FALSE), "No")</f>
        <v>Yes</v>
      </c>
      <c r="G23" s="22">
        <f>VLOOKUP(C23, '[1]India EXIM'!$B$6:$C$580, 2, FALSE)</f>
        <v>0.15855141411099999</v>
      </c>
      <c r="H23" s="11">
        <f>VLOOKUP(C23, '[1]China EXIM'!$B$6:$D$580, 3, FALSE)</f>
        <v>4.7338345119880003</v>
      </c>
    </row>
    <row r="24" spans="2:8" ht="27.95">
      <c r="B24" s="9" t="s">
        <v>1167</v>
      </c>
      <c r="C24" s="7">
        <v>850140</v>
      </c>
      <c r="D24" s="8" t="s">
        <v>176</v>
      </c>
      <c r="E24" s="9" t="s">
        <v>30</v>
      </c>
      <c r="F24" s="17" t="str">
        <f>_xlfn.IFNA(VLOOKUP(C24, '[2]Unique HS'!$B$4:$J$999, 9, FALSE), "No")</f>
        <v>Yes</v>
      </c>
      <c r="G24" s="22">
        <f>VLOOKUP(C24, '[1]India EXIM'!$B$6:$C$580, 2, FALSE)</f>
        <v>0.14845630527100001</v>
      </c>
      <c r="H24" s="11">
        <f>VLOOKUP(C24, '[1]China EXIM'!$B$6:$D$580, 3, FALSE)</f>
        <v>5.8058155855500004</v>
      </c>
    </row>
    <row r="25" spans="2:8" ht="27.95">
      <c r="B25" s="9" t="s">
        <v>1167</v>
      </c>
      <c r="C25" s="7">
        <v>850153</v>
      </c>
      <c r="D25" s="8" t="s">
        <v>188</v>
      </c>
      <c r="E25" s="9" t="s">
        <v>30</v>
      </c>
      <c r="F25" s="17" t="str">
        <f>_xlfn.IFNA(VLOOKUP(C25, '[2]Unique HS'!$B$4:$J$999, 9, FALSE), "No")</f>
        <v>Yes</v>
      </c>
      <c r="G25" s="22">
        <f>VLOOKUP(C25, '[1]India EXIM'!$B$6:$C$580, 2, FALSE)</f>
        <v>0.13687962864199998</v>
      </c>
      <c r="H25" s="11">
        <f>VLOOKUP(C25, '[1]China EXIM'!$B$6:$D$580, 3, FALSE)</f>
        <v>8.3363056472729991</v>
      </c>
    </row>
    <row r="26" spans="2:8" ht="42">
      <c r="B26" s="9" t="s">
        <v>1167</v>
      </c>
      <c r="C26" s="7">
        <v>850162</v>
      </c>
      <c r="D26" s="8" t="s">
        <v>740</v>
      </c>
      <c r="E26" s="9" t="s">
        <v>30</v>
      </c>
      <c r="F26" s="17" t="str">
        <f>_xlfn.IFNA(VLOOKUP(C26, '[2]Unique HS'!$B$4:$J$999, 9, FALSE), "No")</f>
        <v>No</v>
      </c>
      <c r="G26" s="22">
        <f>VLOOKUP(C26, '[1]India EXIM'!$B$6:$C$580, 2, FALSE)</f>
        <v>1.3393040312999999E-2</v>
      </c>
      <c r="H26" s="11">
        <f>VLOOKUP(C26, '[1]China EXIM'!$B$6:$D$580, 3, FALSE)</f>
        <v>1.3617081918210001</v>
      </c>
    </row>
    <row r="27" spans="2:8" ht="42">
      <c r="B27" s="9" t="s">
        <v>1167</v>
      </c>
      <c r="C27" s="7">
        <v>850163</v>
      </c>
      <c r="D27" s="8" t="s">
        <v>994</v>
      </c>
      <c r="E27" s="9" t="s">
        <v>30</v>
      </c>
      <c r="F27" s="17" t="str">
        <f>_xlfn.IFNA(VLOOKUP(C27, '[2]Unique HS'!$B$4:$J$999, 9, FALSE), "No")</f>
        <v>No</v>
      </c>
      <c r="G27" s="22">
        <f>VLOOKUP(C27, '[1]India EXIM'!$B$6:$C$580, 2, FALSE)</f>
        <v>2.372621017E-3</v>
      </c>
      <c r="H27" s="11">
        <f>VLOOKUP(C27, '[1]China EXIM'!$B$6:$D$580, 3, FALSE)</f>
        <v>0.35491233213599999</v>
      </c>
    </row>
    <row r="28" spans="2:8" ht="27.95">
      <c r="B28" s="9" t="s">
        <v>1167</v>
      </c>
      <c r="C28" s="7">
        <v>850164</v>
      </c>
      <c r="D28" s="8" t="s">
        <v>452</v>
      </c>
      <c r="E28" s="9" t="s">
        <v>30</v>
      </c>
      <c r="F28" s="17" t="str">
        <f>_xlfn.IFNA(VLOOKUP(C28, '[2]Unique HS'!$B$4:$J$999, 9, FALSE), "No")</f>
        <v>No</v>
      </c>
      <c r="G28" s="22">
        <f>VLOOKUP(C28, '[1]India EXIM'!$B$6:$C$580, 2, FALSE)</f>
        <v>3.8078411358000004E-2</v>
      </c>
      <c r="H28" s="11">
        <f>VLOOKUP(C28, '[1]China EXIM'!$B$6:$D$580, 3, FALSE)</f>
        <v>3.5096623587020002</v>
      </c>
    </row>
    <row r="29" spans="2:8" ht="27.95">
      <c r="B29" s="9" t="s">
        <v>1167</v>
      </c>
      <c r="C29" s="7">
        <v>853630</v>
      </c>
      <c r="D29" s="8" t="s">
        <v>295</v>
      </c>
      <c r="E29" s="9" t="s">
        <v>30</v>
      </c>
      <c r="F29" s="17" t="str">
        <f>_xlfn.IFNA(VLOOKUP(C29, '[2]Unique HS'!$B$4:$J$999, 9, FALSE), "No")</f>
        <v>Yes</v>
      </c>
      <c r="G29" s="22">
        <f>VLOOKUP(C29, '[1]India EXIM'!$B$6:$C$580, 2, FALSE)</f>
        <v>7.3251585745E-2</v>
      </c>
      <c r="H29" s="11">
        <f>VLOOKUP(C29, '[1]China EXIM'!$B$6:$D$580, 3, FALSE)</f>
        <v>5.3823246756199996</v>
      </c>
    </row>
    <row r="30" spans="2:8" ht="27.95">
      <c r="B30" s="9" t="s">
        <v>1167</v>
      </c>
      <c r="C30" s="7">
        <v>850151</v>
      </c>
      <c r="D30" s="8" t="s">
        <v>326</v>
      </c>
      <c r="E30" s="9" t="s">
        <v>30</v>
      </c>
      <c r="F30" s="17" t="str">
        <f>_xlfn.IFNA(VLOOKUP(C30, '[2]Unique HS'!$B$4:$J$999, 9, FALSE), "No")</f>
        <v>Yes</v>
      </c>
      <c r="G30" s="22">
        <f>VLOOKUP(C30, '[1]India EXIM'!$B$6:$C$580, 2, FALSE)</f>
        <v>6.8903465726999999E-2</v>
      </c>
      <c r="H30" s="11">
        <f>VLOOKUP(C30, '[1]China EXIM'!$B$6:$D$580, 3, FALSE)</f>
        <v>4.4159612465819995</v>
      </c>
    </row>
    <row r="31" spans="2:8" ht="27.95">
      <c r="B31" s="9" t="s">
        <v>1167</v>
      </c>
      <c r="C31" s="7">
        <v>841280</v>
      </c>
      <c r="D31" s="8" t="s">
        <v>838</v>
      </c>
      <c r="E31" s="9" t="s">
        <v>22</v>
      </c>
      <c r="F31" s="17" t="str">
        <f>_xlfn.IFNA(VLOOKUP(C31, '[2]Unique HS'!$B$4:$J$999, 9, FALSE), "No")</f>
        <v>Yes</v>
      </c>
      <c r="G31" s="18">
        <f>VLOOKUP(C31, '[1]India EXIM'!$B$6:$C$580, 2, FALSE)</f>
        <v>8.9221272129999998E-3</v>
      </c>
      <c r="H31" s="11">
        <f>VLOOKUP(C31, '[1]China EXIM'!$B$6:$D$580, 3, FALSE)</f>
        <v>1.064322781522</v>
      </c>
    </row>
    <row r="32" spans="2:8" ht="27.95">
      <c r="B32" s="9" t="s">
        <v>1167</v>
      </c>
      <c r="C32" s="7">
        <v>821300</v>
      </c>
      <c r="D32" s="8" t="s">
        <v>545</v>
      </c>
      <c r="E32" s="9" t="s">
        <v>55</v>
      </c>
      <c r="F32" s="17" t="str">
        <f>_xlfn.IFNA(VLOOKUP(C32, '[2]Unique HS'!$B$4:$J$999, 9, FALSE), "No")</f>
        <v>Yes</v>
      </c>
      <c r="G32" s="18">
        <f>VLOOKUP(C32, '[1]India EXIM'!$B$6:$C$580, 2, FALSE)</f>
        <v>1.2219486073999999E-2</v>
      </c>
      <c r="H32" s="11">
        <f>VLOOKUP(C32, '[1]China EXIM'!$B$6:$D$580, 3, FALSE)</f>
        <v>1.0500670898539999</v>
      </c>
    </row>
    <row r="33" spans="2:8" ht="27.95">
      <c r="B33" s="9" t="s">
        <v>1167</v>
      </c>
      <c r="C33" s="7">
        <v>841239</v>
      </c>
      <c r="D33" s="8" t="s">
        <v>442</v>
      </c>
      <c r="E33" s="9" t="s">
        <v>22</v>
      </c>
      <c r="F33" s="17" t="str">
        <f>_xlfn.IFNA(VLOOKUP(C33, '[2]Unique HS'!$B$4:$J$999, 9, FALSE), "No")</f>
        <v>Yes</v>
      </c>
      <c r="G33" s="18">
        <f>VLOOKUP(C33, '[1]India EXIM'!$B$6:$C$580, 2, FALSE)</f>
        <v>3.9114681451E-2</v>
      </c>
      <c r="H33" s="11">
        <f>VLOOKUP(C33, '[1]China EXIM'!$B$6:$D$580, 3, FALSE)</f>
        <v>1.045914108796</v>
      </c>
    </row>
    <row r="34" spans="2:8" ht="27.95">
      <c r="B34" s="9" t="s">
        <v>1167</v>
      </c>
      <c r="C34" s="7">
        <v>851680</v>
      </c>
      <c r="D34" s="8" t="s">
        <v>356</v>
      </c>
      <c r="E34" s="9" t="s">
        <v>30</v>
      </c>
      <c r="F34" s="17" t="str">
        <f>_xlfn.IFNA(VLOOKUP(C34, '[2]Unique HS'!$B$4:$J$999, 9, FALSE), "No")</f>
        <v>Yes</v>
      </c>
      <c r="G34" s="22">
        <f>VLOOKUP(C34, '[1]India EXIM'!$B$6:$C$580, 2, FALSE)</f>
        <v>5.6017180902000002E-2</v>
      </c>
      <c r="H34" s="11">
        <f>VLOOKUP(C34, '[1]China EXIM'!$B$6:$D$580, 3, FALSE)</f>
        <v>5.7814885885749998</v>
      </c>
    </row>
    <row r="35" spans="2:8" ht="27.95">
      <c r="B35" s="9" t="s">
        <v>1167</v>
      </c>
      <c r="C35" s="7">
        <v>842390</v>
      </c>
      <c r="D35" s="8" t="s">
        <v>483</v>
      </c>
      <c r="E35" s="9" t="s">
        <v>22</v>
      </c>
      <c r="F35" s="17" t="str">
        <f>_xlfn.IFNA(VLOOKUP(C35, '[2]Unique HS'!$B$4:$J$999, 9, FALSE), "No")</f>
        <v>Yes</v>
      </c>
      <c r="G35" s="18">
        <f>VLOOKUP(C35, '[1]India EXIM'!$B$6:$C$580, 2, FALSE)</f>
        <v>3.2859428507999999E-2</v>
      </c>
      <c r="H35" s="11">
        <f>VLOOKUP(C35, '[1]China EXIM'!$B$6:$D$580, 3, FALSE)</f>
        <v>0.96308819597299999</v>
      </c>
    </row>
    <row r="36" spans="2:8" ht="27.95">
      <c r="B36" s="9" t="s">
        <v>1167</v>
      </c>
      <c r="C36" s="7">
        <v>962000</v>
      </c>
      <c r="D36" s="8" t="s">
        <v>537</v>
      </c>
      <c r="E36" s="9" t="s">
        <v>166</v>
      </c>
      <c r="F36" s="17" t="str">
        <f>_xlfn.IFNA(VLOOKUP(C36, '[2]Unique HS'!$B$4:$J$999, 9, FALSE), "No")</f>
        <v>Yes</v>
      </c>
      <c r="G36" s="18">
        <f>VLOOKUP(C36, '[1]India EXIM'!$B$6:$C$580, 2, FALSE)</f>
        <v>2.7167896565000002E-2</v>
      </c>
      <c r="H36" s="11">
        <f>VLOOKUP(C36, '[1]China EXIM'!$B$6:$D$580, 3, FALSE)</f>
        <v>0.94283574407699999</v>
      </c>
    </row>
    <row r="37" spans="2:8" ht="27.95">
      <c r="B37" s="9" t="s">
        <v>1167</v>
      </c>
      <c r="C37" s="7">
        <v>850120</v>
      </c>
      <c r="D37" s="8" t="s">
        <v>404</v>
      </c>
      <c r="E37" s="9" t="s">
        <v>30</v>
      </c>
      <c r="F37" s="17" t="str">
        <f>_xlfn.IFNA(VLOOKUP(C37, '[2]Unique HS'!$B$4:$J$999, 9, FALSE), "No")</f>
        <v>Yes</v>
      </c>
      <c r="G37" s="22">
        <f>VLOOKUP(C37, '[1]India EXIM'!$B$6:$C$580, 2, FALSE)</f>
        <v>4.5927919101000005E-2</v>
      </c>
      <c r="H37" s="11">
        <f>VLOOKUP(C37, '[1]China EXIM'!$B$6:$D$580, 3, FALSE)</f>
        <v>0.96974949074299999</v>
      </c>
    </row>
    <row r="38" spans="2:8" ht="27.95">
      <c r="B38" s="9" t="s">
        <v>1167</v>
      </c>
      <c r="C38" s="7">
        <v>850132</v>
      </c>
      <c r="D38" s="8" t="s">
        <v>424</v>
      </c>
      <c r="E38" s="9" t="s">
        <v>30</v>
      </c>
      <c r="F38" s="17" t="str">
        <f>_xlfn.IFNA(VLOOKUP(C38, '[2]Unique HS'!$B$4:$J$999, 9, FALSE), "No")</f>
        <v>Yes</v>
      </c>
      <c r="G38" s="22">
        <f>VLOOKUP(C38, '[1]India EXIM'!$B$6:$C$580, 2, FALSE)</f>
        <v>4.4283241871000002E-2</v>
      </c>
      <c r="H38" s="11">
        <f>VLOOKUP(C38, '[1]China EXIM'!$B$6:$D$580, 3, FALSE)</f>
        <v>3.0923400794410001</v>
      </c>
    </row>
    <row r="39" spans="2:8" ht="27.95">
      <c r="B39" s="9" t="s">
        <v>1167</v>
      </c>
      <c r="C39" s="7">
        <v>850520</v>
      </c>
      <c r="D39" s="8" t="s">
        <v>654</v>
      </c>
      <c r="E39" s="9" t="s">
        <v>30</v>
      </c>
      <c r="F39" s="17" t="str">
        <f>_xlfn.IFNA(VLOOKUP(C39, '[2]Unique HS'!$B$4:$J$999, 9, FALSE), "No")</f>
        <v>Yes</v>
      </c>
      <c r="G39" s="18">
        <f>VLOOKUP(C39, '[1]India EXIM'!$B$6:$C$580, 2, FALSE)</f>
        <v>1.7929759885999999E-2</v>
      </c>
      <c r="H39" s="11">
        <f>VLOOKUP(C39, '[1]China EXIM'!$B$6:$D$580, 3, FALSE)</f>
        <v>0.96731026323899993</v>
      </c>
    </row>
    <row r="40" spans="2:8" ht="27.95">
      <c r="B40" s="9" t="s">
        <v>1167</v>
      </c>
      <c r="C40" s="7">
        <v>850590</v>
      </c>
      <c r="D40" s="8" t="s">
        <v>263</v>
      </c>
      <c r="E40" s="9" t="s">
        <v>30</v>
      </c>
      <c r="F40" s="17" t="str">
        <f>_xlfn.IFNA(VLOOKUP(C40, '[2]Unique HS'!$B$4:$J$999, 9, FALSE), "No")</f>
        <v>Yes</v>
      </c>
      <c r="G40" s="18">
        <f>VLOOKUP(C40, '[1]India EXIM'!$B$6:$C$580, 2, FALSE)</f>
        <v>8.8738987140000003E-2</v>
      </c>
      <c r="H40" s="11">
        <f>VLOOKUP(C40, '[1]China EXIM'!$B$6:$D$580, 3, FALSE)</f>
        <v>3.2888021665890004</v>
      </c>
    </row>
    <row r="41" spans="2:8" ht="27.95">
      <c r="B41" s="9" t="s">
        <v>1167</v>
      </c>
      <c r="C41" s="7">
        <v>820720</v>
      </c>
      <c r="D41" s="8" t="s">
        <v>649</v>
      </c>
      <c r="E41" s="9" t="s">
        <v>149</v>
      </c>
      <c r="F41" s="17" t="str">
        <f>_xlfn.IFNA(VLOOKUP(C41, '[2]Unique HS'!$B$4:$J$999, 9, FALSE), "No")</f>
        <v>Yes</v>
      </c>
      <c r="G41" s="18">
        <f>VLOOKUP(C41, '[1]India EXIM'!$B$6:$C$580, 2, FALSE)</f>
        <v>3.6606259057999996E-2</v>
      </c>
      <c r="H41" s="11">
        <f>VLOOKUP(C41, '[1]China EXIM'!$B$6:$D$580, 3, FALSE)</f>
        <v>0.78806860611600005</v>
      </c>
    </row>
    <row r="42" spans="2:8" ht="42">
      <c r="B42" s="9" t="s">
        <v>1167</v>
      </c>
      <c r="C42" s="7">
        <v>854151</v>
      </c>
      <c r="D42" s="8" t="s">
        <v>666</v>
      </c>
      <c r="E42" s="9" t="s">
        <v>46</v>
      </c>
      <c r="F42" s="17" t="str">
        <f>_xlfn.IFNA(VLOOKUP(C42, '[2]Unique HS'!$B$4:$J$999, 9, FALSE), "No")</f>
        <v>Yes</v>
      </c>
      <c r="G42" s="19">
        <f>VLOOKUP(C42, '[1]India EXIM'!$B$6:$C$580, 2, FALSE)</f>
        <v>4.5499528200000005E-3</v>
      </c>
      <c r="H42" s="11">
        <f>VLOOKUP(C42, '[1]China EXIM'!$B$6:$D$580, 3, FALSE)</f>
        <v>0.74864945711100006</v>
      </c>
    </row>
    <row r="43" spans="2:8" ht="27.95">
      <c r="B43" s="9" t="s">
        <v>1167</v>
      </c>
      <c r="C43" s="7">
        <v>850433</v>
      </c>
      <c r="D43" s="8" t="s">
        <v>507</v>
      </c>
      <c r="E43" s="9" t="s">
        <v>30</v>
      </c>
      <c r="F43" s="17" t="str">
        <f>_xlfn.IFNA(VLOOKUP(C43, '[2]Unique HS'!$B$4:$J$999, 9, FALSE), "No")</f>
        <v>Yes</v>
      </c>
      <c r="G43" s="22">
        <f>VLOOKUP(C43, '[1]India EXIM'!$B$6:$C$580, 2, FALSE)</f>
        <v>3.0344638638E-2</v>
      </c>
      <c r="H43" s="11">
        <f>VLOOKUP(C43, '[1]China EXIM'!$B$6:$D$580, 3, FALSE)</f>
        <v>1.5922873954319998</v>
      </c>
    </row>
    <row r="44" spans="2:8" ht="27.95">
      <c r="B44" s="9" t="s">
        <v>1167</v>
      </c>
      <c r="C44" s="7">
        <v>902910</v>
      </c>
      <c r="D44" s="8" t="s">
        <v>682</v>
      </c>
      <c r="E44" s="9" t="s">
        <v>166</v>
      </c>
      <c r="F44" s="17" t="str">
        <f>_xlfn.IFNA(VLOOKUP(C44, '[2]Unique HS'!$B$4:$J$999, 9, FALSE), "No")</f>
        <v>Yes</v>
      </c>
      <c r="G44" s="18">
        <f>VLOOKUP(C44, '[1]India EXIM'!$B$6:$C$580, 2, FALSE)</f>
        <v>1.1068616083000001E-2</v>
      </c>
      <c r="H44" s="11">
        <f>VLOOKUP(C44, '[1]China EXIM'!$B$6:$D$580, 3, FALSE)</f>
        <v>0.71351973504499999</v>
      </c>
    </row>
    <row r="45" spans="2:8" ht="27.95">
      <c r="B45" s="9" t="s">
        <v>1167</v>
      </c>
      <c r="C45" s="7">
        <v>901820</v>
      </c>
      <c r="D45" s="8" t="s">
        <v>703</v>
      </c>
      <c r="E45" s="9" t="s">
        <v>166</v>
      </c>
      <c r="F45" s="17" t="str">
        <f>_xlfn.IFNA(VLOOKUP(C45, '[2]Unique HS'!$B$4:$J$999, 9, FALSE), "No")</f>
        <v>Yes</v>
      </c>
      <c r="G45" s="18">
        <f>VLOOKUP(C45, '[1]India EXIM'!$B$6:$C$580, 2, FALSE)</f>
        <v>1.7743136910000001E-3</v>
      </c>
      <c r="H45" s="11">
        <f>VLOOKUP(C45, '[1]China EXIM'!$B$6:$D$580, 3, FALSE)</f>
        <v>0.67993905700000001</v>
      </c>
    </row>
    <row r="46" spans="2:8" ht="56.1">
      <c r="B46" s="9" t="s">
        <v>1167</v>
      </c>
      <c r="C46" s="7">
        <v>847010</v>
      </c>
      <c r="D46" s="8" t="s">
        <v>495</v>
      </c>
      <c r="E46" s="9" t="s">
        <v>496</v>
      </c>
      <c r="F46" s="17" t="str">
        <f>_xlfn.IFNA(VLOOKUP(C46, '[2]Unique HS'!$B$4:$J$999, 9, FALSE), "No")</f>
        <v>Yes</v>
      </c>
      <c r="G46" s="18">
        <f>VLOOKUP(C46, '[1]India EXIM'!$B$6:$C$580, 2, FALSE)</f>
        <v>3.2107419157000001E-2</v>
      </c>
      <c r="H46" s="11">
        <f>VLOOKUP(C46, '[1]China EXIM'!$B$6:$D$580, 3, FALSE)</f>
        <v>0.66370427959799994</v>
      </c>
    </row>
    <row r="47" spans="2:8" ht="42">
      <c r="B47" s="9" t="s">
        <v>1167</v>
      </c>
      <c r="C47" s="7">
        <v>940210</v>
      </c>
      <c r="D47" s="8" t="s">
        <v>780</v>
      </c>
      <c r="E47" s="9" t="s">
        <v>496</v>
      </c>
      <c r="F47" s="17" t="str">
        <f>_xlfn.IFNA(VLOOKUP(C47, '[2]Unique HS'!$B$4:$J$999, 9, FALSE), "No")</f>
        <v>Yes</v>
      </c>
      <c r="G47" s="18">
        <f>VLOOKUP(C47, '[1]India EXIM'!$B$6:$C$580, 2, FALSE)</f>
        <v>1.1074181006999998E-2</v>
      </c>
      <c r="H47" s="11">
        <f>VLOOKUP(C47, '[1]China EXIM'!$B$6:$D$580, 3, FALSE)</f>
        <v>0.65169036718100004</v>
      </c>
    </row>
    <row r="48" spans="2:8" ht="42">
      <c r="B48" s="9" t="s">
        <v>1167</v>
      </c>
      <c r="C48" s="7">
        <v>840510</v>
      </c>
      <c r="D48" s="8" t="s">
        <v>746</v>
      </c>
      <c r="E48" s="9" t="s">
        <v>22</v>
      </c>
      <c r="F48" s="17" t="str">
        <f>_xlfn.IFNA(VLOOKUP(C48, '[2]Unique HS'!$B$4:$J$999, 9, FALSE), "No")</f>
        <v>Yes</v>
      </c>
      <c r="G48" s="18">
        <f>VLOOKUP(C48, '[1]India EXIM'!$B$6:$C$580, 2, FALSE)</f>
        <v>3.5147464731999999E-2</v>
      </c>
      <c r="H48" s="11">
        <f>VLOOKUP(C48, '[1]China EXIM'!$B$6:$D$580, 3, FALSE)</f>
        <v>0.60610802675600006</v>
      </c>
    </row>
    <row r="49" spans="2:8" ht="27.95">
      <c r="B49" s="9" t="s">
        <v>1167</v>
      </c>
      <c r="C49" s="7">
        <v>853529</v>
      </c>
      <c r="D49" s="8" t="s">
        <v>634</v>
      </c>
      <c r="E49" s="9" t="s">
        <v>30</v>
      </c>
      <c r="F49" s="17" t="str">
        <f>_xlfn.IFNA(VLOOKUP(C49, '[2]Unique HS'!$B$4:$J$999, 9, FALSE), "No")</f>
        <v>No</v>
      </c>
      <c r="G49" s="22">
        <f>VLOOKUP(C49, '[1]India EXIM'!$B$6:$C$580, 2, FALSE)</f>
        <v>2.0290498439E-2</v>
      </c>
      <c r="H49" s="11">
        <f>VLOOKUP(C49, '[1]China EXIM'!$B$6:$D$580, 3, FALSE)</f>
        <v>0.84946158776799996</v>
      </c>
    </row>
    <row r="50" spans="2:8" ht="27.95">
      <c r="B50" s="9" t="s">
        <v>1167</v>
      </c>
      <c r="C50" s="7">
        <v>960610</v>
      </c>
      <c r="D50" s="8" t="s">
        <v>498</v>
      </c>
      <c r="E50" s="9" t="s">
        <v>166</v>
      </c>
      <c r="F50" s="17" t="str">
        <f>_xlfn.IFNA(VLOOKUP(C50, '[2]Unique HS'!$B$4:$J$999, 9, FALSE), "No")</f>
        <v>Yes</v>
      </c>
      <c r="G50" s="18">
        <f>VLOOKUP(C50, '[1]India EXIM'!$B$6:$C$580, 2, FALSE)</f>
        <v>3.2039943272999999E-2</v>
      </c>
      <c r="H50" s="11">
        <f>VLOOKUP(C50, '[1]China EXIM'!$B$6:$D$580, 3, FALSE)</f>
        <v>0.55107627081700006</v>
      </c>
    </row>
    <row r="51" spans="2:8" ht="27.95">
      <c r="B51" s="9" t="s">
        <v>1167</v>
      </c>
      <c r="C51" s="7">
        <v>850434</v>
      </c>
      <c r="D51" s="8" t="s">
        <v>513</v>
      </c>
      <c r="E51" s="9" t="s">
        <v>30</v>
      </c>
      <c r="F51" s="17" t="str">
        <f>_xlfn.IFNA(VLOOKUP(C51, '[2]Unique HS'!$B$4:$J$999, 9, FALSE), "No")</f>
        <v>Yes</v>
      </c>
      <c r="G51" s="22">
        <f>VLOOKUP(C51, '[1]India EXIM'!$B$6:$C$580, 2, FALSE)</f>
        <v>2.9582884556000003E-2</v>
      </c>
      <c r="H51" s="11">
        <f>VLOOKUP(C51, '[1]China EXIM'!$B$6:$D$580, 3, FALSE)</f>
        <v>1.8455879194930001</v>
      </c>
    </row>
    <row r="52" spans="2:8" ht="56.1">
      <c r="B52" s="9" t="s">
        <v>1167</v>
      </c>
      <c r="C52" s="7">
        <v>761210</v>
      </c>
      <c r="D52" s="8" t="s">
        <v>700</v>
      </c>
      <c r="E52" s="9" t="s">
        <v>22</v>
      </c>
      <c r="F52" s="17" t="str">
        <f>_xlfn.IFNA(VLOOKUP(C52, '[2]Unique HS'!$B$4:$J$999, 9, FALSE), "No")</f>
        <v>No</v>
      </c>
      <c r="G52" s="18">
        <f>VLOOKUP(C52, '[1]India EXIM'!$B$6:$C$580, 2, FALSE)</f>
        <v>1.5895091016E-2</v>
      </c>
      <c r="H52" s="11">
        <f>VLOOKUP(C52, '[1]China EXIM'!$B$6:$D$580, 3, FALSE)</f>
        <v>0.534309518845</v>
      </c>
    </row>
    <row r="53" spans="2:8" ht="27.95">
      <c r="B53" s="9" t="s">
        <v>1167</v>
      </c>
      <c r="C53" s="7">
        <v>853540</v>
      </c>
      <c r="D53" s="8" t="s">
        <v>535</v>
      </c>
      <c r="E53" s="9" t="s">
        <v>30</v>
      </c>
      <c r="F53" s="17" t="str">
        <f>_xlfn.IFNA(VLOOKUP(C53, '[2]Unique HS'!$B$4:$J$999, 9, FALSE), "No")</f>
        <v>Yes</v>
      </c>
      <c r="G53" s="22">
        <f>VLOOKUP(C53, '[1]India EXIM'!$B$6:$C$580, 2, FALSE)</f>
        <v>2.7255916562E-2</v>
      </c>
      <c r="H53" s="11">
        <f>VLOOKUP(C53, '[1]China EXIM'!$B$6:$D$580, 3, FALSE)</f>
        <v>0.60129648877800002</v>
      </c>
    </row>
    <row r="54" spans="2:8" ht="27.95">
      <c r="B54" s="9" t="s">
        <v>1167</v>
      </c>
      <c r="C54" s="7">
        <v>830790</v>
      </c>
      <c r="D54" s="8" t="s">
        <v>845</v>
      </c>
      <c r="E54" s="9" t="s">
        <v>22</v>
      </c>
      <c r="F54" s="17" t="str">
        <f>_xlfn.IFNA(VLOOKUP(C54, '[2]Unique HS'!$B$4:$J$999, 9, FALSE), "No")</f>
        <v>Yes</v>
      </c>
      <c r="G54" s="18">
        <f>VLOOKUP(C54, '[1]India EXIM'!$B$6:$C$580, 2, FALSE)</f>
        <v>8.4821992919999999E-3</v>
      </c>
      <c r="H54" s="11">
        <f>VLOOKUP(C54, '[1]China EXIM'!$B$6:$D$580, 3, FALSE)</f>
        <v>0.419475972556</v>
      </c>
    </row>
    <row r="55" spans="2:8" ht="27.95">
      <c r="B55" s="9" t="s">
        <v>1167</v>
      </c>
      <c r="C55" s="7">
        <v>850172</v>
      </c>
      <c r="D55" s="8" t="s">
        <v>608</v>
      </c>
      <c r="E55" s="9" t="s">
        <v>30</v>
      </c>
      <c r="F55" s="17" t="str">
        <f>_xlfn.IFNA(VLOOKUP(C55, '[2]Unique HS'!$B$4:$J$999, 9, FALSE), "No")</f>
        <v>Yes</v>
      </c>
      <c r="G55" s="22">
        <f>VLOOKUP(C55, '[1]India EXIM'!$B$6:$C$580, 2, FALSE)</f>
        <v>2.1581466842000002E-2</v>
      </c>
      <c r="H55" s="11">
        <f>VLOOKUP(C55, '[1]China EXIM'!$B$6:$D$580, 3, FALSE)</f>
        <v>0.32134535011400001</v>
      </c>
    </row>
    <row r="56" spans="2:8" ht="42">
      <c r="B56" s="9" t="s">
        <v>1167</v>
      </c>
      <c r="C56" s="7">
        <v>853670</v>
      </c>
      <c r="D56" s="8" t="s">
        <v>872</v>
      </c>
      <c r="E56" s="9" t="s">
        <v>46</v>
      </c>
      <c r="F56" s="17" t="str">
        <f>_xlfn.IFNA(VLOOKUP(C56, '[2]Unique HS'!$B$4:$J$999, 9, FALSE), "No")</f>
        <v>Yes</v>
      </c>
      <c r="G56" s="22">
        <f>VLOOKUP(C56, '[1]India EXIM'!$B$6:$C$580, 2, FALSE)</f>
        <v>4.5656064144000003E-2</v>
      </c>
      <c r="H56" s="11">
        <f>VLOOKUP(C56, '[1]China EXIM'!$B$6:$D$580, 3, FALSE)</f>
        <v>2.0770471989520001</v>
      </c>
    </row>
    <row r="57" spans="2:8" ht="56.1">
      <c r="B57" s="9" t="s">
        <v>1167</v>
      </c>
      <c r="C57" s="7">
        <v>961100</v>
      </c>
      <c r="D57" s="8" t="s">
        <v>997</v>
      </c>
      <c r="E57" s="9" t="s">
        <v>496</v>
      </c>
      <c r="F57" s="17" t="str">
        <f>_xlfn.IFNA(VLOOKUP(C57, '[2]Unique HS'!$B$4:$J$999, 9, FALSE), "No")</f>
        <v>Yes</v>
      </c>
      <c r="G57" s="18">
        <f>VLOOKUP(C57, '[1]India EXIM'!$B$6:$C$580, 2, FALSE)</f>
        <v>2.3619752119999997E-3</v>
      </c>
      <c r="H57" s="11">
        <f>VLOOKUP(C57, '[1]China EXIM'!$B$6:$D$580, 3, FALSE)</f>
        <v>0.307475996315</v>
      </c>
    </row>
    <row r="58" spans="2:8" ht="27.95">
      <c r="B58" s="9" t="s">
        <v>1167</v>
      </c>
      <c r="C58" s="7">
        <v>900659</v>
      </c>
      <c r="D58" s="8" t="s">
        <v>934</v>
      </c>
      <c r="E58" s="9" t="s">
        <v>166</v>
      </c>
      <c r="F58" s="17" t="str">
        <f>_xlfn.IFNA(VLOOKUP(C58, '[2]Unique HS'!$B$4:$J$999, 9, FALSE), "No")</f>
        <v>Yes</v>
      </c>
      <c r="G58" s="18">
        <f>VLOOKUP(C58, '[1]India EXIM'!$B$6:$C$580, 2, FALSE)</f>
        <v>6.5109362100000006E-4</v>
      </c>
      <c r="H58" s="11">
        <f>VLOOKUP(C58, '[1]China EXIM'!$B$6:$D$580, 3, FALSE)</f>
        <v>0.273228796163</v>
      </c>
    </row>
    <row r="59" spans="2:8" ht="27.95">
      <c r="B59" s="9" t="s">
        <v>1167</v>
      </c>
      <c r="C59" s="7">
        <v>848020</v>
      </c>
      <c r="D59" s="8" t="s">
        <v>952</v>
      </c>
      <c r="E59" s="9" t="s">
        <v>149</v>
      </c>
      <c r="F59" s="17" t="str">
        <f>_xlfn.IFNA(VLOOKUP(C59, '[2]Unique HS'!$B$4:$J$999, 9, FALSE), "No")</f>
        <v>No</v>
      </c>
      <c r="G59" s="18">
        <f>VLOOKUP(C59, '[1]India EXIM'!$B$6:$C$580, 2, FALSE)</f>
        <v>7.7974139249999998E-3</v>
      </c>
      <c r="H59" s="11">
        <f>VLOOKUP(C59, '[1]China EXIM'!$B$6:$D$580, 3, FALSE)</f>
        <v>0.23696839887099999</v>
      </c>
    </row>
    <row r="60" spans="2:8" ht="27.95">
      <c r="B60" s="9" t="s">
        <v>1167</v>
      </c>
      <c r="C60" s="7">
        <v>910690</v>
      </c>
      <c r="D60" s="8" t="s">
        <v>895</v>
      </c>
      <c r="E60" s="9" t="s">
        <v>496</v>
      </c>
      <c r="F60" s="17" t="str">
        <f>_xlfn.IFNA(VLOOKUP(C60, '[2]Unique HS'!$B$4:$J$999, 9, FALSE), "No")</f>
        <v>Yes</v>
      </c>
      <c r="G60" s="18">
        <f>VLOOKUP(C60, '[1]India EXIM'!$B$6:$C$580, 2, FALSE)</f>
        <v>6.804530229E-3</v>
      </c>
      <c r="H60" s="11">
        <f>VLOOKUP(C60, '[1]China EXIM'!$B$6:$D$580, 3, FALSE)</f>
        <v>0.23596275968700001</v>
      </c>
    </row>
    <row r="61" spans="2:8" ht="27.95">
      <c r="B61" s="9" t="s">
        <v>1167</v>
      </c>
      <c r="C61" s="7">
        <v>848030</v>
      </c>
      <c r="D61" s="8" t="s">
        <v>979</v>
      </c>
      <c r="E61" s="9" t="s">
        <v>149</v>
      </c>
      <c r="F61" s="17" t="str">
        <f>_xlfn.IFNA(VLOOKUP(C61, '[2]Unique HS'!$B$4:$J$999, 9, FALSE), "No")</f>
        <v>No</v>
      </c>
      <c r="G61" s="18">
        <f>VLOOKUP(C61, '[1]India EXIM'!$B$6:$C$580, 2, FALSE)</f>
        <v>5.9782654610000003E-3</v>
      </c>
      <c r="H61" s="11">
        <f>VLOOKUP(C61, '[1]China EXIM'!$B$6:$D$580, 3, FALSE)</f>
        <v>0.21058401174300001</v>
      </c>
    </row>
    <row r="62" spans="2:8" ht="27.95">
      <c r="B62" s="9" t="s">
        <v>1167</v>
      </c>
      <c r="C62" s="7">
        <v>850161</v>
      </c>
      <c r="D62" s="8" t="s">
        <v>611</v>
      </c>
      <c r="E62" s="9" t="s">
        <v>30</v>
      </c>
      <c r="F62" s="17" t="str">
        <f>_xlfn.IFNA(VLOOKUP(C62, '[2]Unique HS'!$B$4:$J$999, 9, FALSE), "No")</f>
        <v>Yes</v>
      </c>
      <c r="G62" s="22">
        <f>VLOOKUP(C62, '[1]India EXIM'!$B$6:$C$580, 2, FALSE)</f>
        <v>2.1354297857E-2</v>
      </c>
      <c r="H62" s="11">
        <f>VLOOKUP(C62, '[1]China EXIM'!$B$6:$D$580, 3, FALSE)</f>
        <v>1.0933227636240002</v>
      </c>
    </row>
    <row r="63" spans="2:8" ht="27.95">
      <c r="B63" s="9" t="s">
        <v>1167</v>
      </c>
      <c r="C63" s="7">
        <v>853530</v>
      </c>
      <c r="D63" s="8" t="s">
        <v>641</v>
      </c>
      <c r="E63" s="3" t="s">
        <v>30</v>
      </c>
      <c r="F63" s="17" t="str">
        <f>_xlfn.IFNA(VLOOKUP(C63, '[2]Unique HS'!$B$4:$J$999, 9, FALSE), "No")</f>
        <v>Yes</v>
      </c>
      <c r="G63" s="22">
        <f>VLOOKUP(C63, '[1]India EXIM'!$B$6:$C$580, 2, FALSE)</f>
        <v>1.8822590954999999E-2</v>
      </c>
      <c r="H63" s="11">
        <f>VLOOKUP(C63, '[1]China EXIM'!$B$6:$D$580, 3, FALSE)</f>
        <v>2.5505714633839998</v>
      </c>
    </row>
    <row r="64" spans="2:8" ht="27.95">
      <c r="B64" s="9" t="s">
        <v>1167</v>
      </c>
      <c r="C64" s="7">
        <v>910700</v>
      </c>
      <c r="D64" s="8" t="s">
        <v>727</v>
      </c>
      <c r="E64" s="9" t="s">
        <v>30</v>
      </c>
      <c r="F64" s="17" t="str">
        <f>_xlfn.IFNA(VLOOKUP(C64, '[2]Unique HS'!$B$4:$J$999, 9, FALSE), "No")</f>
        <v>Yes</v>
      </c>
      <c r="G64" s="22">
        <f>VLOOKUP(C64, '[1]India EXIM'!$B$6:$C$580, 2, FALSE)</f>
        <v>1.394198411E-2</v>
      </c>
      <c r="H64" s="11">
        <f>VLOOKUP(C64, '[1]China EXIM'!$B$6:$D$580, 3, FALSE)</f>
        <v>0.403731029874</v>
      </c>
    </row>
    <row r="65" spans="2:8" ht="27.95">
      <c r="B65" s="9" t="s">
        <v>1167</v>
      </c>
      <c r="C65" s="7">
        <v>850421</v>
      </c>
      <c r="D65" s="8" t="s">
        <v>774</v>
      </c>
      <c r="E65" s="9" t="s">
        <v>30</v>
      </c>
      <c r="F65" s="17" t="str">
        <f>_xlfn.IFNA(VLOOKUP(C65, '[2]Unique HS'!$B$4:$J$999, 9, FALSE), "No")</f>
        <v>Yes</v>
      </c>
      <c r="G65" s="22">
        <f>VLOOKUP(C65, '[1]India EXIM'!$B$6:$C$580, 2, FALSE)</f>
        <v>1.1319657554999999E-2</v>
      </c>
      <c r="H65" s="11">
        <f>VLOOKUP(C65, '[1]China EXIM'!$B$6:$D$580, 3, FALSE)</f>
        <v>3.309885401296</v>
      </c>
    </row>
    <row r="66" spans="2:8" ht="27.95">
      <c r="B66" s="9" t="s">
        <v>1167</v>
      </c>
      <c r="C66" s="7">
        <v>902830</v>
      </c>
      <c r="D66" s="8" t="s">
        <v>812</v>
      </c>
      <c r="E66" s="9" t="s">
        <v>30</v>
      </c>
      <c r="F66" s="17" t="str">
        <f>_xlfn.IFNA(VLOOKUP(C66, '[2]Unique HS'!$B$4:$J$999, 9, FALSE), "No")</f>
        <v>Yes</v>
      </c>
      <c r="G66" s="22">
        <f>VLOOKUP(C66, '[1]India EXIM'!$B$6:$C$580, 2, FALSE)</f>
        <v>9.6717872309999998E-3</v>
      </c>
      <c r="H66" s="11">
        <f>VLOOKUP(C66, '[1]China EXIM'!$B$6:$D$580, 3, FALSE)</f>
        <v>4.5150932140920004</v>
      </c>
    </row>
    <row r="67" spans="2:8" ht="27.95">
      <c r="B67" s="9" t="s">
        <v>1167</v>
      </c>
      <c r="C67" s="7">
        <v>850171</v>
      </c>
      <c r="D67" s="8" t="s">
        <v>1087</v>
      </c>
      <c r="E67" s="9" t="s">
        <v>30</v>
      </c>
      <c r="F67" s="17" t="str">
        <f>_xlfn.IFNA(VLOOKUP(C67, '[2]Unique HS'!$B$4:$J$999, 9, FALSE), "No")</f>
        <v>Yes</v>
      </c>
      <c r="G67" s="22">
        <f>VLOOKUP(C67, '[1]India EXIM'!$B$6:$C$580, 2, FALSE)</f>
        <v>3.2973400600000001E-4</v>
      </c>
      <c r="H67" s="11">
        <f>VLOOKUP(C67, '[1]China EXIM'!$B$6:$D$580, 3, FALSE)</f>
        <v>4.4804079109999999E-2</v>
      </c>
    </row>
    <row r="68" spans="2:8" ht="27.95">
      <c r="B68" s="9" t="s">
        <v>1167</v>
      </c>
      <c r="C68" s="7">
        <v>910610</v>
      </c>
      <c r="D68" s="8" t="s">
        <v>1105</v>
      </c>
      <c r="E68" s="9" t="s">
        <v>496</v>
      </c>
      <c r="F68" s="17" t="str">
        <f>_xlfn.IFNA(VLOOKUP(C68, '[2]Unique HS'!$B$4:$J$999, 9, FALSE), "No")</f>
        <v>No</v>
      </c>
      <c r="G68" s="22">
        <f>VLOOKUP(C68, '[1]India EXIM'!$B$6:$C$580, 2, FALSE)</f>
        <v>1.6944624400000002E-4</v>
      </c>
      <c r="H68" s="11">
        <f>VLOOKUP(C68, '[1]China EXIM'!$B$6:$D$580, 3, FALSE)</f>
        <v>0.15907361693900002</v>
      </c>
    </row>
    <row r="69" spans="2:8" ht="27.95">
      <c r="B69" s="9" t="s">
        <v>1167</v>
      </c>
      <c r="C69" s="7">
        <v>850180</v>
      </c>
      <c r="D69" s="8" t="s">
        <v>1090</v>
      </c>
      <c r="E69" s="9" t="s">
        <v>30</v>
      </c>
      <c r="F69" s="17" t="str">
        <f>_xlfn.IFNA(VLOOKUP(C69, '[2]Unique HS'!$B$4:$J$999, 9, FALSE), "No")</f>
        <v>Yes</v>
      </c>
      <c r="G69" s="22">
        <f>VLOOKUP(C69, '[1]India EXIM'!$B$6:$C$580, 2, FALSE)</f>
        <v>3.1704173999999997E-4</v>
      </c>
      <c r="H69" s="11">
        <f>VLOOKUP(C69, '[1]China EXIM'!$B$6:$D$580, 3, FALSE)</f>
        <v>0.14538443700799999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857AE-942A-45BB-A5F4-BCE7E2529783}">
  <dimension ref="B2:H64"/>
  <sheetViews>
    <sheetView zoomScale="59" workbookViewId="0">
      <selection activeCell="Q8" sqref="Q8"/>
    </sheetView>
  </sheetViews>
  <sheetFormatPr defaultRowHeight="14.45"/>
  <cols>
    <col min="2" max="2" width="11.85546875" customWidth="1"/>
    <col min="3" max="3" width="10.85546875" customWidth="1"/>
    <col min="4" max="4" width="49.140625" customWidth="1"/>
    <col min="5" max="5" width="19.85546875" customWidth="1"/>
    <col min="6" max="6" width="13.85546875" customWidth="1"/>
    <col min="7" max="8" width="18.28515625" customWidth="1"/>
  </cols>
  <sheetData>
    <row r="2" spans="2:8">
      <c r="B2" t="s">
        <v>1173</v>
      </c>
    </row>
    <row r="4" spans="2:8" ht="27.95">
      <c r="B4" s="4" t="s">
        <v>0</v>
      </c>
      <c r="C4" s="4" t="s">
        <v>1</v>
      </c>
      <c r="D4" s="4" t="s">
        <v>2</v>
      </c>
      <c r="E4" s="4" t="s">
        <v>6</v>
      </c>
      <c r="F4" s="4" t="s">
        <v>8</v>
      </c>
      <c r="G4" s="4" t="s">
        <v>9</v>
      </c>
      <c r="H4" s="4" t="s">
        <v>10</v>
      </c>
    </row>
    <row r="5" spans="2:8" ht="42">
      <c r="B5" s="17" t="s">
        <v>1174</v>
      </c>
      <c r="C5" s="7">
        <v>830300</v>
      </c>
      <c r="D5" s="8" t="s">
        <v>735</v>
      </c>
      <c r="E5" s="9" t="s">
        <v>496</v>
      </c>
      <c r="F5" s="17" t="str">
        <f>_xlfn.IFNA(VLOOKUP(C5, '[2]Unique HS'!$B$4:$J$999, 9, FALSE), "No")</f>
        <v>No</v>
      </c>
      <c r="G5" s="22">
        <f>VLOOKUP(C5, '[1]India EXIM'!$B$6:$C$580, 2, FALSE)</f>
        <v>1.3582398096999999E-2</v>
      </c>
      <c r="H5" s="11">
        <f>VLOOKUP(C5, '[1]China EXIM'!$B$6:$D$580, 3, FALSE)</f>
        <v>1.4064380931760001</v>
      </c>
    </row>
    <row r="6" spans="2:8" ht="56.1">
      <c r="B6" s="17" t="s">
        <v>1174</v>
      </c>
      <c r="C6" s="7">
        <v>830400</v>
      </c>
      <c r="D6" s="8" t="s">
        <v>1053</v>
      </c>
      <c r="E6" s="9" t="s">
        <v>496</v>
      </c>
      <c r="F6" s="17" t="str">
        <f>_xlfn.IFNA(VLOOKUP(C6, '[2]Unique HS'!$B$4:$J$999, 9, FALSE), "No")</f>
        <v>No</v>
      </c>
      <c r="G6" s="22">
        <f>VLOOKUP(C6, '[1]India EXIM'!$B$6:$C$580, 2, FALSE)</f>
        <v>8.7215386499999998E-4</v>
      </c>
      <c r="H6" s="11">
        <f>VLOOKUP(C6, '[1]China EXIM'!$B$6:$D$580, 3, FALSE)</f>
        <v>0.32985261162400004</v>
      </c>
    </row>
    <row r="7" spans="2:8" ht="27.95">
      <c r="B7" s="17" t="s">
        <v>1174</v>
      </c>
      <c r="C7" s="7">
        <v>840110</v>
      </c>
      <c r="D7" s="8" t="s">
        <v>1134</v>
      </c>
      <c r="E7" s="9" t="s">
        <v>30</v>
      </c>
      <c r="F7" s="17" t="str">
        <f>_xlfn.IFNA(VLOOKUP(C7, '[2]Unique HS'!$B$4:$J$999, 9, FALSE), "No")</f>
        <v>No</v>
      </c>
      <c r="G7" s="22">
        <f>VLOOKUP(C7, '[1]India EXIM'!$B$6:$C$580, 2, FALSE)</f>
        <v>0</v>
      </c>
      <c r="H7" s="11">
        <f>VLOOKUP(C7, '[1]China EXIM'!$B$6:$D$580, 3, FALSE)</f>
        <v>4.7518313899999999E-3</v>
      </c>
    </row>
    <row r="8" spans="2:8" ht="27.95">
      <c r="B8" s="17" t="s">
        <v>1174</v>
      </c>
      <c r="C8" s="7">
        <v>847021</v>
      </c>
      <c r="D8" s="8" t="s">
        <v>1060</v>
      </c>
      <c r="E8" s="9" t="s">
        <v>496</v>
      </c>
      <c r="F8" s="17" t="str">
        <f>_xlfn.IFNA(VLOOKUP(C8, '[2]Unique HS'!$B$4:$J$999, 9, FALSE), "No")</f>
        <v>No</v>
      </c>
      <c r="G8" s="22">
        <f>VLOOKUP(C8, '[1]India EXIM'!$B$6:$C$580, 2, FALSE)</f>
        <v>7.5886874399999995E-4</v>
      </c>
      <c r="H8" s="11">
        <f>VLOOKUP(C8, '[1]China EXIM'!$B$6:$D$580, 3, FALSE)</f>
        <v>0.110754325719</v>
      </c>
    </row>
    <row r="9" spans="2:8" ht="27.95">
      <c r="B9" s="17" t="s">
        <v>1174</v>
      </c>
      <c r="C9" s="7">
        <v>847029</v>
      </c>
      <c r="D9" s="8" t="s">
        <v>983</v>
      </c>
      <c r="E9" s="9" t="s">
        <v>496</v>
      </c>
      <c r="F9" s="17" t="str">
        <f>_xlfn.IFNA(VLOOKUP(C9, '[2]Unique HS'!$B$4:$J$999, 9, FALSE), "No")</f>
        <v>No</v>
      </c>
      <c r="G9" s="22">
        <f>VLOOKUP(C9, '[1]India EXIM'!$B$6:$C$580, 2, FALSE)</f>
        <v>2.8314211090000002E-3</v>
      </c>
      <c r="H9" s="11">
        <f>VLOOKUP(C9, '[1]China EXIM'!$B$6:$D$580, 3, FALSE)</f>
        <v>7.7263726754000006E-2</v>
      </c>
    </row>
    <row r="10" spans="2:8" ht="42">
      <c r="B10" s="17" t="s">
        <v>1174</v>
      </c>
      <c r="C10" s="7">
        <v>902300</v>
      </c>
      <c r="D10" s="8" t="s">
        <v>241</v>
      </c>
      <c r="E10" s="9" t="s">
        <v>166</v>
      </c>
      <c r="F10" s="17" t="str">
        <f>_xlfn.IFNA(VLOOKUP(C10, '[2]Unique HS'!$B$4:$J$999, 9, FALSE), "No")</f>
        <v>Yes</v>
      </c>
      <c r="G10" s="18">
        <f>VLOOKUP(C10, '[1]India EXIM'!$B$6:$C$580, 2, FALSE)</f>
        <v>6.698105930699999E-2</v>
      </c>
      <c r="H10" s="11">
        <f>VLOOKUP(C10, '[1]China EXIM'!$B$6:$D$580, 3, FALSE)</f>
        <v>3.7295665158649998</v>
      </c>
    </row>
    <row r="11" spans="2:8" ht="27.95">
      <c r="B11" s="17" t="s">
        <v>1174</v>
      </c>
      <c r="C11" s="7">
        <v>847030</v>
      </c>
      <c r="D11" s="8" t="s">
        <v>1029</v>
      </c>
      <c r="E11" s="9" t="s">
        <v>496</v>
      </c>
      <c r="F11" s="17" t="str">
        <f>_xlfn.IFNA(VLOOKUP(C11, '[2]Unique HS'!$B$4:$J$999, 9, FALSE), "No")</f>
        <v>No</v>
      </c>
      <c r="G11" s="22">
        <f>VLOOKUP(C11, '[1]India EXIM'!$B$6:$C$580, 2, FALSE)</f>
        <v>1.50649068E-3</v>
      </c>
      <c r="H11" s="11">
        <f>VLOOKUP(C11, '[1]China EXIM'!$B$6:$D$580, 3, FALSE)</f>
        <v>2.9745552083000001E-2</v>
      </c>
    </row>
    <row r="12" spans="2:8" ht="27.95">
      <c r="B12" s="17" t="s">
        <v>1174</v>
      </c>
      <c r="C12" s="7">
        <v>847090</v>
      </c>
      <c r="D12" s="8" t="s">
        <v>699</v>
      </c>
      <c r="E12" s="9" t="s">
        <v>496</v>
      </c>
      <c r="F12" s="17" t="str">
        <f>_xlfn.IFNA(VLOOKUP(C12, '[2]Unique HS'!$B$4:$J$999, 9, FALSE), "No")</f>
        <v>No</v>
      </c>
      <c r="G12" s="22">
        <f>VLOOKUP(C12, '[1]India EXIM'!$B$6:$C$580, 2, FALSE)</f>
        <v>1.6000479211E-2</v>
      </c>
      <c r="H12" s="11">
        <f>VLOOKUP(C12, '[1]China EXIM'!$B$6:$D$580, 3, FALSE)</f>
        <v>0.93761384495700006</v>
      </c>
    </row>
    <row r="13" spans="2:8" ht="27.95">
      <c r="B13" s="17" t="s">
        <v>1174</v>
      </c>
      <c r="C13" s="7">
        <v>847210</v>
      </c>
      <c r="D13" s="8" t="s">
        <v>1103</v>
      </c>
      <c r="E13" s="9" t="s">
        <v>496</v>
      </c>
      <c r="F13" s="17" t="str">
        <f>_xlfn.IFNA(VLOOKUP(C13, '[2]Unique HS'!$B$4:$J$999, 9, FALSE), "No")</f>
        <v>No</v>
      </c>
      <c r="G13" s="22">
        <f>VLOOKUP(C13, '[1]India EXIM'!$B$6:$C$580, 2, FALSE)</f>
        <v>1.7414815799999999E-4</v>
      </c>
      <c r="H13" s="11">
        <f>VLOOKUP(C13, '[1]China EXIM'!$B$6:$D$580, 3, FALSE)</f>
        <v>4.5503505248000002E-2</v>
      </c>
    </row>
    <row r="14" spans="2:8" ht="56.1">
      <c r="B14" s="17" t="s">
        <v>1174</v>
      </c>
      <c r="C14" s="7">
        <v>847230</v>
      </c>
      <c r="D14" s="8" t="s">
        <v>1107</v>
      </c>
      <c r="E14" s="9" t="s">
        <v>496</v>
      </c>
      <c r="F14" s="17" t="str">
        <f>_xlfn.IFNA(VLOOKUP(C14, '[2]Unique HS'!$B$4:$J$999, 9, FALSE), "No")</f>
        <v>No</v>
      </c>
      <c r="G14" s="22">
        <f>VLOOKUP(C14, '[1]India EXIM'!$B$6:$C$580, 2, FALSE)</f>
        <v>1.36286984E-4</v>
      </c>
      <c r="H14" s="11">
        <f>VLOOKUP(C14, '[1]China EXIM'!$B$6:$D$580, 3, FALSE)</f>
        <v>0.19303935058999999</v>
      </c>
    </row>
    <row r="15" spans="2:8" ht="27.95">
      <c r="B15" s="17" t="s">
        <v>1174</v>
      </c>
      <c r="C15" s="7">
        <v>847971</v>
      </c>
      <c r="D15" s="8" t="s">
        <v>888</v>
      </c>
      <c r="E15" s="9" t="s">
        <v>166</v>
      </c>
      <c r="F15" s="17" t="str">
        <f>_xlfn.IFNA(VLOOKUP(C15, '[2]Unique HS'!$B$4:$J$999, 9, FALSE), "No")</f>
        <v>No</v>
      </c>
      <c r="G15" s="22">
        <f>VLOOKUP(C15, '[1]India EXIM'!$B$6:$C$580, 2, FALSE)</f>
        <v>7.0562575060000004E-3</v>
      </c>
      <c r="H15" s="11">
        <f>VLOOKUP(C15, '[1]China EXIM'!$B$6:$D$580, 3, FALSE)</f>
        <v>0.11317481021600001</v>
      </c>
    </row>
    <row r="16" spans="2:8" ht="27.95">
      <c r="B16" s="17" t="s">
        <v>1174</v>
      </c>
      <c r="C16" s="7">
        <v>901811</v>
      </c>
      <c r="D16" s="8" t="s">
        <v>569</v>
      </c>
      <c r="E16" s="9" t="s">
        <v>166</v>
      </c>
      <c r="F16" s="17" t="str">
        <f>_xlfn.IFNA(VLOOKUP(C16, '[2]Unique HS'!$B$4:$J$999, 9, FALSE), "No")</f>
        <v>No</v>
      </c>
      <c r="G16" s="18">
        <f>VLOOKUP(C16, '[1]India EXIM'!$B$6:$C$580, 2, FALSE)</f>
        <v>2.4196861005E-2</v>
      </c>
      <c r="H16" s="11">
        <f>VLOOKUP(C16, '[1]China EXIM'!$B$6:$D$580, 3, FALSE)</f>
        <v>1.3136859153429998</v>
      </c>
    </row>
    <row r="17" spans="2:8" ht="42">
      <c r="B17" s="17" t="s">
        <v>1174</v>
      </c>
      <c r="C17" s="7">
        <v>850231</v>
      </c>
      <c r="D17" s="8" t="s">
        <v>786</v>
      </c>
      <c r="E17" s="9" t="s">
        <v>30</v>
      </c>
      <c r="F17" s="17" t="str">
        <f>_xlfn.IFNA(VLOOKUP(C17, '[2]Unique HS'!$B$4:$J$999, 9, FALSE), "No")</f>
        <v>No</v>
      </c>
      <c r="G17" s="22">
        <f>VLOOKUP(C17, '[1]India EXIM'!$B$6:$C$580, 2, FALSE)</f>
        <v>1.0939294332000001E-2</v>
      </c>
      <c r="H17" s="11">
        <f>VLOOKUP(C17, '[1]China EXIM'!$B$6:$D$580, 3, FALSE)</f>
        <v>5.2178171173220012</v>
      </c>
    </row>
    <row r="18" spans="2:8" ht="42">
      <c r="B18" s="17" t="s">
        <v>1174</v>
      </c>
      <c r="C18" s="7">
        <v>850239</v>
      </c>
      <c r="D18" s="8" t="s">
        <v>562</v>
      </c>
      <c r="E18" s="9" t="s">
        <v>30</v>
      </c>
      <c r="F18" s="17" t="str">
        <f>_xlfn.IFNA(VLOOKUP(C18, '[2]Unique HS'!$B$4:$J$999, 9, FALSE), "No")</f>
        <v>No</v>
      </c>
      <c r="G18" s="22">
        <f>VLOOKUP(C18, '[1]India EXIM'!$B$6:$C$580, 2, FALSE)</f>
        <v>2.541252594E-2</v>
      </c>
      <c r="H18" s="11">
        <f>VLOOKUP(C18, '[1]China EXIM'!$B$6:$D$580, 3, FALSE)</f>
        <v>2.2943463484810001</v>
      </c>
    </row>
    <row r="19" spans="2:8" ht="42">
      <c r="B19" s="17" t="s">
        <v>1174</v>
      </c>
      <c r="C19" s="7">
        <v>850422</v>
      </c>
      <c r="D19" s="8" t="s">
        <v>446</v>
      </c>
      <c r="E19" s="9" t="s">
        <v>30</v>
      </c>
      <c r="F19" s="17" t="str">
        <f>_xlfn.IFNA(VLOOKUP(C19, '[2]Unique HS'!$B$4:$J$999, 9, FALSE), "No")</f>
        <v>No</v>
      </c>
      <c r="G19" s="22">
        <f>VLOOKUP(C19, '[1]India EXIM'!$B$6:$C$580, 2, FALSE)</f>
        <v>3.8926518601999999E-2</v>
      </c>
      <c r="H19" s="11">
        <f>VLOOKUP(C19, '[1]China EXIM'!$B$6:$D$580, 3, FALSE)</f>
        <v>3.9319181300209998</v>
      </c>
    </row>
    <row r="20" spans="2:8" ht="27.95">
      <c r="B20" s="17" t="s">
        <v>1174</v>
      </c>
      <c r="C20" s="7">
        <v>850423</v>
      </c>
      <c r="D20" s="8" t="s">
        <v>365</v>
      </c>
      <c r="E20" s="9" t="s">
        <v>30</v>
      </c>
      <c r="F20" s="17" t="str">
        <f>_xlfn.IFNA(VLOOKUP(C20, '[2]Unique HS'!$B$4:$J$999, 9, FALSE), "No")</f>
        <v>No</v>
      </c>
      <c r="G20" s="22">
        <f>VLOOKUP(C20, '[1]India EXIM'!$B$6:$C$580, 2, FALSE)</f>
        <v>5.3564331560999996E-2</v>
      </c>
      <c r="H20" s="11">
        <f>VLOOKUP(C20, '[1]China EXIM'!$B$6:$D$580, 3, FALSE)</f>
        <v>6.9821049336210006</v>
      </c>
    </row>
    <row r="21" spans="2:8" ht="42">
      <c r="B21" s="17" t="s">
        <v>1174</v>
      </c>
      <c r="C21" s="7">
        <v>841311</v>
      </c>
      <c r="D21" s="8" t="s">
        <v>913</v>
      </c>
      <c r="E21" s="9" t="s">
        <v>22</v>
      </c>
      <c r="F21" s="17" t="str">
        <f>_xlfn.IFNA(VLOOKUP(C21, '[2]Unique HS'!$B$4:$J$999, 9, FALSE), "No")</f>
        <v>No</v>
      </c>
      <c r="G21" s="18">
        <f>VLOOKUP(C21, '[1]India EXIM'!$B$6:$C$580, 2, FALSE)</f>
        <v>5.3934718390000001E-3</v>
      </c>
      <c r="H21" s="11">
        <f>VLOOKUP(C21, '[1]China EXIM'!$B$6:$D$580, 3, FALSE)</f>
        <v>0.810302440289</v>
      </c>
    </row>
    <row r="22" spans="2:8" ht="27.95">
      <c r="B22" s="17" t="s">
        <v>1174</v>
      </c>
      <c r="C22" s="7">
        <v>850740</v>
      </c>
      <c r="D22" s="8" t="s">
        <v>1138</v>
      </c>
      <c r="E22" s="9" t="s">
        <v>30</v>
      </c>
      <c r="F22" s="17" t="str">
        <f>_xlfn.IFNA(VLOOKUP(C22, '[2]Unique HS'!$B$4:$J$999, 9, FALSE), "No")</f>
        <v>No</v>
      </c>
      <c r="G22" s="22">
        <f>VLOOKUP(C22, '[1]India EXIM'!$B$6:$C$580, 2, FALSE)</f>
        <v>0</v>
      </c>
      <c r="H22" s="11">
        <f>VLOOKUP(C22, '[1]China EXIM'!$B$6:$D$580, 3, FALSE)</f>
        <v>1.4374332999999998E-4</v>
      </c>
    </row>
    <row r="23" spans="2:8" ht="27.95">
      <c r="B23" s="17" t="s">
        <v>1174</v>
      </c>
      <c r="C23" s="7">
        <v>851850</v>
      </c>
      <c r="D23" s="8" t="s">
        <v>399</v>
      </c>
      <c r="E23" s="9" t="s">
        <v>166</v>
      </c>
      <c r="F23" s="17" t="str">
        <f>_xlfn.IFNA(VLOOKUP(C23, '[2]Unique HS'!$B$4:$J$999, 9, FALSE), "No")</f>
        <v>No</v>
      </c>
      <c r="G23" s="22">
        <f>VLOOKUP(C23, '[1]India EXIM'!$B$6:$C$580, 2, FALSE)</f>
        <v>4.6720521869000005E-2</v>
      </c>
      <c r="H23" s="11">
        <f>VLOOKUP(C23, '[1]China EXIM'!$B$6:$D$580, 3, FALSE)</f>
        <v>1.240999750217</v>
      </c>
    </row>
    <row r="24" spans="2:8" ht="27.95">
      <c r="B24" s="17" t="s">
        <v>1174</v>
      </c>
      <c r="C24" s="7">
        <v>851920</v>
      </c>
      <c r="D24" s="8" t="s">
        <v>1112</v>
      </c>
      <c r="E24" s="9" t="s">
        <v>166</v>
      </c>
      <c r="F24" s="17" t="str">
        <f>_xlfn.IFNA(VLOOKUP(C24, '[2]Unique HS'!$B$4:$J$999, 9, FALSE), "No")</f>
        <v>No</v>
      </c>
      <c r="G24" s="22">
        <f>VLOOKUP(C24, '[1]India EXIM'!$B$6:$C$580, 2, FALSE)</f>
        <v>1.0459309E-4</v>
      </c>
      <c r="H24" s="11">
        <f>VLOOKUP(C24, '[1]China EXIM'!$B$6:$D$580, 3, FALSE)</f>
        <v>3.6821353648000002E-2</v>
      </c>
    </row>
    <row r="25" spans="2:8" ht="42">
      <c r="B25" s="17" t="s">
        <v>1174</v>
      </c>
      <c r="C25" s="7">
        <v>851981</v>
      </c>
      <c r="D25" s="8" t="s">
        <v>1044</v>
      </c>
      <c r="E25" s="9" t="s">
        <v>166</v>
      </c>
      <c r="F25" s="17" t="str">
        <f>_xlfn.IFNA(VLOOKUP(C25, '[2]Unique HS'!$B$4:$J$999, 9, FALSE), "No")</f>
        <v>No</v>
      </c>
      <c r="G25" s="22">
        <f>VLOOKUP(C25, '[1]India EXIM'!$B$6:$C$580, 2, FALSE)</f>
        <v>1.149817609E-3</v>
      </c>
      <c r="H25" s="11">
        <f>VLOOKUP(C25, '[1]China EXIM'!$B$6:$D$580, 3, FALSE)</f>
        <v>1.7990510376700002</v>
      </c>
    </row>
    <row r="26" spans="2:8" ht="27.95">
      <c r="B26" s="17" t="s">
        <v>1174</v>
      </c>
      <c r="C26" s="7">
        <v>851989</v>
      </c>
      <c r="D26" s="8" t="s">
        <v>717</v>
      </c>
      <c r="E26" s="9" t="s">
        <v>166</v>
      </c>
      <c r="F26" s="17" t="str">
        <f>_xlfn.IFNA(VLOOKUP(C26, '[2]Unique HS'!$B$4:$J$999, 9, FALSE), "No")</f>
        <v>No</v>
      </c>
      <c r="G26" s="22">
        <f>VLOOKUP(C26, '[1]India EXIM'!$B$6:$C$580, 2, FALSE)</f>
        <v>1.4830510541E-2</v>
      </c>
      <c r="H26" s="11">
        <f>VLOOKUP(C26, '[1]China EXIM'!$B$6:$D$580, 3, FALSE)</f>
        <v>0.99957464538100005</v>
      </c>
    </row>
    <row r="27" spans="2:8" ht="27.95">
      <c r="B27" s="17" t="s">
        <v>1174</v>
      </c>
      <c r="C27" s="7">
        <v>853010</v>
      </c>
      <c r="D27" s="8" t="s">
        <v>593</v>
      </c>
      <c r="E27" s="9" t="s">
        <v>166</v>
      </c>
      <c r="F27" s="17" t="str">
        <f>_xlfn.IFNA(VLOOKUP(C27, '[2]Unique HS'!$B$4:$J$999, 9, FALSE), "No")</f>
        <v>No</v>
      </c>
      <c r="G27" s="22">
        <f>VLOOKUP(C27, '[1]India EXIM'!$B$6:$C$580, 2, FALSE)</f>
        <v>2.2789096136000001E-2</v>
      </c>
      <c r="H27" s="11">
        <f>VLOOKUP(C27, '[1]China EXIM'!$B$6:$D$580, 3, FALSE)</f>
        <v>0.67286980689199993</v>
      </c>
    </row>
    <row r="28" spans="2:8" ht="42">
      <c r="B28" s="17" t="s">
        <v>1174</v>
      </c>
      <c r="C28" s="7">
        <v>853080</v>
      </c>
      <c r="D28" s="8" t="s">
        <v>387</v>
      </c>
      <c r="E28" s="9" t="s">
        <v>166</v>
      </c>
      <c r="F28" s="17" t="str">
        <f>_xlfn.IFNA(VLOOKUP(C28, '[2]Unique HS'!$B$4:$J$999, 9, FALSE), "No")</f>
        <v>No</v>
      </c>
      <c r="G28" s="22">
        <f>VLOOKUP(C28, '[1]India EXIM'!$B$6:$C$580, 2, FALSE)</f>
        <v>4.7108055052000004E-2</v>
      </c>
      <c r="H28" s="11">
        <f>VLOOKUP(C28, '[1]China EXIM'!$B$6:$D$580, 3, FALSE)</f>
        <v>1.1502503842409999</v>
      </c>
    </row>
    <row r="29" spans="2:8" ht="42">
      <c r="B29" s="17" t="s">
        <v>1174</v>
      </c>
      <c r="C29" s="7">
        <v>901841</v>
      </c>
      <c r="D29" s="8" t="s">
        <v>990</v>
      </c>
      <c r="E29" s="9" t="s">
        <v>166</v>
      </c>
      <c r="F29" s="17" t="str">
        <f>_xlfn.IFNA(VLOOKUP(C29, '[2]Unique HS'!$B$4:$J$999, 9, FALSE), "No")</f>
        <v>No</v>
      </c>
      <c r="G29" s="18">
        <f>VLOOKUP(C29, '[1]India EXIM'!$B$6:$C$580, 2, FALSE)</f>
        <v>2.416273446E-3</v>
      </c>
      <c r="H29" s="11">
        <f>VLOOKUP(C29, '[1]China EXIM'!$B$6:$D$580, 3, FALSE)</f>
        <v>0.54737630934000003</v>
      </c>
    </row>
    <row r="30" spans="2:8" ht="27.95">
      <c r="B30" s="17" t="s">
        <v>1174</v>
      </c>
      <c r="C30" s="7">
        <v>901720</v>
      </c>
      <c r="D30" s="8" t="s">
        <v>824</v>
      </c>
      <c r="E30" s="9" t="s">
        <v>166</v>
      </c>
      <c r="F30" s="17" t="str">
        <f>_xlfn.IFNA(VLOOKUP(C30, '[2]Unique HS'!$B$4:$J$999, 9, FALSE), "No")</f>
        <v>Yes</v>
      </c>
      <c r="G30" s="18">
        <f>VLOOKUP(C30, '[1]India EXIM'!$B$6:$C$580, 2, FALSE)</f>
        <v>1.810888068E-3</v>
      </c>
      <c r="H30" s="11">
        <f>VLOOKUP(C30, '[1]China EXIM'!$B$6:$D$580, 3, FALSE)</f>
        <v>0.45148516662900001</v>
      </c>
    </row>
    <row r="31" spans="2:8" ht="56.1">
      <c r="B31" s="17" t="s">
        <v>1174</v>
      </c>
      <c r="C31" s="7">
        <v>847689</v>
      </c>
      <c r="D31" s="8" t="s">
        <v>981</v>
      </c>
      <c r="E31" s="9" t="s">
        <v>22</v>
      </c>
      <c r="F31" s="17" t="str">
        <f>_xlfn.IFNA(VLOOKUP(C31, '[2]Unique HS'!$B$4:$J$999, 9, FALSE), "No")</f>
        <v>No</v>
      </c>
      <c r="G31" s="18">
        <f>VLOOKUP(C31, '[1]India EXIM'!$B$6:$C$580, 2, FALSE)</f>
        <v>2.9574670240000004E-3</v>
      </c>
      <c r="H31" s="11">
        <f>VLOOKUP(C31, '[1]China EXIM'!$B$6:$D$580, 3, FALSE)</f>
        <v>0.43609217898400005</v>
      </c>
    </row>
    <row r="32" spans="2:8" ht="56.1">
      <c r="B32" s="17" t="s">
        <v>1174</v>
      </c>
      <c r="C32" s="7">
        <v>870911</v>
      </c>
      <c r="D32" s="8" t="s">
        <v>967</v>
      </c>
      <c r="E32" s="9" t="s">
        <v>166</v>
      </c>
      <c r="F32" s="17" t="str">
        <f>_xlfn.IFNA(VLOOKUP(C32, '[2]Unique HS'!$B$4:$J$999, 9, FALSE), "No")</f>
        <v>No</v>
      </c>
      <c r="G32" s="22">
        <f>VLOOKUP(C32, '[1]India EXIM'!$B$6:$C$580, 2, FALSE)</f>
        <v>3.1691896499999998E-3</v>
      </c>
      <c r="H32" s="11">
        <f>VLOOKUP(C32, '[1]China EXIM'!$B$6:$D$580, 3, FALSE)</f>
        <v>0.57699521704299994</v>
      </c>
    </row>
    <row r="33" spans="2:8" ht="56.1">
      <c r="B33" s="17" t="s">
        <v>1174</v>
      </c>
      <c r="C33" s="7">
        <v>870919</v>
      </c>
      <c r="D33" s="8" t="s">
        <v>946</v>
      </c>
      <c r="E33" s="9" t="s">
        <v>166</v>
      </c>
      <c r="F33" s="17" t="str">
        <f>_xlfn.IFNA(VLOOKUP(C33, '[2]Unique HS'!$B$4:$J$999, 9, FALSE), "No")</f>
        <v>No</v>
      </c>
      <c r="G33" s="22">
        <f>VLOOKUP(C33, '[1]India EXIM'!$B$6:$C$580, 2, FALSE)</f>
        <v>4.511251204E-3</v>
      </c>
      <c r="H33" s="11">
        <f>VLOOKUP(C33, '[1]China EXIM'!$B$6:$D$580, 3, FALSE)</f>
        <v>0.80732309857700002</v>
      </c>
    </row>
    <row r="34" spans="2:8" ht="27.95">
      <c r="B34" s="17" t="s">
        <v>1174</v>
      </c>
      <c r="C34" s="7">
        <v>890790</v>
      </c>
      <c r="D34" s="8" t="s">
        <v>931</v>
      </c>
      <c r="E34" s="9" t="s">
        <v>166</v>
      </c>
      <c r="F34" s="17" t="str">
        <f>_xlfn.IFNA(VLOOKUP(C34, '[2]Unique HS'!$B$4:$J$999, 9, FALSE), "No")</f>
        <v>No</v>
      </c>
      <c r="G34" s="22">
        <f>VLOOKUP(C34, '[1]India EXIM'!$B$6:$C$580, 2, FALSE)</f>
        <v>4.928604671E-3</v>
      </c>
      <c r="H34" s="11">
        <f>VLOOKUP(C34, '[1]China EXIM'!$B$6:$D$580, 3, FALSE)</f>
        <v>0.90012255913400008</v>
      </c>
    </row>
    <row r="35" spans="2:8" ht="27.95">
      <c r="B35" s="17" t="s">
        <v>1174</v>
      </c>
      <c r="C35" s="7">
        <v>900580</v>
      </c>
      <c r="D35" s="8" t="s">
        <v>933</v>
      </c>
      <c r="E35" s="9" t="s">
        <v>166</v>
      </c>
      <c r="F35" s="17" t="str">
        <f>_xlfn.IFNA(VLOOKUP(C35, '[2]Unique HS'!$B$4:$J$999, 9, FALSE), "No")</f>
        <v>No</v>
      </c>
      <c r="G35" s="22">
        <f>VLOOKUP(C35, '[1]India EXIM'!$B$6:$C$580, 2, FALSE)</f>
        <v>4.8468406870000001E-3</v>
      </c>
      <c r="H35" s="11">
        <f>VLOOKUP(C35, '[1]China EXIM'!$B$6:$D$580, 3, FALSE)</f>
        <v>0.72744580762</v>
      </c>
    </row>
    <row r="36" spans="2:8" ht="56.1">
      <c r="B36" s="17" t="s">
        <v>1174</v>
      </c>
      <c r="C36" s="7">
        <v>900630</v>
      </c>
      <c r="D36" s="8" t="s">
        <v>859</v>
      </c>
      <c r="E36" s="9" t="s">
        <v>166</v>
      </c>
      <c r="F36" s="17" t="str">
        <f>_xlfn.IFNA(VLOOKUP(C36, '[2]Unique HS'!$B$4:$J$999, 9, FALSE), "No")</f>
        <v>No</v>
      </c>
      <c r="G36" s="22">
        <f>VLOOKUP(C36, '[1]India EXIM'!$B$6:$C$580, 2, FALSE)</f>
        <v>7.966317669E-3</v>
      </c>
      <c r="H36" s="11">
        <f>VLOOKUP(C36, '[1]China EXIM'!$B$6:$D$580, 3, FALSE)</f>
        <v>0.28973829151800001</v>
      </c>
    </row>
    <row r="37" spans="2:8" ht="27.95">
      <c r="B37" s="17" t="s">
        <v>1174</v>
      </c>
      <c r="C37" s="7">
        <v>900653</v>
      </c>
      <c r="D37" s="8" t="s">
        <v>1110</v>
      </c>
      <c r="E37" s="9" t="s">
        <v>166</v>
      </c>
      <c r="F37" s="17" t="str">
        <f>_xlfn.IFNA(VLOOKUP(C37, '[2]Unique HS'!$B$4:$J$999, 9, FALSE), "No")</f>
        <v>No</v>
      </c>
      <c r="G37" s="22">
        <f>VLOOKUP(C37, '[1]India EXIM'!$B$6:$C$580, 2, FALSE)</f>
        <v>1.14837536E-4</v>
      </c>
      <c r="H37" s="11">
        <f>VLOOKUP(C37, '[1]China EXIM'!$B$6:$D$580, 3, FALSE)</f>
        <v>0.13513525701199999</v>
      </c>
    </row>
    <row r="38" spans="2:8" ht="27.95">
      <c r="B38" s="17" t="s">
        <v>1174</v>
      </c>
      <c r="C38" s="7">
        <v>901814</v>
      </c>
      <c r="D38" s="8" t="s">
        <v>617</v>
      </c>
      <c r="E38" s="9" t="s">
        <v>166</v>
      </c>
      <c r="F38" s="17" t="str">
        <f>_xlfn.IFNA(VLOOKUP(C38, '[2]Unique HS'!$B$4:$J$999, 9, FALSE), "No")</f>
        <v>No</v>
      </c>
      <c r="G38" s="18">
        <f>VLOOKUP(C38, '[1]India EXIM'!$B$6:$C$580, 2, FALSE)</f>
        <v>2.1199022812E-2</v>
      </c>
      <c r="H38" s="11">
        <f>VLOOKUP(C38, '[1]China EXIM'!$B$6:$D$580, 3, FALSE)</f>
        <v>0.28272592158199999</v>
      </c>
    </row>
    <row r="39" spans="2:8" ht="27.95">
      <c r="B39" s="17" t="s">
        <v>1174</v>
      </c>
      <c r="C39" s="7">
        <v>900710</v>
      </c>
      <c r="D39" s="8" t="s">
        <v>1024</v>
      </c>
      <c r="E39" s="9" t="s">
        <v>166</v>
      </c>
      <c r="F39" s="17" t="str">
        <f>_xlfn.IFNA(VLOOKUP(C39, '[2]Unique HS'!$B$4:$J$999, 9, FALSE), "No")</f>
        <v>No</v>
      </c>
      <c r="G39" s="22">
        <f>VLOOKUP(C39, '[1]India EXIM'!$B$6:$C$580, 2, FALSE)</f>
        <v>1.699321897E-3</v>
      </c>
      <c r="H39" s="11">
        <f>VLOOKUP(C39, '[1]China EXIM'!$B$6:$D$580, 3, FALSE)</f>
        <v>0.117569342324</v>
      </c>
    </row>
    <row r="40" spans="2:8" ht="27.95">
      <c r="B40" s="17" t="s">
        <v>1174</v>
      </c>
      <c r="C40" s="7">
        <v>900720</v>
      </c>
      <c r="D40" s="8" t="s">
        <v>1058</v>
      </c>
      <c r="E40" s="9" t="s">
        <v>166</v>
      </c>
      <c r="F40" s="17" t="str">
        <f>_xlfn.IFNA(VLOOKUP(C40, '[2]Unique HS'!$B$4:$J$999, 9, FALSE), "No")</f>
        <v>No</v>
      </c>
      <c r="G40" s="22">
        <f>VLOOKUP(C40, '[1]India EXIM'!$B$6:$C$580, 2, FALSE)</f>
        <v>8.5541350899999999E-4</v>
      </c>
      <c r="H40" s="11">
        <f>VLOOKUP(C40, '[1]China EXIM'!$B$6:$D$580, 3, FALSE)</f>
        <v>0.12419294055500001</v>
      </c>
    </row>
    <row r="41" spans="2:8" ht="27.95">
      <c r="B41" s="17" t="s">
        <v>1174</v>
      </c>
      <c r="C41" s="7">
        <v>900850</v>
      </c>
      <c r="D41" s="8" t="s">
        <v>999</v>
      </c>
      <c r="E41" s="9" t="s">
        <v>166</v>
      </c>
      <c r="F41" s="17" t="str">
        <f>_xlfn.IFNA(VLOOKUP(C41, '[2]Unique HS'!$B$4:$J$999, 9, FALSE), "No")</f>
        <v>No</v>
      </c>
      <c r="G41" s="22">
        <f>VLOOKUP(C41, '[1]India EXIM'!$B$6:$C$580, 2, FALSE)</f>
        <v>2.3111819219999996E-3</v>
      </c>
      <c r="H41" s="11">
        <f>VLOOKUP(C41, '[1]China EXIM'!$B$6:$D$580, 3, FALSE)</f>
        <v>0.24282323883500001</v>
      </c>
    </row>
    <row r="42" spans="2:8" ht="56.1">
      <c r="B42" s="17" t="s">
        <v>1174</v>
      </c>
      <c r="C42" s="7">
        <v>901010</v>
      </c>
      <c r="D42" s="8" t="s">
        <v>1077</v>
      </c>
      <c r="E42" s="9" t="s">
        <v>166</v>
      </c>
      <c r="F42" s="17" t="str">
        <f>_xlfn.IFNA(VLOOKUP(C42, '[2]Unique HS'!$B$4:$J$999, 9, FALSE), "No")</f>
        <v>No</v>
      </c>
      <c r="G42" s="22">
        <f>VLOOKUP(C42, '[1]India EXIM'!$B$6:$C$580, 2, FALSE)</f>
        <v>4.3034546399999999E-4</v>
      </c>
      <c r="H42" s="11">
        <f>VLOOKUP(C42, '[1]China EXIM'!$B$6:$D$580, 3, FALSE)</f>
        <v>3.6715158312E-2</v>
      </c>
    </row>
    <row r="43" spans="2:8" ht="42">
      <c r="B43" s="17" t="s">
        <v>1174</v>
      </c>
      <c r="C43" s="7">
        <v>901050</v>
      </c>
      <c r="D43" s="8" t="s">
        <v>1070</v>
      </c>
      <c r="E43" s="9" t="s">
        <v>166</v>
      </c>
      <c r="F43" s="17" t="str">
        <f>_xlfn.IFNA(VLOOKUP(C43, '[2]Unique HS'!$B$4:$J$999, 9, FALSE), "No")</f>
        <v>No</v>
      </c>
      <c r="G43" s="22">
        <f>VLOOKUP(C43, '[1]India EXIM'!$B$6:$C$580, 2, FALSE)</f>
        <v>5.5093314199999995E-4</v>
      </c>
      <c r="H43" s="11">
        <f>VLOOKUP(C43, '[1]China EXIM'!$B$6:$D$580, 3, FALSE)</f>
        <v>0.30691580167999999</v>
      </c>
    </row>
    <row r="44" spans="2:8" ht="27.95">
      <c r="B44" s="17" t="s">
        <v>1174</v>
      </c>
      <c r="C44" s="7">
        <v>901060</v>
      </c>
      <c r="D44" s="8" t="s">
        <v>907</v>
      </c>
      <c r="E44" s="9" t="s">
        <v>166</v>
      </c>
      <c r="F44" s="17" t="str">
        <f>_xlfn.IFNA(VLOOKUP(C44, '[2]Unique HS'!$B$4:$J$999, 9, FALSE), "No")</f>
        <v>No</v>
      </c>
      <c r="G44" s="22">
        <f>VLOOKUP(C44, '[1]India EXIM'!$B$6:$C$580, 2, FALSE)</f>
        <v>5.8483057359999995E-3</v>
      </c>
      <c r="H44" s="11">
        <f>VLOOKUP(C44, '[1]China EXIM'!$B$6:$D$580, 3, FALSE)</f>
        <v>0.27783130198799999</v>
      </c>
    </row>
    <row r="45" spans="2:8" ht="27.95">
      <c r="B45" s="17" t="s">
        <v>1174</v>
      </c>
      <c r="C45" s="7">
        <v>901410</v>
      </c>
      <c r="D45" s="8" t="s">
        <v>1025</v>
      </c>
      <c r="E45" s="9" t="s">
        <v>166</v>
      </c>
      <c r="F45" s="17" t="str">
        <f>_xlfn.IFNA(VLOOKUP(C45, '[2]Unique HS'!$B$4:$J$999, 9, FALSE), "No")</f>
        <v>No</v>
      </c>
      <c r="G45" s="22">
        <f>VLOOKUP(C45, '[1]India EXIM'!$B$6:$C$580, 2, FALSE)</f>
        <v>1.6829289969999999E-3</v>
      </c>
      <c r="H45" s="11">
        <f>VLOOKUP(C45, '[1]China EXIM'!$B$6:$D$580, 3, FALSE)</f>
        <v>0.25395971508300003</v>
      </c>
    </row>
    <row r="46" spans="2:8" ht="56.1">
      <c r="B46" s="17" t="s">
        <v>1174</v>
      </c>
      <c r="C46" s="7">
        <v>847681</v>
      </c>
      <c r="D46" s="8" t="s">
        <v>1111</v>
      </c>
      <c r="E46" s="9" t="s">
        <v>22</v>
      </c>
      <c r="F46" s="17" t="str">
        <f>_xlfn.IFNA(VLOOKUP(C46, '[2]Unique HS'!$B$4:$J$999, 9, FALSE), "No")</f>
        <v>No</v>
      </c>
      <c r="G46" s="18">
        <f>VLOOKUP(C46, '[1]India EXIM'!$B$6:$C$580, 2, FALSE)</f>
        <v>1.13296169E-4</v>
      </c>
      <c r="H46" s="11">
        <f>VLOOKUP(C46, '[1]China EXIM'!$B$6:$D$580, 3, FALSE)</f>
        <v>0.206310731627</v>
      </c>
    </row>
    <row r="47" spans="2:8" ht="27.95">
      <c r="B47" s="17" t="s">
        <v>1174</v>
      </c>
      <c r="C47" s="7">
        <v>901510</v>
      </c>
      <c r="D47" s="8" t="s">
        <v>779</v>
      </c>
      <c r="E47" s="9" t="s">
        <v>166</v>
      </c>
      <c r="F47" s="17" t="str">
        <f>_xlfn.IFNA(VLOOKUP(C47, '[2]Unique HS'!$B$4:$J$999, 9, FALSE), "No")</f>
        <v>No</v>
      </c>
      <c r="G47" s="22">
        <f>VLOOKUP(C47, '[1]India EXIM'!$B$6:$C$580, 2, FALSE)</f>
        <v>1.1099123467E-2</v>
      </c>
      <c r="H47" s="11">
        <f>VLOOKUP(C47, '[1]China EXIM'!$B$6:$D$580, 3, FALSE)</f>
        <v>1.1931809578450001</v>
      </c>
    </row>
    <row r="48" spans="2:8" ht="42">
      <c r="B48" s="17" t="s">
        <v>1174</v>
      </c>
      <c r="C48" s="7">
        <v>902213</v>
      </c>
      <c r="D48" s="8" t="s">
        <v>708</v>
      </c>
      <c r="E48" s="9" t="s">
        <v>166</v>
      </c>
      <c r="F48" s="17" t="str">
        <f>_xlfn.IFNA(VLOOKUP(C48, '[2]Unique HS'!$B$4:$J$999, 9, FALSE), "No")</f>
        <v>No</v>
      </c>
      <c r="G48" s="22">
        <f>VLOOKUP(C48, '[1]India EXIM'!$B$6:$C$580, 2, FALSE)</f>
        <v>1.5046939024E-2</v>
      </c>
      <c r="H48" s="11">
        <f>VLOOKUP(C48, '[1]China EXIM'!$B$6:$D$580, 3, FALSE)</f>
        <v>0.78194236452699994</v>
      </c>
    </row>
    <row r="49" spans="2:8" ht="42">
      <c r="B49" s="17" t="s">
        <v>1174</v>
      </c>
      <c r="C49" s="7">
        <v>902221</v>
      </c>
      <c r="D49" s="8" t="s">
        <v>734</v>
      </c>
      <c r="E49" s="9" t="s">
        <v>166</v>
      </c>
      <c r="F49" s="17" t="str">
        <f>_xlfn.IFNA(VLOOKUP(C49, '[2]Unique HS'!$B$4:$J$999, 9, FALSE), "No")</f>
        <v>No</v>
      </c>
      <c r="G49" s="22">
        <f>VLOOKUP(C49, '[1]India EXIM'!$B$6:$C$580, 2, FALSE)</f>
        <v>1.3593771761E-2</v>
      </c>
      <c r="H49" s="11">
        <f>VLOOKUP(C49, '[1]China EXIM'!$B$6:$D$580, 3, FALSE)</f>
        <v>0.23878099554100002</v>
      </c>
    </row>
    <row r="50" spans="2:8" ht="27.95">
      <c r="B50" s="17" t="s">
        <v>1174</v>
      </c>
      <c r="C50" s="7">
        <v>847979</v>
      </c>
      <c r="D50" s="8" t="s">
        <v>834</v>
      </c>
      <c r="E50" s="9" t="s">
        <v>166</v>
      </c>
      <c r="F50" s="17" t="str">
        <f>_xlfn.IFNA(VLOOKUP(C50, '[2]Unique HS'!$B$4:$J$999, 9, FALSE), "No")</f>
        <v>Yes</v>
      </c>
      <c r="G50" s="18">
        <f>VLOOKUP(C50, '[1]India EXIM'!$B$6:$C$580, 2, FALSE)</f>
        <v>8.9969498149999987E-3</v>
      </c>
      <c r="H50" s="11">
        <f>VLOOKUP(C50, '[1]China EXIM'!$B$6:$D$580, 3, FALSE)</f>
        <v>0.14272605113999998</v>
      </c>
    </row>
    <row r="51" spans="2:8" ht="27.95">
      <c r="B51" s="17" t="s">
        <v>1174</v>
      </c>
      <c r="C51" s="7">
        <v>851633</v>
      </c>
      <c r="D51" s="8" t="s">
        <v>956</v>
      </c>
      <c r="E51" s="9" t="s">
        <v>22</v>
      </c>
      <c r="F51" s="17" t="str">
        <f>_xlfn.IFNA(VLOOKUP(C51, '[2]Unique HS'!$B$4:$J$999, 9, FALSE), "No")</f>
        <v>No</v>
      </c>
      <c r="G51" s="22">
        <f>VLOOKUP(C51, '[1]India EXIM'!$B$6:$C$580, 2, FALSE)</f>
        <v>3.7529523519999998E-3</v>
      </c>
      <c r="H51" s="11">
        <f>VLOOKUP(C51, '[1]China EXIM'!$B$6:$D$580, 3, FALSE)</f>
        <v>0.117209923748</v>
      </c>
    </row>
    <row r="52" spans="2:8" ht="27.95">
      <c r="B52" s="17" t="s">
        <v>1174</v>
      </c>
      <c r="C52" s="7">
        <v>840610</v>
      </c>
      <c r="D52" s="8" t="s">
        <v>1046</v>
      </c>
      <c r="E52" s="9" t="s">
        <v>30</v>
      </c>
      <c r="F52" s="17" t="str">
        <f>_xlfn.IFNA(VLOOKUP(C52, '[2]Unique HS'!$B$4:$J$999, 9, FALSE), "No")</f>
        <v>No</v>
      </c>
      <c r="G52" s="18">
        <f>VLOOKUP(C52, '[1]India EXIM'!$B$6:$C$580, 2, FALSE)</f>
        <v>1.030290349E-3</v>
      </c>
      <c r="H52" s="11">
        <f>VLOOKUP(C52, '[1]China EXIM'!$B$6:$D$580, 3, FALSE)</f>
        <v>8.2808922759999987E-2</v>
      </c>
    </row>
    <row r="53" spans="2:8" ht="42">
      <c r="B53" s="17" t="s">
        <v>1174</v>
      </c>
      <c r="C53" s="7">
        <v>940131</v>
      </c>
      <c r="D53" s="8" t="s">
        <v>1080</v>
      </c>
      <c r="E53" s="9" t="s">
        <v>496</v>
      </c>
      <c r="F53" s="17" t="str">
        <f>_xlfn.IFNA(VLOOKUP(C53, '[2]Unique HS'!$B$4:$J$999, 9, FALSE), "No")</f>
        <v>No</v>
      </c>
      <c r="G53" s="22">
        <f>VLOOKUP(C53, '[1]India EXIM'!$B$6:$C$580, 2, FALSE)</f>
        <v>3.8730263900000001E-4</v>
      </c>
      <c r="H53" s="11">
        <f>VLOOKUP(C53, '[1]China EXIM'!$B$6:$D$580, 3, FALSE)</f>
        <v>0.21753106409200001</v>
      </c>
    </row>
    <row r="54" spans="2:8" ht="27.95">
      <c r="B54" s="17" t="s">
        <v>1174</v>
      </c>
      <c r="C54" s="7">
        <v>950821</v>
      </c>
      <c r="D54" s="8" t="s">
        <v>1035</v>
      </c>
      <c r="E54" s="9" t="s">
        <v>166</v>
      </c>
      <c r="F54" s="17" t="str">
        <f>_xlfn.IFNA(VLOOKUP(C54, '[2]Unique HS'!$B$4:$J$999, 9, FALSE), "No")</f>
        <v>No</v>
      </c>
      <c r="G54" s="22">
        <f>VLOOKUP(C54, '[1]India EXIM'!$B$6:$C$580, 2, FALSE)</f>
        <v>1.3379190130000001E-3</v>
      </c>
      <c r="H54" s="11">
        <f>VLOOKUP(C54, '[1]China EXIM'!$B$6:$D$580, 3, FALSE)</f>
        <v>0.35480053761199998</v>
      </c>
    </row>
    <row r="55" spans="2:8" ht="27.95">
      <c r="B55" s="17" t="s">
        <v>1174</v>
      </c>
      <c r="C55" s="7">
        <v>950822</v>
      </c>
      <c r="D55" s="8" t="s">
        <v>1003</v>
      </c>
      <c r="E55" s="9" t="s">
        <v>166</v>
      </c>
      <c r="F55" s="17" t="str">
        <f>_xlfn.IFNA(VLOOKUP(C55, '[2]Unique HS'!$B$4:$J$999, 9, FALSE), "No")</f>
        <v>No</v>
      </c>
      <c r="G55" s="22">
        <f>VLOOKUP(C55, '[1]India EXIM'!$B$6:$C$580, 2, FALSE)</f>
        <v>2.1255219249999998E-3</v>
      </c>
      <c r="H55" s="11">
        <f>VLOOKUP(C55, '[1]China EXIM'!$B$6:$D$580, 3, FALSE)</f>
        <v>0.19059210803400001</v>
      </c>
    </row>
    <row r="56" spans="2:8" ht="27.95">
      <c r="B56" s="17" t="s">
        <v>1174</v>
      </c>
      <c r="C56" s="7">
        <v>950823</v>
      </c>
      <c r="D56" s="8" t="s">
        <v>1079</v>
      </c>
      <c r="E56" s="9" t="s">
        <v>166</v>
      </c>
      <c r="F56" s="17" t="str">
        <f>_xlfn.IFNA(VLOOKUP(C56, '[2]Unique HS'!$B$4:$J$999, 9, FALSE), "No")</f>
        <v>No</v>
      </c>
      <c r="G56" s="22">
        <f>VLOOKUP(C56, '[1]India EXIM'!$B$6:$C$580, 2, FALSE)</f>
        <v>4.0198882799999999E-4</v>
      </c>
      <c r="H56" s="11">
        <f>VLOOKUP(C56, '[1]China EXIM'!$B$6:$D$580, 3, FALSE)</f>
        <v>3.4102415303999996E-2</v>
      </c>
    </row>
    <row r="57" spans="2:8" ht="27.95">
      <c r="B57" s="17" t="s">
        <v>1174</v>
      </c>
      <c r="C57" s="7">
        <v>950824</v>
      </c>
      <c r="D57" s="8" t="s">
        <v>1057</v>
      </c>
      <c r="E57" s="9" t="s">
        <v>166</v>
      </c>
      <c r="F57" s="17" t="str">
        <f>_xlfn.IFNA(VLOOKUP(C57, '[2]Unique HS'!$B$4:$J$999, 9, FALSE), "No")</f>
        <v>No</v>
      </c>
      <c r="G57" s="22">
        <f>VLOOKUP(C57, '[1]India EXIM'!$B$6:$C$580, 2, FALSE)</f>
        <v>8.6228190199999998E-4</v>
      </c>
      <c r="H57" s="11">
        <f>VLOOKUP(C57, '[1]China EXIM'!$B$6:$D$580, 3, FALSE)</f>
        <v>7.5103638846999998E-2</v>
      </c>
    </row>
    <row r="58" spans="2:8" ht="27.95">
      <c r="B58" s="17" t="s">
        <v>1174</v>
      </c>
      <c r="C58" s="7">
        <v>950825</v>
      </c>
      <c r="D58" s="8" t="s">
        <v>1141</v>
      </c>
      <c r="E58" s="9" t="s">
        <v>166</v>
      </c>
      <c r="F58" s="17" t="str">
        <f>_xlfn.IFNA(VLOOKUP(C58, '[2]Unique HS'!$B$4:$J$999, 9, FALSE), "No")</f>
        <v>No</v>
      </c>
      <c r="G58" s="22">
        <f>VLOOKUP(C58, '[1]India EXIM'!$B$6:$C$580, 2, FALSE)</f>
        <v>0</v>
      </c>
      <c r="H58" s="11">
        <f>VLOOKUP(C58, '[1]China EXIM'!$B$6:$D$580, 3, FALSE)</f>
        <v>2.4464203064E-2</v>
      </c>
    </row>
    <row r="59" spans="2:8" ht="27.95">
      <c r="B59" s="17" t="s">
        <v>1174</v>
      </c>
      <c r="C59" s="7">
        <v>901710</v>
      </c>
      <c r="D59" s="8" t="s">
        <v>1113</v>
      </c>
      <c r="E59" s="9" t="s">
        <v>166</v>
      </c>
      <c r="F59" s="17" t="str">
        <f>_xlfn.IFNA(VLOOKUP(C59, '[2]Unique HS'!$B$4:$J$999, 9, FALSE), "No")</f>
        <v>No</v>
      </c>
      <c r="G59" s="18">
        <f>VLOOKUP(C59, '[1]India EXIM'!$B$6:$C$580, 2, FALSE)</f>
        <v>1.01218944E-4</v>
      </c>
      <c r="H59" s="11">
        <f>VLOOKUP(C59, '[1]China EXIM'!$B$6:$D$580, 3, FALSE)</f>
        <v>3.4621261260000001E-2</v>
      </c>
    </row>
    <row r="60" spans="2:8" ht="27.95">
      <c r="B60" s="17" t="s">
        <v>1174</v>
      </c>
      <c r="C60" s="7">
        <v>950826</v>
      </c>
      <c r="D60" s="8" t="s">
        <v>1099</v>
      </c>
      <c r="E60" s="9" t="s">
        <v>166</v>
      </c>
      <c r="F60" s="17" t="str">
        <f>_xlfn.IFNA(VLOOKUP(C60, '[2]Unique HS'!$B$4:$J$999, 9, FALSE), "No")</f>
        <v>No</v>
      </c>
      <c r="G60" s="22">
        <f>VLOOKUP(C60, '[1]India EXIM'!$B$6:$C$580, 2, FALSE)</f>
        <v>2.7123306800000001E-4</v>
      </c>
      <c r="H60" s="11">
        <f>VLOOKUP(C60, '[1]China EXIM'!$B$6:$D$580, 3, FALSE)</f>
        <v>9.8795373760999991E-2</v>
      </c>
    </row>
    <row r="61" spans="2:8" ht="56.1">
      <c r="B61" s="17" t="s">
        <v>1174</v>
      </c>
      <c r="C61" s="7">
        <v>950829</v>
      </c>
      <c r="D61" s="8" t="s">
        <v>863</v>
      </c>
      <c r="E61" s="9" t="s">
        <v>166</v>
      </c>
      <c r="F61" s="17" t="str">
        <f>_xlfn.IFNA(VLOOKUP(C61, '[2]Unique HS'!$B$4:$J$999, 9, FALSE), "No")</f>
        <v>No</v>
      </c>
      <c r="G61" s="22">
        <f>VLOOKUP(C61, '[1]India EXIM'!$B$6:$C$580, 2, FALSE)</f>
        <v>7.9431392830000003E-3</v>
      </c>
      <c r="H61" s="11">
        <f>VLOOKUP(C61, '[1]China EXIM'!$B$6:$D$580, 3, FALSE)</f>
        <v>0.33739343674699995</v>
      </c>
    </row>
    <row r="62" spans="2:8" ht="27.95">
      <c r="B62" s="17" t="s">
        <v>1174</v>
      </c>
      <c r="C62" s="7">
        <v>950830</v>
      </c>
      <c r="D62" s="8" t="s">
        <v>1043</v>
      </c>
      <c r="E62" s="9" t="s">
        <v>166</v>
      </c>
      <c r="F62" s="17" t="str">
        <f>_xlfn.IFNA(VLOOKUP(C62, '[2]Unique HS'!$B$4:$J$999, 9, FALSE), "No")</f>
        <v>No</v>
      </c>
      <c r="G62" s="22">
        <f>VLOOKUP(C62, '[1]India EXIM'!$B$6:$C$580, 2, FALSE)</f>
        <v>1.1622381250000001E-3</v>
      </c>
      <c r="H62" s="11">
        <f>VLOOKUP(C62, '[1]China EXIM'!$B$6:$D$580, 3, FALSE)</f>
        <v>0.212319265506</v>
      </c>
    </row>
    <row r="63" spans="2:8" ht="27.95">
      <c r="B63" s="17" t="s">
        <v>1174</v>
      </c>
      <c r="C63" s="7">
        <v>950840</v>
      </c>
      <c r="D63" s="8" t="s">
        <v>1069</v>
      </c>
      <c r="E63" s="9" t="s">
        <v>166</v>
      </c>
      <c r="F63" s="17" t="str">
        <f>_xlfn.IFNA(VLOOKUP(C63, '[2]Unique HS'!$B$4:$J$999, 9, FALSE), "No")</f>
        <v>No</v>
      </c>
      <c r="G63" s="22">
        <f>VLOOKUP(C63, '[1]India EXIM'!$B$6:$C$580, 2, FALSE)</f>
        <v>5.5853476100000007E-4</v>
      </c>
      <c r="H63" s="11">
        <f>VLOOKUP(C63, '[1]China EXIM'!$B$6:$D$580, 3, FALSE)</f>
        <v>0.14664033491</v>
      </c>
    </row>
    <row r="64" spans="2:8" ht="27.95">
      <c r="B64" s="17" t="s">
        <v>1174</v>
      </c>
      <c r="C64" s="7">
        <v>961800</v>
      </c>
      <c r="D64" s="8" t="s">
        <v>950</v>
      </c>
      <c r="E64" s="9" t="s">
        <v>55</v>
      </c>
      <c r="F64" s="17" t="str">
        <f>_xlfn.IFNA(VLOOKUP(C64, '[2]Unique HS'!$B$4:$J$999, 9, FALSE), "No")</f>
        <v>No</v>
      </c>
      <c r="G64" s="22">
        <f>VLOOKUP(C64, '[1]India EXIM'!$B$6:$C$580, 2, FALSE)</f>
        <v>3.8578365839999997E-3</v>
      </c>
      <c r="H64" s="11">
        <f>VLOOKUP(C64, '[1]China EXIM'!$B$6:$D$580, 3, FALSE)</f>
        <v>0.61238112499699993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36ADC-0E7E-4601-B11F-51E3E9EABF37}">
  <sheetPr filterMode="1"/>
  <dimension ref="A2:AB579"/>
  <sheetViews>
    <sheetView tabSelected="1" zoomScale="88" workbookViewId="0">
      <selection activeCell="E1" sqref="E1"/>
    </sheetView>
  </sheetViews>
  <sheetFormatPr defaultColWidth="8.7109375" defaultRowHeight="14.1" outlineLevelCol="1"/>
  <cols>
    <col min="1" max="1" width="8.7109375" style="1"/>
    <col min="2" max="2" width="11.85546875" style="1" customWidth="1"/>
    <col min="3" max="3" width="10.85546875" style="2" customWidth="1"/>
    <col min="4" max="4" width="49.140625" style="3" customWidth="1"/>
    <col min="5" max="5" width="16.85546875" style="3" hidden="1" customWidth="1"/>
    <col min="6" max="6" width="18" style="3" hidden="1" customWidth="1"/>
    <col min="7" max="8" width="46.140625" style="3" customWidth="1" outlineLevel="1"/>
    <col min="9" max="9" width="19.85546875" style="3" customWidth="1"/>
    <col min="10" max="10" width="35.28515625" style="3" hidden="1" customWidth="1"/>
    <col min="11" max="11" width="13.85546875" style="3" customWidth="1"/>
    <col min="12" max="13" width="21" style="3" hidden="1" customWidth="1"/>
    <col min="14" max="14" width="17" style="1" hidden="1" customWidth="1" outlineLevel="1"/>
    <col min="15" max="15" width="49.5703125" style="1" hidden="1" customWidth="1" outlineLevel="1"/>
    <col min="16" max="16" width="46" style="1" hidden="1" customWidth="1" outlineLevel="1"/>
    <col min="17" max="17" width="18.5703125" style="1" hidden="1" customWidth="1" outlineLevel="1"/>
    <col min="18" max="18" width="18.5703125" style="1" hidden="1" customWidth="1" collapsed="1"/>
    <col min="19" max="16384" width="8.7109375" style="1"/>
  </cols>
  <sheetData>
    <row r="2" spans="2:22" hidden="1"/>
    <row r="3" spans="2:22" hidden="1"/>
    <row r="4" spans="2:22" s="5" customFormat="1" ht="27.95">
      <c r="B4" s="4" t="s">
        <v>0</v>
      </c>
      <c r="C4" s="4" t="s">
        <v>1</v>
      </c>
      <c r="D4" s="4" t="s">
        <v>2</v>
      </c>
      <c r="E4" s="4" t="s">
        <v>17</v>
      </c>
      <c r="F4" s="20" t="s">
        <v>3</v>
      </c>
      <c r="G4" s="4" t="s">
        <v>4</v>
      </c>
      <c r="H4" s="4" t="s">
        <v>5</v>
      </c>
      <c r="I4" s="4" t="s">
        <v>6</v>
      </c>
      <c r="J4" s="4" t="s">
        <v>7</v>
      </c>
      <c r="K4" s="4" t="s">
        <v>8</v>
      </c>
      <c r="L4" s="4" t="s">
        <v>9</v>
      </c>
      <c r="M4" s="4" t="s">
        <v>10</v>
      </c>
      <c r="N4" s="4" t="s">
        <v>11</v>
      </c>
      <c r="O4" s="4" t="s">
        <v>12</v>
      </c>
      <c r="P4" s="4" t="s">
        <v>13</v>
      </c>
      <c r="Q4" s="4" t="s">
        <v>14</v>
      </c>
      <c r="R4" s="4" t="s">
        <v>15</v>
      </c>
      <c r="T4" s="5" t="s">
        <v>16</v>
      </c>
      <c r="V4" s="5" t="s">
        <v>17</v>
      </c>
    </row>
    <row r="5" spans="2:22" hidden="1">
      <c r="B5" s="6" t="str">
        <f>VLOOKUP(C5, [1]Definition!$D$5:$K$5665, 8, FALSE)</f>
        <v>Capital Goods</v>
      </c>
      <c r="C5" s="7">
        <v>845710</v>
      </c>
      <c r="D5" s="8" t="s">
        <v>64</v>
      </c>
      <c r="E5" s="8" t="s">
        <v>25</v>
      </c>
      <c r="F5" s="17" t="s">
        <v>19</v>
      </c>
      <c r="G5" s="8"/>
      <c r="H5" s="8"/>
      <c r="I5" s="9" t="s">
        <v>65</v>
      </c>
      <c r="J5" s="9" t="s">
        <v>31</v>
      </c>
      <c r="K5" s="17" t="str">
        <f>_xlfn.IFNA(VLOOKUP(C5, '[2]Unique HS'!$B$4:$J$999, 9, FALSE), "No")</f>
        <v>Yes</v>
      </c>
      <c r="L5" s="18">
        <f>VLOOKUP(C5, '[1]India EXIM'!$B$6:$C$580, 2, FALSE)</f>
        <v>0.38486758777399999</v>
      </c>
      <c r="M5" s="11">
        <f>VLOOKUP(C5, '[1]China EXIM'!$B$6:$D$580, 3, FALSE)</f>
        <v>9.2044345320240009</v>
      </c>
      <c r="N5" s="6"/>
      <c r="O5" s="6"/>
      <c r="P5" s="6"/>
      <c r="Q5" s="10" t="s">
        <v>24</v>
      </c>
      <c r="R5" s="9" t="s">
        <v>65</v>
      </c>
      <c r="V5" s="1" t="s">
        <v>25</v>
      </c>
    </row>
    <row r="6" spans="2:22" ht="42" hidden="1">
      <c r="B6" s="6" t="str">
        <f>VLOOKUP(C6, [1]Definition!$D$5:$K$5665, 8, FALSE)</f>
        <v>Capital Goods</v>
      </c>
      <c r="C6" s="7">
        <v>848620</v>
      </c>
      <c r="D6" s="8" t="s">
        <v>44</v>
      </c>
      <c r="E6" s="8" t="s">
        <v>25</v>
      </c>
      <c r="F6" s="17" t="s">
        <v>19</v>
      </c>
      <c r="G6" s="8"/>
      <c r="H6" s="8" t="s">
        <v>45</v>
      </c>
      <c r="I6" s="9" t="s">
        <v>46</v>
      </c>
      <c r="J6" s="9" t="s">
        <v>31</v>
      </c>
      <c r="K6" s="17" t="str">
        <f>_xlfn.IFNA(VLOOKUP(C6, '[2]Unique HS'!$B$4:$J$999, 9, FALSE), "No")</f>
        <v>No</v>
      </c>
      <c r="L6" s="18">
        <f>VLOOKUP(C6, '[1]India EXIM'!$B$6:$C$580, 2, FALSE)</f>
        <v>0.68006153052400009</v>
      </c>
      <c r="M6" s="11">
        <f>VLOOKUP(C6, '[1]China EXIM'!$B$6:$D$580, 3, FALSE)</f>
        <v>74.076201135755994</v>
      </c>
      <c r="N6" s="6"/>
      <c r="O6" s="6"/>
      <c r="P6" s="6"/>
      <c r="Q6" s="10" t="s">
        <v>24</v>
      </c>
      <c r="R6" s="9" t="s">
        <v>46</v>
      </c>
      <c r="V6" s="1" t="s">
        <v>25</v>
      </c>
    </row>
    <row r="7" spans="2:22" ht="42">
      <c r="B7" s="6" t="str">
        <f>VLOOKUP(C7, [1]Definition!$D$5:$K$5665, 8, FALSE)</f>
        <v>Capital Goods</v>
      </c>
      <c r="C7" s="7">
        <v>847989</v>
      </c>
      <c r="D7" s="8" t="s">
        <v>18</v>
      </c>
      <c r="E7" s="8" t="s">
        <v>25</v>
      </c>
      <c r="F7" s="17" t="s">
        <v>19</v>
      </c>
      <c r="G7" s="8" t="s">
        <v>20</v>
      </c>
      <c r="H7" s="8" t="s">
        <v>21</v>
      </c>
      <c r="I7" s="9" t="s">
        <v>22</v>
      </c>
      <c r="J7" s="9" t="s">
        <v>23</v>
      </c>
      <c r="K7" s="17" t="str">
        <f>_xlfn.IFNA(VLOOKUP(C7, '[2]Unique HS'!$B$4:$J$999, 9, FALSE), "No")</f>
        <v>Yes</v>
      </c>
      <c r="L7" s="18">
        <f>VLOOKUP(C7, '[1]India EXIM'!$B$6:$C$580, 2, FALSE)</f>
        <v>1.9808730359019999</v>
      </c>
      <c r="M7" s="11">
        <f>VLOOKUP(C7, '[1]China EXIM'!$B$6:$D$580, 3, FALSE)</f>
        <v>51.47486507112</v>
      </c>
      <c r="N7" s="6"/>
      <c r="O7" s="6"/>
      <c r="P7" s="6"/>
      <c r="Q7" s="10" t="s">
        <v>24</v>
      </c>
      <c r="R7" s="9" t="s">
        <v>22</v>
      </c>
      <c r="V7" s="1" t="s">
        <v>25</v>
      </c>
    </row>
    <row r="8" spans="2:22" ht="42" hidden="1">
      <c r="B8" s="6" t="str">
        <f>VLOOKUP(C8, [1]Definition!$D$5:$K$5665, 8, FALSE)</f>
        <v>Capital Goods</v>
      </c>
      <c r="C8" s="7">
        <v>854370</v>
      </c>
      <c r="D8" s="8" t="s">
        <v>47</v>
      </c>
      <c r="E8" s="8" t="s">
        <v>25</v>
      </c>
      <c r="F8" s="17" t="s">
        <v>19</v>
      </c>
      <c r="G8" s="8" t="s">
        <v>48</v>
      </c>
      <c r="H8" s="8" t="s">
        <v>49</v>
      </c>
      <c r="I8" s="9" t="s">
        <v>46</v>
      </c>
      <c r="J8" s="9" t="s">
        <v>50</v>
      </c>
      <c r="K8" s="17" t="str">
        <f>_xlfn.IFNA(VLOOKUP(C8, '[2]Unique HS'!$B$4:$J$999, 9, FALSE), "No")</f>
        <v>Yes</v>
      </c>
      <c r="L8" s="18">
        <f>VLOOKUP(C8, '[1]India EXIM'!$B$6:$C$580, 2, FALSE)</f>
        <v>0.65699839974800001</v>
      </c>
      <c r="M8" s="11">
        <f>VLOOKUP(C8, '[1]China EXIM'!$B$6:$D$580, 3, FALSE)</f>
        <v>40.813646289444002</v>
      </c>
      <c r="N8" s="6"/>
      <c r="O8" s="6"/>
      <c r="P8" s="6"/>
      <c r="Q8" s="10" t="s">
        <v>24</v>
      </c>
      <c r="R8" s="9" t="s">
        <v>46</v>
      </c>
      <c r="V8" s="1" t="s">
        <v>25</v>
      </c>
    </row>
    <row r="9" spans="2:22" ht="27.95" hidden="1">
      <c r="B9" s="6" t="str">
        <f>VLOOKUP(C9, [1]Definition!$D$5:$K$5665, 8, FALSE)</f>
        <v>Capital Goods</v>
      </c>
      <c r="C9" s="7">
        <v>842952</v>
      </c>
      <c r="D9" s="8" t="s">
        <v>116</v>
      </c>
      <c r="E9" s="8" t="s">
        <v>25</v>
      </c>
      <c r="F9" s="17" t="s">
        <v>19</v>
      </c>
      <c r="G9" s="8"/>
      <c r="H9" s="8"/>
      <c r="I9" s="9" t="s">
        <v>58</v>
      </c>
      <c r="J9" s="9" t="s">
        <v>31</v>
      </c>
      <c r="K9" s="17" t="str">
        <f>_xlfn.IFNA(VLOOKUP(C9, '[2]Unique HS'!$B$4:$J$999, 9, FALSE), "No")</f>
        <v>No</v>
      </c>
      <c r="L9" s="18">
        <f>VLOOKUP(C9, '[1]India EXIM'!$B$6:$C$580, 2, FALSE)</f>
        <v>0.21018742387099998</v>
      </c>
      <c r="M9" s="11">
        <f>VLOOKUP(C9, '[1]China EXIM'!$B$6:$D$580, 3, FALSE)</f>
        <v>35.755035280116999</v>
      </c>
      <c r="N9" s="9" t="s">
        <v>117</v>
      </c>
      <c r="O9" s="9"/>
      <c r="P9" s="6"/>
      <c r="Q9" s="10" t="s">
        <v>24</v>
      </c>
      <c r="R9" s="9" t="s">
        <v>58</v>
      </c>
      <c r="V9" s="1" t="s">
        <v>25</v>
      </c>
    </row>
    <row r="10" spans="2:22" ht="42">
      <c r="B10" s="6" t="str">
        <f>VLOOKUP(C10, [1]Definition!$D$5:$K$5665, 8, FALSE)</f>
        <v>Capital Goods</v>
      </c>
      <c r="C10" s="7">
        <v>903180</v>
      </c>
      <c r="D10" s="8" t="s">
        <v>35</v>
      </c>
      <c r="E10" s="8" t="s">
        <v>25</v>
      </c>
      <c r="F10" s="17" t="s">
        <v>19</v>
      </c>
      <c r="G10" s="8" t="s">
        <v>36</v>
      </c>
      <c r="H10" s="8" t="s">
        <v>37</v>
      </c>
      <c r="I10" s="9" t="s">
        <v>22</v>
      </c>
      <c r="J10" s="9" t="s">
        <v>38</v>
      </c>
      <c r="K10" s="17" t="str">
        <f>_xlfn.IFNA(VLOOKUP(C10, '[2]Unique HS'!$B$4:$J$999, 9, FALSE), "No")</f>
        <v>Yes</v>
      </c>
      <c r="L10" s="18">
        <f>VLOOKUP(C10, '[1]India EXIM'!$B$6:$C$580, 2, FALSE)</f>
        <v>1.146300878221</v>
      </c>
      <c r="M10" s="11">
        <f>VLOOKUP(C10, '[1]China EXIM'!$B$6:$D$580, 3, FALSE)</f>
        <v>25.85984848184</v>
      </c>
      <c r="N10" s="6"/>
      <c r="O10" s="6"/>
      <c r="P10" s="6"/>
      <c r="Q10" s="10" t="s">
        <v>24</v>
      </c>
      <c r="R10" s="11" t="s">
        <v>39</v>
      </c>
      <c r="V10" s="1" t="s">
        <v>25</v>
      </c>
    </row>
    <row r="11" spans="2:22" ht="42" hidden="1">
      <c r="B11" s="6" t="str">
        <f>VLOOKUP(C11, [1]Definition!$D$5:$K$5665, 8, FALSE)</f>
        <v>Capital Goods</v>
      </c>
      <c r="C11" s="7">
        <v>847950</v>
      </c>
      <c r="D11" s="8" t="s">
        <v>141</v>
      </c>
      <c r="E11" s="8" t="s">
        <v>25</v>
      </c>
      <c r="F11" s="17" t="s">
        <v>142</v>
      </c>
      <c r="G11" s="8"/>
      <c r="H11" s="8"/>
      <c r="I11" s="9" t="s">
        <v>65</v>
      </c>
      <c r="J11" s="9" t="s">
        <v>143</v>
      </c>
      <c r="K11" s="17" t="str">
        <f>_xlfn.IFNA(VLOOKUP(C11, '[2]Unique HS'!$B$4:$J$999, 9, FALSE), "No")</f>
        <v>Yes</v>
      </c>
      <c r="L11" s="18">
        <f>VLOOKUP(C11, '[1]India EXIM'!$B$6:$C$580, 2, FALSE)</f>
        <v>0.17205991772099999</v>
      </c>
      <c r="M11" s="11">
        <f>VLOOKUP(C11, '[1]China EXIM'!$B$6:$D$580, 3, FALSE)</f>
        <v>7.2352870896079997</v>
      </c>
      <c r="N11" s="6" t="s">
        <v>144</v>
      </c>
      <c r="O11" s="6"/>
      <c r="P11" s="6"/>
      <c r="Q11" s="10" t="s">
        <v>24</v>
      </c>
      <c r="R11" s="9" t="s">
        <v>144</v>
      </c>
      <c r="V11" s="1" t="s">
        <v>25</v>
      </c>
    </row>
    <row r="12" spans="2:22" ht="84">
      <c r="B12" s="6" t="str">
        <f>VLOOKUP(C12, [1]Definition!$D$5:$K$5665, 8, FALSE)</f>
        <v>Capital Goods</v>
      </c>
      <c r="C12" s="7">
        <v>842139</v>
      </c>
      <c r="D12" s="8" t="s">
        <v>71</v>
      </c>
      <c r="E12" s="8" t="s">
        <v>25</v>
      </c>
      <c r="F12" s="17" t="s">
        <v>19</v>
      </c>
      <c r="G12" s="8" t="s">
        <v>72</v>
      </c>
      <c r="H12" s="8" t="s">
        <v>73</v>
      </c>
      <c r="I12" s="9" t="s">
        <v>22</v>
      </c>
      <c r="J12" s="9" t="s">
        <v>74</v>
      </c>
      <c r="K12" s="17" t="str">
        <f>_xlfn.IFNA(VLOOKUP(C12, '[2]Unique HS'!$B$4:$J$999, 9, FALSE), "No")</f>
        <v>Yes</v>
      </c>
      <c r="L12" s="18">
        <f>VLOOKUP(C12, '[1]India EXIM'!$B$6:$C$580, 2, FALSE)</f>
        <v>0.33800917302600003</v>
      </c>
      <c r="M12" s="11">
        <f>VLOOKUP(C12, '[1]China EXIM'!$B$6:$D$580, 3, FALSE)</f>
        <v>21.128265036485999</v>
      </c>
      <c r="N12" s="6"/>
      <c r="O12" s="6"/>
      <c r="P12" s="6"/>
      <c r="Q12" s="10" t="s">
        <v>24</v>
      </c>
      <c r="R12" s="9" t="s">
        <v>22</v>
      </c>
      <c r="V12" s="1" t="s">
        <v>25</v>
      </c>
    </row>
    <row r="13" spans="2:22" ht="69.95">
      <c r="B13" s="6" t="str">
        <f>VLOOKUP(C13, [1]Definition!$D$5:$K$5665, 8, FALSE)</f>
        <v>Capital Goods</v>
      </c>
      <c r="C13" s="7">
        <v>841370</v>
      </c>
      <c r="D13" s="8" t="s">
        <v>110</v>
      </c>
      <c r="E13" s="8" t="s">
        <v>25</v>
      </c>
      <c r="F13" s="17" t="s">
        <v>19</v>
      </c>
      <c r="G13" s="8" t="s">
        <v>111</v>
      </c>
      <c r="H13" s="8"/>
      <c r="I13" s="9" t="s">
        <v>22</v>
      </c>
      <c r="J13" s="9" t="s">
        <v>112</v>
      </c>
      <c r="K13" s="17" t="str">
        <f>_xlfn.IFNA(VLOOKUP(C13, '[2]Unique HS'!$B$4:$J$999, 9, FALSE), "No")</f>
        <v>Yes</v>
      </c>
      <c r="L13" s="18">
        <f>VLOOKUP(C13, '[1]India EXIM'!$B$6:$C$580, 2, FALSE)</f>
        <v>0.211937213417</v>
      </c>
      <c r="M13" s="11">
        <f>VLOOKUP(C13, '[1]China EXIM'!$B$6:$D$580, 3, FALSE)</f>
        <v>17.952901636002</v>
      </c>
      <c r="N13" s="6" t="s">
        <v>103</v>
      </c>
      <c r="O13" s="6"/>
      <c r="P13" s="6"/>
      <c r="Q13" s="10" t="s">
        <v>24</v>
      </c>
      <c r="R13" s="9" t="s">
        <v>22</v>
      </c>
      <c r="V13" s="1" t="s">
        <v>25</v>
      </c>
    </row>
    <row r="14" spans="2:22" ht="27.95" hidden="1">
      <c r="B14" s="6" t="str">
        <f>VLOOKUP(C14, [1]Definition!$D$5:$K$5665, 8, FALSE)</f>
        <v>Capital Goods</v>
      </c>
      <c r="C14" s="7">
        <v>842951</v>
      </c>
      <c r="D14" s="8" t="s">
        <v>308</v>
      </c>
      <c r="E14" s="8" t="s">
        <v>25</v>
      </c>
      <c r="F14" s="17" t="s">
        <v>19</v>
      </c>
      <c r="G14" s="8"/>
      <c r="H14" s="8"/>
      <c r="I14" s="9" t="s">
        <v>58</v>
      </c>
      <c r="J14" s="9" t="s">
        <v>31</v>
      </c>
      <c r="K14" s="17" t="str">
        <f>_xlfn.IFNA(VLOOKUP(C14, '[2]Unique HS'!$B$4:$J$999, 9, FALSE), "No")</f>
        <v>No</v>
      </c>
      <c r="L14" s="18">
        <f>VLOOKUP(C14, '[1]India EXIM'!$B$6:$C$580, 2, FALSE)</f>
        <v>7.1309501798999989E-2</v>
      </c>
      <c r="M14" s="11">
        <f>VLOOKUP(C14, '[1]China EXIM'!$B$6:$D$580, 3, FALSE)</f>
        <v>16.191612771962998</v>
      </c>
      <c r="N14" s="9" t="s">
        <v>117</v>
      </c>
      <c r="O14" s="9"/>
      <c r="P14" s="6"/>
      <c r="Q14" s="10" t="s">
        <v>24</v>
      </c>
      <c r="R14" s="9" t="s">
        <v>58</v>
      </c>
      <c r="V14" s="1" t="s">
        <v>25</v>
      </c>
    </row>
    <row r="15" spans="2:22" ht="27.95" hidden="1">
      <c r="B15" s="6" t="str">
        <f>VLOOKUP(C15, [1]Definition!$D$5:$K$5665, 8, FALSE)</f>
        <v>Capital Goods</v>
      </c>
      <c r="C15" s="7">
        <v>842720</v>
      </c>
      <c r="D15" s="8" t="s">
        <v>429</v>
      </c>
      <c r="E15" s="8" t="s">
        <v>25</v>
      </c>
      <c r="F15" s="17" t="s">
        <v>19</v>
      </c>
      <c r="G15" s="8"/>
      <c r="H15" s="8"/>
      <c r="I15" s="9" t="s">
        <v>58</v>
      </c>
      <c r="J15" s="9" t="s">
        <v>31</v>
      </c>
      <c r="K15" s="17" t="str">
        <f>_xlfn.IFNA(VLOOKUP(C15, '[2]Unique HS'!$B$4:$J$999, 9, FALSE), "No")</f>
        <v>No</v>
      </c>
      <c r="L15" s="18">
        <f>VLOOKUP(C15, '[1]India EXIM'!$B$6:$C$580, 2, FALSE)</f>
        <v>4.3534129082000002E-2</v>
      </c>
      <c r="M15" s="11">
        <f>VLOOKUP(C15, '[1]China EXIM'!$B$6:$D$580, 3, FALSE)</f>
        <v>15.452098916952</v>
      </c>
      <c r="N15" s="9" t="s">
        <v>59</v>
      </c>
      <c r="O15" s="9"/>
      <c r="P15" s="6"/>
      <c r="Q15" s="10" t="s">
        <v>24</v>
      </c>
      <c r="R15" s="9" t="s">
        <v>58</v>
      </c>
      <c r="V15" s="1" t="s">
        <v>25</v>
      </c>
    </row>
    <row r="16" spans="2:22" ht="27.95" hidden="1">
      <c r="B16" s="6" t="str">
        <f>VLOOKUP(C16, [1]Definition!$D$5:$K$5665, 8, FALSE)</f>
        <v>Capital Goods</v>
      </c>
      <c r="C16" s="7">
        <v>842710</v>
      </c>
      <c r="D16" s="8" t="s">
        <v>226</v>
      </c>
      <c r="E16" s="8" t="s">
        <v>25</v>
      </c>
      <c r="F16" s="17" t="s">
        <v>19</v>
      </c>
      <c r="G16" s="8"/>
      <c r="H16" s="8"/>
      <c r="I16" s="9" t="s">
        <v>58</v>
      </c>
      <c r="J16" s="9" t="s">
        <v>31</v>
      </c>
      <c r="K16" s="17" t="str">
        <f>_xlfn.IFNA(VLOOKUP(C16, '[2]Unique HS'!$B$4:$J$999, 9, FALSE), "No")</f>
        <v>Yes</v>
      </c>
      <c r="L16" s="18">
        <f>VLOOKUP(C16, '[1]India EXIM'!$B$6:$C$580, 2, FALSE)</f>
        <v>0.11186569542700001</v>
      </c>
      <c r="M16" s="11">
        <f>VLOOKUP(C16, '[1]China EXIM'!$B$6:$D$580, 3, FALSE)</f>
        <v>15.196996059570999</v>
      </c>
      <c r="N16" s="9" t="s">
        <v>59</v>
      </c>
      <c r="O16" s="9"/>
      <c r="P16" s="6"/>
      <c r="Q16" s="10" t="s">
        <v>24</v>
      </c>
      <c r="R16" s="9" t="s">
        <v>58</v>
      </c>
      <c r="V16" s="1" t="s">
        <v>25</v>
      </c>
    </row>
    <row r="17" spans="2:22" ht="27.95" hidden="1">
      <c r="B17" s="6" t="str">
        <f>VLOOKUP(C17, [1]Definition!$D$5:$K$5665, 8, FALSE)</f>
        <v>Capital Goods</v>
      </c>
      <c r="C17" s="7">
        <v>842890</v>
      </c>
      <c r="D17" s="8" t="s">
        <v>57</v>
      </c>
      <c r="E17" s="8" t="s">
        <v>25</v>
      </c>
      <c r="F17" s="17" t="s">
        <v>19</v>
      </c>
      <c r="G17" s="8"/>
      <c r="H17" s="8"/>
      <c r="I17" s="9" t="s">
        <v>58</v>
      </c>
      <c r="J17" s="9" t="s">
        <v>31</v>
      </c>
      <c r="K17" s="17" t="str">
        <f>_xlfn.IFNA(VLOOKUP(C17, '[2]Unique HS'!$B$4:$J$999, 9, FALSE), "No")</f>
        <v>Yes</v>
      </c>
      <c r="L17" s="18">
        <f>VLOOKUP(C17, '[1]India EXIM'!$B$6:$C$580, 2, FALSE)</f>
        <v>0.42001375728500001</v>
      </c>
      <c r="M17" s="11">
        <f>VLOOKUP(C17, '[1]China EXIM'!$B$6:$D$580, 3, FALSE)</f>
        <v>14.754161157035</v>
      </c>
      <c r="N17" s="9" t="s">
        <v>59</v>
      </c>
      <c r="O17" s="9"/>
      <c r="P17" s="6"/>
      <c r="Q17" s="10" t="s">
        <v>24</v>
      </c>
      <c r="R17" s="9" t="s">
        <v>58</v>
      </c>
      <c r="V17" s="1" t="s">
        <v>25</v>
      </c>
    </row>
    <row r="18" spans="2:22" hidden="1">
      <c r="B18" s="6" t="str">
        <f>VLOOKUP(C18, [1]Definition!$D$5:$K$5665, 8, FALSE)</f>
        <v>Capital Goods</v>
      </c>
      <c r="C18" s="7">
        <v>845811</v>
      </c>
      <c r="D18" s="8" t="s">
        <v>173</v>
      </c>
      <c r="E18" s="8" t="s">
        <v>25</v>
      </c>
      <c r="F18" s="17" t="s">
        <v>19</v>
      </c>
      <c r="G18" s="8"/>
      <c r="H18" s="8"/>
      <c r="I18" s="9" t="s">
        <v>65</v>
      </c>
      <c r="J18" s="9" t="s">
        <v>174</v>
      </c>
      <c r="K18" s="17" t="str">
        <f>_xlfn.IFNA(VLOOKUP(C18, '[2]Unique HS'!$B$4:$J$999, 9, FALSE), "No")</f>
        <v>No</v>
      </c>
      <c r="L18" s="18">
        <f>VLOOKUP(C18, '[1]India EXIM'!$B$6:$C$580, 2, FALSE)</f>
        <v>0.15788851972199999</v>
      </c>
      <c r="M18" s="11">
        <f>VLOOKUP(C18, '[1]China EXIM'!$B$6:$D$580, 3, FALSE)</f>
        <v>5.6931022893209997</v>
      </c>
      <c r="N18" s="6"/>
      <c r="O18" s="6"/>
      <c r="P18" s="6"/>
      <c r="Q18" s="10" t="s">
        <v>24</v>
      </c>
      <c r="R18" s="9" t="s">
        <v>65</v>
      </c>
      <c r="V18" s="1" t="s">
        <v>25</v>
      </c>
    </row>
    <row r="19" spans="2:22" ht="69.95">
      <c r="B19" s="6" t="str">
        <f>VLOOKUP(C19, [1]Definition!$D$5:$K$5665, 8, FALSE)</f>
        <v>Capital Goods</v>
      </c>
      <c r="C19" s="7">
        <v>903149</v>
      </c>
      <c r="D19" s="8" t="s">
        <v>145</v>
      </c>
      <c r="E19" s="8" t="s">
        <v>25</v>
      </c>
      <c r="F19" s="17" t="s">
        <v>19</v>
      </c>
      <c r="G19" s="8" t="s">
        <v>146</v>
      </c>
      <c r="H19" s="8" t="s">
        <v>147</v>
      </c>
      <c r="I19" s="9" t="s">
        <v>22</v>
      </c>
      <c r="J19" s="9" t="s">
        <v>38</v>
      </c>
      <c r="K19" s="17" t="str">
        <f>_xlfn.IFNA(VLOOKUP(C19, '[2]Unique HS'!$B$4:$J$999, 9, FALSE), "No")</f>
        <v>Yes</v>
      </c>
      <c r="L19" s="18">
        <f>VLOOKUP(C19, '[1]India EXIM'!$B$6:$C$580, 2, FALSE)</f>
        <v>0.16966305386300001</v>
      </c>
      <c r="M19" s="11">
        <f>VLOOKUP(C19, '[1]China EXIM'!$B$6:$D$580, 3, FALSE)</f>
        <v>12.746913384819001</v>
      </c>
      <c r="N19" s="6"/>
      <c r="O19" s="6"/>
      <c r="P19" s="6"/>
      <c r="Q19" s="10" t="s">
        <v>24</v>
      </c>
      <c r="R19" s="11" t="s">
        <v>39</v>
      </c>
      <c r="V19" s="1" t="s">
        <v>25</v>
      </c>
    </row>
    <row r="20" spans="2:22" ht="42">
      <c r="B20" s="6" t="str">
        <f>VLOOKUP(C20, [1]Definition!$D$5:$K$5665, 8, FALSE)</f>
        <v>Capital Goods</v>
      </c>
      <c r="C20" s="7">
        <v>842129</v>
      </c>
      <c r="D20" s="8" t="s">
        <v>108</v>
      </c>
      <c r="E20" s="8" t="s">
        <v>25</v>
      </c>
      <c r="F20" s="17" t="s">
        <v>19</v>
      </c>
      <c r="G20" s="8" t="s">
        <v>109</v>
      </c>
      <c r="H20" s="8"/>
      <c r="I20" s="9" t="s">
        <v>22</v>
      </c>
      <c r="J20" s="9" t="s">
        <v>74</v>
      </c>
      <c r="K20" s="17" t="str">
        <f>_xlfn.IFNA(VLOOKUP(C20, '[2]Unique HS'!$B$4:$J$999, 9, FALSE), "No")</f>
        <v>Yes</v>
      </c>
      <c r="L20" s="18">
        <f>VLOOKUP(C20, '[1]India EXIM'!$B$6:$C$580, 2, FALSE)</f>
        <v>0.23592089345300002</v>
      </c>
      <c r="M20" s="11">
        <f>VLOOKUP(C20, '[1]China EXIM'!$B$6:$D$580, 3, FALSE)</f>
        <v>12.532340795601</v>
      </c>
      <c r="N20" s="6"/>
      <c r="O20" s="6"/>
      <c r="P20" s="6"/>
      <c r="Q20" s="10" t="s">
        <v>24</v>
      </c>
      <c r="R20" s="9" t="s">
        <v>22</v>
      </c>
      <c r="V20" s="1" t="s">
        <v>25</v>
      </c>
    </row>
    <row r="21" spans="2:22" ht="56.1" hidden="1">
      <c r="B21" s="6" t="str">
        <f>VLOOKUP(C21, [1]Definition!$D$5:$K$5665, 8, FALSE)</f>
        <v>Capital Goods</v>
      </c>
      <c r="C21" s="7">
        <v>848640</v>
      </c>
      <c r="D21" s="8" t="s">
        <v>90</v>
      </c>
      <c r="E21" s="8" t="s">
        <v>25</v>
      </c>
      <c r="F21" s="17" t="s">
        <v>19</v>
      </c>
      <c r="G21" s="8"/>
      <c r="H21" s="8" t="s">
        <v>91</v>
      </c>
      <c r="I21" s="9" t="s">
        <v>46</v>
      </c>
      <c r="J21" s="9" t="s">
        <v>31</v>
      </c>
      <c r="K21" s="17" t="str">
        <f>_xlfn.IFNA(VLOOKUP(C21, '[2]Unique HS'!$B$4:$J$999, 9, FALSE), "No")</f>
        <v>Yes</v>
      </c>
      <c r="L21" s="18">
        <f>VLOOKUP(C21, '[1]India EXIM'!$B$6:$C$580, 2, FALSE)</f>
        <v>0.297898358659</v>
      </c>
      <c r="M21" s="11">
        <f>VLOOKUP(C21, '[1]China EXIM'!$B$6:$D$580, 3, FALSE)</f>
        <v>12.357574409787</v>
      </c>
      <c r="N21" s="6"/>
      <c r="O21" s="6"/>
      <c r="P21" s="6"/>
      <c r="Q21" s="10" t="s">
        <v>24</v>
      </c>
      <c r="R21" s="9" t="s">
        <v>46</v>
      </c>
      <c r="V21" s="1" t="s">
        <v>25</v>
      </c>
    </row>
    <row r="22" spans="2:22" ht="42">
      <c r="B22" s="6" t="str">
        <f>VLOOKUP(C22, [1]Definition!$D$5:$K$5665, 8, FALSE)</f>
        <v>Capital Goods</v>
      </c>
      <c r="C22" s="7">
        <v>902750</v>
      </c>
      <c r="D22" s="8" t="s">
        <v>84</v>
      </c>
      <c r="E22" s="8" t="s">
        <v>25</v>
      </c>
      <c r="F22" s="17" t="s">
        <v>19</v>
      </c>
      <c r="G22" s="8" t="s">
        <v>85</v>
      </c>
      <c r="H22" s="8" t="s">
        <v>86</v>
      </c>
      <c r="I22" s="9" t="s">
        <v>22</v>
      </c>
      <c r="J22" s="9" t="s">
        <v>87</v>
      </c>
      <c r="K22" s="17" t="str">
        <f>_xlfn.IFNA(VLOOKUP(C22, '[2]Unique HS'!$B$4:$J$999, 9, FALSE), "No")</f>
        <v>Yes</v>
      </c>
      <c r="L22" s="18">
        <f>VLOOKUP(C22, '[1]India EXIM'!$B$6:$C$580, 2, FALSE)</f>
        <v>0.30759251272100002</v>
      </c>
      <c r="M22" s="11">
        <f>VLOOKUP(C22, '[1]China EXIM'!$B$6:$D$580, 3, FALSE)</f>
        <v>11.475711325601999</v>
      </c>
      <c r="N22" s="6"/>
      <c r="O22" s="6"/>
      <c r="P22" s="6"/>
      <c r="Q22" s="10" t="s">
        <v>24</v>
      </c>
      <c r="R22" s="9" t="s">
        <v>22</v>
      </c>
      <c r="V22" s="1" t="s">
        <v>25</v>
      </c>
    </row>
    <row r="23" spans="2:22" ht="27.95">
      <c r="B23" s="6" t="str">
        <f>VLOOKUP(C23, [1]Definition!$D$5:$K$5665, 8, FALSE)</f>
        <v>Capital Goods</v>
      </c>
      <c r="C23" s="7">
        <v>902620</v>
      </c>
      <c r="D23" s="8" t="s">
        <v>121</v>
      </c>
      <c r="E23" s="8" t="s">
        <v>25</v>
      </c>
      <c r="F23" s="17" t="s">
        <v>19</v>
      </c>
      <c r="G23" s="8" t="s">
        <v>68</v>
      </c>
      <c r="H23" s="8"/>
      <c r="I23" s="9" t="s">
        <v>22</v>
      </c>
      <c r="J23" s="9" t="s">
        <v>122</v>
      </c>
      <c r="K23" s="17" t="str">
        <f>_xlfn.IFNA(VLOOKUP(C23, '[2]Unique HS'!$B$4:$J$999, 9, FALSE), "No")</f>
        <v>Yes</v>
      </c>
      <c r="L23" s="18">
        <f>VLOOKUP(C23, '[1]India EXIM'!$B$6:$C$580, 2, FALSE)</f>
        <v>0.20677264469000001</v>
      </c>
      <c r="M23" s="11">
        <f>VLOOKUP(C23, '[1]China EXIM'!$B$6:$D$580, 3, FALSE)</f>
        <v>11.170423560351001</v>
      </c>
      <c r="N23" s="6"/>
      <c r="O23" s="6"/>
      <c r="P23" s="6"/>
      <c r="Q23" s="10" t="s">
        <v>24</v>
      </c>
      <c r="R23" s="11" t="s">
        <v>39</v>
      </c>
      <c r="V23" s="1" t="s">
        <v>25</v>
      </c>
    </row>
    <row r="24" spans="2:22" ht="56.1">
      <c r="B24" s="6" t="str">
        <f>VLOOKUP(C24, [1]Definition!$D$5:$K$5665, 8, FALSE)</f>
        <v>Capital Goods</v>
      </c>
      <c r="C24" s="7">
        <v>902789</v>
      </c>
      <c r="D24" s="8" t="s">
        <v>67</v>
      </c>
      <c r="E24" s="8" t="s">
        <v>25</v>
      </c>
      <c r="F24" s="17" t="s">
        <v>19</v>
      </c>
      <c r="G24" s="8" t="s">
        <v>68</v>
      </c>
      <c r="H24" s="8" t="s">
        <v>69</v>
      </c>
      <c r="I24" s="9" t="s">
        <v>22</v>
      </c>
      <c r="J24" s="9" t="s">
        <v>38</v>
      </c>
      <c r="K24" s="17" t="str">
        <f>_xlfn.IFNA(VLOOKUP(C24, '[2]Unique HS'!$B$4:$J$999, 9, FALSE), "No")</f>
        <v>Yes</v>
      </c>
      <c r="L24" s="18">
        <f>VLOOKUP(C24, '[1]India EXIM'!$B$6:$C$580, 2, FALSE)</f>
        <v>0.35582384637000003</v>
      </c>
      <c r="M24" s="11">
        <f>VLOOKUP(C24, '[1]China EXIM'!$B$6:$D$580, 3, FALSE)</f>
        <v>10.668475218816001</v>
      </c>
      <c r="N24" s="6"/>
      <c r="O24" s="6"/>
      <c r="P24" s="6"/>
      <c r="Q24" s="10" t="s">
        <v>24</v>
      </c>
      <c r="R24" s="11" t="s">
        <v>70</v>
      </c>
      <c r="V24" s="1" t="s">
        <v>25</v>
      </c>
    </row>
    <row r="25" spans="2:22" ht="42">
      <c r="B25" s="6" t="str">
        <f>VLOOKUP(C25, [1]Definition!$D$5:$K$5665, 8, FALSE)</f>
        <v>Capital Goods</v>
      </c>
      <c r="C25" s="7">
        <v>841989</v>
      </c>
      <c r="D25" s="8" t="s">
        <v>92</v>
      </c>
      <c r="E25" s="8" t="s">
        <v>25</v>
      </c>
      <c r="F25" s="17" t="s">
        <v>19</v>
      </c>
      <c r="G25" s="8" t="s">
        <v>93</v>
      </c>
      <c r="H25" s="8"/>
      <c r="I25" s="9" t="s">
        <v>22</v>
      </c>
      <c r="J25" s="9" t="s">
        <v>74</v>
      </c>
      <c r="K25" s="17" t="str">
        <f>_xlfn.IFNA(VLOOKUP(C25, '[2]Unique HS'!$B$4:$J$999, 9, FALSE), "No")</f>
        <v>Yes</v>
      </c>
      <c r="L25" s="18">
        <f>VLOOKUP(C25, '[1]India EXIM'!$B$6:$C$580, 2, FALSE)</f>
        <v>0.29726136943800002</v>
      </c>
      <c r="M25" s="11">
        <f>VLOOKUP(C25, '[1]China EXIM'!$B$6:$D$580, 3, FALSE)</f>
        <v>10.373114867551001</v>
      </c>
      <c r="N25" s="6"/>
      <c r="O25" s="6"/>
      <c r="P25" s="6"/>
      <c r="Q25" s="10" t="s">
        <v>24</v>
      </c>
      <c r="R25" s="9" t="s">
        <v>22</v>
      </c>
      <c r="V25" s="1" t="s">
        <v>25</v>
      </c>
    </row>
    <row r="26" spans="2:22" ht="27.95" hidden="1">
      <c r="B26" s="6" t="str">
        <f>VLOOKUP(C26, [1]Definition!$D$5:$K$5665, 8, FALSE)</f>
        <v>Capital Goods</v>
      </c>
      <c r="C26" s="7">
        <v>846729</v>
      </c>
      <c r="D26" s="8" t="s">
        <v>185</v>
      </c>
      <c r="E26" s="8" t="s">
        <v>25</v>
      </c>
      <c r="F26" s="17" t="s">
        <v>19</v>
      </c>
      <c r="G26" s="8"/>
      <c r="H26" s="8"/>
      <c r="I26" s="9" t="s">
        <v>65</v>
      </c>
      <c r="J26" s="9" t="s">
        <v>31</v>
      </c>
      <c r="K26" s="17" t="str">
        <f>_xlfn.IFNA(VLOOKUP(C26, '[2]Unique HS'!$B$4:$J$999, 9, FALSE), "No")</f>
        <v>Yes</v>
      </c>
      <c r="L26" s="18">
        <f>VLOOKUP(C26, '[1]India EXIM'!$B$6:$C$580, 2, FALSE)</f>
        <v>0.13760451898100001</v>
      </c>
      <c r="M26" s="11">
        <f>VLOOKUP(C26, '[1]China EXIM'!$B$6:$D$580, 3, FALSE)</f>
        <v>13.092973100756</v>
      </c>
      <c r="N26" s="6"/>
      <c r="O26" s="6"/>
      <c r="P26" s="6"/>
      <c r="Q26" s="10" t="s">
        <v>24</v>
      </c>
      <c r="R26" s="9" t="s">
        <v>65</v>
      </c>
      <c r="V26" s="1" t="s">
        <v>25</v>
      </c>
    </row>
    <row r="27" spans="2:22" ht="42" hidden="1">
      <c r="B27" s="6" t="str">
        <f>VLOOKUP(C27, [1]Definition!$D$5:$K$5665, 8, FALSE)</f>
        <v>Capital Goods</v>
      </c>
      <c r="C27" s="7">
        <v>842230</v>
      </c>
      <c r="D27" s="8" t="s">
        <v>60</v>
      </c>
      <c r="E27" s="8" t="s">
        <v>25</v>
      </c>
      <c r="F27" s="17" t="s">
        <v>19</v>
      </c>
      <c r="G27" s="8"/>
      <c r="H27" s="8"/>
      <c r="I27" s="9" t="s">
        <v>61</v>
      </c>
      <c r="J27" s="9" t="s">
        <v>62</v>
      </c>
      <c r="K27" s="17" t="str">
        <f>_xlfn.IFNA(VLOOKUP(C27, '[2]Unique HS'!$B$4:$J$999, 9, FALSE), "No")</f>
        <v>Yes</v>
      </c>
      <c r="L27" s="18">
        <f>VLOOKUP(C27, '[1]India EXIM'!$B$6:$C$580, 2, FALSE)</f>
        <v>0.409757480728</v>
      </c>
      <c r="M27" s="11">
        <f>VLOOKUP(C27, '[1]China EXIM'!$B$6:$D$580, 3, FALSE)</f>
        <v>10.293694743608999</v>
      </c>
      <c r="N27" s="6" t="s">
        <v>63</v>
      </c>
      <c r="O27" s="6"/>
      <c r="P27" s="6"/>
      <c r="Q27" s="10" t="s">
        <v>24</v>
      </c>
      <c r="R27" s="9" t="s">
        <v>61</v>
      </c>
      <c r="V27" s="1" t="s">
        <v>25</v>
      </c>
    </row>
    <row r="28" spans="2:22" ht="27.95">
      <c r="B28" s="6" t="str">
        <f>VLOOKUP(C28, [1]Definition!$D$5:$K$5665, 8, FALSE)</f>
        <v>Capital Goods</v>
      </c>
      <c r="C28" s="7">
        <v>842240</v>
      </c>
      <c r="D28" s="8" t="s">
        <v>104</v>
      </c>
      <c r="E28" s="8" t="s">
        <v>25</v>
      </c>
      <c r="F28" s="17" t="s">
        <v>19</v>
      </c>
      <c r="G28" s="8"/>
      <c r="H28" s="8"/>
      <c r="I28" s="9" t="s">
        <v>22</v>
      </c>
      <c r="J28" s="9" t="s">
        <v>105</v>
      </c>
      <c r="K28" s="17" t="str">
        <f>_xlfn.IFNA(VLOOKUP(C28, '[2]Unique HS'!$B$4:$J$999, 9, FALSE), "No")</f>
        <v>Yes</v>
      </c>
      <c r="L28" s="18">
        <f>VLOOKUP(C28, '[1]India EXIM'!$B$6:$C$580, 2, FALSE)</f>
        <v>0.25673197567599998</v>
      </c>
      <c r="M28" s="11">
        <f>VLOOKUP(C28, '[1]China EXIM'!$B$6:$D$580, 3, FALSE)</f>
        <v>10.276384546020001</v>
      </c>
      <c r="N28" s="6" t="s">
        <v>63</v>
      </c>
      <c r="O28" s="6"/>
      <c r="P28" s="6"/>
      <c r="Q28" s="10" t="s">
        <v>24</v>
      </c>
      <c r="R28" s="9" t="s">
        <v>22</v>
      </c>
      <c r="V28" s="1" t="s">
        <v>25</v>
      </c>
    </row>
    <row r="29" spans="2:22" ht="56.1">
      <c r="B29" s="6" t="str">
        <f>VLOOKUP(C29, [1]Definition!$D$5:$K$5665, 8, FALSE)</f>
        <v>Capital Goods</v>
      </c>
      <c r="C29" s="7">
        <v>841350</v>
      </c>
      <c r="D29" s="8" t="s">
        <v>100</v>
      </c>
      <c r="E29" s="8" t="s">
        <v>25</v>
      </c>
      <c r="F29" s="17" t="s">
        <v>19</v>
      </c>
      <c r="G29" s="8" t="s">
        <v>101</v>
      </c>
      <c r="H29" s="8"/>
      <c r="I29" s="9" t="s">
        <v>22</v>
      </c>
      <c r="J29" s="9" t="s">
        <v>102</v>
      </c>
      <c r="K29" s="17" t="str">
        <f>_xlfn.IFNA(VLOOKUP(C29, '[2]Unique HS'!$B$4:$J$999, 9, FALSE), "No")</f>
        <v>Yes</v>
      </c>
      <c r="L29" s="18">
        <f>VLOOKUP(C29, '[1]India EXIM'!$B$6:$C$580, 2, FALSE)</f>
        <v>0.257421521672</v>
      </c>
      <c r="M29" s="11">
        <f>VLOOKUP(C29, '[1]China EXIM'!$B$6:$D$580, 3, FALSE)</f>
        <v>9.9874781856089996</v>
      </c>
      <c r="N29" s="6" t="s">
        <v>103</v>
      </c>
      <c r="O29" s="6"/>
      <c r="P29" s="6"/>
      <c r="Q29" s="10" t="s">
        <v>24</v>
      </c>
      <c r="R29" s="9" t="s">
        <v>58</v>
      </c>
      <c r="V29" s="1" t="s">
        <v>25</v>
      </c>
    </row>
    <row r="30" spans="2:22" ht="42" hidden="1">
      <c r="B30" s="6" t="str">
        <f>VLOOKUP(C30, [1]Definition!$D$5:$K$5665, 8, FALSE)</f>
        <v>Capital Goods</v>
      </c>
      <c r="C30" s="7">
        <v>870194</v>
      </c>
      <c r="D30" s="8" t="s">
        <v>1106</v>
      </c>
      <c r="E30" s="8" t="s">
        <v>25</v>
      </c>
      <c r="F30" s="17" t="s">
        <v>19</v>
      </c>
      <c r="G30" s="8"/>
      <c r="H30" s="8"/>
      <c r="I30" s="9" t="s">
        <v>58</v>
      </c>
      <c r="J30" s="9" t="s">
        <v>31</v>
      </c>
      <c r="K30" s="17" t="str">
        <f>_xlfn.IFNA(VLOOKUP(C30, '[2]Unique HS'!$B$4:$J$999, 9, FALSE), "No")</f>
        <v>No</v>
      </c>
      <c r="L30" s="18">
        <f>VLOOKUP(C30, '[1]India EXIM'!$B$6:$C$580, 2, FALSE)</f>
        <v>1.5953459299999998E-4</v>
      </c>
      <c r="M30" s="11">
        <f>VLOOKUP(C30, '[1]China EXIM'!$B$6:$D$580, 3, FALSE)</f>
        <v>9.2972701429290012</v>
      </c>
      <c r="N30" s="6"/>
      <c r="O30" s="6"/>
      <c r="P30" s="6"/>
      <c r="Q30" s="10" t="s">
        <v>24</v>
      </c>
      <c r="R30" s="9" t="s">
        <v>58</v>
      </c>
      <c r="V30" s="1" t="s">
        <v>25</v>
      </c>
    </row>
    <row r="31" spans="2:22" ht="27.95" hidden="1">
      <c r="B31" s="6" t="str">
        <f>VLOOKUP(C31, [1]Definition!$D$5:$K$5665, 8, FALSE)</f>
        <v>Capital Goods</v>
      </c>
      <c r="C31" s="7">
        <v>845611</v>
      </c>
      <c r="D31" s="8" t="s">
        <v>194</v>
      </c>
      <c r="E31" s="8" t="s">
        <v>25</v>
      </c>
      <c r="F31" s="17" t="s">
        <v>19</v>
      </c>
      <c r="G31" s="8"/>
      <c r="H31" s="8"/>
      <c r="I31" s="9" t="s">
        <v>65</v>
      </c>
      <c r="J31" s="9" t="s">
        <v>31</v>
      </c>
      <c r="K31" s="17" t="str">
        <f>_xlfn.IFNA(VLOOKUP(C31, '[2]Unique HS'!$B$4:$J$999, 9, FALSE), "No")</f>
        <v>Yes</v>
      </c>
      <c r="L31" s="18">
        <f>VLOOKUP(C31, '[1]India EXIM'!$B$6:$C$580, 2, FALSE)</f>
        <v>0.132902966052</v>
      </c>
      <c r="M31" s="11">
        <f>VLOOKUP(C31, '[1]China EXIM'!$B$6:$D$580, 3, FALSE)</f>
        <v>6.5221743335799998</v>
      </c>
      <c r="N31" s="6"/>
      <c r="O31" s="6"/>
      <c r="P31" s="6"/>
      <c r="Q31" s="10" t="s">
        <v>24</v>
      </c>
      <c r="R31" s="9" t="s">
        <v>65</v>
      </c>
      <c r="V31" s="1" t="s">
        <v>25</v>
      </c>
    </row>
    <row r="32" spans="2:22" ht="56.1" hidden="1">
      <c r="B32" s="6" t="str">
        <f>VLOOKUP(C32, [1]Definition!$D$5:$K$5665, 8, FALSE)</f>
        <v>Capital Goods</v>
      </c>
      <c r="C32" s="7">
        <v>903141</v>
      </c>
      <c r="D32" s="8" t="s">
        <v>657</v>
      </c>
      <c r="E32" s="8" t="s">
        <v>25</v>
      </c>
      <c r="F32" s="17" t="s">
        <v>19</v>
      </c>
      <c r="G32" s="8" t="s">
        <v>658</v>
      </c>
      <c r="H32" s="8"/>
      <c r="I32" s="9" t="s">
        <v>46</v>
      </c>
      <c r="J32" s="9" t="s">
        <v>273</v>
      </c>
      <c r="K32" s="17" t="str">
        <f>_xlfn.IFNA(VLOOKUP(C32, '[2]Unique HS'!$B$4:$J$999, 9, FALSE), "No")</f>
        <v>Yes</v>
      </c>
      <c r="L32" s="18">
        <f>VLOOKUP(C32, '[1]India EXIM'!$B$6:$C$580, 2, FALSE)</f>
        <v>1.7660330815E-2</v>
      </c>
      <c r="M32" s="11">
        <f>VLOOKUP(C32, '[1]China EXIM'!$B$6:$D$580, 3, FALSE)</f>
        <v>8.930551534419001</v>
      </c>
      <c r="N32" s="6"/>
      <c r="O32" s="6"/>
      <c r="P32" s="6"/>
      <c r="Q32" s="10" t="s">
        <v>24</v>
      </c>
      <c r="R32" s="9" t="s">
        <v>46</v>
      </c>
      <c r="V32" s="1" t="s">
        <v>25</v>
      </c>
    </row>
    <row r="33" spans="2:23" ht="56.1">
      <c r="B33" s="6" t="str">
        <f>VLOOKUP(C33, [1]Definition!$D$5:$K$5665, 8, FALSE)</f>
        <v>Capital Goods</v>
      </c>
      <c r="C33" s="7">
        <v>842123</v>
      </c>
      <c r="D33" s="8" t="s">
        <v>204</v>
      </c>
      <c r="E33" s="8" t="s">
        <v>34</v>
      </c>
      <c r="F33" s="17" t="s">
        <v>205</v>
      </c>
      <c r="G33" s="8" t="s">
        <v>206</v>
      </c>
      <c r="H33" s="8" t="s">
        <v>207</v>
      </c>
      <c r="I33" s="9" t="s">
        <v>22</v>
      </c>
      <c r="J33" s="9" t="s">
        <v>74</v>
      </c>
      <c r="K33" s="17" t="str">
        <f>_xlfn.IFNA(VLOOKUP(C33, '[2]Unique HS'!$B$4:$J$999, 9, FALSE), "No")</f>
        <v>Yes</v>
      </c>
      <c r="L33" s="18">
        <f>VLOOKUP(C33, '[1]India EXIM'!$B$6:$C$580, 2, FALSE)</f>
        <v>0.123083453116</v>
      </c>
      <c r="M33" s="11">
        <f>VLOOKUP(C33, '[1]China EXIM'!$B$6:$D$580, 3, FALSE)</f>
        <v>8.7109218797349985</v>
      </c>
      <c r="N33" s="6"/>
      <c r="O33" s="6"/>
      <c r="P33" s="6"/>
      <c r="Q33" s="10" t="s">
        <v>24</v>
      </c>
      <c r="R33" s="9" t="s">
        <v>22</v>
      </c>
      <c r="V33" s="1" t="s">
        <v>34</v>
      </c>
      <c r="W33" s="1" t="s">
        <v>113</v>
      </c>
    </row>
    <row r="34" spans="2:23" ht="27.95" hidden="1">
      <c r="B34" s="6" t="str">
        <f>VLOOKUP(C34, [1]Definition!$D$5:$K$5665, 8, FALSE)</f>
        <v>Capital Goods</v>
      </c>
      <c r="C34" s="7">
        <v>820713</v>
      </c>
      <c r="D34" s="8" t="s">
        <v>831</v>
      </c>
      <c r="E34" s="8" t="s">
        <v>25</v>
      </c>
      <c r="F34" s="17" t="s">
        <v>19</v>
      </c>
      <c r="G34" s="8"/>
      <c r="H34" s="8"/>
      <c r="I34" s="9" t="s">
        <v>58</v>
      </c>
      <c r="J34" s="9" t="s">
        <v>371</v>
      </c>
      <c r="K34" s="17" t="str">
        <f>_xlfn.IFNA(VLOOKUP(C34, '[2]Unique HS'!$B$4:$J$999, 9, FALSE), "No")</f>
        <v>No</v>
      </c>
      <c r="L34" s="18">
        <f>VLOOKUP(C34, '[1]India EXIM'!$B$6:$C$580, 2, FALSE)</f>
        <v>9.2165323129999987E-3</v>
      </c>
      <c r="M34" s="11">
        <f>VLOOKUP(C34, '[1]China EXIM'!$B$6:$D$580, 3, FALSE)</f>
        <v>0.6508552407</v>
      </c>
      <c r="N34" s="6" t="s">
        <v>201</v>
      </c>
      <c r="O34" s="6"/>
      <c r="P34" s="6" t="s">
        <v>201</v>
      </c>
      <c r="Q34" s="10" t="s">
        <v>24</v>
      </c>
      <c r="R34" s="9" t="s">
        <v>58</v>
      </c>
      <c r="V34" s="1" t="s">
        <v>25</v>
      </c>
    </row>
    <row r="35" spans="2:23" ht="42" hidden="1">
      <c r="B35" s="6" t="str">
        <f>VLOOKUP(C35, [1]Definition!$D$5:$K$5665, 8, FALSE)</f>
        <v>Capital Goods</v>
      </c>
      <c r="C35" s="7">
        <v>847780</v>
      </c>
      <c r="D35" s="8" t="s">
        <v>51</v>
      </c>
      <c r="E35" s="8" t="s">
        <v>25</v>
      </c>
      <c r="F35" s="17" t="s">
        <v>19</v>
      </c>
      <c r="G35" s="8"/>
      <c r="H35" s="8"/>
      <c r="I35" s="9" t="s">
        <v>52</v>
      </c>
      <c r="J35" s="9" t="s">
        <v>53</v>
      </c>
      <c r="K35" s="17" t="str">
        <f>_xlfn.IFNA(VLOOKUP(C35, '[2]Unique HS'!$B$4:$J$999, 9, FALSE), "No")</f>
        <v>Yes</v>
      </c>
      <c r="L35" s="18">
        <f>VLOOKUP(C35, '[1]India EXIM'!$B$6:$C$580, 2, FALSE)</f>
        <v>0.61494400498099999</v>
      </c>
      <c r="M35" s="11">
        <f>VLOOKUP(C35, '[1]China EXIM'!$B$6:$D$580, 3, FALSE)</f>
        <v>8.2904160641849991</v>
      </c>
      <c r="N35" s="6"/>
      <c r="O35" s="6"/>
      <c r="P35" s="6"/>
      <c r="Q35" s="10" t="s">
        <v>24</v>
      </c>
      <c r="R35" s="9" t="s">
        <v>52</v>
      </c>
      <c r="V35" s="1" t="s">
        <v>25</v>
      </c>
    </row>
    <row r="36" spans="2:23" ht="69.95" hidden="1">
      <c r="B36" s="6" t="str">
        <f>VLOOKUP(C36, [1]Definition!$D$5:$K$5665, 8, FALSE)</f>
        <v>Capital Goods</v>
      </c>
      <c r="C36" s="7">
        <v>841221</v>
      </c>
      <c r="D36" s="8" t="s">
        <v>118</v>
      </c>
      <c r="E36" s="8" t="s">
        <v>34</v>
      </c>
      <c r="F36" s="17" t="s">
        <v>119</v>
      </c>
      <c r="G36" s="8" t="s">
        <v>1175</v>
      </c>
      <c r="H36" s="8" t="s">
        <v>1176</v>
      </c>
      <c r="I36" s="9" t="s">
        <v>58</v>
      </c>
      <c r="J36" s="9" t="s">
        <v>120</v>
      </c>
      <c r="K36" s="17" t="str">
        <f>_xlfn.IFNA(VLOOKUP(C36, '[2]Unique HS'!$B$4:$J$999, 9, FALSE), "No")</f>
        <v>Yes</v>
      </c>
      <c r="L36" s="18">
        <f>VLOOKUP(C36, '[1]India EXIM'!$B$6:$C$580, 2, FALSE)</f>
        <v>0.105051476595</v>
      </c>
      <c r="M36" s="11">
        <f>VLOOKUP(C36, '[1]China EXIM'!$B$6:$D$580, 3, FALSE)</f>
        <v>8.116513637433</v>
      </c>
      <c r="N36" s="6"/>
      <c r="O36" s="6"/>
      <c r="P36" s="6"/>
      <c r="Q36" s="10" t="s">
        <v>24</v>
      </c>
      <c r="R36" s="9" t="s">
        <v>58</v>
      </c>
      <c r="V36" s="1" t="s">
        <v>34</v>
      </c>
    </row>
    <row r="37" spans="2:23" ht="56.1">
      <c r="B37" s="6" t="str">
        <f>VLOOKUP(C37, [1]Definition!$D$5:$K$5665, 8, FALSE)</f>
        <v>Capital Goods</v>
      </c>
      <c r="C37" s="7">
        <v>841360</v>
      </c>
      <c r="D37" s="8" t="s">
        <v>198</v>
      </c>
      <c r="E37" s="8" t="s">
        <v>25</v>
      </c>
      <c r="F37" s="17" t="s">
        <v>19</v>
      </c>
      <c r="G37" s="8"/>
      <c r="H37" s="8"/>
      <c r="I37" s="9" t="s">
        <v>22</v>
      </c>
      <c r="J37" s="9" t="s">
        <v>102</v>
      </c>
      <c r="K37" s="17" t="str">
        <f>_xlfn.IFNA(VLOOKUP(C37, '[2]Unique HS'!$B$4:$J$999, 9, FALSE), "No")</f>
        <v>Yes</v>
      </c>
      <c r="L37" s="18">
        <f>VLOOKUP(C37, '[1]India EXIM'!$B$6:$C$580, 2, FALSE)</f>
        <v>0.125676213239</v>
      </c>
      <c r="M37" s="11">
        <f>VLOOKUP(C37, '[1]China EXIM'!$B$6:$D$580, 3, FALSE)</f>
        <v>8.1080811482610002</v>
      </c>
      <c r="N37" s="6" t="s">
        <v>103</v>
      </c>
      <c r="O37" s="6"/>
      <c r="P37" s="6"/>
      <c r="Q37" s="10" t="s">
        <v>24</v>
      </c>
      <c r="R37" s="9" t="s">
        <v>22</v>
      </c>
      <c r="V37" s="1" t="s">
        <v>25</v>
      </c>
    </row>
    <row r="38" spans="2:23" ht="27.95">
      <c r="B38" s="6" t="str">
        <f>VLOOKUP(C38, [1]Definition!$D$5:$K$5665, 8, FALSE)</f>
        <v>Capital Goods</v>
      </c>
      <c r="C38" s="7">
        <v>902710</v>
      </c>
      <c r="D38" s="8" t="s">
        <v>98</v>
      </c>
      <c r="E38" s="8" t="s">
        <v>25</v>
      </c>
      <c r="F38" s="17" t="s">
        <v>19</v>
      </c>
      <c r="G38" s="8"/>
      <c r="H38" s="8" t="s">
        <v>99</v>
      </c>
      <c r="I38" s="9" t="s">
        <v>22</v>
      </c>
      <c r="J38" s="9" t="s">
        <v>38</v>
      </c>
      <c r="K38" s="17" t="str">
        <f>_xlfn.IFNA(VLOOKUP(C38, '[2]Unique HS'!$B$4:$J$999, 9, FALSE), "No")</f>
        <v>Yes</v>
      </c>
      <c r="L38" s="18">
        <f>VLOOKUP(C38, '[1]India EXIM'!$B$6:$C$580, 2, FALSE)</f>
        <v>0.26460314215899999</v>
      </c>
      <c r="M38" s="11">
        <f>VLOOKUP(C38, '[1]China EXIM'!$B$6:$D$580, 3, FALSE)</f>
        <v>7.7531454783180003</v>
      </c>
      <c r="N38" s="6"/>
      <c r="O38" s="6"/>
      <c r="P38" s="6"/>
      <c r="Q38" s="10" t="s">
        <v>24</v>
      </c>
      <c r="R38" s="9" t="s">
        <v>22</v>
      </c>
      <c r="V38" s="1" t="s">
        <v>25</v>
      </c>
    </row>
    <row r="39" spans="2:23" ht="42" hidden="1">
      <c r="B39" s="6" t="str">
        <f>VLOOKUP(C39, [1]Definition!$D$5:$K$5665, 8, FALSE)</f>
        <v>Capital Goods</v>
      </c>
      <c r="C39" s="7">
        <v>842839</v>
      </c>
      <c r="D39" s="8" t="s">
        <v>138</v>
      </c>
      <c r="E39" s="8" t="s">
        <v>25</v>
      </c>
      <c r="F39" s="17" t="s">
        <v>19</v>
      </c>
      <c r="G39" s="8"/>
      <c r="H39" s="8"/>
      <c r="I39" s="9" t="s">
        <v>58</v>
      </c>
      <c r="J39" s="9" t="s">
        <v>31</v>
      </c>
      <c r="K39" s="17" t="str">
        <f>_xlfn.IFNA(VLOOKUP(C39, '[2]Unique HS'!$B$4:$J$999, 9, FALSE), "No")</f>
        <v>Yes</v>
      </c>
      <c r="L39" s="18">
        <f>VLOOKUP(C39, '[1]India EXIM'!$B$6:$C$580, 2, FALSE)</f>
        <v>0.17471126033599998</v>
      </c>
      <c r="M39" s="11">
        <f>VLOOKUP(C39, '[1]China EXIM'!$B$6:$D$580, 3, FALSE)</f>
        <v>7.7437510404380001</v>
      </c>
      <c r="N39" s="9" t="s">
        <v>59</v>
      </c>
      <c r="O39" s="9"/>
      <c r="P39" s="6"/>
      <c r="Q39" s="10" t="s">
        <v>24</v>
      </c>
      <c r="R39" s="9" t="s">
        <v>58</v>
      </c>
      <c r="V39" s="1" t="s">
        <v>25</v>
      </c>
    </row>
    <row r="40" spans="2:23" ht="56.1" hidden="1">
      <c r="B40" s="6" t="str">
        <f>VLOOKUP(C40, [1]Definition!$D$5:$K$5665, 8, FALSE)</f>
        <v>Capital Goods</v>
      </c>
      <c r="C40" s="7">
        <v>846290</v>
      </c>
      <c r="D40" s="8" t="s">
        <v>197</v>
      </c>
      <c r="E40" s="8" t="s">
        <v>25</v>
      </c>
      <c r="F40" s="17" t="s">
        <v>19</v>
      </c>
      <c r="G40" s="8"/>
      <c r="H40" s="8"/>
      <c r="I40" s="9" t="s">
        <v>65</v>
      </c>
      <c r="J40" s="9" t="s">
        <v>31</v>
      </c>
      <c r="K40" s="17" t="str">
        <f>_xlfn.IFNA(VLOOKUP(C40, '[2]Unique HS'!$B$4:$J$999, 9, FALSE), "No")</f>
        <v>Yes</v>
      </c>
      <c r="L40" s="18">
        <f>VLOOKUP(C40, '[1]India EXIM'!$B$6:$C$580, 2, FALSE)</f>
        <v>0.12845723941599999</v>
      </c>
      <c r="M40" s="11">
        <f>VLOOKUP(C40, '[1]China EXIM'!$B$6:$D$580, 3, FALSE)</f>
        <v>1.203793449602</v>
      </c>
      <c r="N40" s="6"/>
      <c r="O40" s="6"/>
      <c r="P40" s="6"/>
      <c r="Q40" s="10" t="s">
        <v>24</v>
      </c>
      <c r="R40" s="9" t="s">
        <v>65</v>
      </c>
      <c r="V40" s="1" t="s">
        <v>25</v>
      </c>
    </row>
    <row r="41" spans="2:23" ht="27.95" hidden="1">
      <c r="B41" s="6" t="str">
        <f>VLOOKUP(C41, [1]Definition!$D$5:$K$5665, 8, FALSE)</f>
        <v>Capital Goods</v>
      </c>
      <c r="C41" s="7">
        <v>902920</v>
      </c>
      <c r="D41" s="8" t="s">
        <v>579</v>
      </c>
      <c r="E41" s="8" t="s">
        <v>25</v>
      </c>
      <c r="F41" s="17" t="s">
        <v>163</v>
      </c>
      <c r="G41" s="8" t="s">
        <v>580</v>
      </c>
      <c r="H41" s="8" t="s">
        <v>581</v>
      </c>
      <c r="I41" s="9" t="s">
        <v>166</v>
      </c>
      <c r="J41" s="9" t="s">
        <v>201</v>
      </c>
      <c r="K41" s="17" t="str">
        <f>_xlfn.IFNA(VLOOKUP(C41, '[2]Unique HS'!$B$4:$J$999, 9, FALSE), "No")</f>
        <v>Yes</v>
      </c>
      <c r="L41" s="18">
        <f>VLOOKUP(C41, '[1]India EXIM'!$B$6:$C$580, 2, FALSE)</f>
        <v>2.3719099362E-2</v>
      </c>
      <c r="M41" s="11">
        <f>VLOOKUP(C41, '[1]China EXIM'!$B$6:$D$580, 3, FALSE)</f>
        <v>7.0633904884999996</v>
      </c>
      <c r="N41" s="6"/>
      <c r="O41" s="6"/>
      <c r="P41" s="6"/>
      <c r="Q41" s="10" t="s">
        <v>24</v>
      </c>
      <c r="R41" s="11" t="s">
        <v>39</v>
      </c>
      <c r="V41" s="1" t="s">
        <v>25</v>
      </c>
    </row>
    <row r="42" spans="2:23" ht="27.95" hidden="1">
      <c r="B42" s="6" t="str">
        <f>VLOOKUP(C42, [1]Definition!$D$5:$K$5665, 8, FALSE)</f>
        <v>Capital Goods</v>
      </c>
      <c r="C42" s="7">
        <v>842810</v>
      </c>
      <c r="D42" s="8" t="s">
        <v>154</v>
      </c>
      <c r="E42" s="8" t="s">
        <v>25</v>
      </c>
      <c r="F42" s="17" t="s">
        <v>19</v>
      </c>
      <c r="G42" s="8"/>
      <c r="H42" s="8"/>
      <c r="I42" s="9" t="s">
        <v>58</v>
      </c>
      <c r="J42" s="9" t="s">
        <v>31</v>
      </c>
      <c r="K42" s="17" t="str">
        <f>_xlfn.IFNA(VLOOKUP(C42, '[2]Unique HS'!$B$4:$J$999, 9, FALSE), "No")</f>
        <v>Yes</v>
      </c>
      <c r="L42" s="18">
        <f>VLOOKUP(C42, '[1]India EXIM'!$B$6:$C$580, 2, FALSE)</f>
        <v>0.163041949963</v>
      </c>
      <c r="M42" s="11">
        <f>VLOOKUP(C42, '[1]China EXIM'!$B$6:$D$580, 3, FALSE)</f>
        <v>6.9881200974189994</v>
      </c>
      <c r="N42" s="6" t="s">
        <v>155</v>
      </c>
      <c r="O42" s="6"/>
      <c r="P42" s="6"/>
      <c r="Q42" s="10" t="s">
        <v>24</v>
      </c>
      <c r="R42" s="9" t="s">
        <v>58</v>
      </c>
      <c r="V42" s="1" t="s">
        <v>25</v>
      </c>
    </row>
    <row r="43" spans="2:23" ht="42" hidden="1">
      <c r="B43" s="6" t="str">
        <f>VLOOKUP(C43, [1]Definition!$D$5:$K$5665, 8, FALSE)</f>
        <v>Capital Goods</v>
      </c>
      <c r="C43" s="7">
        <v>830300</v>
      </c>
      <c r="D43" s="8" t="s">
        <v>735</v>
      </c>
      <c r="E43" s="8" t="s">
        <v>137</v>
      </c>
      <c r="F43" s="17" t="s">
        <v>205</v>
      </c>
      <c r="G43" s="8"/>
      <c r="H43" s="9" t="s">
        <v>736</v>
      </c>
      <c r="I43" s="9" t="s">
        <v>496</v>
      </c>
      <c r="J43" s="9" t="s">
        <v>736</v>
      </c>
      <c r="K43" s="17" t="str">
        <f>_xlfn.IFNA(VLOOKUP(C43, '[2]Unique HS'!$B$4:$J$999, 9, FALSE), "No")</f>
        <v>No</v>
      </c>
      <c r="L43" s="22">
        <f>VLOOKUP(C43, '[1]India EXIM'!$B$6:$C$580, 2, FALSE)</f>
        <v>1.3582398096999999E-2</v>
      </c>
      <c r="M43" s="11">
        <f>VLOOKUP(C43, '[1]China EXIM'!$B$6:$D$580, 3, FALSE)</f>
        <v>1.4064380931760001</v>
      </c>
      <c r="N43" s="6" t="s">
        <v>201</v>
      </c>
      <c r="O43" s="6"/>
      <c r="P43" s="6"/>
      <c r="Q43" s="10" t="s">
        <v>24</v>
      </c>
      <c r="R43" s="11" t="s">
        <v>496</v>
      </c>
      <c r="T43" s="1" t="s">
        <v>136</v>
      </c>
      <c r="V43" s="1" t="s">
        <v>137</v>
      </c>
    </row>
    <row r="44" spans="2:23" ht="42" hidden="1">
      <c r="B44" s="6" t="str">
        <f>VLOOKUP(C44, [1]Definition!$D$5:$K$5665, 8, FALSE)</f>
        <v>Capital Goods</v>
      </c>
      <c r="C44" s="7">
        <v>903082</v>
      </c>
      <c r="D44" s="8" t="s">
        <v>271</v>
      </c>
      <c r="E44" s="8" t="s">
        <v>25</v>
      </c>
      <c r="F44" s="17" t="s">
        <v>19</v>
      </c>
      <c r="G44" s="8" t="s">
        <v>272</v>
      </c>
      <c r="H44" s="8"/>
      <c r="I44" s="9" t="s">
        <v>46</v>
      </c>
      <c r="J44" s="9" t="s">
        <v>273</v>
      </c>
      <c r="K44" s="17" t="str">
        <f>_xlfn.IFNA(VLOOKUP(C44, '[2]Unique HS'!$B$4:$J$999, 9, FALSE), "No")</f>
        <v>Yes</v>
      </c>
      <c r="L44" s="18">
        <f>VLOOKUP(C44, '[1]India EXIM'!$B$6:$C$580, 2, FALSE)</f>
        <v>8.4079959151E-2</v>
      </c>
      <c r="M44" s="11">
        <f>VLOOKUP(C44, '[1]China EXIM'!$B$6:$D$580, 3, FALSE)</f>
        <v>6.8489139731020003</v>
      </c>
      <c r="N44" s="6"/>
      <c r="O44" s="6"/>
      <c r="P44" s="6"/>
      <c r="Q44" s="10" t="s">
        <v>24</v>
      </c>
      <c r="R44" s="11" t="s">
        <v>46</v>
      </c>
      <c r="V44" s="1" t="s">
        <v>25</v>
      </c>
    </row>
    <row r="45" spans="2:23" ht="27.95">
      <c r="B45" s="6" t="str">
        <f>VLOOKUP(C45, [1]Definition!$D$5:$K$5665, 8, FALSE)</f>
        <v>Capital Goods</v>
      </c>
      <c r="C45" s="7">
        <v>902610</v>
      </c>
      <c r="D45" s="8" t="s">
        <v>139</v>
      </c>
      <c r="E45" s="8" t="s">
        <v>25</v>
      </c>
      <c r="F45" s="17" t="s">
        <v>19</v>
      </c>
      <c r="G45" s="8" t="s">
        <v>68</v>
      </c>
      <c r="H45" s="8"/>
      <c r="I45" s="9" t="s">
        <v>22</v>
      </c>
      <c r="J45" s="9" t="s">
        <v>140</v>
      </c>
      <c r="K45" s="17" t="str">
        <f>_xlfn.IFNA(VLOOKUP(C45, '[2]Unique HS'!$B$4:$J$999, 9, FALSE), "No")</f>
        <v>Yes</v>
      </c>
      <c r="L45" s="18">
        <f>VLOOKUP(C45, '[1]India EXIM'!$B$6:$C$580, 2, FALSE)</f>
        <v>0.17422142677499999</v>
      </c>
      <c r="M45" s="11">
        <f>VLOOKUP(C45, '[1]China EXIM'!$B$6:$D$580, 3, FALSE)</f>
        <v>6.7471047837609994</v>
      </c>
      <c r="N45" s="6"/>
      <c r="O45" s="6"/>
      <c r="P45" s="6"/>
      <c r="Q45" s="10" t="s">
        <v>24</v>
      </c>
      <c r="R45" s="11" t="s">
        <v>39</v>
      </c>
      <c r="V45" s="1" t="s">
        <v>25</v>
      </c>
    </row>
    <row r="46" spans="2:23" ht="42">
      <c r="B46" s="6" t="str">
        <f>VLOOKUP(C46, [1]Definition!$D$5:$K$5665, 8, FALSE)</f>
        <v>Capital Goods</v>
      </c>
      <c r="C46" s="7">
        <v>847982</v>
      </c>
      <c r="D46" s="8" t="s">
        <v>133</v>
      </c>
      <c r="E46" s="8" t="s">
        <v>25</v>
      </c>
      <c r="F46" s="17" t="s">
        <v>19</v>
      </c>
      <c r="G46" s="8" t="s">
        <v>134</v>
      </c>
      <c r="H46" s="8"/>
      <c r="I46" s="9" t="s">
        <v>22</v>
      </c>
      <c r="J46" s="9" t="s">
        <v>135</v>
      </c>
      <c r="K46" s="17" t="str">
        <f>_xlfn.IFNA(VLOOKUP(C46, '[2]Unique HS'!$B$4:$J$999, 9, FALSE), "No")</f>
        <v>Yes</v>
      </c>
      <c r="L46" s="18">
        <f>VLOOKUP(C46, '[1]India EXIM'!$B$6:$C$580, 2, FALSE)</f>
        <v>0.182427998029</v>
      </c>
      <c r="M46" s="11">
        <f>VLOOKUP(C46, '[1]China EXIM'!$B$6:$D$580, 3, FALSE)</f>
        <v>6.6074554177830001</v>
      </c>
      <c r="N46" s="6"/>
      <c r="O46" s="6"/>
      <c r="P46" s="6"/>
      <c r="Q46" s="10" t="s">
        <v>24</v>
      </c>
      <c r="R46" s="9" t="s">
        <v>22</v>
      </c>
      <c r="V46" s="1" t="s">
        <v>25</v>
      </c>
    </row>
    <row r="47" spans="2:23" ht="42" hidden="1">
      <c r="B47" s="6" t="str">
        <f>VLOOKUP(C47, [1]Definition!$D$5:$K$5665, 8, FALSE)</f>
        <v>Capital Goods</v>
      </c>
      <c r="C47" s="7">
        <v>820790</v>
      </c>
      <c r="D47" s="8" t="s">
        <v>199</v>
      </c>
      <c r="E47" s="8" t="s">
        <v>25</v>
      </c>
      <c r="F47" s="17" t="s">
        <v>19</v>
      </c>
      <c r="G47" s="8"/>
      <c r="H47" s="8"/>
      <c r="I47" s="9" t="s">
        <v>65</v>
      </c>
      <c r="J47" s="9" t="s">
        <v>200</v>
      </c>
      <c r="K47" s="17" t="str">
        <f>_xlfn.IFNA(VLOOKUP(C47, '[2]Unique HS'!$B$4:$J$999, 9, FALSE), "No")</f>
        <v>Yes</v>
      </c>
      <c r="L47" s="18">
        <f>VLOOKUP(C47, '[1]India EXIM'!$B$6:$C$580, 2, FALSE)</f>
        <v>0.12431529801000001</v>
      </c>
      <c r="M47" s="11">
        <f>VLOOKUP(C47, '[1]China EXIM'!$B$6:$D$580, 3, FALSE)</f>
        <v>2.9215101246700002</v>
      </c>
      <c r="N47" s="6" t="s">
        <v>201</v>
      </c>
      <c r="O47" s="6"/>
      <c r="P47" s="6"/>
      <c r="Q47" s="10" t="s">
        <v>24</v>
      </c>
      <c r="R47" s="11" t="s">
        <v>202</v>
      </c>
      <c r="V47" s="1" t="s">
        <v>25</v>
      </c>
    </row>
    <row r="48" spans="2:23" ht="42" hidden="1">
      <c r="B48" s="6" t="str">
        <f>VLOOKUP(C48, [1]Definition!$D$5:$K$5665, 8, FALSE)</f>
        <v>Capital Goods</v>
      </c>
      <c r="C48" s="7">
        <v>820730</v>
      </c>
      <c r="D48" s="8" t="s">
        <v>148</v>
      </c>
      <c r="E48" s="8" t="s">
        <v>34</v>
      </c>
      <c r="F48" s="17" t="s">
        <v>119</v>
      </c>
      <c r="G48" s="8"/>
      <c r="H48" s="8"/>
      <c r="I48" s="9" t="s">
        <v>149</v>
      </c>
      <c r="J48" s="9" t="s">
        <v>150</v>
      </c>
      <c r="K48" s="17" t="str">
        <f>_xlfn.IFNA(VLOOKUP(C48, '[2]Unique HS'!$B$4:$J$999, 9, FALSE), "No")</f>
        <v>Yes</v>
      </c>
      <c r="L48" s="18">
        <f>VLOOKUP(C48, '[1]India EXIM'!$B$6:$C$580, 2, FALSE)</f>
        <v>0.241639356483</v>
      </c>
      <c r="M48" s="11">
        <f>VLOOKUP(C48, '[1]China EXIM'!$B$6:$D$580, 3, FALSE)</f>
        <v>6.4433875873120003</v>
      </c>
      <c r="N48" s="6" t="s">
        <v>151</v>
      </c>
      <c r="O48" s="6"/>
      <c r="P48" s="6" t="s">
        <v>152</v>
      </c>
      <c r="Q48" s="10" t="s">
        <v>24</v>
      </c>
      <c r="R48" s="9" t="s">
        <v>149</v>
      </c>
      <c r="V48" s="1" t="s">
        <v>34</v>
      </c>
    </row>
    <row r="49" spans="2:28" ht="42">
      <c r="B49" s="6" t="str">
        <f>VLOOKUP(C49, [1]Definition!$D$5:$K$5665, 8, FALSE)</f>
        <v>Capital Goods</v>
      </c>
      <c r="C49" s="7">
        <v>842489</v>
      </c>
      <c r="D49" s="8" t="s">
        <v>94</v>
      </c>
      <c r="E49" s="8" t="s">
        <v>25</v>
      </c>
      <c r="F49" s="17" t="s">
        <v>19</v>
      </c>
      <c r="G49" s="8" t="s">
        <v>95</v>
      </c>
      <c r="H49" s="8" t="s">
        <v>96</v>
      </c>
      <c r="I49" s="9" t="s">
        <v>22</v>
      </c>
      <c r="J49" s="9" t="s">
        <v>97</v>
      </c>
      <c r="K49" s="17" t="str">
        <f>_xlfn.IFNA(VLOOKUP(C49, '[2]Unique HS'!$B$4:$J$999, 9, FALSE), "No")</f>
        <v>Yes</v>
      </c>
      <c r="L49" s="18">
        <f>VLOOKUP(C49, '[1]India EXIM'!$B$6:$C$580, 2, FALSE)</f>
        <v>0.293195032184</v>
      </c>
      <c r="M49" s="11">
        <f>VLOOKUP(C49, '[1]China EXIM'!$B$6:$D$580, 3, FALSE)</f>
        <v>6.42477387923</v>
      </c>
      <c r="N49" s="6"/>
      <c r="O49" s="6"/>
      <c r="P49" s="6"/>
      <c r="Q49" s="10" t="s">
        <v>24</v>
      </c>
      <c r="R49" s="11" t="s">
        <v>22</v>
      </c>
      <c r="V49" s="1" t="s">
        <v>25</v>
      </c>
    </row>
    <row r="50" spans="2:28" ht="56.1">
      <c r="B50" s="6" t="str">
        <f>VLOOKUP(C50, [1]Definition!$D$5:$K$5665, 8, FALSE)</f>
        <v>Capital Goods</v>
      </c>
      <c r="C50" s="7">
        <v>761290</v>
      </c>
      <c r="D50" s="8" t="s">
        <v>526</v>
      </c>
      <c r="E50" s="8" t="s">
        <v>25</v>
      </c>
      <c r="F50" s="17" t="s">
        <v>163</v>
      </c>
      <c r="G50" s="8"/>
      <c r="H50" s="8" t="s">
        <v>527</v>
      </c>
      <c r="I50" s="9" t="s">
        <v>22</v>
      </c>
      <c r="J50" s="9" t="s">
        <v>528</v>
      </c>
      <c r="K50" s="17" t="str">
        <f>_xlfn.IFNA(VLOOKUP(C50, '[2]Unique HS'!$B$4:$J$999, 9, FALSE), "No")</f>
        <v>No</v>
      </c>
      <c r="L50" s="18">
        <f>VLOOKUP(C50, '[1]India EXIM'!$B$6:$C$580, 2, FALSE)</f>
        <v>2.8441047745E-2</v>
      </c>
      <c r="M50" s="11">
        <f>VLOOKUP(C50, '[1]China EXIM'!$B$6:$D$580, 3, FALSE)</f>
        <v>6.3009560373470004</v>
      </c>
      <c r="N50" s="6" t="s">
        <v>201</v>
      </c>
      <c r="O50" s="6"/>
      <c r="P50" s="9"/>
      <c r="Q50" s="10" t="s">
        <v>24</v>
      </c>
      <c r="R50" s="9" t="s">
        <v>22</v>
      </c>
      <c r="V50" s="1" t="s">
        <v>25</v>
      </c>
    </row>
    <row r="51" spans="2:28" ht="27.95">
      <c r="B51" s="6" t="str">
        <f>VLOOKUP(C51, [1]Definition!$D$5:$K$5665, 8, FALSE)</f>
        <v>Capital Goods</v>
      </c>
      <c r="C51" s="7">
        <v>843351</v>
      </c>
      <c r="D51" s="8" t="s">
        <v>156</v>
      </c>
      <c r="E51" s="8" t="s">
        <v>25</v>
      </c>
      <c r="F51" s="17" t="s">
        <v>119</v>
      </c>
      <c r="G51" s="8" t="s">
        <v>157</v>
      </c>
      <c r="H51" s="8" t="s">
        <v>158</v>
      </c>
      <c r="I51" s="9" t="s">
        <v>22</v>
      </c>
      <c r="J51" s="9" t="s">
        <v>159</v>
      </c>
      <c r="K51" s="17" t="str">
        <f>_xlfn.IFNA(VLOOKUP(C51, '[2]Unique HS'!$B$4:$J$999, 9, FALSE), "No")</f>
        <v>No</v>
      </c>
      <c r="L51" s="18">
        <f>VLOOKUP(C51, '[1]India EXIM'!$B$6:$C$580, 2, FALSE)</f>
        <v>0.168698886967</v>
      </c>
      <c r="M51" s="11">
        <f>VLOOKUP(C51, '[1]China EXIM'!$B$6:$D$580, 3, FALSE)</f>
        <v>6.2708569852860006</v>
      </c>
      <c r="N51" s="6" t="s">
        <v>160</v>
      </c>
      <c r="O51" s="6"/>
      <c r="P51" s="6"/>
      <c r="Q51" s="10" t="s">
        <v>24</v>
      </c>
      <c r="R51" s="11" t="s">
        <v>161</v>
      </c>
    </row>
    <row r="52" spans="2:28" ht="42">
      <c r="B52" s="6" t="str">
        <f>VLOOKUP(C52, [1]Definition!$D$5:$K$5665, 8, FALSE)</f>
        <v>Capital Goods</v>
      </c>
      <c r="C52" s="7">
        <v>841861</v>
      </c>
      <c r="D52" s="8" t="s">
        <v>614</v>
      </c>
      <c r="E52" s="8" t="s">
        <v>25</v>
      </c>
      <c r="F52" s="17" t="s">
        <v>19</v>
      </c>
      <c r="G52" s="8" t="s">
        <v>615</v>
      </c>
      <c r="H52" s="8" t="s">
        <v>616</v>
      </c>
      <c r="I52" s="9" t="s">
        <v>22</v>
      </c>
      <c r="J52" s="9" t="s">
        <v>74</v>
      </c>
      <c r="K52" s="17" t="str">
        <f>_xlfn.IFNA(VLOOKUP(C52, '[2]Unique HS'!$B$4:$J$999, 9, FALSE), "No")</f>
        <v>No</v>
      </c>
      <c r="L52" s="18">
        <f>VLOOKUP(C52, '[1]India EXIM'!$B$6:$C$580, 2, FALSE)</f>
        <v>2.1237211850999999E-2</v>
      </c>
      <c r="M52" s="11">
        <f>VLOOKUP(C52, '[1]China EXIM'!$B$6:$D$580, 3, FALSE)</f>
        <v>6.0951450327869994</v>
      </c>
      <c r="N52" s="6"/>
      <c r="O52" s="6"/>
      <c r="P52" s="6"/>
      <c r="Q52" s="10" t="s">
        <v>24</v>
      </c>
      <c r="R52" s="9" t="s">
        <v>22</v>
      </c>
      <c r="V52" s="1" t="s">
        <v>25</v>
      </c>
    </row>
    <row r="53" spans="2:28" ht="56.1" hidden="1">
      <c r="B53" s="6" t="str">
        <f>VLOOKUP(C53, [1]Definition!$D$5:$K$5665, 8, FALSE)</f>
        <v>Capital Goods</v>
      </c>
      <c r="C53" s="7">
        <v>830400</v>
      </c>
      <c r="D53" s="8" t="s">
        <v>1053</v>
      </c>
      <c r="E53" s="8" t="s">
        <v>137</v>
      </c>
      <c r="F53" s="17" t="s">
        <v>205</v>
      </c>
      <c r="G53" s="8"/>
      <c r="H53" s="9" t="s">
        <v>736</v>
      </c>
      <c r="I53" s="9" t="s">
        <v>496</v>
      </c>
      <c r="J53" s="9" t="s">
        <v>1054</v>
      </c>
      <c r="K53" s="17" t="str">
        <f>_xlfn.IFNA(VLOOKUP(C53, '[2]Unique HS'!$B$4:$J$999, 9, FALSE), "No")</f>
        <v>No</v>
      </c>
      <c r="L53" s="22">
        <f>VLOOKUP(C53, '[1]India EXIM'!$B$6:$C$580, 2, FALSE)</f>
        <v>8.7215386499999998E-4</v>
      </c>
      <c r="M53" s="11">
        <f>VLOOKUP(C53, '[1]China EXIM'!$B$6:$D$580, 3, FALSE)</f>
        <v>0.32985261162400004</v>
      </c>
      <c r="N53" s="6" t="s">
        <v>201</v>
      </c>
      <c r="O53" s="6"/>
      <c r="P53" s="6"/>
      <c r="Q53" s="10" t="s">
        <v>24</v>
      </c>
      <c r="R53" s="9" t="s">
        <v>496</v>
      </c>
      <c r="T53" s="1" t="s">
        <v>136</v>
      </c>
      <c r="V53" s="1" t="s">
        <v>137</v>
      </c>
    </row>
    <row r="54" spans="2:28" ht="27.95" hidden="1">
      <c r="B54" s="6" t="str">
        <f>VLOOKUP(C54, [1]Definition!$D$5:$K$5665, 8, FALSE)</f>
        <v>Capital Goods</v>
      </c>
      <c r="C54" s="7">
        <v>840110</v>
      </c>
      <c r="D54" s="8" t="s">
        <v>1134</v>
      </c>
      <c r="E54" s="8" t="s">
        <v>137</v>
      </c>
      <c r="F54" s="17" t="s">
        <v>205</v>
      </c>
      <c r="G54" s="8" t="s">
        <v>1135</v>
      </c>
      <c r="H54" s="8" t="s">
        <v>1136</v>
      </c>
      <c r="I54" s="9" t="s">
        <v>30</v>
      </c>
      <c r="J54" s="9" t="s">
        <v>1137</v>
      </c>
      <c r="K54" s="17" t="str">
        <f>_xlfn.IFNA(VLOOKUP(C54, '[2]Unique HS'!$B$4:$J$999, 9, FALSE), "No")</f>
        <v>No</v>
      </c>
      <c r="L54" s="22">
        <f>VLOOKUP(C54, '[1]India EXIM'!$B$6:$C$580, 2, FALSE)</f>
        <v>0</v>
      </c>
      <c r="M54" s="11">
        <f>VLOOKUP(C54, '[1]China EXIM'!$B$6:$D$580, 3, FALSE)</f>
        <v>4.7518313899999999E-3</v>
      </c>
      <c r="N54" s="6" t="s">
        <v>201</v>
      </c>
      <c r="O54" s="6"/>
      <c r="P54" s="6"/>
      <c r="Q54" s="10" t="s">
        <v>24</v>
      </c>
      <c r="R54" s="9" t="s">
        <v>30</v>
      </c>
      <c r="T54" s="1" t="s">
        <v>137</v>
      </c>
      <c r="V54" s="1" t="s">
        <v>137</v>
      </c>
    </row>
    <row r="55" spans="2:28" ht="42" hidden="1">
      <c r="B55" s="6" t="str">
        <f>VLOOKUP(C55, [1]Definition!$D$5:$K$5665, 8, FALSE)</f>
        <v>Capital Goods</v>
      </c>
      <c r="C55" s="7">
        <v>846140</v>
      </c>
      <c r="D55" s="8" t="s">
        <v>219</v>
      </c>
      <c r="E55" s="8" t="s">
        <v>25</v>
      </c>
      <c r="F55" s="17" t="s">
        <v>19</v>
      </c>
      <c r="G55" s="8"/>
      <c r="H55" s="8"/>
      <c r="I55" s="9" t="s">
        <v>65</v>
      </c>
      <c r="J55" s="9" t="s">
        <v>31</v>
      </c>
      <c r="K55" s="17" t="str">
        <f>_xlfn.IFNA(VLOOKUP(C55, '[2]Unique HS'!$B$4:$J$999, 9, FALSE), "No")</f>
        <v>No</v>
      </c>
      <c r="L55" s="18">
        <f>VLOOKUP(C55, '[1]India EXIM'!$B$6:$C$580, 2, FALSE)</f>
        <v>0.11502345288600001</v>
      </c>
      <c r="M55" s="11">
        <f>VLOOKUP(C55, '[1]China EXIM'!$B$6:$D$580, 3, FALSE)</f>
        <v>1.1074271560569999</v>
      </c>
      <c r="N55" s="6"/>
      <c r="O55" s="6"/>
      <c r="P55" s="6"/>
      <c r="Q55" s="10" t="s">
        <v>24</v>
      </c>
      <c r="R55" s="9" t="s">
        <v>65</v>
      </c>
      <c r="V55" s="1" t="s">
        <v>25</v>
      </c>
    </row>
    <row r="56" spans="2:28" ht="69.95" hidden="1">
      <c r="B56" s="6" t="str">
        <f>VLOOKUP(C56, [1]Definition!$D$5:$K$5665, 8, FALSE)</f>
        <v>Capital Goods</v>
      </c>
      <c r="C56" s="7">
        <v>901580</v>
      </c>
      <c r="D56" s="8" t="s">
        <v>162</v>
      </c>
      <c r="E56" s="8" t="s">
        <v>25</v>
      </c>
      <c r="F56" s="17" t="s">
        <v>163</v>
      </c>
      <c r="G56" s="8" t="s">
        <v>164</v>
      </c>
      <c r="H56" s="8" t="s">
        <v>165</v>
      </c>
      <c r="I56" s="9" t="s">
        <v>166</v>
      </c>
      <c r="J56" s="9" t="s">
        <v>167</v>
      </c>
      <c r="K56" s="17" t="str">
        <f>_xlfn.IFNA(VLOOKUP(C56, '[2]Unique HS'!$B$4:$J$999, 9, FALSE), "No")</f>
        <v>Yes</v>
      </c>
      <c r="L56" s="18">
        <f>VLOOKUP(C56, '[1]India EXIM'!$B$6:$C$580, 2, FALSE)</f>
        <v>0.16244375152500001</v>
      </c>
      <c r="M56" s="11">
        <f>VLOOKUP(C56, '[1]China EXIM'!$B$6:$D$580, 3, FALSE)</f>
        <v>5.4801325436440003</v>
      </c>
      <c r="N56" s="6"/>
      <c r="O56" s="6"/>
      <c r="P56" s="6"/>
      <c r="Q56" s="10" t="s">
        <v>24</v>
      </c>
      <c r="R56" s="11" t="s">
        <v>168</v>
      </c>
      <c r="V56" s="1" t="s">
        <v>25</v>
      </c>
    </row>
    <row r="57" spans="2:28" ht="42" hidden="1">
      <c r="B57" s="6" t="str">
        <f>VLOOKUP(C57, [1]Definition!$D$5:$K$5665, 8, FALSE)</f>
        <v>Capital Goods</v>
      </c>
      <c r="C57" s="7">
        <v>840681</v>
      </c>
      <c r="D57" s="8" t="s">
        <v>1128</v>
      </c>
      <c r="E57" s="8" t="s">
        <v>34</v>
      </c>
      <c r="F57" s="17" t="s">
        <v>27</v>
      </c>
      <c r="G57" s="8" t="s">
        <v>1129</v>
      </c>
      <c r="H57" s="8" t="s">
        <v>1130</v>
      </c>
      <c r="I57" s="9" t="s">
        <v>30</v>
      </c>
      <c r="J57" s="9" t="s">
        <v>733</v>
      </c>
      <c r="K57" s="17" t="str">
        <f>_xlfn.IFNA(VLOOKUP(C57, '[2]Unique HS'!$B$4:$J$999, 9, FALSE), "No")</f>
        <v>No</v>
      </c>
      <c r="L57" s="22">
        <f>VLOOKUP(C57, '[1]India EXIM'!$B$6:$C$580, 2, FALSE)</f>
        <v>5.8546769999999996E-6</v>
      </c>
      <c r="M57" s="11">
        <f>VLOOKUP(C57, '[1]China EXIM'!$B$6:$D$580, 3, FALSE)</f>
        <v>0.46181119755700001</v>
      </c>
      <c r="N57" s="6" t="s">
        <v>733</v>
      </c>
      <c r="O57" s="6"/>
      <c r="P57" s="6"/>
      <c r="Q57" s="10" t="s">
        <v>24</v>
      </c>
      <c r="R57" s="9" t="s">
        <v>30</v>
      </c>
      <c r="T57" s="1" t="s">
        <v>33</v>
      </c>
      <c r="V57" s="1" t="s">
        <v>34</v>
      </c>
      <c r="W57" s="1" t="s">
        <v>183</v>
      </c>
    </row>
    <row r="58" spans="2:28" ht="27.95" hidden="1">
      <c r="B58" s="6" t="str">
        <f>VLOOKUP(C58, [1]Definition!$D$5:$K$5665, 8, FALSE)</f>
        <v>Capital Goods</v>
      </c>
      <c r="C58" s="7">
        <v>842911</v>
      </c>
      <c r="D58" s="8" t="s">
        <v>675</v>
      </c>
      <c r="E58" s="8" t="s">
        <v>25</v>
      </c>
      <c r="F58" s="17" t="s">
        <v>19</v>
      </c>
      <c r="G58" s="8"/>
      <c r="H58" s="8"/>
      <c r="I58" s="9" t="s">
        <v>58</v>
      </c>
      <c r="J58" s="9" t="s">
        <v>31</v>
      </c>
      <c r="K58" s="17" t="str">
        <f>_xlfn.IFNA(VLOOKUP(C58, '[2]Unique HS'!$B$4:$J$999, 9, FALSE), "No")</f>
        <v>No</v>
      </c>
      <c r="L58" s="18">
        <f>VLOOKUP(C58, '[1]India EXIM'!$B$6:$C$580, 2, FALSE)</f>
        <v>1.6836266425999998E-2</v>
      </c>
      <c r="M58" s="11">
        <f>VLOOKUP(C58, '[1]China EXIM'!$B$6:$D$580, 3, FALSE)</f>
        <v>5.2632638940979994</v>
      </c>
      <c r="N58" s="9" t="s">
        <v>117</v>
      </c>
      <c r="O58" s="9"/>
      <c r="P58" s="6"/>
      <c r="Q58" s="10" t="s">
        <v>24</v>
      </c>
      <c r="R58" s="9" t="s">
        <v>58</v>
      </c>
      <c r="V58" s="1" t="s">
        <v>25</v>
      </c>
    </row>
    <row r="59" spans="2:28" ht="27.95" hidden="1">
      <c r="B59" s="6" t="str">
        <f>VLOOKUP(C59, [1]Definition!$D$5:$K$5665, 8, FALSE)</f>
        <v>Capital Goods</v>
      </c>
      <c r="C59" s="7">
        <v>840682</v>
      </c>
      <c r="D59" s="8" t="s">
        <v>730</v>
      </c>
      <c r="E59" s="8" t="s">
        <v>34</v>
      </c>
      <c r="F59" s="17" t="s">
        <v>27</v>
      </c>
      <c r="G59" s="8" t="s">
        <v>731</v>
      </c>
      <c r="H59" s="8" t="s">
        <v>732</v>
      </c>
      <c r="I59" s="9" t="s">
        <v>30</v>
      </c>
      <c r="J59" s="9" t="s">
        <v>733</v>
      </c>
      <c r="K59" s="17" t="str">
        <f>_xlfn.IFNA(VLOOKUP(C59, '[2]Unique HS'!$B$4:$J$999, 9, FALSE), "No")</f>
        <v>No</v>
      </c>
      <c r="L59" s="22">
        <f>VLOOKUP(C59, '[1]India EXIM'!$B$6:$C$580, 2, FALSE)</f>
        <v>1.3913999016000001E-2</v>
      </c>
      <c r="M59" s="11">
        <f>VLOOKUP(C59, '[1]China EXIM'!$B$6:$D$580, 3, FALSE)</f>
        <v>0.335480127219</v>
      </c>
      <c r="N59" s="6" t="s">
        <v>733</v>
      </c>
      <c r="O59" s="6"/>
      <c r="P59" s="6"/>
      <c r="Q59" s="10" t="s">
        <v>24</v>
      </c>
      <c r="R59" s="9" t="s">
        <v>30</v>
      </c>
      <c r="T59" s="1" t="s">
        <v>33</v>
      </c>
      <c r="V59" s="1" t="s">
        <v>34</v>
      </c>
      <c r="X59" s="1" t="s">
        <v>186</v>
      </c>
      <c r="AB59" s="1" t="s">
        <v>187</v>
      </c>
    </row>
    <row r="60" spans="2:28" ht="42" hidden="1">
      <c r="B60" s="6" t="str">
        <f>VLOOKUP(C60, [1]Definition!$D$5:$K$5665, 8, FALSE)</f>
        <v>Capital Goods</v>
      </c>
      <c r="C60" s="7">
        <v>847710</v>
      </c>
      <c r="D60" s="8" t="s">
        <v>88</v>
      </c>
      <c r="E60" s="8" t="s">
        <v>25</v>
      </c>
      <c r="F60" s="17" t="s">
        <v>19</v>
      </c>
      <c r="G60" s="8"/>
      <c r="H60" s="8"/>
      <c r="I60" s="9" t="s">
        <v>52</v>
      </c>
      <c r="J60" s="9" t="s">
        <v>53</v>
      </c>
      <c r="K60" s="17" t="str">
        <f>_xlfn.IFNA(VLOOKUP(C60, '[2]Unique HS'!$B$4:$J$999, 9, FALSE), "No")</f>
        <v>Yes</v>
      </c>
      <c r="L60" s="18">
        <f>VLOOKUP(C60, '[1]India EXIM'!$B$6:$C$580, 2, FALSE)</f>
        <v>0.30611818428100002</v>
      </c>
      <c r="M60" s="11">
        <f>VLOOKUP(C60, '[1]China EXIM'!$B$6:$D$580, 3, FALSE)</f>
        <v>5.2145720568140002</v>
      </c>
      <c r="N60" s="6"/>
      <c r="O60" s="6"/>
      <c r="P60" s="6"/>
      <c r="Q60" s="10" t="s">
        <v>24</v>
      </c>
      <c r="R60" s="9" t="s">
        <v>52</v>
      </c>
      <c r="V60" s="1" t="s">
        <v>25</v>
      </c>
    </row>
    <row r="61" spans="2:28" ht="27.95" hidden="1">
      <c r="B61" s="6" t="str">
        <f>VLOOKUP(C61, [1]Definition!$D$5:$K$5665, 8, FALSE)</f>
        <v>Capital Goods</v>
      </c>
      <c r="C61" s="7">
        <v>840310</v>
      </c>
      <c r="D61" s="8" t="s">
        <v>1031</v>
      </c>
      <c r="E61" s="8" t="s">
        <v>25</v>
      </c>
      <c r="F61" s="17" t="s">
        <v>142</v>
      </c>
      <c r="G61" s="8" t="s">
        <v>1032</v>
      </c>
      <c r="H61" s="8" t="s">
        <v>1033</v>
      </c>
      <c r="I61" s="9" t="s">
        <v>30</v>
      </c>
      <c r="J61" s="9" t="s">
        <v>784</v>
      </c>
      <c r="K61" s="17" t="str">
        <f>_xlfn.IFNA(VLOOKUP(C61, '[2]Unique HS'!$B$4:$J$999, 9, FALSE), "No")</f>
        <v>No</v>
      </c>
      <c r="L61" s="18">
        <f>VLOOKUP(C61, '[1]India EXIM'!$B$6:$C$580, 2, FALSE)</f>
        <v>1.4275195949999999E-3</v>
      </c>
      <c r="M61" s="11">
        <f>VLOOKUP(C61, '[1]China EXIM'!$B$6:$D$580, 3, FALSE)</f>
        <v>5.190510343333</v>
      </c>
      <c r="N61" s="9" t="s">
        <v>785</v>
      </c>
      <c r="O61" s="9"/>
      <c r="P61" s="6"/>
      <c r="Q61" s="10" t="s">
        <v>24</v>
      </c>
      <c r="R61" s="9" t="s">
        <v>30</v>
      </c>
      <c r="V61" s="1" t="s">
        <v>25</v>
      </c>
      <c r="W61" s="1" t="s">
        <v>193</v>
      </c>
    </row>
    <row r="62" spans="2:28" ht="56.1">
      <c r="B62" s="6" t="str">
        <f>VLOOKUP(C62, [1]Definition!$D$5:$K$5665, 8, FALSE)</f>
        <v>Capital Goods</v>
      </c>
      <c r="C62" s="7">
        <v>730900</v>
      </c>
      <c r="D62" s="8" t="s">
        <v>427</v>
      </c>
      <c r="E62" s="8" t="s">
        <v>25</v>
      </c>
      <c r="F62" s="17" t="s">
        <v>19</v>
      </c>
      <c r="G62" s="8"/>
      <c r="H62" s="8"/>
      <c r="I62" s="9" t="s">
        <v>22</v>
      </c>
      <c r="J62" s="9" t="s">
        <v>428</v>
      </c>
      <c r="K62" s="17" t="str">
        <f>_xlfn.IFNA(VLOOKUP(C62, '[2]Unique HS'!$B$4:$J$999, 9, FALSE), "No")</f>
        <v>Yes</v>
      </c>
      <c r="L62" s="18">
        <f>VLOOKUP(C62, '[1]India EXIM'!$B$6:$C$580, 2, FALSE)</f>
        <v>4.3596027805E-2</v>
      </c>
      <c r="M62" s="11">
        <f>VLOOKUP(C62, '[1]China EXIM'!$B$6:$D$580, 3, FALSE)</f>
        <v>5.1836473841289994</v>
      </c>
      <c r="N62" s="6" t="s">
        <v>201</v>
      </c>
      <c r="O62" s="6"/>
      <c r="P62" s="9"/>
      <c r="Q62" s="10" t="s">
        <v>24</v>
      </c>
      <c r="R62" s="9" t="s">
        <v>22</v>
      </c>
      <c r="V62" s="1" t="s">
        <v>25</v>
      </c>
    </row>
    <row r="63" spans="2:28" ht="42" hidden="1">
      <c r="B63" s="6" t="str">
        <f>VLOOKUP(C63, [1]Definition!$D$5:$K$5665, 8, FALSE)</f>
        <v>Capital Goods</v>
      </c>
      <c r="C63" s="7">
        <v>870193</v>
      </c>
      <c r="D63" s="8" t="s">
        <v>1078</v>
      </c>
      <c r="E63" s="8" t="s">
        <v>25</v>
      </c>
      <c r="F63" s="17" t="s">
        <v>19</v>
      </c>
      <c r="G63" s="8"/>
      <c r="H63" s="8"/>
      <c r="I63" s="9" t="s">
        <v>58</v>
      </c>
      <c r="J63" s="9" t="s">
        <v>31</v>
      </c>
      <c r="K63" s="17" t="str">
        <f>_xlfn.IFNA(VLOOKUP(C63, '[2]Unique HS'!$B$4:$J$999, 9, FALSE), "No")</f>
        <v>No</v>
      </c>
      <c r="L63" s="18">
        <f>VLOOKUP(C63, '[1]India EXIM'!$B$6:$C$580, 2, FALSE)</f>
        <v>4.2644772700000001E-4</v>
      </c>
      <c r="M63" s="11">
        <f>VLOOKUP(C63, '[1]China EXIM'!$B$6:$D$580, 3, FALSE)</f>
        <v>5.1781184932799995</v>
      </c>
      <c r="N63" s="6"/>
      <c r="O63" s="6"/>
      <c r="P63" s="6"/>
      <c r="Q63" s="10" t="s">
        <v>24</v>
      </c>
      <c r="R63" s="9" t="s">
        <v>58</v>
      </c>
      <c r="V63" s="1" t="s">
        <v>25</v>
      </c>
    </row>
    <row r="64" spans="2:28" ht="69.95" hidden="1">
      <c r="B64" s="6" t="str">
        <f>VLOOKUP(C64, [1]Definition!$D$5:$K$5665, 8, FALSE)</f>
        <v>Capital Goods</v>
      </c>
      <c r="C64" s="7">
        <v>841229</v>
      </c>
      <c r="D64" s="8" t="s">
        <v>196</v>
      </c>
      <c r="E64" s="8" t="s">
        <v>34</v>
      </c>
      <c r="F64" s="17" t="s">
        <v>119</v>
      </c>
      <c r="G64" s="8"/>
      <c r="H64" s="8"/>
      <c r="I64" s="9" t="s">
        <v>58</v>
      </c>
      <c r="J64" s="9" t="s">
        <v>120</v>
      </c>
      <c r="K64" s="17" t="str">
        <f>_xlfn.IFNA(VLOOKUP(C64, '[2]Unique HS'!$B$4:$J$999, 9, FALSE), "No")</f>
        <v>Yes</v>
      </c>
      <c r="L64" s="18">
        <f>VLOOKUP(C64, '[1]India EXIM'!$B$6:$C$580, 2, FALSE)</f>
        <v>0.24957013580199999</v>
      </c>
      <c r="M64" s="11">
        <f>VLOOKUP(C64, '[1]China EXIM'!$B$6:$D$580, 3, FALSE)</f>
        <v>5.142234933189</v>
      </c>
      <c r="N64" s="6"/>
      <c r="O64" s="6"/>
      <c r="P64" s="6"/>
      <c r="Q64" s="10" t="s">
        <v>24</v>
      </c>
      <c r="R64" s="9" t="s">
        <v>58</v>
      </c>
      <c r="V64" s="1" t="s">
        <v>34</v>
      </c>
    </row>
    <row r="65" spans="1:22" ht="27.95">
      <c r="B65" s="6" t="str">
        <f>VLOOKUP(C65, [1]Definition!$D$5:$K$5665, 8, FALSE)</f>
        <v>Capital Goods</v>
      </c>
      <c r="C65" s="7">
        <v>902730</v>
      </c>
      <c r="D65" s="8" t="s">
        <v>125</v>
      </c>
      <c r="E65" s="8" t="s">
        <v>25</v>
      </c>
      <c r="F65" s="17" t="s">
        <v>19</v>
      </c>
      <c r="G65" s="8"/>
      <c r="H65" s="8" t="s">
        <v>69</v>
      </c>
      <c r="I65" s="9" t="s">
        <v>22</v>
      </c>
      <c r="J65" s="9" t="s">
        <v>87</v>
      </c>
      <c r="K65" s="17" t="str">
        <f>_xlfn.IFNA(VLOOKUP(C65, '[2]Unique HS'!$B$4:$J$999, 9, FALSE), "No")</f>
        <v>Yes</v>
      </c>
      <c r="L65" s="18">
        <f>VLOOKUP(C65, '[1]India EXIM'!$B$6:$C$580, 2, FALSE)</f>
        <v>0.19570309435</v>
      </c>
      <c r="M65" s="11">
        <f>VLOOKUP(C65, '[1]China EXIM'!$B$6:$D$580, 3, FALSE)</f>
        <v>4.9627220746200003</v>
      </c>
      <c r="N65" s="6"/>
      <c r="O65" s="6"/>
      <c r="P65" s="6"/>
      <c r="Q65" s="10" t="s">
        <v>24</v>
      </c>
      <c r="R65" s="9" t="s">
        <v>22</v>
      </c>
      <c r="V65" s="1" t="s">
        <v>25</v>
      </c>
    </row>
    <row r="66" spans="1:22" ht="42" hidden="1">
      <c r="B66" s="6" t="str">
        <f>VLOOKUP(C66, [1]Definition!$D$5:$K$5665, 8, FALSE)</f>
        <v>Capital Goods</v>
      </c>
      <c r="C66" s="7">
        <v>901380</v>
      </c>
      <c r="D66" s="8" t="s">
        <v>463</v>
      </c>
      <c r="E66" s="8" t="s">
        <v>25</v>
      </c>
      <c r="F66" s="17" t="s">
        <v>19</v>
      </c>
      <c r="G66" s="8" t="s">
        <v>464</v>
      </c>
      <c r="H66" s="8" t="s">
        <v>465</v>
      </c>
      <c r="I66" s="9" t="s">
        <v>166</v>
      </c>
      <c r="J66" s="9" t="s">
        <v>201</v>
      </c>
      <c r="K66" s="17" t="str">
        <f>_xlfn.IFNA(VLOOKUP(C66, '[2]Unique HS'!$B$4:$J$999, 9, FALSE), "No")</f>
        <v>Yes</v>
      </c>
      <c r="L66" s="18">
        <f>VLOOKUP(C66, '[1]India EXIM'!$B$6:$C$580, 2, FALSE)</f>
        <v>3.6882190498999996E-2</v>
      </c>
      <c r="M66" s="11">
        <f>VLOOKUP(C66, '[1]China EXIM'!$B$6:$D$580, 3, FALSE)</f>
        <v>4.9050775173050001</v>
      </c>
      <c r="N66" s="6"/>
      <c r="O66" s="6"/>
      <c r="P66" s="6"/>
      <c r="Q66" s="10" t="s">
        <v>24</v>
      </c>
      <c r="R66" s="11" t="s">
        <v>466</v>
      </c>
      <c r="V66" s="1" t="s">
        <v>25</v>
      </c>
    </row>
    <row r="67" spans="1:22" ht="27.95" hidden="1">
      <c r="B67" s="6" t="str">
        <f>VLOOKUP(C67, [1]Definition!$D$5:$K$5665, 8, FALSE)</f>
        <v>Capital Goods</v>
      </c>
      <c r="C67" s="7">
        <v>841011</v>
      </c>
      <c r="D67" s="8" t="s">
        <v>1125</v>
      </c>
      <c r="E67" s="8" t="s">
        <v>34</v>
      </c>
      <c r="F67" s="17" t="s">
        <v>27</v>
      </c>
      <c r="G67" s="8" t="s">
        <v>1126</v>
      </c>
      <c r="H67" s="8" t="s">
        <v>1127</v>
      </c>
      <c r="I67" s="9" t="s">
        <v>30</v>
      </c>
      <c r="J67" s="9" t="s">
        <v>1084</v>
      </c>
      <c r="K67" s="17" t="str">
        <f>_xlfn.IFNA(VLOOKUP(C67, '[2]Unique HS'!$B$4:$J$999, 9, FALSE), "No")</f>
        <v>No</v>
      </c>
      <c r="L67" s="22">
        <f>VLOOKUP(C67, '[1]India EXIM'!$B$6:$C$580, 2, FALSE)</f>
        <v>8.5176139999999995E-6</v>
      </c>
      <c r="M67" s="11">
        <f>VLOOKUP(C67, '[1]China EXIM'!$B$6:$D$580, 3, FALSE)</f>
        <v>6.6972995337999996E-2</v>
      </c>
      <c r="N67" s="9" t="s">
        <v>1085</v>
      </c>
      <c r="O67" s="9"/>
      <c r="P67" s="6" t="s">
        <v>1086</v>
      </c>
      <c r="Q67" s="10" t="s">
        <v>24</v>
      </c>
      <c r="R67" s="9" t="s">
        <v>30</v>
      </c>
      <c r="T67" s="1" t="s">
        <v>33</v>
      </c>
      <c r="V67" s="1" t="s">
        <v>34</v>
      </c>
    </row>
    <row r="68" spans="1:22" ht="27.95" hidden="1">
      <c r="B68" s="6" t="str">
        <f>VLOOKUP(C68, [1]Definition!$D$5:$K$5665, 8, FALSE)</f>
        <v>Capital Goods</v>
      </c>
      <c r="C68" s="7">
        <v>841012</v>
      </c>
      <c r="D68" s="8" t="s">
        <v>1096</v>
      </c>
      <c r="E68" s="8" t="s">
        <v>34</v>
      </c>
      <c r="F68" s="17" t="s">
        <v>205</v>
      </c>
      <c r="G68" s="8" t="s">
        <v>1097</v>
      </c>
      <c r="H68" s="8" t="s">
        <v>1098</v>
      </c>
      <c r="I68" s="9" t="s">
        <v>30</v>
      </c>
      <c r="J68" s="9" t="s">
        <v>1084</v>
      </c>
      <c r="K68" s="17" t="str">
        <f>_xlfn.IFNA(VLOOKUP(C68, '[2]Unique HS'!$B$4:$J$999, 9, FALSE), "No")</f>
        <v>No</v>
      </c>
      <c r="L68" s="22">
        <f>VLOOKUP(C68, '[1]India EXIM'!$B$6:$C$580, 2, FALSE)</f>
        <v>2.7986594799999997E-4</v>
      </c>
      <c r="M68" s="11">
        <f>VLOOKUP(C68, '[1]China EXIM'!$B$6:$D$580, 3, FALSE)</f>
        <v>4.5509305097999997E-2</v>
      </c>
      <c r="N68" s="9" t="s">
        <v>1085</v>
      </c>
      <c r="O68" s="9"/>
      <c r="P68" s="6" t="s">
        <v>1086</v>
      </c>
      <c r="Q68" s="10" t="s">
        <v>24</v>
      </c>
      <c r="R68" s="9" t="s">
        <v>30</v>
      </c>
      <c r="T68" s="1" t="s">
        <v>33</v>
      </c>
      <c r="V68" s="1" t="s">
        <v>34</v>
      </c>
    </row>
    <row r="69" spans="1:22" ht="42">
      <c r="B69" s="6" t="str">
        <f>VLOOKUP(C69, [1]Definition!$D$5:$K$5665, 8, FALSE)</f>
        <v>Capital Goods</v>
      </c>
      <c r="C69" s="7">
        <v>902519</v>
      </c>
      <c r="D69" s="8" t="s">
        <v>373</v>
      </c>
      <c r="E69" s="8" t="s">
        <v>25</v>
      </c>
      <c r="F69" s="17" t="s">
        <v>19</v>
      </c>
      <c r="G69" s="8" t="s">
        <v>374</v>
      </c>
      <c r="H69" s="8" t="s">
        <v>375</v>
      </c>
      <c r="I69" s="9" t="s">
        <v>22</v>
      </c>
      <c r="J69" s="9" t="s">
        <v>140</v>
      </c>
      <c r="K69" s="17" t="str">
        <f>_xlfn.IFNA(VLOOKUP(C69, '[2]Unique HS'!$B$4:$J$999, 9, FALSE), "No")</f>
        <v>Yes</v>
      </c>
      <c r="L69" s="18">
        <f>VLOOKUP(C69, '[1]India EXIM'!$B$6:$C$580, 2, FALSE)</f>
        <v>5.1629673769000003E-2</v>
      </c>
      <c r="M69" s="11">
        <f>VLOOKUP(C69, '[1]China EXIM'!$B$6:$D$580, 3, FALSE)</f>
        <v>4.5547169279809996</v>
      </c>
      <c r="N69" s="6"/>
      <c r="O69" s="6"/>
      <c r="P69" s="6"/>
      <c r="Q69" s="10" t="s">
        <v>24</v>
      </c>
      <c r="R69" s="9" t="s">
        <v>70</v>
      </c>
      <c r="V69" s="1" t="s">
        <v>25</v>
      </c>
    </row>
    <row r="70" spans="1:22" ht="27.95" hidden="1">
      <c r="B70" s="6" t="str">
        <f>VLOOKUP(C70, [1]Definition!$D$5:$K$5665, 8, FALSE)</f>
        <v>Capital Goods</v>
      </c>
      <c r="C70" s="7">
        <v>820239</v>
      </c>
      <c r="D70" s="8" t="s">
        <v>208</v>
      </c>
      <c r="E70" s="8" t="s">
        <v>211</v>
      </c>
      <c r="F70" s="17" t="s">
        <v>119</v>
      </c>
      <c r="G70" s="8" t="s">
        <v>1177</v>
      </c>
      <c r="H70" s="8"/>
      <c r="I70" s="9" t="s">
        <v>65</v>
      </c>
      <c r="J70" s="9" t="s">
        <v>209</v>
      </c>
      <c r="K70" s="17" t="str">
        <f>_xlfn.IFNA(VLOOKUP(C70, '[2]Unique HS'!$B$4:$J$999, 9, FALSE), "No")</f>
        <v>Yes</v>
      </c>
      <c r="L70" s="18">
        <f>VLOOKUP(C70, '[1]India EXIM'!$B$6:$C$580, 2, FALSE)</f>
        <v>0.11016713011200001</v>
      </c>
      <c r="M70" s="11">
        <f>VLOOKUP(C70, '[1]China EXIM'!$B$6:$D$580, 3, FALSE)</f>
        <v>1.374345268995</v>
      </c>
      <c r="N70" s="6" t="s">
        <v>210</v>
      </c>
      <c r="O70" s="6"/>
      <c r="P70" s="9"/>
      <c r="Q70" s="10" t="s">
        <v>24</v>
      </c>
      <c r="R70" s="11" t="s">
        <v>210</v>
      </c>
      <c r="V70" s="1" t="s">
        <v>211</v>
      </c>
    </row>
    <row r="71" spans="1:22" ht="27.95" hidden="1">
      <c r="B71" s="6" t="str">
        <f>VLOOKUP(C71, [1]Definition!$D$5:$K$5665, 8, FALSE)</f>
        <v>Capital Goods</v>
      </c>
      <c r="C71" s="7">
        <v>851580</v>
      </c>
      <c r="D71" s="8" t="s">
        <v>231</v>
      </c>
      <c r="E71" s="8" t="s">
        <v>25</v>
      </c>
      <c r="F71" s="17" t="s">
        <v>19</v>
      </c>
      <c r="G71" s="8"/>
      <c r="H71" s="8"/>
      <c r="I71" s="9" t="s">
        <v>65</v>
      </c>
      <c r="J71" s="9" t="s">
        <v>232</v>
      </c>
      <c r="K71" s="17" t="str">
        <f>_xlfn.IFNA(VLOOKUP(C71, '[2]Unique HS'!$B$4:$J$999, 9, FALSE), "No")</f>
        <v>Yes</v>
      </c>
      <c r="L71" s="18">
        <f>VLOOKUP(C71, '[1]India EXIM'!$B$6:$C$580, 2, FALSE)</f>
        <v>0.107735731842</v>
      </c>
      <c r="M71" s="11">
        <f>VLOOKUP(C71, '[1]China EXIM'!$B$6:$D$580, 3, FALSE)</f>
        <v>3.3430135251750004</v>
      </c>
      <c r="N71" s="6"/>
      <c r="O71" s="6"/>
      <c r="P71" s="6"/>
      <c r="Q71" s="10" t="s">
        <v>24</v>
      </c>
      <c r="R71" s="9" t="s">
        <v>65</v>
      </c>
      <c r="V71" s="1" t="s">
        <v>25</v>
      </c>
    </row>
    <row r="72" spans="1:22" ht="27.95" hidden="1">
      <c r="B72" s="6" t="str">
        <f>VLOOKUP(C72, [1]Definition!$D$5:$K$5665, 8, FALSE)</f>
        <v>Capital Goods</v>
      </c>
      <c r="C72" s="7">
        <v>841013</v>
      </c>
      <c r="D72" s="8" t="s">
        <v>1081</v>
      </c>
      <c r="E72" s="8" t="s">
        <v>34</v>
      </c>
      <c r="F72" s="17" t="s">
        <v>205</v>
      </c>
      <c r="G72" s="8" t="s">
        <v>1082</v>
      </c>
      <c r="H72" s="8" t="s">
        <v>1083</v>
      </c>
      <c r="I72" s="9" t="s">
        <v>30</v>
      </c>
      <c r="J72" s="9" t="s">
        <v>1084</v>
      </c>
      <c r="K72" s="17" t="str">
        <f>_xlfn.IFNA(VLOOKUP(C72, '[2]Unique HS'!$B$4:$J$999, 9, FALSE), "No")</f>
        <v>No</v>
      </c>
      <c r="L72" s="22">
        <f>VLOOKUP(C72, '[1]India EXIM'!$B$6:$C$580, 2, FALSE)</f>
        <v>3.3999064200000001E-4</v>
      </c>
      <c r="M72" s="11">
        <f>VLOOKUP(C72, '[1]China EXIM'!$B$6:$D$580, 3, FALSE)</f>
        <v>7.048984778499999E-2</v>
      </c>
      <c r="N72" s="9" t="s">
        <v>1085</v>
      </c>
      <c r="O72" s="9"/>
      <c r="P72" s="6" t="s">
        <v>1086</v>
      </c>
      <c r="Q72" s="10" t="s">
        <v>24</v>
      </c>
      <c r="R72" s="9" t="s">
        <v>30</v>
      </c>
      <c r="T72" s="1" t="s">
        <v>33</v>
      </c>
      <c r="V72" s="1" t="s">
        <v>34</v>
      </c>
    </row>
    <row r="73" spans="1:22" ht="27.95" hidden="1">
      <c r="B73" s="6" t="str">
        <f>VLOOKUP(C73, [1]Definition!$D$5:$K$5665, 8, FALSE)</f>
        <v>Capital Goods</v>
      </c>
      <c r="C73" s="7">
        <v>842833</v>
      </c>
      <c r="D73" s="8" t="s">
        <v>195</v>
      </c>
      <c r="E73" s="8" t="s">
        <v>25</v>
      </c>
      <c r="F73" s="17" t="s">
        <v>19</v>
      </c>
      <c r="G73" s="8"/>
      <c r="H73" s="8"/>
      <c r="I73" s="9" t="s">
        <v>58</v>
      </c>
      <c r="J73" s="9" t="s">
        <v>31</v>
      </c>
      <c r="K73" s="17" t="str">
        <f>_xlfn.IFNA(VLOOKUP(C73, '[2]Unique HS'!$B$4:$J$999, 9, FALSE), "No")</f>
        <v>Yes</v>
      </c>
      <c r="L73" s="18">
        <f>VLOOKUP(C73, '[1]India EXIM'!$B$6:$C$580, 2, FALSE)</f>
        <v>0.13278724772600001</v>
      </c>
      <c r="M73" s="11">
        <f>VLOOKUP(C73, '[1]China EXIM'!$B$6:$D$580, 3, FALSE)</f>
        <v>4.5148205613150001</v>
      </c>
      <c r="N73" s="9" t="s">
        <v>59</v>
      </c>
      <c r="O73" s="9"/>
      <c r="P73" s="6"/>
      <c r="Q73" s="10" t="s">
        <v>24</v>
      </c>
      <c r="R73" s="9" t="s">
        <v>58</v>
      </c>
      <c r="V73" s="1" t="s">
        <v>25</v>
      </c>
    </row>
    <row r="74" spans="1:22" ht="42" hidden="1">
      <c r="B74" s="6" t="str">
        <f>VLOOKUP(C74, [1]Definition!$D$5:$K$5665, 8, FALSE)</f>
        <v>Capital Goods</v>
      </c>
      <c r="C74" s="7">
        <v>851521</v>
      </c>
      <c r="D74" s="8" t="s">
        <v>267</v>
      </c>
      <c r="E74" s="8" t="s">
        <v>25</v>
      </c>
      <c r="F74" s="17" t="s">
        <v>19</v>
      </c>
      <c r="G74" s="8"/>
      <c r="H74" s="8"/>
      <c r="I74" s="9" t="s">
        <v>65</v>
      </c>
      <c r="J74" s="9" t="s">
        <v>232</v>
      </c>
      <c r="K74" s="17" t="str">
        <f>_xlfn.IFNA(VLOOKUP(C74, '[2]Unique HS'!$B$4:$J$999, 9, FALSE), "No")</f>
        <v>Yes</v>
      </c>
      <c r="L74" s="18">
        <f>VLOOKUP(C74, '[1]India EXIM'!$B$6:$C$580, 2, FALSE)</f>
        <v>8.6530223039000001E-2</v>
      </c>
      <c r="M74" s="11">
        <f>VLOOKUP(C74, '[1]China EXIM'!$B$6:$D$580, 3, FALSE)</f>
        <v>1.4366408037449998</v>
      </c>
      <c r="N74" s="6"/>
      <c r="O74" s="6"/>
      <c r="P74" s="6"/>
      <c r="Q74" s="10" t="s">
        <v>24</v>
      </c>
      <c r="R74" s="9" t="s">
        <v>65</v>
      </c>
      <c r="V74" s="1" t="s">
        <v>25</v>
      </c>
    </row>
    <row r="75" spans="1:22" ht="27.95" hidden="1">
      <c r="B75" s="6" t="str">
        <f>VLOOKUP(C75, [1]Definition!$D$5:$K$5665, 8, FALSE)</f>
        <v>Capital Goods</v>
      </c>
      <c r="C75" s="7">
        <v>847021</v>
      </c>
      <c r="D75" s="8" t="s">
        <v>1060</v>
      </c>
      <c r="E75" s="8" t="s">
        <v>137</v>
      </c>
      <c r="F75" s="17" t="s">
        <v>27</v>
      </c>
      <c r="G75" s="8" t="s">
        <v>1061</v>
      </c>
      <c r="H75" s="8"/>
      <c r="I75" s="9" t="s">
        <v>496</v>
      </c>
      <c r="J75" s="9" t="s">
        <v>497</v>
      </c>
      <c r="K75" s="17" t="str">
        <f>_xlfn.IFNA(VLOOKUP(C75, '[2]Unique HS'!$B$4:$J$999, 9, FALSE), "No")</f>
        <v>No</v>
      </c>
      <c r="L75" s="22">
        <f>VLOOKUP(C75, '[1]India EXIM'!$B$6:$C$580, 2, FALSE)</f>
        <v>7.5886874399999995E-4</v>
      </c>
      <c r="M75" s="11">
        <f>VLOOKUP(C75, '[1]China EXIM'!$B$6:$D$580, 3, FALSE)</f>
        <v>0.110754325719</v>
      </c>
      <c r="N75" s="6"/>
      <c r="O75" s="6"/>
      <c r="P75" s="6"/>
      <c r="Q75" s="10" t="s">
        <v>24</v>
      </c>
      <c r="R75" s="9" t="s">
        <v>496</v>
      </c>
      <c r="T75" s="1" t="s">
        <v>136</v>
      </c>
      <c r="V75" s="1" t="s">
        <v>137</v>
      </c>
    </row>
    <row r="76" spans="1:22" ht="56.1">
      <c r="A76" s="1" t="s">
        <v>119</v>
      </c>
      <c r="B76" s="6" t="str">
        <f>VLOOKUP(C76, [1]Definition!$D$5:$K$5665, 8, FALSE)</f>
        <v>Capital Goods</v>
      </c>
      <c r="C76" s="7">
        <v>902680</v>
      </c>
      <c r="D76" s="8" t="s">
        <v>227</v>
      </c>
      <c r="E76" s="8" t="s">
        <v>25</v>
      </c>
      <c r="F76" s="17" t="s">
        <v>19</v>
      </c>
      <c r="G76" s="8"/>
      <c r="H76" s="8" t="s">
        <v>228</v>
      </c>
      <c r="I76" s="9" t="s">
        <v>22</v>
      </c>
      <c r="J76" s="9" t="s">
        <v>229</v>
      </c>
      <c r="K76" s="17" t="str">
        <f>_xlfn.IFNA(VLOOKUP(C76, '[2]Unique HS'!$B$4:$J$999, 9, FALSE), "No")</f>
        <v>Yes</v>
      </c>
      <c r="L76" s="18">
        <f>VLOOKUP(C76, '[1]India EXIM'!$B$6:$C$580, 2, FALSE)</f>
        <v>0.110904594133</v>
      </c>
      <c r="M76" s="11">
        <f>VLOOKUP(C76, '[1]China EXIM'!$B$6:$D$580, 3, FALSE)</f>
        <v>4.2020553393269999</v>
      </c>
      <c r="N76" s="6"/>
      <c r="O76" s="6"/>
      <c r="P76" s="6"/>
      <c r="Q76" s="10" t="s">
        <v>24</v>
      </c>
      <c r="R76" s="11" t="s">
        <v>39</v>
      </c>
      <c r="V76" s="1" t="s">
        <v>25</v>
      </c>
    </row>
    <row r="77" spans="1:22" ht="27.95" hidden="1">
      <c r="B77" s="6" t="str">
        <f>VLOOKUP(C77, [1]Definition!$D$5:$K$5665, 8, FALSE)</f>
        <v>Capital Goods</v>
      </c>
      <c r="C77" s="7">
        <v>847420</v>
      </c>
      <c r="D77" s="8" t="s">
        <v>278</v>
      </c>
      <c r="E77" s="8" t="s">
        <v>25</v>
      </c>
      <c r="F77" s="17" t="s">
        <v>19</v>
      </c>
      <c r="G77" s="8"/>
      <c r="H77" s="8"/>
      <c r="I77" s="9" t="s">
        <v>58</v>
      </c>
      <c r="J77" s="9" t="s">
        <v>279</v>
      </c>
      <c r="K77" s="17" t="str">
        <f>_xlfn.IFNA(VLOOKUP(C77, '[2]Unique HS'!$B$4:$J$999, 9, FALSE), "No")</f>
        <v>No</v>
      </c>
      <c r="L77" s="18">
        <f>VLOOKUP(C77, '[1]India EXIM'!$B$6:$C$580, 2, FALSE)</f>
        <v>8.2679176611999999E-2</v>
      </c>
      <c r="M77" s="11">
        <f>VLOOKUP(C77, '[1]China EXIM'!$B$6:$D$580, 3, FALSE)</f>
        <v>4.0632473712529995</v>
      </c>
      <c r="N77" s="6"/>
      <c r="O77" s="6"/>
      <c r="P77" s="6"/>
      <c r="Q77" s="10" t="s">
        <v>24</v>
      </c>
      <c r="R77" s="9" t="s">
        <v>58</v>
      </c>
      <c r="V77" s="1" t="s">
        <v>25</v>
      </c>
    </row>
    <row r="78" spans="1:22" ht="27.95" hidden="1">
      <c r="B78" s="6" t="str">
        <f>VLOOKUP(C78, [1]Definition!$D$5:$K$5665, 8, FALSE)</f>
        <v>Capital Goods</v>
      </c>
      <c r="C78" s="7">
        <v>842959</v>
      </c>
      <c r="D78" s="8" t="s">
        <v>646</v>
      </c>
      <c r="E78" s="8" t="s">
        <v>25</v>
      </c>
      <c r="F78" s="17" t="s">
        <v>19</v>
      </c>
      <c r="G78" s="8"/>
      <c r="H78" s="8"/>
      <c r="I78" s="9" t="s">
        <v>58</v>
      </c>
      <c r="J78" s="9" t="s">
        <v>31</v>
      </c>
      <c r="K78" s="17" t="str">
        <f>_xlfn.IFNA(VLOOKUP(C78, '[2]Unique HS'!$B$4:$J$999, 9, FALSE), "No")</f>
        <v>No</v>
      </c>
      <c r="L78" s="18">
        <f>VLOOKUP(C78, '[1]India EXIM'!$B$6:$C$580, 2, FALSE)</f>
        <v>1.843313945E-2</v>
      </c>
      <c r="M78" s="11">
        <f>VLOOKUP(C78, '[1]China EXIM'!$B$6:$D$580, 3, FALSE)</f>
        <v>3.9751319922199997</v>
      </c>
      <c r="N78" s="9" t="s">
        <v>117</v>
      </c>
      <c r="O78" s="9"/>
      <c r="P78" s="6"/>
      <c r="Q78" s="10" t="s">
        <v>24</v>
      </c>
      <c r="R78" s="9" t="s">
        <v>58</v>
      </c>
      <c r="V78" s="1" t="s">
        <v>25</v>
      </c>
    </row>
    <row r="79" spans="1:22" ht="27.95" hidden="1">
      <c r="B79" s="6" t="str">
        <f>VLOOKUP(C79, [1]Definition!$D$5:$K$5665, 8, FALSE)</f>
        <v>Capital Goods</v>
      </c>
      <c r="C79" s="7">
        <v>847029</v>
      </c>
      <c r="D79" s="8" t="s">
        <v>983</v>
      </c>
      <c r="E79" s="8" t="s">
        <v>137</v>
      </c>
      <c r="F79" s="17" t="s">
        <v>27</v>
      </c>
      <c r="G79" s="8" t="s">
        <v>984</v>
      </c>
      <c r="H79" s="8"/>
      <c r="I79" s="9" t="s">
        <v>496</v>
      </c>
      <c r="J79" s="9" t="s">
        <v>497</v>
      </c>
      <c r="K79" s="17" t="str">
        <f>_xlfn.IFNA(VLOOKUP(C79, '[2]Unique HS'!$B$4:$J$999, 9, FALSE), "No")</f>
        <v>No</v>
      </c>
      <c r="L79" s="22">
        <f>VLOOKUP(C79, '[1]India EXIM'!$B$6:$C$580, 2, FALSE)</f>
        <v>2.8314211090000002E-3</v>
      </c>
      <c r="M79" s="11">
        <f>VLOOKUP(C79, '[1]China EXIM'!$B$6:$D$580, 3, FALSE)</f>
        <v>7.7263726754000006E-2</v>
      </c>
      <c r="N79" s="6"/>
      <c r="O79" s="6"/>
      <c r="P79" s="6"/>
      <c r="Q79" s="10" t="s">
        <v>24</v>
      </c>
      <c r="R79" s="9" t="s">
        <v>496</v>
      </c>
      <c r="T79" s="1" t="s">
        <v>136</v>
      </c>
      <c r="V79" s="1" t="s">
        <v>137</v>
      </c>
    </row>
    <row r="80" spans="1:22" ht="56.1">
      <c r="B80" s="6" t="str">
        <f>VLOOKUP(C80, [1]Definition!$D$5:$K$5665, 8, FALSE)</f>
        <v>Capital Goods</v>
      </c>
      <c r="C80" s="7">
        <v>902781</v>
      </c>
      <c r="D80" s="8" t="s">
        <v>274</v>
      </c>
      <c r="E80" s="8" t="s">
        <v>25</v>
      </c>
      <c r="F80" s="17" t="s">
        <v>19</v>
      </c>
      <c r="G80" s="8" t="s">
        <v>275</v>
      </c>
      <c r="H80" s="8" t="s">
        <v>276</v>
      </c>
      <c r="I80" s="9" t="s">
        <v>22</v>
      </c>
      <c r="J80" s="9" t="s">
        <v>38</v>
      </c>
      <c r="K80" s="17" t="str">
        <f>_xlfn.IFNA(VLOOKUP(C80, '[2]Unique HS'!$B$4:$J$999, 9, FALSE), "No")</f>
        <v>No</v>
      </c>
      <c r="L80" s="18">
        <f>VLOOKUP(C80, '[1]India EXIM'!$B$6:$C$580, 2, FALSE)</f>
        <v>8.3719723691999995E-2</v>
      </c>
      <c r="M80" s="11">
        <f>VLOOKUP(C80, '[1]China EXIM'!$B$6:$D$580, 3, FALSE)</f>
        <v>3.8602443253220002</v>
      </c>
      <c r="N80" s="6"/>
      <c r="O80" s="6"/>
      <c r="P80" s="6"/>
      <c r="Q80" s="10" t="s">
        <v>24</v>
      </c>
      <c r="R80" s="11" t="s">
        <v>70</v>
      </c>
      <c r="V80" s="1" t="s">
        <v>25</v>
      </c>
    </row>
    <row r="81" spans="2:23" ht="27.95" hidden="1">
      <c r="B81" s="6" t="str">
        <f>VLOOKUP(C81, [1]Definition!$D$5:$K$5665, 8, FALSE)</f>
        <v>Capital Goods</v>
      </c>
      <c r="C81" s="7">
        <v>843041</v>
      </c>
      <c r="D81" s="8" t="s">
        <v>184</v>
      </c>
      <c r="E81" s="8" t="s">
        <v>25</v>
      </c>
      <c r="F81" s="17" t="s">
        <v>19</v>
      </c>
      <c r="G81" s="8"/>
      <c r="H81" s="8"/>
      <c r="I81" s="9" t="s">
        <v>58</v>
      </c>
      <c r="J81" s="9" t="s">
        <v>31</v>
      </c>
      <c r="K81" s="17" t="str">
        <f>_xlfn.IFNA(VLOOKUP(C81, '[2]Unique HS'!$B$4:$J$999, 9, FALSE), "No")</f>
        <v>No</v>
      </c>
      <c r="L81" s="18">
        <f>VLOOKUP(C81, '[1]India EXIM'!$B$6:$C$580, 2, FALSE)</f>
        <v>0.14569704918099999</v>
      </c>
      <c r="M81" s="11">
        <f>VLOOKUP(C81, '[1]China EXIM'!$B$6:$D$580, 3, FALSE)</f>
        <v>3.8201677053800003</v>
      </c>
      <c r="N81" s="9" t="s">
        <v>117</v>
      </c>
      <c r="O81" s="9"/>
      <c r="P81" s="6"/>
      <c r="Q81" s="10" t="s">
        <v>24</v>
      </c>
      <c r="R81" s="9" t="s">
        <v>58</v>
      </c>
      <c r="V81" s="1" t="s">
        <v>25</v>
      </c>
    </row>
    <row r="82" spans="2:23" ht="27.95">
      <c r="B82" s="6" t="str">
        <f>VLOOKUP(C82, [1]Definition!$D$5:$K$5665, 8, FALSE)</f>
        <v>Capital Goods</v>
      </c>
      <c r="C82" s="7">
        <v>841381</v>
      </c>
      <c r="D82" s="8" t="s">
        <v>284</v>
      </c>
      <c r="E82" s="8" t="s">
        <v>25</v>
      </c>
      <c r="F82" s="17" t="s">
        <v>19</v>
      </c>
      <c r="G82" s="8"/>
      <c r="H82" s="8"/>
      <c r="I82" s="9" t="s">
        <v>22</v>
      </c>
      <c r="J82" s="9" t="s">
        <v>285</v>
      </c>
      <c r="K82" s="17" t="str">
        <f>_xlfn.IFNA(VLOOKUP(C82, '[2]Unique HS'!$B$4:$J$999, 9, FALSE), "No")</f>
        <v>Yes</v>
      </c>
      <c r="L82" s="18">
        <f>VLOOKUP(C82, '[1]India EXIM'!$B$6:$C$580, 2, FALSE)</f>
        <v>8.1051349496999991E-2</v>
      </c>
      <c r="M82" s="11">
        <f>VLOOKUP(C82, '[1]China EXIM'!$B$6:$D$580, 3, FALSE)</f>
        <v>3.8098405319120001</v>
      </c>
      <c r="N82" s="6" t="s">
        <v>103</v>
      </c>
      <c r="O82" s="6"/>
      <c r="P82" s="6"/>
      <c r="Q82" s="10" t="s">
        <v>24</v>
      </c>
      <c r="R82" s="9" t="s">
        <v>22</v>
      </c>
      <c r="V82" s="1" t="s">
        <v>25</v>
      </c>
    </row>
    <row r="83" spans="2:23" ht="27.95">
      <c r="B83" s="6" t="str">
        <f>VLOOKUP(C83, [1]Definition!$D$5:$K$5665, 8, FALSE)</f>
        <v>Capital Goods</v>
      </c>
      <c r="C83" s="7">
        <v>843680</v>
      </c>
      <c r="D83" s="8" t="s">
        <v>238</v>
      </c>
      <c r="E83" s="8" t="s">
        <v>25</v>
      </c>
      <c r="F83" s="17" t="s">
        <v>119</v>
      </c>
      <c r="G83" s="8"/>
      <c r="H83" s="8" t="s">
        <v>239</v>
      </c>
      <c r="I83" s="9" t="s">
        <v>22</v>
      </c>
      <c r="J83" s="9" t="s">
        <v>240</v>
      </c>
      <c r="K83" s="17" t="str">
        <f>_xlfn.IFNA(VLOOKUP(C83, '[2]Unique HS'!$B$4:$J$999, 9, FALSE), "No")</f>
        <v>No</v>
      </c>
      <c r="L83" s="18">
        <f>VLOOKUP(C83, '[1]India EXIM'!$B$6:$C$580, 2, FALSE)</f>
        <v>1.2769335241000001E-2</v>
      </c>
      <c r="M83" s="11">
        <f>VLOOKUP(C83, '[1]China EXIM'!$B$6:$D$580, 3, FALSE)</f>
        <v>3.774619694998</v>
      </c>
      <c r="N83" s="6" t="s">
        <v>160</v>
      </c>
      <c r="O83" s="6"/>
      <c r="P83" s="6"/>
      <c r="Q83" s="10" t="s">
        <v>24</v>
      </c>
      <c r="R83" s="9" t="s">
        <v>161</v>
      </c>
    </row>
    <row r="84" spans="2:23" ht="42" hidden="1">
      <c r="B84" s="6" t="str">
        <f>VLOOKUP(C84, [1]Definition!$D$5:$K$5665, 8, FALSE)</f>
        <v>Capital Goods</v>
      </c>
      <c r="C84" s="7">
        <v>902300</v>
      </c>
      <c r="D84" s="8" t="s">
        <v>241</v>
      </c>
      <c r="E84" s="8" t="s">
        <v>211</v>
      </c>
      <c r="F84" s="17" t="s">
        <v>119</v>
      </c>
      <c r="G84" s="8" t="s">
        <v>242</v>
      </c>
      <c r="H84" s="8"/>
      <c r="I84" s="9" t="s">
        <v>166</v>
      </c>
      <c r="J84" s="9" t="s">
        <v>201</v>
      </c>
      <c r="K84" s="17" t="str">
        <f>_xlfn.IFNA(VLOOKUP(C84, '[2]Unique HS'!$B$4:$J$999, 9, FALSE), "No")</f>
        <v>Yes</v>
      </c>
      <c r="L84" s="18">
        <f>VLOOKUP(C84, '[1]India EXIM'!$B$6:$C$580, 2, FALSE)</f>
        <v>6.698105930699999E-2</v>
      </c>
      <c r="M84" s="11">
        <f>VLOOKUP(C84, '[1]China EXIM'!$B$6:$D$580, 3, FALSE)</f>
        <v>3.7295665158649998</v>
      </c>
      <c r="N84" s="6"/>
      <c r="O84" s="6"/>
      <c r="P84" s="6"/>
      <c r="Q84" s="10" t="s">
        <v>24</v>
      </c>
      <c r="R84" s="11" t="s">
        <v>70</v>
      </c>
      <c r="T84" s="1" t="s">
        <v>136</v>
      </c>
      <c r="V84" s="1" t="s">
        <v>211</v>
      </c>
      <c r="W84" s="1" t="s">
        <v>243</v>
      </c>
    </row>
    <row r="85" spans="2:23" ht="27.95" hidden="1">
      <c r="B85" s="6" t="str">
        <f>VLOOKUP(C85, [1]Definition!$D$5:$K$5665, 8, FALSE)</f>
        <v>Capital Goods</v>
      </c>
      <c r="C85" s="7">
        <v>847030</v>
      </c>
      <c r="D85" s="8" t="s">
        <v>1029</v>
      </c>
      <c r="E85" s="8" t="s">
        <v>137</v>
      </c>
      <c r="F85" s="17" t="s">
        <v>27</v>
      </c>
      <c r="G85" s="8" t="s">
        <v>1030</v>
      </c>
      <c r="H85" s="8"/>
      <c r="I85" s="9" t="s">
        <v>496</v>
      </c>
      <c r="J85" s="9" t="s">
        <v>497</v>
      </c>
      <c r="K85" s="17" t="str">
        <f>_xlfn.IFNA(VLOOKUP(C85, '[2]Unique HS'!$B$4:$J$999, 9, FALSE), "No")</f>
        <v>No</v>
      </c>
      <c r="L85" s="22">
        <f>VLOOKUP(C85, '[1]India EXIM'!$B$6:$C$580, 2, FALSE)</f>
        <v>1.50649068E-3</v>
      </c>
      <c r="M85" s="11">
        <f>VLOOKUP(C85, '[1]China EXIM'!$B$6:$D$580, 3, FALSE)</f>
        <v>2.9745552083000001E-2</v>
      </c>
      <c r="N85" s="6"/>
      <c r="O85" s="6"/>
      <c r="P85" s="6"/>
      <c r="Q85" s="10" t="s">
        <v>24</v>
      </c>
      <c r="R85" s="9" t="s">
        <v>496</v>
      </c>
      <c r="T85" s="1" t="s">
        <v>136</v>
      </c>
      <c r="V85" s="1" t="s">
        <v>137</v>
      </c>
    </row>
    <row r="86" spans="2:23" ht="56.1">
      <c r="B86" s="6" t="str">
        <f>VLOOKUP(C86, [1]Definition!$D$5:$K$5665, 8, FALSE)</f>
        <v>Capital Goods</v>
      </c>
      <c r="C86" s="7">
        <v>902219</v>
      </c>
      <c r="D86" s="8" t="s">
        <v>212</v>
      </c>
      <c r="E86" s="8" t="s">
        <v>25</v>
      </c>
      <c r="F86" s="17" t="s">
        <v>19</v>
      </c>
      <c r="G86" s="8" t="s">
        <v>213</v>
      </c>
      <c r="H86" s="8" t="s">
        <v>171</v>
      </c>
      <c r="I86" s="9" t="s">
        <v>22</v>
      </c>
      <c r="J86" s="9" t="s">
        <v>214</v>
      </c>
      <c r="K86" s="17" t="str">
        <f>_xlfn.IFNA(VLOOKUP(C86, '[2]Unique HS'!$B$4:$J$999, 9, FALSE), "No")</f>
        <v>Yes</v>
      </c>
      <c r="L86" s="18">
        <f>VLOOKUP(C86, '[1]India EXIM'!$B$6:$C$580, 2, FALSE)</f>
        <v>0.12290770932300001</v>
      </c>
      <c r="M86" s="11">
        <f>VLOOKUP(C86, '[1]China EXIM'!$B$6:$D$580, 3, FALSE)</f>
        <v>3.586330543266</v>
      </c>
      <c r="N86" s="6"/>
      <c r="O86" s="6"/>
      <c r="P86" s="6"/>
      <c r="Q86" s="10" t="s">
        <v>24</v>
      </c>
      <c r="R86" s="11" t="s">
        <v>22</v>
      </c>
      <c r="V86" s="1" t="s">
        <v>25</v>
      </c>
    </row>
    <row r="87" spans="2:23" ht="27.95" hidden="1">
      <c r="B87" s="6" t="str">
        <f>VLOOKUP(C87, [1]Definition!$D$5:$K$5665, 8, FALSE)</f>
        <v>Capital Goods</v>
      </c>
      <c r="C87" s="7">
        <v>842641</v>
      </c>
      <c r="D87" s="8" t="s">
        <v>89</v>
      </c>
      <c r="E87" s="8" t="s">
        <v>25</v>
      </c>
      <c r="F87" s="17" t="s">
        <v>19</v>
      </c>
      <c r="G87" s="8"/>
      <c r="H87" s="8"/>
      <c r="I87" s="9" t="s">
        <v>58</v>
      </c>
      <c r="J87" s="9" t="s">
        <v>31</v>
      </c>
      <c r="K87" s="17" t="str">
        <f>_xlfn.IFNA(VLOOKUP(C87, '[2]Unique HS'!$B$4:$J$999, 9, FALSE), "No")</f>
        <v>No</v>
      </c>
      <c r="L87" s="18">
        <f>VLOOKUP(C87, '[1]India EXIM'!$B$6:$C$580, 2, FALSE)</f>
        <v>0.30236254867099999</v>
      </c>
      <c r="M87" s="11">
        <f>VLOOKUP(C87, '[1]China EXIM'!$B$6:$D$580, 3, FALSE)</f>
        <v>3.580500926514</v>
      </c>
      <c r="N87" s="9" t="s">
        <v>80</v>
      </c>
      <c r="O87" s="9"/>
      <c r="P87" s="6"/>
      <c r="Q87" s="10" t="s">
        <v>24</v>
      </c>
      <c r="R87" s="9" t="s">
        <v>58</v>
      </c>
      <c r="V87" s="1" t="s">
        <v>25</v>
      </c>
    </row>
    <row r="88" spans="2:23" ht="27.95" hidden="1">
      <c r="B88" s="6" t="str">
        <f>VLOOKUP(C88, [1]Definition!$D$5:$K$5665, 8, FALSE)</f>
        <v>Capital Goods</v>
      </c>
      <c r="C88" s="7">
        <v>847090</v>
      </c>
      <c r="D88" s="8" t="s">
        <v>699</v>
      </c>
      <c r="E88" s="8" t="s">
        <v>137</v>
      </c>
      <c r="F88" s="17" t="s">
        <v>27</v>
      </c>
      <c r="G88" s="8"/>
      <c r="H88" s="8"/>
      <c r="I88" s="9" t="s">
        <v>496</v>
      </c>
      <c r="J88" s="9" t="s">
        <v>497</v>
      </c>
      <c r="K88" s="17" t="str">
        <f>_xlfn.IFNA(VLOOKUP(C88, '[2]Unique HS'!$B$4:$J$999, 9, FALSE), "No")</f>
        <v>No</v>
      </c>
      <c r="L88" s="22">
        <f>VLOOKUP(C88, '[1]India EXIM'!$B$6:$C$580, 2, FALSE)</f>
        <v>1.6000479211E-2</v>
      </c>
      <c r="M88" s="11">
        <f>VLOOKUP(C88, '[1]China EXIM'!$B$6:$D$580, 3, FALSE)</f>
        <v>0.93761384495700006</v>
      </c>
      <c r="N88" s="6"/>
      <c r="O88" s="6"/>
      <c r="P88" s="6"/>
      <c r="Q88" s="10" t="s">
        <v>24</v>
      </c>
      <c r="R88" s="9" t="s">
        <v>496</v>
      </c>
      <c r="T88" s="1" t="s">
        <v>136</v>
      </c>
      <c r="V88" s="1" t="s">
        <v>137</v>
      </c>
    </row>
    <row r="89" spans="2:23" ht="27.95" hidden="1">
      <c r="B89" s="6" t="str">
        <f>VLOOKUP(C89, [1]Definition!$D$5:$K$5665, 8, FALSE)</f>
        <v>Capital Goods</v>
      </c>
      <c r="C89" s="7">
        <v>847720</v>
      </c>
      <c r="D89" s="8" t="s">
        <v>130</v>
      </c>
      <c r="E89" s="8" t="s">
        <v>25</v>
      </c>
      <c r="F89" s="17" t="s">
        <v>19</v>
      </c>
      <c r="G89" s="8"/>
      <c r="H89" s="8"/>
      <c r="I89" s="9" t="s">
        <v>52</v>
      </c>
      <c r="J89" s="9" t="s">
        <v>53</v>
      </c>
      <c r="K89" s="17" t="str">
        <f>_xlfn.IFNA(VLOOKUP(C89, '[2]Unique HS'!$B$4:$J$999, 9, FALSE), "No")</f>
        <v>No</v>
      </c>
      <c r="L89" s="18">
        <f>VLOOKUP(C89, '[1]India EXIM'!$B$6:$C$580, 2, FALSE)</f>
        <v>0.18431179586000002</v>
      </c>
      <c r="M89" s="11">
        <f>VLOOKUP(C89, '[1]China EXIM'!$B$6:$D$580, 3, FALSE)</f>
        <v>3.4291712914689998</v>
      </c>
      <c r="N89" s="6"/>
      <c r="O89" s="6"/>
      <c r="P89" s="6"/>
      <c r="Q89" s="10" t="s">
        <v>24</v>
      </c>
      <c r="R89" s="9" t="s">
        <v>52</v>
      </c>
      <c r="V89" s="1" t="s">
        <v>25</v>
      </c>
    </row>
    <row r="90" spans="2:23" ht="42" hidden="1">
      <c r="B90" s="6" t="str">
        <f>VLOOKUP(C90, [1]Definition!$D$5:$K$5665, 8, FALSE)</f>
        <v>Capital Goods</v>
      </c>
      <c r="C90" s="7">
        <v>846229</v>
      </c>
      <c r="D90" s="8" t="s">
        <v>270</v>
      </c>
      <c r="E90" s="8" t="s">
        <v>25</v>
      </c>
      <c r="F90" s="17" t="s">
        <v>19</v>
      </c>
      <c r="G90" s="8"/>
      <c r="H90" s="8"/>
      <c r="I90" s="9" t="s">
        <v>65</v>
      </c>
      <c r="J90" s="9" t="s">
        <v>31</v>
      </c>
      <c r="K90" s="17" t="str">
        <f>_xlfn.IFNA(VLOOKUP(C90, '[2]Unique HS'!$B$4:$J$999, 9, FALSE), "No")</f>
        <v>Yes</v>
      </c>
      <c r="L90" s="18">
        <f>VLOOKUP(C90, '[1]India EXIM'!$B$6:$C$580, 2, FALSE)</f>
        <v>8.4202312761999992E-2</v>
      </c>
      <c r="M90" s="11">
        <f>VLOOKUP(C90, '[1]China EXIM'!$B$6:$D$580, 3, FALSE)</f>
        <v>1.0721839773370001</v>
      </c>
      <c r="N90" s="6"/>
      <c r="O90" s="6"/>
      <c r="P90" s="6"/>
      <c r="Q90" s="10" t="s">
        <v>24</v>
      </c>
      <c r="R90" s="9" t="s">
        <v>65</v>
      </c>
      <c r="V90" s="1" t="s">
        <v>25</v>
      </c>
    </row>
    <row r="91" spans="2:23" ht="27.95" hidden="1">
      <c r="B91" s="6" t="str">
        <f>VLOOKUP(C91, [1]Definition!$D$5:$K$5665, 8, FALSE)</f>
        <v>Capital Goods</v>
      </c>
      <c r="C91" s="7">
        <v>847910</v>
      </c>
      <c r="D91" s="8" t="s">
        <v>504</v>
      </c>
      <c r="E91" s="8" t="s">
        <v>25</v>
      </c>
      <c r="F91" s="17" t="s">
        <v>19</v>
      </c>
      <c r="G91" s="8"/>
      <c r="H91" s="8"/>
      <c r="I91" s="9" t="s">
        <v>58</v>
      </c>
      <c r="J91" s="9" t="s">
        <v>505</v>
      </c>
      <c r="K91" s="17" t="str">
        <f>_xlfn.IFNA(VLOOKUP(C91, '[2]Unique HS'!$B$4:$J$999, 9, FALSE), "No")</f>
        <v>Yes</v>
      </c>
      <c r="L91" s="18">
        <f>VLOOKUP(C91, '[1]India EXIM'!$B$6:$C$580, 2, FALSE)</f>
        <v>3.0755147808999999E-2</v>
      </c>
      <c r="M91" s="11">
        <f>VLOOKUP(C91, '[1]China EXIM'!$B$6:$D$580, 3, FALSE)</f>
        <v>3.3600481110900002</v>
      </c>
      <c r="N91" s="6"/>
      <c r="O91" s="6"/>
      <c r="P91" s="6"/>
      <c r="Q91" s="10" t="s">
        <v>24</v>
      </c>
      <c r="R91" s="9" t="s">
        <v>58</v>
      </c>
      <c r="V91" s="1" t="s">
        <v>25</v>
      </c>
    </row>
    <row r="92" spans="2:23" ht="27.95" hidden="1">
      <c r="B92" s="6" t="str">
        <f>VLOOKUP(C92, [1]Definition!$D$5:$K$5665, 8, FALSE)</f>
        <v>Capital Goods</v>
      </c>
      <c r="C92" s="7">
        <v>843049</v>
      </c>
      <c r="D92" s="8" t="s">
        <v>467</v>
      </c>
      <c r="E92" s="8" t="s">
        <v>25</v>
      </c>
      <c r="F92" s="17" t="s">
        <v>19</v>
      </c>
      <c r="G92" s="8"/>
      <c r="H92" s="8"/>
      <c r="I92" s="9" t="s">
        <v>58</v>
      </c>
      <c r="J92" s="9" t="s">
        <v>31</v>
      </c>
      <c r="K92" s="17" t="str">
        <f>_xlfn.IFNA(VLOOKUP(C92, '[2]Unique HS'!$B$4:$J$999, 9, FALSE), "No")</f>
        <v>No</v>
      </c>
      <c r="L92" s="18">
        <f>VLOOKUP(C92, '[1]India EXIM'!$B$6:$C$580, 2, FALSE)</f>
        <v>3.643883966E-2</v>
      </c>
      <c r="M92" s="11">
        <f>VLOOKUP(C92, '[1]China EXIM'!$B$6:$D$580, 3, FALSE)</f>
        <v>3.350621864641</v>
      </c>
      <c r="N92" s="9" t="s">
        <v>117</v>
      </c>
      <c r="O92" s="9"/>
      <c r="P92" s="6"/>
      <c r="Q92" s="10" t="s">
        <v>24</v>
      </c>
      <c r="R92" s="9" t="s">
        <v>58</v>
      </c>
      <c r="V92" s="1" t="s">
        <v>25</v>
      </c>
    </row>
    <row r="93" spans="2:23" ht="27.95" hidden="1">
      <c r="B93" s="6" t="str">
        <f>VLOOKUP(C93, [1]Definition!$D$5:$K$5665, 8, FALSE)</f>
        <v>Capital Goods</v>
      </c>
      <c r="C93" s="7">
        <v>846219</v>
      </c>
      <c r="D93" s="8" t="s">
        <v>286</v>
      </c>
      <c r="E93" s="8" t="s">
        <v>25</v>
      </c>
      <c r="F93" s="17" t="s">
        <v>19</v>
      </c>
      <c r="G93" s="8"/>
      <c r="H93" s="8"/>
      <c r="I93" s="9" t="s">
        <v>65</v>
      </c>
      <c r="J93" s="9" t="s">
        <v>31</v>
      </c>
      <c r="K93" s="17" t="str">
        <f>_xlfn.IFNA(VLOOKUP(C93, '[2]Unique HS'!$B$4:$J$999, 9, FALSE), "No")</f>
        <v>No</v>
      </c>
      <c r="L93" s="18">
        <f>VLOOKUP(C93, '[1]India EXIM'!$B$6:$C$580, 2, FALSE)</f>
        <v>8.0662668174999994E-2</v>
      </c>
      <c r="M93" s="11">
        <f>VLOOKUP(C93, '[1]China EXIM'!$B$6:$D$580, 3, FALSE)</f>
        <v>0.39596200418499999</v>
      </c>
      <c r="N93" s="6"/>
      <c r="O93" s="6"/>
      <c r="P93" s="6"/>
      <c r="Q93" s="10" t="s">
        <v>24</v>
      </c>
      <c r="R93" s="9" t="s">
        <v>65</v>
      </c>
      <c r="V93" s="1" t="s">
        <v>25</v>
      </c>
    </row>
    <row r="94" spans="2:23" ht="27.95" hidden="1">
      <c r="B94" s="6" t="str">
        <f>VLOOKUP(C94, [1]Definition!$D$5:$K$5665, 8, FALSE)</f>
        <v>Capital Goods</v>
      </c>
      <c r="C94" s="7">
        <v>847210</v>
      </c>
      <c r="D94" s="8" t="s">
        <v>1103</v>
      </c>
      <c r="E94" s="8" t="s">
        <v>137</v>
      </c>
      <c r="F94" s="17" t="s">
        <v>27</v>
      </c>
      <c r="G94" s="8" t="s">
        <v>1104</v>
      </c>
      <c r="H94" s="8"/>
      <c r="I94" s="9" t="s">
        <v>496</v>
      </c>
      <c r="J94" s="9" t="s">
        <v>497</v>
      </c>
      <c r="K94" s="17" t="str">
        <f>_xlfn.IFNA(VLOOKUP(C94, '[2]Unique HS'!$B$4:$J$999, 9, FALSE), "No")</f>
        <v>No</v>
      </c>
      <c r="L94" s="22">
        <f>VLOOKUP(C94, '[1]India EXIM'!$B$6:$C$580, 2, FALSE)</f>
        <v>1.7414815799999999E-4</v>
      </c>
      <c r="M94" s="11">
        <f>VLOOKUP(C94, '[1]China EXIM'!$B$6:$D$580, 3, FALSE)</f>
        <v>4.5503505248000002E-2</v>
      </c>
      <c r="N94" s="6"/>
      <c r="O94" s="6"/>
      <c r="P94" s="6"/>
      <c r="Q94" s="10" t="s">
        <v>24</v>
      </c>
      <c r="R94" s="9" t="s">
        <v>496</v>
      </c>
      <c r="T94" s="1" t="s">
        <v>136</v>
      </c>
      <c r="V94" s="1" t="s">
        <v>137</v>
      </c>
    </row>
    <row r="95" spans="2:23" ht="56.1" hidden="1">
      <c r="B95" s="6" t="str">
        <f>VLOOKUP(C95, [1]Definition!$D$5:$K$5665, 8, FALSE)</f>
        <v>Capital Goods</v>
      </c>
      <c r="C95" s="7">
        <v>847230</v>
      </c>
      <c r="D95" s="8" t="s">
        <v>1107</v>
      </c>
      <c r="E95" s="8" t="s">
        <v>137</v>
      </c>
      <c r="F95" s="17" t="s">
        <v>27</v>
      </c>
      <c r="G95" s="8"/>
      <c r="H95" s="8"/>
      <c r="I95" s="9" t="s">
        <v>496</v>
      </c>
      <c r="J95" s="9" t="s">
        <v>497</v>
      </c>
      <c r="K95" s="17" t="str">
        <f>_xlfn.IFNA(VLOOKUP(C95, '[2]Unique HS'!$B$4:$J$999, 9, FALSE), "No")</f>
        <v>No</v>
      </c>
      <c r="L95" s="22">
        <f>VLOOKUP(C95, '[1]India EXIM'!$B$6:$C$580, 2, FALSE)</f>
        <v>1.36286984E-4</v>
      </c>
      <c r="M95" s="11">
        <f>VLOOKUP(C95, '[1]China EXIM'!$B$6:$D$580, 3, FALSE)</f>
        <v>0.19303935058999999</v>
      </c>
      <c r="N95" s="6"/>
      <c r="O95" s="6"/>
      <c r="P95" s="6"/>
      <c r="Q95" s="10" t="s">
        <v>24</v>
      </c>
      <c r="R95" s="9" t="s">
        <v>496</v>
      </c>
      <c r="T95" s="1" t="s">
        <v>136</v>
      </c>
      <c r="V95" s="1" t="s">
        <v>137</v>
      </c>
    </row>
    <row r="96" spans="2:23" ht="42" hidden="1">
      <c r="B96" s="6" t="str">
        <f>VLOOKUP(C96, [1]Definition!$D$5:$K$5665, 8, FALSE)</f>
        <v>Capital Goods</v>
      </c>
      <c r="C96" s="7">
        <v>848610</v>
      </c>
      <c r="D96" s="8" t="s">
        <v>900</v>
      </c>
      <c r="E96" s="8" t="s">
        <v>25</v>
      </c>
      <c r="F96" s="17" t="s">
        <v>19</v>
      </c>
      <c r="G96" s="8"/>
      <c r="H96" s="8" t="s">
        <v>901</v>
      </c>
      <c r="I96" s="9" t="s">
        <v>46</v>
      </c>
      <c r="J96" s="9" t="s">
        <v>31</v>
      </c>
      <c r="K96" s="17" t="str">
        <f>_xlfn.IFNA(VLOOKUP(C96, '[2]Unique HS'!$B$4:$J$999, 9, FALSE), "No")</f>
        <v>No</v>
      </c>
      <c r="L96" s="18">
        <f>VLOOKUP(C96, '[1]India EXIM'!$B$6:$C$580, 2, FALSE)</f>
        <v>6.2009344710000002E-3</v>
      </c>
      <c r="M96" s="11">
        <f>VLOOKUP(C96, '[1]China EXIM'!$B$6:$D$580, 3, FALSE)</f>
        <v>3.2774372175229995</v>
      </c>
      <c r="N96" s="6"/>
      <c r="O96" s="6"/>
      <c r="P96" s="6"/>
      <c r="Q96" s="10" t="s">
        <v>24</v>
      </c>
      <c r="R96" s="9" t="s">
        <v>46</v>
      </c>
      <c r="V96" s="1" t="s">
        <v>25</v>
      </c>
    </row>
    <row r="97" spans="2:22" ht="27.95" hidden="1">
      <c r="B97" s="6" t="str">
        <f>VLOOKUP(C97, [1]Definition!$D$5:$K$5665, 8, FALSE)</f>
        <v>Capital Goods</v>
      </c>
      <c r="C97" s="7">
        <v>843880</v>
      </c>
      <c r="D97" s="8" t="s">
        <v>246</v>
      </c>
      <c r="E97" s="8" t="s">
        <v>25</v>
      </c>
      <c r="F97" s="17" t="s">
        <v>19</v>
      </c>
      <c r="G97" s="8"/>
      <c r="H97" s="8"/>
      <c r="I97" s="9" t="s">
        <v>61</v>
      </c>
      <c r="J97" s="9" t="s">
        <v>247</v>
      </c>
      <c r="K97" s="17" t="str">
        <f>_xlfn.IFNA(VLOOKUP(C97, '[2]Unique HS'!$B$4:$J$999, 9, FALSE), "No")</f>
        <v>No</v>
      </c>
      <c r="L97" s="18">
        <f>VLOOKUP(C97, '[1]India EXIM'!$B$6:$C$580, 2, FALSE)</f>
        <v>9.9464897047000012E-2</v>
      </c>
      <c r="M97" s="11">
        <f>VLOOKUP(C97, '[1]China EXIM'!$B$6:$D$580, 3, FALSE)</f>
        <v>3.2316885183850004</v>
      </c>
      <c r="N97" s="6"/>
      <c r="O97" s="6"/>
      <c r="P97" s="6"/>
      <c r="Q97" s="10" t="s">
        <v>24</v>
      </c>
      <c r="R97" s="9" t="s">
        <v>61</v>
      </c>
      <c r="V97" s="1" t="s">
        <v>25</v>
      </c>
    </row>
    <row r="98" spans="2:22" ht="42">
      <c r="B98" s="6" t="str">
        <f>VLOOKUP(C98, [1]Definition!$D$5:$K$5665, 8, FALSE)</f>
        <v>Capital Goods</v>
      </c>
      <c r="C98" s="7">
        <v>842430</v>
      </c>
      <c r="D98" s="8" t="s">
        <v>477</v>
      </c>
      <c r="E98" s="8" t="s">
        <v>25</v>
      </c>
      <c r="F98" s="17" t="s">
        <v>19</v>
      </c>
      <c r="G98" s="8" t="s">
        <v>478</v>
      </c>
      <c r="H98" s="8" t="s">
        <v>479</v>
      </c>
      <c r="I98" s="9" t="s">
        <v>22</v>
      </c>
      <c r="J98" s="9" t="s">
        <v>480</v>
      </c>
      <c r="K98" s="17" t="str">
        <f>_xlfn.IFNA(VLOOKUP(C98, '[2]Unique HS'!$B$4:$J$999, 9, FALSE), "No")</f>
        <v>Yes</v>
      </c>
      <c r="L98" s="18">
        <f>VLOOKUP(C98, '[1]India EXIM'!$B$6:$C$580, 2, FALSE)</f>
        <v>3.3653960247E-2</v>
      </c>
      <c r="M98" s="11">
        <f>VLOOKUP(C98, '[1]China EXIM'!$B$6:$D$580, 3, FALSE)</f>
        <v>3.2252792072449998</v>
      </c>
      <c r="N98" s="6"/>
      <c r="O98" s="6"/>
      <c r="P98" s="6"/>
      <c r="Q98" s="10" t="s">
        <v>24</v>
      </c>
      <c r="R98" s="9" t="s">
        <v>22</v>
      </c>
      <c r="V98" s="1" t="s">
        <v>25</v>
      </c>
    </row>
    <row r="99" spans="2:22" ht="27.95" hidden="1">
      <c r="B99" s="6" t="str">
        <f>VLOOKUP(C99, [1]Definition!$D$5:$K$5665, 8, FALSE)</f>
        <v>Capital Goods</v>
      </c>
      <c r="C99" s="7">
        <v>843810</v>
      </c>
      <c r="D99" s="8" t="s">
        <v>304</v>
      </c>
      <c r="E99" s="8" t="s">
        <v>25</v>
      </c>
      <c r="F99" s="17" t="s">
        <v>19</v>
      </c>
      <c r="G99" s="8"/>
      <c r="H99" s="8"/>
      <c r="I99" s="9" t="s">
        <v>61</v>
      </c>
      <c r="J99" s="9" t="s">
        <v>247</v>
      </c>
      <c r="K99" s="17" t="str">
        <f>_xlfn.IFNA(VLOOKUP(C99, '[2]Unique HS'!$B$4:$J$999, 9, FALSE), "No")</f>
        <v>No</v>
      </c>
      <c r="L99" s="18">
        <f>VLOOKUP(C99, '[1]India EXIM'!$B$6:$C$580, 2, FALSE)</f>
        <v>7.2754809202000004E-2</v>
      </c>
      <c r="M99" s="11">
        <f>VLOOKUP(C99, '[1]China EXIM'!$B$6:$D$580, 3, FALSE)</f>
        <v>3.1320371144419998</v>
      </c>
      <c r="N99" s="6"/>
      <c r="O99" s="6"/>
      <c r="P99" s="6"/>
      <c r="Q99" s="10" t="s">
        <v>24</v>
      </c>
      <c r="R99" s="9" t="s">
        <v>61</v>
      </c>
      <c r="V99" s="1" t="s">
        <v>25</v>
      </c>
    </row>
    <row r="100" spans="2:22" ht="27.95" hidden="1">
      <c r="B100" s="6" t="str">
        <f>VLOOKUP(C100, [1]Definition!$D$5:$K$5665, 8, FALSE)</f>
        <v>Capital Goods</v>
      </c>
      <c r="C100" s="7">
        <v>847971</v>
      </c>
      <c r="D100" s="8" t="s">
        <v>888</v>
      </c>
      <c r="E100" s="8" t="s">
        <v>137</v>
      </c>
      <c r="F100" s="17" t="s">
        <v>205</v>
      </c>
      <c r="G100" s="8"/>
      <c r="H100" s="8"/>
      <c r="I100" s="9" t="s">
        <v>166</v>
      </c>
      <c r="J100" s="9" t="s">
        <v>889</v>
      </c>
      <c r="K100" s="17" t="str">
        <f>_xlfn.IFNA(VLOOKUP(C100, '[2]Unique HS'!$B$4:$J$999, 9, FALSE), "No")</f>
        <v>No</v>
      </c>
      <c r="L100" s="22">
        <f>VLOOKUP(C100, '[1]India EXIM'!$B$6:$C$580, 2, FALSE)</f>
        <v>7.0562575060000004E-3</v>
      </c>
      <c r="M100" s="11">
        <f>VLOOKUP(C100, '[1]China EXIM'!$B$6:$D$580, 3, FALSE)</f>
        <v>0.11317481021600001</v>
      </c>
      <c r="N100" s="6" t="s">
        <v>389</v>
      </c>
      <c r="O100" s="6"/>
      <c r="P100" s="6"/>
      <c r="Q100" s="10" t="s">
        <v>24</v>
      </c>
      <c r="R100" s="9" t="s">
        <v>389</v>
      </c>
      <c r="T100" s="1" t="s">
        <v>136</v>
      </c>
      <c r="V100" s="1" t="s">
        <v>137</v>
      </c>
    </row>
    <row r="101" spans="2:22" ht="27.95" hidden="1">
      <c r="B101" s="6" t="str">
        <f>VLOOKUP(C101, [1]Definition!$D$5:$K$5665, 8, FALSE)</f>
        <v>Capital Goods</v>
      </c>
      <c r="C101" s="7">
        <v>842691</v>
      </c>
      <c r="D101" s="8" t="s">
        <v>911</v>
      </c>
      <c r="E101" s="8" t="s">
        <v>25</v>
      </c>
      <c r="F101" s="17" t="s">
        <v>19</v>
      </c>
      <c r="G101" s="8"/>
      <c r="H101" s="8"/>
      <c r="I101" s="9" t="s">
        <v>58</v>
      </c>
      <c r="J101" s="9" t="s">
        <v>31</v>
      </c>
      <c r="K101" s="17" t="str">
        <f>_xlfn.IFNA(VLOOKUP(C101, '[2]Unique HS'!$B$4:$J$999, 9, FALSE), "No")</f>
        <v>No</v>
      </c>
      <c r="L101" s="18">
        <f>VLOOKUP(C101, '[1]India EXIM'!$B$6:$C$580, 2, FALSE)</f>
        <v>5.5424588309999998E-3</v>
      </c>
      <c r="M101" s="11">
        <f>VLOOKUP(C101, '[1]China EXIM'!$B$6:$D$580, 3, FALSE)</f>
        <v>3.0113025509029998</v>
      </c>
      <c r="N101" s="9" t="s">
        <v>80</v>
      </c>
      <c r="O101" s="9"/>
      <c r="P101" s="6"/>
      <c r="Q101" s="10" t="s">
        <v>24</v>
      </c>
      <c r="R101" s="9" t="s">
        <v>58</v>
      </c>
      <c r="V101" s="1" t="s">
        <v>25</v>
      </c>
    </row>
    <row r="102" spans="2:22" ht="27.95" hidden="1">
      <c r="B102" s="6" t="str">
        <f>VLOOKUP(C102, [1]Definition!$D$5:$K$5665, 8, FALSE)</f>
        <v>Capital Goods</v>
      </c>
      <c r="C102" s="7">
        <v>847410</v>
      </c>
      <c r="D102" s="8" t="s">
        <v>344</v>
      </c>
      <c r="E102" s="8" t="s">
        <v>25</v>
      </c>
      <c r="F102" s="17" t="s">
        <v>19</v>
      </c>
      <c r="G102" s="8"/>
      <c r="H102" s="8"/>
      <c r="I102" s="9" t="s">
        <v>58</v>
      </c>
      <c r="J102" s="9" t="s">
        <v>345</v>
      </c>
      <c r="K102" s="17" t="str">
        <f>_xlfn.IFNA(VLOOKUP(C102, '[2]Unique HS'!$B$4:$J$999, 9, FALSE), "No")</f>
        <v>No</v>
      </c>
      <c r="L102" s="18">
        <f>VLOOKUP(C102, '[1]India EXIM'!$B$6:$C$580, 2, FALSE)</f>
        <v>6.0248197957999995E-2</v>
      </c>
      <c r="M102" s="11">
        <f>VLOOKUP(C102, '[1]China EXIM'!$B$6:$D$580, 3, FALSE)</f>
        <v>3.0041832118249996</v>
      </c>
      <c r="N102" s="6"/>
      <c r="O102" s="6"/>
      <c r="P102" s="6"/>
      <c r="Q102" s="10" t="s">
        <v>24</v>
      </c>
      <c r="R102" s="9" t="s">
        <v>58</v>
      </c>
      <c r="V102" s="1" t="s">
        <v>25</v>
      </c>
    </row>
    <row r="103" spans="2:22" ht="42" hidden="1">
      <c r="B103" s="6" t="str">
        <f>VLOOKUP(C103, [1]Definition!$D$5:$K$5665, 8, FALSE)</f>
        <v>Capital Goods</v>
      </c>
      <c r="C103" s="7">
        <v>901210</v>
      </c>
      <c r="D103" s="8" t="s">
        <v>363</v>
      </c>
      <c r="E103" s="8" t="s">
        <v>25</v>
      </c>
      <c r="F103" s="17" t="s">
        <v>19</v>
      </c>
      <c r="G103" s="8"/>
      <c r="H103" s="8" t="s">
        <v>364</v>
      </c>
      <c r="I103" s="9" t="s">
        <v>166</v>
      </c>
      <c r="J103" s="9" t="s">
        <v>201</v>
      </c>
      <c r="K103" s="17" t="str">
        <f>_xlfn.IFNA(VLOOKUP(C103, '[2]Unique HS'!$B$4:$J$999, 9, FALSE), "No")</f>
        <v>Yes</v>
      </c>
      <c r="L103" s="18">
        <f>VLOOKUP(C103, '[1]India EXIM'!$B$6:$C$580, 2, FALSE)</f>
        <v>5.3982747435000006E-2</v>
      </c>
      <c r="M103" s="11">
        <f>VLOOKUP(C103, '[1]China EXIM'!$B$6:$D$580, 3, FALSE)</f>
        <v>2.9532414556840001</v>
      </c>
      <c r="N103" s="6"/>
      <c r="O103" s="6"/>
      <c r="P103" s="6"/>
      <c r="Q103" s="10" t="s">
        <v>24</v>
      </c>
      <c r="R103" s="11" t="s">
        <v>70</v>
      </c>
      <c r="V103" s="1" t="s">
        <v>25</v>
      </c>
    </row>
    <row r="104" spans="2:22" ht="42" hidden="1">
      <c r="B104" s="6" t="str">
        <f>VLOOKUP(C104, [1]Definition!$D$5:$K$5665, 8, FALSE)</f>
        <v>Capital Goods</v>
      </c>
      <c r="C104" s="7">
        <v>846599</v>
      </c>
      <c r="D104" s="8" t="s">
        <v>287</v>
      </c>
      <c r="E104" s="8" t="s">
        <v>25</v>
      </c>
      <c r="F104" s="17" t="s">
        <v>19</v>
      </c>
      <c r="G104" s="8"/>
      <c r="H104" s="8"/>
      <c r="I104" s="9" t="s">
        <v>65</v>
      </c>
      <c r="J104" s="9" t="s">
        <v>31</v>
      </c>
      <c r="K104" s="17" t="str">
        <f>_xlfn.IFNA(VLOOKUP(C104, '[2]Unique HS'!$B$4:$J$999, 9, FALSE), "No")</f>
        <v>Yes</v>
      </c>
      <c r="L104" s="18">
        <f>VLOOKUP(C104, '[1]India EXIM'!$B$6:$C$580, 2, FALSE)</f>
        <v>7.7177286863999994E-2</v>
      </c>
      <c r="M104" s="11">
        <f>VLOOKUP(C104, '[1]China EXIM'!$B$6:$D$580, 3, FALSE)</f>
        <v>1.8869269921429999</v>
      </c>
      <c r="N104" s="6"/>
      <c r="O104" s="6"/>
      <c r="P104" s="6"/>
      <c r="Q104" s="10" t="s">
        <v>24</v>
      </c>
      <c r="R104" s="9" t="s">
        <v>65</v>
      </c>
      <c r="V104" s="1" t="s">
        <v>25</v>
      </c>
    </row>
    <row r="105" spans="2:22" ht="27.95" hidden="1">
      <c r="B105" s="6" t="str">
        <f>VLOOKUP(C105, [1]Definition!$D$5:$K$5665, 8, FALSE)</f>
        <v>Capital Goods</v>
      </c>
      <c r="C105" s="7">
        <v>842649</v>
      </c>
      <c r="D105" s="8" t="s">
        <v>79</v>
      </c>
      <c r="E105" s="8" t="s">
        <v>25</v>
      </c>
      <c r="F105" s="17" t="s">
        <v>19</v>
      </c>
      <c r="G105" s="8"/>
      <c r="H105" s="8"/>
      <c r="I105" s="9" t="s">
        <v>58</v>
      </c>
      <c r="J105" s="9" t="s">
        <v>31</v>
      </c>
      <c r="K105" s="17" t="str">
        <f>_xlfn.IFNA(VLOOKUP(C105, '[2]Unique HS'!$B$4:$J$999, 9, FALSE), "No")</f>
        <v>No</v>
      </c>
      <c r="L105" s="18">
        <f>VLOOKUP(C105, '[1]India EXIM'!$B$6:$C$580, 2, FALSE)</f>
        <v>0.320777655991</v>
      </c>
      <c r="M105" s="11">
        <f>VLOOKUP(C105, '[1]China EXIM'!$B$6:$D$580, 3, FALSE)</f>
        <v>2.8970969851469999</v>
      </c>
      <c r="N105" s="9" t="s">
        <v>80</v>
      </c>
      <c r="O105" s="9"/>
      <c r="P105" s="6"/>
      <c r="Q105" s="10" t="s">
        <v>24</v>
      </c>
      <c r="R105" s="9" t="s">
        <v>58</v>
      </c>
      <c r="V105" s="1" t="s">
        <v>25</v>
      </c>
    </row>
    <row r="106" spans="2:22" ht="27.95" hidden="1">
      <c r="B106" s="6" t="str">
        <f>VLOOKUP(C106, [1]Definition!$D$5:$K$5665, 8, FALSE)</f>
        <v>Capital Goods</v>
      </c>
      <c r="C106" s="7">
        <v>850440</v>
      </c>
      <c r="D106" s="8" t="s">
        <v>26</v>
      </c>
      <c r="E106" s="8" t="s">
        <v>34</v>
      </c>
      <c r="F106" s="17" t="s">
        <v>27</v>
      </c>
      <c r="G106" s="8" t="s">
        <v>28</v>
      </c>
      <c r="H106" s="8" t="s">
        <v>29</v>
      </c>
      <c r="I106" s="9" t="s">
        <v>30</v>
      </c>
      <c r="J106" s="9" t="s">
        <v>31</v>
      </c>
      <c r="K106" s="17" t="str">
        <f>_xlfn.IFNA(VLOOKUP(C106, '[2]Unique HS'!$B$4:$J$999, 9, FALSE), "No")</f>
        <v>Yes</v>
      </c>
      <c r="L106" s="22">
        <f>VLOOKUP(C106, '[1]India EXIM'!$B$6:$C$580, 2, FALSE)</f>
        <v>1.8930651773940002</v>
      </c>
      <c r="M106" s="11">
        <f>VLOOKUP(C106, '[1]China EXIM'!$B$6:$D$580, 3, FALSE)</f>
        <v>103.79885451238499</v>
      </c>
      <c r="N106" s="6" t="s">
        <v>32</v>
      </c>
      <c r="O106" s="6"/>
      <c r="P106" s="6"/>
      <c r="Q106" s="10" t="s">
        <v>24</v>
      </c>
      <c r="R106" s="9" t="s">
        <v>30</v>
      </c>
      <c r="T106" s="1" t="s">
        <v>33</v>
      </c>
      <c r="V106" s="1" t="s">
        <v>34</v>
      </c>
    </row>
    <row r="107" spans="2:22" ht="27.95" hidden="1">
      <c r="B107" s="6" t="str">
        <f>VLOOKUP(C107, [1]Definition!$D$5:$K$5665, 8, FALSE)</f>
        <v>Capital Goods</v>
      </c>
      <c r="C107" s="7">
        <v>843850</v>
      </c>
      <c r="D107" s="8" t="s">
        <v>696</v>
      </c>
      <c r="E107" s="8" t="s">
        <v>25</v>
      </c>
      <c r="F107" s="17" t="s">
        <v>19</v>
      </c>
      <c r="G107" s="8"/>
      <c r="H107" s="8"/>
      <c r="I107" s="9" t="s">
        <v>61</v>
      </c>
      <c r="J107" s="9" t="s">
        <v>247</v>
      </c>
      <c r="K107" s="17" t="str">
        <f>_xlfn.IFNA(VLOOKUP(C107, '[2]Unique HS'!$B$4:$J$999, 9, FALSE), "No")</f>
        <v>No</v>
      </c>
      <c r="L107" s="18">
        <f>VLOOKUP(C107, '[1]India EXIM'!$B$6:$C$580, 2, FALSE)</f>
        <v>1.6277129615E-2</v>
      </c>
      <c r="M107" s="11">
        <f>VLOOKUP(C107, '[1]China EXIM'!$B$6:$D$580, 3, FALSE)</f>
        <v>2.895021418901</v>
      </c>
      <c r="N107" s="6"/>
      <c r="O107" s="6"/>
      <c r="P107" s="6"/>
      <c r="Q107" s="10" t="s">
        <v>24</v>
      </c>
      <c r="R107" s="9" t="s">
        <v>61</v>
      </c>
      <c r="V107" s="1" t="s">
        <v>25</v>
      </c>
    </row>
    <row r="108" spans="2:22" ht="56.1">
      <c r="B108" s="6" t="str">
        <f>VLOOKUP(C108, [1]Definition!$D$5:$K$5665, 8, FALSE)</f>
        <v>Capital Goods</v>
      </c>
      <c r="C108" s="7">
        <v>903281</v>
      </c>
      <c r="D108" s="8" t="s">
        <v>601</v>
      </c>
      <c r="E108" s="8" t="s">
        <v>25</v>
      </c>
      <c r="F108" s="17" t="s">
        <v>19</v>
      </c>
      <c r="G108" s="8" t="s">
        <v>602</v>
      </c>
      <c r="H108" s="8" t="s">
        <v>603</v>
      </c>
      <c r="I108" s="9" t="s">
        <v>22</v>
      </c>
      <c r="J108" s="9" t="s">
        <v>604</v>
      </c>
      <c r="K108" s="17" t="str">
        <f>_xlfn.IFNA(VLOOKUP(C108, '[2]Unique HS'!$B$4:$J$999, 9, FALSE), "No")</f>
        <v>Yes</v>
      </c>
      <c r="L108" s="18">
        <f>VLOOKUP(C108, '[1]India EXIM'!$B$6:$C$580, 2, FALSE)</f>
        <v>2.1977981149E-2</v>
      </c>
      <c r="M108" s="11">
        <f>VLOOKUP(C108, '[1]China EXIM'!$B$6:$D$580, 3, FALSE)</f>
        <v>2.8815482427569998</v>
      </c>
      <c r="N108" s="6"/>
      <c r="O108" s="6"/>
      <c r="P108" s="6"/>
      <c r="Q108" s="10" t="s">
        <v>24</v>
      </c>
      <c r="R108" s="11" t="s">
        <v>22</v>
      </c>
      <c r="V108" s="1" t="s">
        <v>25</v>
      </c>
    </row>
    <row r="109" spans="2:22" ht="27.95" hidden="1">
      <c r="B109" s="6" t="str">
        <f>VLOOKUP(C109, [1]Definition!$D$5:$K$5665, 8, FALSE)</f>
        <v>Capital Goods</v>
      </c>
      <c r="C109" s="7">
        <v>842940</v>
      </c>
      <c r="D109" s="8" t="s">
        <v>910</v>
      </c>
      <c r="E109" s="8" t="s">
        <v>25</v>
      </c>
      <c r="F109" s="17" t="s">
        <v>19</v>
      </c>
      <c r="G109" s="8"/>
      <c r="H109" s="8"/>
      <c r="I109" s="9" t="s">
        <v>58</v>
      </c>
      <c r="J109" s="9" t="s">
        <v>31</v>
      </c>
      <c r="K109" s="17" t="str">
        <f>_xlfn.IFNA(VLOOKUP(C109, '[2]Unique HS'!$B$4:$J$999, 9, FALSE), "No")</f>
        <v>No</v>
      </c>
      <c r="L109" s="18">
        <f>VLOOKUP(C109, '[1]India EXIM'!$B$6:$C$580, 2, FALSE)</f>
        <v>5.6295851299999998E-3</v>
      </c>
      <c r="M109" s="11">
        <f>VLOOKUP(C109, '[1]China EXIM'!$B$6:$D$580, 3, FALSE)</f>
        <v>2.8680159760560002</v>
      </c>
      <c r="N109" s="9" t="s">
        <v>768</v>
      </c>
      <c r="O109" s="9"/>
      <c r="P109" s="6"/>
      <c r="Q109" s="10" t="s">
        <v>24</v>
      </c>
      <c r="R109" s="9" t="s">
        <v>58</v>
      </c>
      <c r="V109" s="1" t="s">
        <v>25</v>
      </c>
    </row>
    <row r="110" spans="2:22" ht="42" hidden="1">
      <c r="B110" s="6" t="str">
        <f>VLOOKUP(C110, [1]Definition!$D$5:$K$5665, 8, FALSE)</f>
        <v>Capital Goods</v>
      </c>
      <c r="C110" s="7">
        <v>846789</v>
      </c>
      <c r="D110" s="8" t="s">
        <v>289</v>
      </c>
      <c r="E110" s="8" t="s">
        <v>25</v>
      </c>
      <c r="F110" s="17" t="s">
        <v>19</v>
      </c>
      <c r="G110" s="8"/>
      <c r="H110" s="8"/>
      <c r="I110" s="9" t="s">
        <v>65</v>
      </c>
      <c r="J110" s="9" t="s">
        <v>31</v>
      </c>
      <c r="K110" s="17" t="str">
        <f>_xlfn.IFNA(VLOOKUP(C110, '[2]Unique HS'!$B$4:$J$999, 9, FALSE), "No")</f>
        <v>Yes</v>
      </c>
      <c r="L110" s="18">
        <f>VLOOKUP(C110, '[1]India EXIM'!$B$6:$C$580, 2, FALSE)</f>
        <v>7.4448057173999993E-2</v>
      </c>
      <c r="M110" s="11">
        <f>VLOOKUP(C110, '[1]China EXIM'!$B$6:$D$580, 3, FALSE)</f>
        <v>1.976565329384</v>
      </c>
      <c r="N110" s="6"/>
      <c r="O110" s="6"/>
      <c r="P110" s="6"/>
      <c r="Q110" s="10" t="s">
        <v>24</v>
      </c>
      <c r="R110" s="9" t="s">
        <v>65</v>
      </c>
      <c r="V110" s="1" t="s">
        <v>25</v>
      </c>
    </row>
    <row r="111" spans="2:22" ht="27.95">
      <c r="B111" s="6" t="str">
        <f>VLOOKUP(C111, [1]Definition!$D$5:$K$5665, 8, FALSE)</f>
        <v>Capital Goods</v>
      </c>
      <c r="C111" s="7">
        <v>902720</v>
      </c>
      <c r="D111" s="8" t="s">
        <v>75</v>
      </c>
      <c r="E111" s="8" t="s">
        <v>25</v>
      </c>
      <c r="F111" s="17" t="s">
        <v>19</v>
      </c>
      <c r="G111" s="8" t="s">
        <v>76</v>
      </c>
      <c r="H111" s="8" t="s">
        <v>77</v>
      </c>
      <c r="I111" s="9" t="s">
        <v>22</v>
      </c>
      <c r="J111" s="9" t="s">
        <v>78</v>
      </c>
      <c r="K111" s="17" t="str">
        <f>_xlfn.IFNA(VLOOKUP(C111, '[2]Unique HS'!$B$4:$J$999, 9, FALSE), "No")</f>
        <v>No</v>
      </c>
      <c r="L111" s="18">
        <f>VLOOKUP(C111, '[1]India EXIM'!$B$6:$C$580, 2, FALSE)</f>
        <v>0.32550927922200001</v>
      </c>
      <c r="M111" s="11">
        <f>VLOOKUP(C111, '[1]China EXIM'!$B$6:$D$580, 3, FALSE)</f>
        <v>2.8013359051649998</v>
      </c>
      <c r="N111" s="6"/>
      <c r="O111" s="6"/>
      <c r="P111" s="6"/>
      <c r="Q111" s="10" t="s">
        <v>24</v>
      </c>
      <c r="R111" s="9" t="s">
        <v>22</v>
      </c>
      <c r="V111" s="1" t="s">
        <v>25</v>
      </c>
    </row>
    <row r="112" spans="2:22" ht="27.95" hidden="1">
      <c r="B112" s="6" t="str">
        <f>VLOOKUP(C112, [1]Definition!$D$5:$K$5665, 8, FALSE)</f>
        <v>Capital Goods</v>
      </c>
      <c r="C112" s="7">
        <v>842619</v>
      </c>
      <c r="D112" s="8" t="s">
        <v>153</v>
      </c>
      <c r="E112" s="8" t="s">
        <v>25</v>
      </c>
      <c r="F112" s="17" t="s">
        <v>19</v>
      </c>
      <c r="G112" s="8"/>
      <c r="H112" s="8"/>
      <c r="I112" s="9" t="s">
        <v>58</v>
      </c>
      <c r="J112" s="9" t="s">
        <v>31</v>
      </c>
      <c r="K112" s="17" t="str">
        <f>_xlfn.IFNA(VLOOKUP(C112, '[2]Unique HS'!$B$4:$J$999, 9, FALSE), "No")</f>
        <v>No</v>
      </c>
      <c r="L112" s="18">
        <f>VLOOKUP(C112, '[1]India EXIM'!$B$6:$C$580, 2, FALSE)</f>
        <v>0.16603474897500001</v>
      </c>
      <c r="M112" s="11">
        <f>VLOOKUP(C112, '[1]China EXIM'!$B$6:$D$580, 3, FALSE)</f>
        <v>2.7843572676350004</v>
      </c>
      <c r="N112" s="9" t="s">
        <v>80</v>
      </c>
      <c r="O112" s="9"/>
      <c r="P112" s="6"/>
      <c r="Q112" s="10" t="s">
        <v>24</v>
      </c>
      <c r="R112" s="9" t="s">
        <v>58</v>
      </c>
      <c r="V112" s="1" t="s">
        <v>25</v>
      </c>
    </row>
    <row r="113" spans="2:23" ht="42" hidden="1">
      <c r="B113" s="6" t="str">
        <f>VLOOKUP(C113, [1]Definition!$D$5:$K$5665, 8, FALSE)</f>
        <v>Capital Goods</v>
      </c>
      <c r="C113" s="7">
        <v>854159</v>
      </c>
      <c r="D113" s="8" t="s">
        <v>300</v>
      </c>
      <c r="E113" s="8" t="s">
        <v>34</v>
      </c>
      <c r="F113" s="17" t="s">
        <v>119</v>
      </c>
      <c r="G113" s="8" t="s">
        <v>301</v>
      </c>
      <c r="H113" s="8" t="s">
        <v>302</v>
      </c>
      <c r="I113" s="9" t="s">
        <v>46</v>
      </c>
      <c r="J113" s="9" t="s">
        <v>303</v>
      </c>
      <c r="K113" s="17" t="str">
        <f>_xlfn.IFNA(VLOOKUP(C113, '[2]Unique HS'!$B$4:$J$999, 9, FALSE), "No")</f>
        <v>Yes</v>
      </c>
      <c r="L113" s="18">
        <f>VLOOKUP(C113, '[1]India EXIM'!$B$6:$C$580, 2, FALSE)</f>
        <v>3.9928650770999996E-2</v>
      </c>
      <c r="M113" s="11">
        <f>VLOOKUP(C113, '[1]China EXIM'!$B$6:$D$580, 3, FALSE)</f>
        <v>2.780863121266</v>
      </c>
      <c r="N113" s="6"/>
      <c r="O113" s="6"/>
      <c r="P113" s="6"/>
      <c r="Q113" s="10" t="s">
        <v>24</v>
      </c>
      <c r="R113" s="9" t="s">
        <v>46</v>
      </c>
      <c r="V113" s="1" t="s">
        <v>211</v>
      </c>
      <c r="W113" s="1" t="s">
        <v>243</v>
      </c>
    </row>
    <row r="114" spans="2:23" ht="27.95" hidden="1">
      <c r="B114" s="6" t="str">
        <f>VLOOKUP(C114, [1]Definition!$D$5:$K$5665, 8, FALSE)</f>
        <v>Capital Goods</v>
      </c>
      <c r="C114" s="7">
        <v>842920</v>
      </c>
      <c r="D114" s="8" t="s">
        <v>220</v>
      </c>
      <c r="E114" s="8" t="s">
        <v>25</v>
      </c>
      <c r="F114" s="17" t="s">
        <v>19</v>
      </c>
      <c r="G114" s="8"/>
      <c r="H114" s="8"/>
      <c r="I114" s="9" t="s">
        <v>58</v>
      </c>
      <c r="J114" s="9" t="s">
        <v>31</v>
      </c>
      <c r="K114" s="17" t="str">
        <f>_xlfn.IFNA(VLOOKUP(C114, '[2]Unique HS'!$B$4:$J$999, 9, FALSE), "No")</f>
        <v>No</v>
      </c>
      <c r="L114" s="18">
        <f>VLOOKUP(C114, '[1]India EXIM'!$B$6:$C$580, 2, FALSE)</f>
        <v>0.11500093911399999</v>
      </c>
      <c r="M114" s="11">
        <f>VLOOKUP(C114, '[1]China EXIM'!$B$6:$D$580, 3, FALSE)</f>
        <v>2.71051064672</v>
      </c>
      <c r="N114" s="9" t="s">
        <v>117</v>
      </c>
      <c r="O114" s="9"/>
      <c r="P114" s="6" t="s">
        <v>221</v>
      </c>
      <c r="Q114" s="10" t="s">
        <v>24</v>
      </c>
      <c r="R114" s="9" t="s">
        <v>58</v>
      </c>
      <c r="V114" s="1" t="s">
        <v>25</v>
      </c>
    </row>
    <row r="115" spans="2:23" ht="27.95" hidden="1">
      <c r="B115" s="6" t="str">
        <f>VLOOKUP(C115, [1]Definition!$D$5:$K$5665, 8, FALSE)</f>
        <v>Capital Goods</v>
      </c>
      <c r="C115" s="7">
        <v>844313</v>
      </c>
      <c r="D115" s="8" t="s">
        <v>179</v>
      </c>
      <c r="E115" s="8" t="s">
        <v>25</v>
      </c>
      <c r="F115" s="17" t="s">
        <v>19</v>
      </c>
      <c r="G115" s="8"/>
      <c r="H115" s="8"/>
      <c r="I115" s="9" t="s">
        <v>180</v>
      </c>
      <c r="J115" s="9" t="s">
        <v>181</v>
      </c>
      <c r="K115" s="17" t="str">
        <f>_xlfn.IFNA(VLOOKUP(C115, '[2]Unique HS'!$B$4:$J$999, 9, FALSE), "No")</f>
        <v>No</v>
      </c>
      <c r="L115" s="18">
        <f>VLOOKUP(C115, '[1]India EXIM'!$B$6:$C$580, 2, FALSE)</f>
        <v>0.14607191913800002</v>
      </c>
      <c r="M115" s="11">
        <f>VLOOKUP(C115, '[1]China EXIM'!$B$6:$D$580, 3, FALSE)</f>
        <v>2.5568903880709999</v>
      </c>
      <c r="N115" s="6"/>
      <c r="O115" s="6"/>
      <c r="P115" s="6"/>
      <c r="Q115" s="10" t="s">
        <v>24</v>
      </c>
      <c r="R115" s="11" t="s">
        <v>182</v>
      </c>
      <c r="V115" s="1" t="s">
        <v>25</v>
      </c>
    </row>
    <row r="116" spans="2:23" ht="27.95" hidden="1">
      <c r="B116" s="6" t="str">
        <f>VLOOKUP(C116, [1]Definition!$D$5:$K$5665, 8, FALSE)</f>
        <v>Capital Goods</v>
      </c>
      <c r="C116" s="7">
        <v>903289</v>
      </c>
      <c r="D116" s="8" t="s">
        <v>40</v>
      </c>
      <c r="E116" s="8" t="s">
        <v>25</v>
      </c>
      <c r="F116" s="17" t="s">
        <v>27</v>
      </c>
      <c r="G116" s="8" t="s">
        <v>41</v>
      </c>
      <c r="H116" s="8"/>
      <c r="I116" s="9" t="s">
        <v>30</v>
      </c>
      <c r="J116" s="9" t="s">
        <v>42</v>
      </c>
      <c r="K116" s="17" t="str">
        <f>_xlfn.IFNA(VLOOKUP(C116, '[2]Unique HS'!$B$4:$J$999, 9, FALSE), "No")</f>
        <v>Yes</v>
      </c>
      <c r="L116" s="22">
        <f>VLOOKUP(C116, '[1]India EXIM'!$B$6:$C$580, 2, FALSE)</f>
        <v>0.74567344929400003</v>
      </c>
      <c r="M116" s="11">
        <f>VLOOKUP(C116, '[1]China EXIM'!$B$6:$D$580, 3, FALSE)</f>
        <v>22.277140284986</v>
      </c>
      <c r="N116" s="6"/>
      <c r="O116" s="6"/>
      <c r="P116" s="6"/>
      <c r="Q116" s="10" t="s">
        <v>24</v>
      </c>
      <c r="R116" s="9" t="s">
        <v>30</v>
      </c>
      <c r="T116" s="1" t="s">
        <v>25</v>
      </c>
      <c r="V116" s="1" t="s">
        <v>25</v>
      </c>
    </row>
    <row r="117" spans="2:23" ht="27.95" hidden="1">
      <c r="B117" s="6" t="str">
        <f>VLOOKUP(C117, [1]Definition!$D$5:$K$5665, 8, FALSE)</f>
        <v>Capital Goods</v>
      </c>
      <c r="C117" s="7">
        <v>847981</v>
      </c>
      <c r="D117" s="8" t="s">
        <v>191</v>
      </c>
      <c r="E117" s="8" t="s">
        <v>25</v>
      </c>
      <c r="F117" s="17" t="s">
        <v>19</v>
      </c>
      <c r="G117" s="8"/>
      <c r="H117" s="8"/>
      <c r="I117" s="9" t="s">
        <v>82</v>
      </c>
      <c r="J117" s="9" t="s">
        <v>192</v>
      </c>
      <c r="K117" s="17" t="str">
        <f>_xlfn.IFNA(VLOOKUP(C117, '[2]Unique HS'!$B$4:$J$999, 9, FALSE), "No")</f>
        <v>Yes</v>
      </c>
      <c r="L117" s="18">
        <f>VLOOKUP(C117, '[1]India EXIM'!$B$6:$C$580, 2, FALSE)</f>
        <v>0.13382264638400002</v>
      </c>
      <c r="M117" s="11">
        <f>VLOOKUP(C117, '[1]China EXIM'!$B$6:$D$580, 3, FALSE)</f>
        <v>2.5462369550100004</v>
      </c>
      <c r="N117" s="6"/>
      <c r="O117" s="6"/>
      <c r="P117" s="6"/>
      <c r="Q117" s="10" t="s">
        <v>24</v>
      </c>
      <c r="R117" s="9" t="s">
        <v>82</v>
      </c>
      <c r="V117" s="1" t="s">
        <v>25</v>
      </c>
    </row>
    <row r="118" spans="2:23" ht="42" hidden="1">
      <c r="B118" s="6" t="str">
        <f>VLOOKUP(C118, [1]Definition!$D$5:$K$5665, 8, FALSE)</f>
        <v>Capital Goods</v>
      </c>
      <c r="C118" s="7">
        <v>820719</v>
      </c>
      <c r="D118" s="8" t="s">
        <v>370</v>
      </c>
      <c r="E118" s="8" t="s">
        <v>25</v>
      </c>
      <c r="F118" s="17" t="s">
        <v>19</v>
      </c>
      <c r="G118" s="8"/>
      <c r="H118" s="8"/>
      <c r="I118" s="9" t="s">
        <v>58</v>
      </c>
      <c r="J118" s="9" t="s">
        <v>371</v>
      </c>
      <c r="K118" s="17" t="str">
        <f>_xlfn.IFNA(VLOOKUP(C118, '[2]Unique HS'!$B$4:$J$999, 9, FALSE), "No")</f>
        <v>Yes</v>
      </c>
      <c r="L118" s="18">
        <f>VLOOKUP(C118, '[1]India EXIM'!$B$6:$C$580, 2, FALSE)</f>
        <v>5.2342381148999993E-2</v>
      </c>
      <c r="M118" s="11">
        <f>VLOOKUP(C118, '[1]China EXIM'!$B$6:$D$580, 3, FALSE)</f>
        <v>2.5324541482080001</v>
      </c>
      <c r="N118" s="6" t="s">
        <v>201</v>
      </c>
      <c r="O118" s="6"/>
      <c r="P118" s="6" t="s">
        <v>201</v>
      </c>
      <c r="Q118" s="10" t="s">
        <v>24</v>
      </c>
      <c r="R118" s="9" t="s">
        <v>58</v>
      </c>
      <c r="V118" s="1" t="s">
        <v>25</v>
      </c>
    </row>
    <row r="119" spans="2:23" ht="42">
      <c r="B119" s="6" t="str">
        <f>VLOOKUP(C119, [1]Definition!$D$5:$K$5665, 8, FALSE)</f>
        <v>Capital Goods</v>
      </c>
      <c r="C119" s="7">
        <v>843359</v>
      </c>
      <c r="D119" s="25" t="s">
        <v>313</v>
      </c>
      <c r="E119" s="8" t="s">
        <v>25</v>
      </c>
      <c r="F119" s="17" t="s">
        <v>119</v>
      </c>
      <c r="G119" s="8" t="s">
        <v>314</v>
      </c>
      <c r="H119" s="8" t="s">
        <v>315</v>
      </c>
      <c r="I119" s="9" t="s">
        <v>22</v>
      </c>
      <c r="J119" s="9" t="s">
        <v>316</v>
      </c>
      <c r="K119" s="17" t="str">
        <f>_xlfn.IFNA(VLOOKUP(C119, '[2]Unique HS'!$B$4:$J$999, 9, FALSE), "No")</f>
        <v>No</v>
      </c>
      <c r="L119" s="18">
        <f>VLOOKUP(C119, '[1]India EXIM'!$B$6:$C$580, 2, FALSE)</f>
        <v>1.4959245115E-2</v>
      </c>
      <c r="M119" s="11">
        <f>VLOOKUP(C119, '[1]China EXIM'!$B$6:$D$580, 3, FALSE)</f>
        <v>2.5315486961640001</v>
      </c>
      <c r="N119" s="6" t="s">
        <v>160</v>
      </c>
      <c r="O119" s="6"/>
      <c r="P119" s="6"/>
      <c r="Q119" s="10" t="s">
        <v>24</v>
      </c>
      <c r="R119" s="11" t="s">
        <v>161</v>
      </c>
      <c r="V119" s="1" t="s">
        <v>25</v>
      </c>
    </row>
    <row r="120" spans="2:23" ht="27.95">
      <c r="B120" s="6" t="str">
        <f>VLOOKUP(C120, [1]Definition!$D$5:$K$5665, 8, FALSE)</f>
        <v>Capital Goods</v>
      </c>
      <c r="C120" s="7">
        <v>841919</v>
      </c>
      <c r="D120" s="8" t="s">
        <v>771</v>
      </c>
      <c r="E120" s="8" t="s">
        <v>25</v>
      </c>
      <c r="F120" s="17" t="s">
        <v>163</v>
      </c>
      <c r="G120" s="8"/>
      <c r="H120" s="8" t="s">
        <v>772</v>
      </c>
      <c r="I120" s="9" t="s">
        <v>22</v>
      </c>
      <c r="J120" s="9" t="s">
        <v>74</v>
      </c>
      <c r="K120" s="17" t="str">
        <f>_xlfn.IFNA(VLOOKUP(C120, '[2]Unique HS'!$B$4:$J$999, 9, FALSE), "No")</f>
        <v>No</v>
      </c>
      <c r="L120" s="18">
        <f>VLOOKUP(C120, '[1]India EXIM'!$B$6:$C$580, 2, FALSE)</f>
        <v>1.1676974742000001E-2</v>
      </c>
      <c r="M120" s="11">
        <f>VLOOKUP(C120, '[1]China EXIM'!$B$6:$D$580, 3, FALSE)</f>
        <v>2.4065180322010002</v>
      </c>
      <c r="N120" s="6"/>
      <c r="O120" s="6"/>
      <c r="P120" s="6"/>
      <c r="Q120" s="10" t="s">
        <v>24</v>
      </c>
      <c r="R120" s="9" t="s">
        <v>22</v>
      </c>
      <c r="V120" s="1" t="s">
        <v>25</v>
      </c>
    </row>
    <row r="121" spans="2:23" ht="42" hidden="1">
      <c r="B121" s="6" t="str">
        <f>VLOOKUP(C121, [1]Definition!$D$5:$K$5665, 8, FALSE)</f>
        <v>Capital Goods</v>
      </c>
      <c r="C121" s="7">
        <v>844391</v>
      </c>
      <c r="D121" s="8" t="s">
        <v>492</v>
      </c>
      <c r="E121" s="8" t="s">
        <v>25</v>
      </c>
      <c r="F121" s="17" t="s">
        <v>19</v>
      </c>
      <c r="G121" s="8"/>
      <c r="H121" s="8"/>
      <c r="I121" s="9" t="s">
        <v>180</v>
      </c>
      <c r="J121" s="9" t="s">
        <v>181</v>
      </c>
      <c r="K121" s="17" t="str">
        <f>_xlfn.IFNA(VLOOKUP(C121, '[2]Unique HS'!$B$4:$J$999, 9, FALSE), "No")</f>
        <v>Yes</v>
      </c>
      <c r="L121" s="18">
        <f>VLOOKUP(C121, '[1]India EXIM'!$B$6:$C$580, 2, FALSE)</f>
        <v>3.2776755376999998E-2</v>
      </c>
      <c r="M121" s="11">
        <f>VLOOKUP(C121, '[1]China EXIM'!$B$6:$D$580, 3, FALSE)</f>
        <v>2.3987183655850002</v>
      </c>
      <c r="N121" s="6"/>
      <c r="O121" s="6"/>
      <c r="P121" s="6"/>
      <c r="Q121" s="10" t="s">
        <v>24</v>
      </c>
      <c r="R121" s="11" t="s">
        <v>182</v>
      </c>
      <c r="V121" s="1" t="s">
        <v>25</v>
      </c>
    </row>
    <row r="122" spans="2:23" ht="27.95">
      <c r="B122" s="6" t="str">
        <f>VLOOKUP(C122, [1]Definition!$D$5:$K$5665, 8, FALSE)</f>
        <v>Capital Goods</v>
      </c>
      <c r="C122" s="7">
        <v>842482</v>
      </c>
      <c r="D122" s="8" t="s">
        <v>321</v>
      </c>
      <c r="E122" s="8" t="s">
        <v>25</v>
      </c>
      <c r="F122" s="17" t="s">
        <v>119</v>
      </c>
      <c r="G122" s="8"/>
      <c r="H122" s="8" t="s">
        <v>322</v>
      </c>
      <c r="I122" s="9" t="s">
        <v>22</v>
      </c>
      <c r="J122" s="9" t="s">
        <v>38</v>
      </c>
      <c r="K122" s="17" t="str">
        <f>_xlfn.IFNA(VLOOKUP(C122, '[2]Unique HS'!$B$4:$J$999, 9, FALSE), "No")</f>
        <v>No</v>
      </c>
      <c r="L122" s="18">
        <f>VLOOKUP(C122, '[1]India EXIM'!$B$6:$C$580, 2, FALSE)</f>
        <v>6.6500519990999998E-2</v>
      </c>
      <c r="M122" s="11">
        <f>VLOOKUP(C122, '[1]China EXIM'!$B$6:$D$580, 3, FALSE)</f>
        <v>2.3846100537670001</v>
      </c>
      <c r="N122" s="6" t="s">
        <v>160</v>
      </c>
      <c r="O122" s="6"/>
      <c r="P122" s="6"/>
      <c r="Q122" s="10" t="s">
        <v>24</v>
      </c>
      <c r="R122" s="11" t="s">
        <v>161</v>
      </c>
    </row>
    <row r="123" spans="2:23" ht="56.1">
      <c r="B123" s="6" t="str">
        <f>VLOOKUP(C123, [1]Definition!$D$5:$K$5665, 8, FALSE)</f>
        <v>Capital Goods</v>
      </c>
      <c r="C123" s="7">
        <v>841939</v>
      </c>
      <c r="D123" s="8" t="s">
        <v>268</v>
      </c>
      <c r="E123" s="8" t="s">
        <v>25</v>
      </c>
      <c r="F123" s="17" t="s">
        <v>19</v>
      </c>
      <c r="G123" s="8" t="s">
        <v>269</v>
      </c>
      <c r="H123" s="8"/>
      <c r="I123" s="9" t="s">
        <v>22</v>
      </c>
      <c r="J123" s="9" t="s">
        <v>74</v>
      </c>
      <c r="K123" s="17" t="str">
        <f>_xlfn.IFNA(VLOOKUP(C123, '[2]Unique HS'!$B$4:$J$999, 9, FALSE), "No")</f>
        <v>Yes</v>
      </c>
      <c r="L123" s="18">
        <f>VLOOKUP(C123, '[1]India EXIM'!$B$6:$C$580, 2, FALSE)</f>
        <v>8.4980092319999992E-2</v>
      </c>
      <c r="M123" s="11">
        <f>VLOOKUP(C123, '[1]China EXIM'!$B$6:$D$580, 3, FALSE)</f>
        <v>2.3617031232039998</v>
      </c>
      <c r="N123" s="6"/>
      <c r="O123" s="6"/>
      <c r="P123" s="6"/>
      <c r="Q123" s="10" t="s">
        <v>24</v>
      </c>
      <c r="R123" s="9" t="s">
        <v>22</v>
      </c>
      <c r="V123" s="1" t="s">
        <v>25</v>
      </c>
    </row>
    <row r="124" spans="2:23" ht="27.95">
      <c r="B124" s="6" t="str">
        <f>VLOOKUP(C124, [1]Definition!$D$5:$K$5665, 8, FALSE)</f>
        <v>Capital Goods</v>
      </c>
      <c r="C124" s="7">
        <v>842119</v>
      </c>
      <c r="D124" s="8" t="s">
        <v>288</v>
      </c>
      <c r="E124" s="8" t="s">
        <v>25</v>
      </c>
      <c r="F124" s="17" t="s">
        <v>19</v>
      </c>
      <c r="G124" s="8"/>
      <c r="H124" s="8"/>
      <c r="I124" s="9" t="s">
        <v>22</v>
      </c>
      <c r="J124" s="9" t="s">
        <v>74</v>
      </c>
      <c r="K124" s="17" t="str">
        <f>_xlfn.IFNA(VLOOKUP(C124, '[2]Unique HS'!$B$4:$J$999, 9, FALSE), "No")</f>
        <v>Yes</v>
      </c>
      <c r="L124" s="18">
        <f>VLOOKUP(C124, '[1]India EXIM'!$B$6:$C$580, 2, FALSE)</f>
        <v>7.5957884993999997E-2</v>
      </c>
      <c r="M124" s="11">
        <f>VLOOKUP(C124, '[1]China EXIM'!$B$6:$D$580, 3, FALSE)</f>
        <v>2.3502383344770004</v>
      </c>
      <c r="N124" s="6"/>
      <c r="O124" s="6"/>
      <c r="P124" s="6"/>
      <c r="Q124" s="10" t="s">
        <v>24</v>
      </c>
      <c r="R124" s="11" t="s">
        <v>22</v>
      </c>
      <c r="V124" s="1" t="s">
        <v>25</v>
      </c>
    </row>
    <row r="125" spans="2:23" ht="42" hidden="1">
      <c r="B125" s="6" t="str">
        <f>VLOOKUP(C125, [1]Definition!$D$5:$K$5665, 8, FALSE)</f>
        <v>Capital Goods</v>
      </c>
      <c r="C125" s="7">
        <v>848630</v>
      </c>
      <c r="D125" s="8" t="s">
        <v>890</v>
      </c>
      <c r="E125" s="8" t="s">
        <v>25</v>
      </c>
      <c r="F125" s="17" t="s">
        <v>19</v>
      </c>
      <c r="G125" s="8"/>
      <c r="H125" s="8"/>
      <c r="I125" s="9" t="s">
        <v>46</v>
      </c>
      <c r="J125" s="9" t="s">
        <v>31</v>
      </c>
      <c r="K125" s="17" t="str">
        <f>_xlfn.IFNA(VLOOKUP(C125, '[2]Unique HS'!$B$4:$J$999, 9, FALSE), "No")</f>
        <v>No</v>
      </c>
      <c r="L125" s="18">
        <f>VLOOKUP(C125, '[1]India EXIM'!$B$6:$C$580, 2, FALSE)</f>
        <v>6.9807884809999993E-3</v>
      </c>
      <c r="M125" s="11">
        <f>VLOOKUP(C125, '[1]China EXIM'!$B$6:$D$580, 3, FALSE)</f>
        <v>2.3410384889019999</v>
      </c>
      <c r="N125" s="6"/>
      <c r="O125" s="6"/>
      <c r="P125" s="6"/>
      <c r="Q125" s="10" t="s">
        <v>24</v>
      </c>
      <c r="R125" s="9" t="s">
        <v>46</v>
      </c>
      <c r="V125" s="1" t="s">
        <v>25</v>
      </c>
    </row>
    <row r="126" spans="2:23" ht="56.1" hidden="1">
      <c r="B126" s="6" t="str">
        <f>VLOOKUP(C126, [1]Definition!$D$5:$K$5665, 8, FALSE)</f>
        <v>Capital Goods</v>
      </c>
      <c r="C126" s="7">
        <v>851419</v>
      </c>
      <c r="D126" s="8" t="s">
        <v>331</v>
      </c>
      <c r="E126" s="8" t="s">
        <v>25</v>
      </c>
      <c r="F126" s="17" t="s">
        <v>19</v>
      </c>
      <c r="G126" s="8" t="s">
        <v>332</v>
      </c>
      <c r="H126" s="8" t="s">
        <v>333</v>
      </c>
      <c r="I126" s="9" t="s">
        <v>46</v>
      </c>
      <c r="J126" s="9" t="s">
        <v>334</v>
      </c>
      <c r="K126" s="17" t="str">
        <f>_xlfn.IFNA(VLOOKUP(C126, '[2]Unique HS'!$B$4:$J$999, 9, FALSE), "No")</f>
        <v>Yes</v>
      </c>
      <c r="L126" s="18">
        <f>VLOOKUP(C126, '[1]India EXIM'!$B$6:$C$580, 2, FALSE)</f>
        <v>6.5749910935999994E-2</v>
      </c>
      <c r="M126" s="11">
        <f>VLOOKUP(C126, '[1]China EXIM'!$B$6:$D$580, 3, FALSE)</f>
        <v>2.3050331592350002</v>
      </c>
      <c r="N126" s="6"/>
      <c r="O126" s="6"/>
      <c r="P126" s="6"/>
      <c r="Q126" s="10" t="s">
        <v>24</v>
      </c>
      <c r="R126" s="9" t="s">
        <v>46</v>
      </c>
      <c r="V126" s="1" t="s">
        <v>25</v>
      </c>
    </row>
    <row r="127" spans="2:23" ht="27.95" hidden="1">
      <c r="B127" s="6" t="str">
        <f>VLOOKUP(C127, [1]Definition!$D$5:$K$5665, 8, FALSE)</f>
        <v>Capital Goods</v>
      </c>
      <c r="C127" s="7">
        <v>850133</v>
      </c>
      <c r="D127" s="8" t="s">
        <v>712</v>
      </c>
      <c r="E127" s="8" t="s">
        <v>34</v>
      </c>
      <c r="F127" s="17" t="s">
        <v>27</v>
      </c>
      <c r="G127" s="8" t="s">
        <v>713</v>
      </c>
      <c r="H127" s="8" t="s">
        <v>714</v>
      </c>
      <c r="I127" s="9" t="s">
        <v>30</v>
      </c>
      <c r="J127" s="9" t="s">
        <v>31</v>
      </c>
      <c r="K127" s="17" t="str">
        <f>_xlfn.IFNA(VLOOKUP(C127, '[2]Unique HS'!$B$4:$J$999, 9, FALSE), "No")</f>
        <v>No</v>
      </c>
      <c r="L127" s="22">
        <f>VLOOKUP(C127, '[1]India EXIM'!$B$6:$C$580, 2, FALSE)</f>
        <v>1.4969715938999999E-2</v>
      </c>
      <c r="M127" s="11">
        <f>VLOOKUP(C127, '[1]China EXIM'!$B$6:$D$580, 3, FALSE)</f>
        <v>0.53685649164100002</v>
      </c>
      <c r="N127" s="9" t="s">
        <v>129</v>
      </c>
      <c r="O127" s="9"/>
      <c r="P127" s="6"/>
      <c r="Q127" s="10" t="s">
        <v>24</v>
      </c>
      <c r="R127" s="9" t="s">
        <v>30</v>
      </c>
      <c r="T127" s="1" t="s">
        <v>330</v>
      </c>
      <c r="V127" s="1" t="s">
        <v>34</v>
      </c>
    </row>
    <row r="128" spans="2:23" ht="27.95">
      <c r="B128" s="6" t="str">
        <f>VLOOKUP(C128, [1]Definition!$D$5:$K$5665, 8, FALSE)</f>
        <v>Capital Goods</v>
      </c>
      <c r="C128" s="7">
        <v>842420</v>
      </c>
      <c r="D128" s="8" t="s">
        <v>521</v>
      </c>
      <c r="E128" s="8" t="s">
        <v>25</v>
      </c>
      <c r="F128" s="17" t="s">
        <v>19</v>
      </c>
      <c r="G128" s="8" t="s">
        <v>522</v>
      </c>
      <c r="H128" s="8" t="s">
        <v>523</v>
      </c>
      <c r="I128" s="9" t="s">
        <v>22</v>
      </c>
      <c r="J128" s="9" t="s">
        <v>524</v>
      </c>
      <c r="K128" s="17" t="str">
        <f>_xlfn.IFNA(VLOOKUP(C128, '[2]Unique HS'!$B$4:$J$999, 9, FALSE), "No")</f>
        <v>Yes</v>
      </c>
      <c r="L128" s="18">
        <f>VLOOKUP(C128, '[1]India EXIM'!$B$6:$C$580, 2, FALSE)</f>
        <v>2.9101289975999999E-2</v>
      </c>
      <c r="M128" s="11">
        <f>VLOOKUP(C128, '[1]China EXIM'!$B$6:$D$580, 3, FALSE)</f>
        <v>2.229606272501</v>
      </c>
      <c r="N128" s="6"/>
      <c r="O128" s="6"/>
      <c r="P128" s="6"/>
      <c r="Q128" s="10" t="s">
        <v>24</v>
      </c>
      <c r="R128" s="9" t="s">
        <v>22</v>
      </c>
      <c r="V128" s="1" t="s">
        <v>25</v>
      </c>
    </row>
    <row r="129" spans="2:27" ht="27.95" hidden="1">
      <c r="B129" s="6" t="str">
        <f>VLOOKUP(C129, [1]Definition!$D$5:$K$5665, 8, FALSE)</f>
        <v>Capital Goods</v>
      </c>
      <c r="C129" s="7">
        <v>846390</v>
      </c>
      <c r="D129" s="8" t="s">
        <v>309</v>
      </c>
      <c r="E129" s="8" t="s">
        <v>25</v>
      </c>
      <c r="F129" s="17" t="s">
        <v>19</v>
      </c>
      <c r="G129" s="8"/>
      <c r="H129" s="8"/>
      <c r="I129" s="9" t="s">
        <v>65</v>
      </c>
      <c r="J129" s="9" t="s">
        <v>31</v>
      </c>
      <c r="K129" s="17" t="str">
        <f>_xlfn.IFNA(VLOOKUP(C129, '[2]Unique HS'!$B$4:$J$999, 9, FALSE), "No")</f>
        <v>Yes</v>
      </c>
      <c r="L129" s="18">
        <f>VLOOKUP(C129, '[1]India EXIM'!$B$6:$C$580, 2, FALSE)</f>
        <v>7.1299757163000008E-2</v>
      </c>
      <c r="M129" s="11">
        <f>VLOOKUP(C129, '[1]China EXIM'!$B$6:$D$580, 3, FALSE)</f>
        <v>0.80996079291799994</v>
      </c>
      <c r="N129" s="6"/>
      <c r="O129" s="6"/>
      <c r="P129" s="6"/>
      <c r="Q129" s="10" t="s">
        <v>24</v>
      </c>
      <c r="R129" s="9" t="s">
        <v>65</v>
      </c>
      <c r="V129" s="1" t="s">
        <v>25</v>
      </c>
    </row>
    <row r="130" spans="2:27" ht="56.1" hidden="1">
      <c r="B130" s="6" t="str">
        <f>VLOOKUP(C130, [1]Definition!$D$5:$K$5665, 8, FALSE)</f>
        <v>Capital Goods</v>
      </c>
      <c r="C130" s="7">
        <v>903089</v>
      </c>
      <c r="D130" s="8" t="s">
        <v>235</v>
      </c>
      <c r="E130" s="8" t="s">
        <v>25</v>
      </c>
      <c r="F130" s="17" t="s">
        <v>19</v>
      </c>
      <c r="G130" s="8" t="s">
        <v>236</v>
      </c>
      <c r="H130" s="8" t="s">
        <v>237</v>
      </c>
      <c r="I130" s="9" t="s">
        <v>166</v>
      </c>
      <c r="J130" s="9" t="s">
        <v>201</v>
      </c>
      <c r="K130" s="17" t="str">
        <f>_xlfn.IFNA(VLOOKUP(C130, '[2]Unique HS'!$B$4:$J$999, 9, FALSE), "No")</f>
        <v>Yes</v>
      </c>
      <c r="L130" s="18">
        <f>VLOOKUP(C130, '[1]India EXIM'!$B$6:$C$580, 2, FALSE)</f>
        <v>0.10065618447300001</v>
      </c>
      <c r="M130" s="11">
        <f>VLOOKUP(C130, '[1]China EXIM'!$B$6:$D$580, 3, FALSE)</f>
        <v>2.1763169064310004</v>
      </c>
      <c r="N130" s="6"/>
      <c r="O130" s="6"/>
      <c r="P130" s="6"/>
      <c r="Q130" s="10" t="s">
        <v>24</v>
      </c>
      <c r="R130" s="11" t="s">
        <v>39</v>
      </c>
      <c r="V130" s="1" t="s">
        <v>25</v>
      </c>
    </row>
    <row r="131" spans="2:27" ht="42">
      <c r="B131" s="6" t="str">
        <f>VLOOKUP(C131, [1]Definition!$D$5:$K$5665, 8, FALSE)</f>
        <v>Capital Goods</v>
      </c>
      <c r="C131" s="7">
        <v>844130</v>
      </c>
      <c r="D131" s="8" t="s">
        <v>297</v>
      </c>
      <c r="E131" s="8" t="s">
        <v>25</v>
      </c>
      <c r="F131" s="17" t="s">
        <v>19</v>
      </c>
      <c r="G131" s="8"/>
      <c r="H131" s="8" t="s">
        <v>298</v>
      </c>
      <c r="I131" s="9" t="s">
        <v>22</v>
      </c>
      <c r="J131" s="9" t="s">
        <v>299</v>
      </c>
      <c r="K131" s="17" t="str">
        <f>_xlfn.IFNA(VLOOKUP(C131, '[2]Unique HS'!$B$4:$J$999, 9, FALSE), "No")</f>
        <v>No</v>
      </c>
      <c r="L131" s="18">
        <f>VLOOKUP(C131, '[1]India EXIM'!$B$6:$C$580, 2, FALSE)</f>
        <v>7.287105101199999E-2</v>
      </c>
      <c r="M131" s="11">
        <f>VLOOKUP(C131, '[1]China EXIM'!$B$6:$D$580, 3, FALSE)</f>
        <v>2.1718094316199998</v>
      </c>
      <c r="N131" s="6" t="s">
        <v>253</v>
      </c>
      <c r="O131" s="6"/>
      <c r="P131" s="6"/>
      <c r="Q131" s="10" t="s">
        <v>24</v>
      </c>
      <c r="R131" s="11" t="s">
        <v>182</v>
      </c>
      <c r="V131" s="1" t="s">
        <v>25</v>
      </c>
    </row>
    <row r="132" spans="2:27" ht="27.95" hidden="1">
      <c r="B132" s="6" t="str">
        <f>VLOOKUP(C132, [1]Definition!$D$5:$K$5665, 8, FALSE)</f>
        <v>Capital Goods</v>
      </c>
      <c r="C132" s="7">
        <v>846262</v>
      </c>
      <c r="D132" s="8" t="s">
        <v>320</v>
      </c>
      <c r="E132" s="8" t="s">
        <v>25</v>
      </c>
      <c r="F132" s="17" t="s">
        <v>19</v>
      </c>
      <c r="G132" s="8"/>
      <c r="H132" s="8"/>
      <c r="I132" s="9" t="s">
        <v>65</v>
      </c>
      <c r="J132" s="9" t="s">
        <v>31</v>
      </c>
      <c r="K132" s="17" t="str">
        <f>_xlfn.IFNA(VLOOKUP(C132, '[2]Unique HS'!$B$4:$J$999, 9, FALSE), "No")</f>
        <v>No</v>
      </c>
      <c r="L132" s="18">
        <f>VLOOKUP(C132, '[1]India EXIM'!$B$6:$C$580, 2, FALSE)</f>
        <v>7.0584520856000005E-2</v>
      </c>
      <c r="M132" s="11">
        <f>VLOOKUP(C132, '[1]China EXIM'!$B$6:$D$580, 3, FALSE)</f>
        <v>1.2734923848549999</v>
      </c>
      <c r="N132" s="6"/>
      <c r="O132" s="6"/>
      <c r="P132" s="6"/>
      <c r="Q132" s="10" t="s">
        <v>24</v>
      </c>
      <c r="R132" s="9" t="s">
        <v>65</v>
      </c>
      <c r="V132" s="1" t="s">
        <v>25</v>
      </c>
    </row>
    <row r="133" spans="2:27" ht="84" hidden="1">
      <c r="B133" s="6" t="str">
        <f>VLOOKUP(C133, [1]Definition!$D$5:$K$5665, 8, FALSE)</f>
        <v>Capital Goods</v>
      </c>
      <c r="C133" s="7">
        <v>901480</v>
      </c>
      <c r="D133" s="8" t="s">
        <v>340</v>
      </c>
      <c r="E133" s="8" t="s">
        <v>34</v>
      </c>
      <c r="F133" s="17" t="s">
        <v>119</v>
      </c>
      <c r="G133" s="8" t="s">
        <v>341</v>
      </c>
      <c r="H133" s="8" t="s">
        <v>342</v>
      </c>
      <c r="I133" s="9" t="s">
        <v>166</v>
      </c>
      <c r="J133" s="9" t="s">
        <v>167</v>
      </c>
      <c r="K133" s="17" t="str">
        <f>_xlfn.IFNA(VLOOKUP(C133, '[2]Unique HS'!$B$4:$J$999, 9, FALSE), "No")</f>
        <v>Yes</v>
      </c>
      <c r="L133" s="18">
        <f>VLOOKUP(C133, '[1]India EXIM'!$B$6:$C$580, 2, FALSE)</f>
        <v>2.9226501497000002E-2</v>
      </c>
      <c r="M133" s="11">
        <f>VLOOKUP(C133, '[1]China EXIM'!$B$6:$D$580, 3, FALSE)</f>
        <v>2.1337567572720002</v>
      </c>
      <c r="N133" s="6"/>
      <c r="O133" s="6"/>
      <c r="P133" s="6"/>
      <c r="Q133" s="10" t="s">
        <v>24</v>
      </c>
      <c r="R133" s="11" t="s">
        <v>168</v>
      </c>
      <c r="V133" s="1" t="s">
        <v>34</v>
      </c>
      <c r="W133" s="1" t="s">
        <v>343</v>
      </c>
    </row>
    <row r="134" spans="2:27" ht="56.1">
      <c r="B134" s="6" t="str">
        <f>VLOOKUP(C134, [1]Definition!$D$5:$K$5665, 8, FALSE)</f>
        <v>Capital Goods</v>
      </c>
      <c r="C134" s="7">
        <v>841231</v>
      </c>
      <c r="D134" s="8" t="s">
        <v>449</v>
      </c>
      <c r="E134" s="8" t="s">
        <v>34</v>
      </c>
      <c r="F134" s="17" t="s">
        <v>27</v>
      </c>
      <c r="G134" s="8" t="s">
        <v>450</v>
      </c>
      <c r="H134" s="8" t="s">
        <v>451</v>
      </c>
      <c r="I134" s="9" t="s">
        <v>22</v>
      </c>
      <c r="J134" s="9" t="s">
        <v>444</v>
      </c>
      <c r="K134" s="17" t="str">
        <f>_xlfn.IFNA(VLOOKUP(C134, '[2]Unique HS'!$B$4:$J$999, 9, FALSE), "No")</f>
        <v>Yes</v>
      </c>
      <c r="L134" s="18">
        <f>VLOOKUP(C134, '[1]India EXIM'!$B$6:$C$580, 2, FALSE)</f>
        <v>3.8379564751000003E-2</v>
      </c>
      <c r="M134" s="11">
        <f>VLOOKUP(C134, '[1]China EXIM'!$B$6:$D$580, 3, FALSE)</f>
        <v>2.1283018358740002</v>
      </c>
      <c r="N134" s="6"/>
      <c r="O134" s="6"/>
      <c r="P134" s="6"/>
      <c r="Q134" s="10" t="s">
        <v>24</v>
      </c>
      <c r="R134" s="9" t="s">
        <v>22</v>
      </c>
      <c r="V134" s="1" t="s">
        <v>34</v>
      </c>
      <c r="W134" s="1" t="s">
        <v>346</v>
      </c>
    </row>
    <row r="135" spans="2:27" ht="27.95" hidden="1">
      <c r="B135" s="6" t="str">
        <f>VLOOKUP(C135, [1]Definition!$D$5:$K$5665, 8, FALSE)</f>
        <v>Capital Goods</v>
      </c>
      <c r="C135" s="7">
        <v>870130</v>
      </c>
      <c r="D135" s="8" t="s">
        <v>998</v>
      </c>
      <c r="E135" s="8" t="s">
        <v>25</v>
      </c>
      <c r="F135" s="17" t="s">
        <v>19</v>
      </c>
      <c r="G135" s="8"/>
      <c r="H135" s="8"/>
      <c r="I135" s="9" t="s">
        <v>58</v>
      </c>
      <c r="J135" s="9" t="s">
        <v>31</v>
      </c>
      <c r="K135" s="17" t="str">
        <f>_xlfn.IFNA(VLOOKUP(C135, '[2]Unique HS'!$B$4:$J$999, 9, FALSE), "No")</f>
        <v>No</v>
      </c>
      <c r="L135" s="18">
        <f>VLOOKUP(C135, '[1]India EXIM'!$B$6:$C$580, 2, FALSE)</f>
        <v>2.3485660420000001E-3</v>
      </c>
      <c r="M135" s="11">
        <f>VLOOKUP(C135, '[1]China EXIM'!$B$6:$D$580, 3, FALSE)</f>
        <v>2.104433658054</v>
      </c>
      <c r="N135" s="6"/>
      <c r="O135" s="6"/>
      <c r="P135" s="6"/>
      <c r="Q135" s="10" t="s">
        <v>24</v>
      </c>
      <c r="R135" s="9" t="s">
        <v>58</v>
      </c>
      <c r="V135" s="1" t="s">
        <v>25</v>
      </c>
    </row>
    <row r="136" spans="2:27" ht="42" hidden="1">
      <c r="B136" s="6" t="str">
        <f>VLOOKUP(C136, [1]Definition!$D$5:$K$5665, 8, FALSE)</f>
        <v>Capital Goods</v>
      </c>
      <c r="C136" s="7">
        <v>902000</v>
      </c>
      <c r="D136" s="8" t="s">
        <v>597</v>
      </c>
      <c r="E136" s="8" t="s">
        <v>34</v>
      </c>
      <c r="F136" s="17" t="s">
        <v>163</v>
      </c>
      <c r="G136" s="8" t="s">
        <v>598</v>
      </c>
      <c r="H136" s="8" t="s">
        <v>599</v>
      </c>
      <c r="I136" s="9" t="s">
        <v>166</v>
      </c>
      <c r="J136" s="9" t="s">
        <v>570</v>
      </c>
      <c r="K136" s="17" t="str">
        <f>_xlfn.IFNA(VLOOKUP(C136, '[2]Unique HS'!$B$4:$J$999, 9, FALSE), "No")</f>
        <v>Yes</v>
      </c>
      <c r="L136" s="18">
        <f>VLOOKUP(C136, '[1]India EXIM'!$B$6:$C$580, 2, FALSE)</f>
        <v>2.2340444381E-2</v>
      </c>
      <c r="M136" s="11">
        <f>VLOOKUP(C136, '[1]China EXIM'!$B$6:$D$580, 3, FALSE)</f>
        <v>2.1000296261389999</v>
      </c>
      <c r="N136" s="6"/>
      <c r="O136" s="6"/>
      <c r="P136" s="6"/>
      <c r="Q136" s="10" t="s">
        <v>24</v>
      </c>
      <c r="R136" s="11" t="s">
        <v>70</v>
      </c>
      <c r="T136" s="1" t="s">
        <v>136</v>
      </c>
      <c r="V136" s="1" t="s">
        <v>34</v>
      </c>
      <c r="W136" s="1" t="s">
        <v>349</v>
      </c>
    </row>
    <row r="137" spans="2:27" ht="27.95" hidden="1">
      <c r="B137" s="6" t="str">
        <f>VLOOKUP(C137, [1]Definition!$D$5:$K$5665, 8, FALSE)</f>
        <v>Capital Goods</v>
      </c>
      <c r="C137" s="7">
        <v>850134</v>
      </c>
      <c r="D137" s="8" t="s">
        <v>943</v>
      </c>
      <c r="E137" s="8" t="s">
        <v>34</v>
      </c>
      <c r="F137" s="17" t="s">
        <v>27</v>
      </c>
      <c r="G137" s="8" t="s">
        <v>944</v>
      </c>
      <c r="H137" s="8" t="s">
        <v>945</v>
      </c>
      <c r="I137" s="9" t="s">
        <v>30</v>
      </c>
      <c r="J137" s="9" t="s">
        <v>31</v>
      </c>
      <c r="K137" s="17" t="str">
        <f>_xlfn.IFNA(VLOOKUP(C137, '[2]Unique HS'!$B$4:$J$999, 9, FALSE), "No")</f>
        <v>No</v>
      </c>
      <c r="L137" s="22">
        <f>VLOOKUP(C137, '[1]India EXIM'!$B$6:$C$580, 2, FALSE)</f>
        <v>4.5201696950000004E-3</v>
      </c>
      <c r="M137" s="11">
        <f>VLOOKUP(C137, '[1]China EXIM'!$B$6:$D$580, 3, FALSE)</f>
        <v>0.202711154586</v>
      </c>
      <c r="N137" s="9" t="s">
        <v>129</v>
      </c>
      <c r="O137" s="9"/>
      <c r="P137" s="6"/>
      <c r="Q137" s="10" t="s">
        <v>24</v>
      </c>
      <c r="R137" s="9" t="s">
        <v>30</v>
      </c>
      <c r="T137" s="1" t="s">
        <v>33</v>
      </c>
      <c r="V137" s="1" t="s">
        <v>34</v>
      </c>
    </row>
    <row r="138" spans="2:27" ht="27.95" hidden="1">
      <c r="B138" s="6" t="str">
        <f>VLOOKUP(C138, [1]Definition!$D$5:$K$5665, 8, FALSE)</f>
        <v>Capital Goods</v>
      </c>
      <c r="C138" s="7">
        <v>850152</v>
      </c>
      <c r="D138" s="8" t="s">
        <v>126</v>
      </c>
      <c r="E138" s="8" t="s">
        <v>34</v>
      </c>
      <c r="F138" s="17" t="s">
        <v>27</v>
      </c>
      <c r="G138" s="8" t="s">
        <v>127</v>
      </c>
      <c r="H138" s="8" t="s">
        <v>128</v>
      </c>
      <c r="I138" s="9" t="s">
        <v>30</v>
      </c>
      <c r="J138" s="9" t="s">
        <v>31</v>
      </c>
      <c r="K138" s="17" t="str">
        <f>_xlfn.IFNA(VLOOKUP(C138, '[2]Unique HS'!$B$4:$J$999, 9, FALSE), "No")</f>
        <v>Yes</v>
      </c>
      <c r="L138" s="22">
        <f>VLOOKUP(C138, '[1]India EXIM'!$B$6:$C$580, 2, FALSE)</f>
        <v>0.19026122149000002</v>
      </c>
      <c r="M138" s="11">
        <f>VLOOKUP(C138, '[1]China EXIM'!$B$6:$D$580, 3, FALSE)</f>
        <v>10.357186422568001</v>
      </c>
      <c r="N138" s="9" t="s">
        <v>129</v>
      </c>
      <c r="O138" s="9"/>
      <c r="P138" s="6"/>
      <c r="Q138" s="10" t="s">
        <v>24</v>
      </c>
      <c r="R138" s="9" t="s">
        <v>30</v>
      </c>
      <c r="T138" s="1" t="s">
        <v>33</v>
      </c>
      <c r="V138" s="1" t="s">
        <v>34</v>
      </c>
      <c r="Z138" s="1" t="s">
        <v>24</v>
      </c>
      <c r="AA138" s="1" t="s">
        <v>330</v>
      </c>
    </row>
    <row r="139" spans="2:27" ht="42" hidden="1">
      <c r="B139" s="6" t="str">
        <f>VLOOKUP(C139, [1]Definition!$D$5:$K$5665, 8, FALSE)</f>
        <v>Capital Goods</v>
      </c>
      <c r="C139" s="7">
        <v>903010</v>
      </c>
      <c r="D139" s="8" t="s">
        <v>472</v>
      </c>
      <c r="E139" s="8" t="s">
        <v>25</v>
      </c>
      <c r="F139" s="17" t="s">
        <v>19</v>
      </c>
      <c r="G139" s="8" t="s">
        <v>473</v>
      </c>
      <c r="H139" s="8" t="s">
        <v>474</v>
      </c>
      <c r="I139" s="9" t="s">
        <v>166</v>
      </c>
      <c r="J139" s="9" t="s">
        <v>201</v>
      </c>
      <c r="K139" s="17" t="str">
        <f>_xlfn.IFNA(VLOOKUP(C139, '[2]Unique HS'!$B$4:$J$999, 9, FALSE), "No")</f>
        <v>Yes</v>
      </c>
      <c r="L139" s="18">
        <f>VLOOKUP(C139, '[1]India EXIM'!$B$6:$C$580, 2, FALSE)</f>
        <v>3.4575023968000003E-2</v>
      </c>
      <c r="M139" s="11">
        <f>VLOOKUP(C139, '[1]China EXIM'!$B$6:$D$580, 3, FALSE)</f>
        <v>2.0597495559990002</v>
      </c>
      <c r="N139" s="6"/>
      <c r="O139" s="6"/>
      <c r="P139" s="6"/>
      <c r="Q139" s="10" t="s">
        <v>24</v>
      </c>
      <c r="R139" s="11" t="s">
        <v>70</v>
      </c>
      <c r="V139" s="1" t="s">
        <v>25</v>
      </c>
    </row>
    <row r="140" spans="2:27" ht="42">
      <c r="B140" s="6" t="str">
        <f>VLOOKUP(C140, [1]Definition!$D$5:$K$5665, 8, FALSE)</f>
        <v>Capital Goods</v>
      </c>
      <c r="C140" s="7">
        <v>731010</v>
      </c>
      <c r="D140" s="8" t="s">
        <v>882</v>
      </c>
      <c r="E140" s="8" t="s">
        <v>25</v>
      </c>
      <c r="F140" s="17" t="s">
        <v>19</v>
      </c>
      <c r="G140" s="8"/>
      <c r="H140" s="8"/>
      <c r="I140" s="9" t="s">
        <v>22</v>
      </c>
      <c r="J140" s="9" t="s">
        <v>883</v>
      </c>
      <c r="K140" s="17" t="str">
        <f>_xlfn.IFNA(VLOOKUP(C140, '[2]Unique HS'!$B$4:$J$999, 9, FALSE), "No")</f>
        <v>Yes</v>
      </c>
      <c r="L140" s="18">
        <f>VLOOKUP(C140, '[1]India EXIM'!$B$6:$C$580, 2, FALSE)</f>
        <v>7.4184006500000003E-3</v>
      </c>
      <c r="M140" s="11">
        <f>VLOOKUP(C140, '[1]China EXIM'!$B$6:$D$580, 3, FALSE)</f>
        <v>2.0570130888699998</v>
      </c>
      <c r="N140" s="6" t="s">
        <v>201</v>
      </c>
      <c r="O140" s="6"/>
      <c r="P140" s="9"/>
      <c r="Q140" s="10" t="s">
        <v>24</v>
      </c>
      <c r="R140" s="9" t="s">
        <v>22</v>
      </c>
      <c r="V140" s="1" t="s">
        <v>25</v>
      </c>
    </row>
    <row r="141" spans="2:27" ht="42" hidden="1">
      <c r="B141" s="6" t="str">
        <f>VLOOKUP(C141, [1]Definition!$D$5:$K$5665, 8, FALSE)</f>
        <v>Capital Goods</v>
      </c>
      <c r="C141" s="7">
        <v>851539</v>
      </c>
      <c r="D141" s="8" t="s">
        <v>323</v>
      </c>
      <c r="E141" s="8" t="s">
        <v>25</v>
      </c>
      <c r="F141" s="17" t="s">
        <v>19</v>
      </c>
      <c r="G141" s="8"/>
      <c r="H141" s="8"/>
      <c r="I141" s="9" t="s">
        <v>65</v>
      </c>
      <c r="J141" s="9" t="s">
        <v>232</v>
      </c>
      <c r="K141" s="17" t="str">
        <f>_xlfn.IFNA(VLOOKUP(C141, '[2]Unique HS'!$B$4:$J$999, 9, FALSE), "No")</f>
        <v>Yes</v>
      </c>
      <c r="L141" s="18">
        <f>VLOOKUP(C141, '[1]India EXIM'!$B$6:$C$580, 2, FALSE)</f>
        <v>7.0511858226999999E-2</v>
      </c>
      <c r="M141" s="11">
        <f>VLOOKUP(C141, '[1]China EXIM'!$B$6:$D$580, 3, FALSE)</f>
        <v>1.3523215266090001</v>
      </c>
      <c r="N141" s="6"/>
      <c r="O141" s="6"/>
      <c r="P141" s="6"/>
      <c r="Q141" s="10" t="s">
        <v>24</v>
      </c>
      <c r="R141" s="9" t="s">
        <v>65</v>
      </c>
      <c r="V141" s="1" t="s">
        <v>25</v>
      </c>
    </row>
    <row r="142" spans="2:27" ht="42" hidden="1">
      <c r="B142" s="6" t="str">
        <f>VLOOKUP(C142, [1]Definition!$D$5:$K$5665, 8, FALSE)</f>
        <v>Capital Goods</v>
      </c>
      <c r="C142" s="7">
        <v>870192</v>
      </c>
      <c r="D142" s="8" t="s">
        <v>926</v>
      </c>
      <c r="E142" s="8" t="s">
        <v>25</v>
      </c>
      <c r="F142" s="17" t="s">
        <v>19</v>
      </c>
      <c r="G142" s="8"/>
      <c r="H142" s="8"/>
      <c r="I142" s="9" t="s">
        <v>58</v>
      </c>
      <c r="J142" s="9" t="s">
        <v>31</v>
      </c>
      <c r="K142" s="17" t="str">
        <f>_xlfn.IFNA(VLOOKUP(C142, '[2]Unique HS'!$B$4:$J$999, 9, FALSE), "No")</f>
        <v>No</v>
      </c>
      <c r="L142" s="18">
        <f>VLOOKUP(C142, '[1]India EXIM'!$B$6:$C$580, 2, FALSE)</f>
        <v>5.0138354989999996E-3</v>
      </c>
      <c r="M142" s="11">
        <f>VLOOKUP(C142, '[1]China EXIM'!$B$6:$D$580, 3, FALSE)</f>
        <v>2.0014702381639999</v>
      </c>
      <c r="N142" s="6"/>
      <c r="O142" s="6"/>
      <c r="P142" s="6"/>
      <c r="Q142" s="10" t="s">
        <v>24</v>
      </c>
      <c r="R142" s="9" t="s">
        <v>58</v>
      </c>
      <c r="V142" s="1" t="s">
        <v>25</v>
      </c>
    </row>
    <row r="143" spans="2:27" ht="42" hidden="1">
      <c r="B143" s="6" t="str">
        <f>VLOOKUP(C143, [1]Definition!$D$5:$K$5665, 8, FALSE)</f>
        <v>Capital Goods</v>
      </c>
      <c r="C143" s="7">
        <v>846490</v>
      </c>
      <c r="D143" s="8" t="s">
        <v>324</v>
      </c>
      <c r="E143" s="8" t="s">
        <v>25</v>
      </c>
      <c r="F143" s="17" t="s">
        <v>19</v>
      </c>
      <c r="G143" s="8"/>
      <c r="H143" s="8"/>
      <c r="I143" s="9" t="s">
        <v>65</v>
      </c>
      <c r="J143" s="9" t="s">
        <v>31</v>
      </c>
      <c r="K143" s="17" t="str">
        <f>_xlfn.IFNA(VLOOKUP(C143, '[2]Unique HS'!$B$4:$J$999, 9, FALSE), "No")</f>
        <v>No</v>
      </c>
      <c r="L143" s="18">
        <f>VLOOKUP(C143, '[1]India EXIM'!$B$6:$C$580, 2, FALSE)</f>
        <v>7.0428782289E-2</v>
      </c>
      <c r="M143" s="11">
        <f>VLOOKUP(C143, '[1]China EXIM'!$B$6:$D$580, 3, FALSE)</f>
        <v>1.0116636780770001</v>
      </c>
      <c r="N143" s="6"/>
      <c r="O143" s="6"/>
      <c r="P143" s="6"/>
      <c r="Q143" s="10" t="s">
        <v>24</v>
      </c>
      <c r="R143" s="9" t="s">
        <v>65</v>
      </c>
      <c r="V143" s="1" t="s">
        <v>25</v>
      </c>
    </row>
    <row r="144" spans="2:27" ht="42" hidden="1">
      <c r="B144" s="6" t="str">
        <f>VLOOKUP(C144, [1]Definition!$D$5:$K$5665, 8, FALSE)</f>
        <v>Capital Goods</v>
      </c>
      <c r="C144" s="7">
        <v>853590</v>
      </c>
      <c r="D144" s="8" t="s">
        <v>169</v>
      </c>
      <c r="E144" s="8" t="s">
        <v>34</v>
      </c>
      <c r="F144" s="17" t="s">
        <v>27</v>
      </c>
      <c r="G144" s="8" t="s">
        <v>170</v>
      </c>
      <c r="H144" s="8" t="s">
        <v>171</v>
      </c>
      <c r="I144" s="9" t="s">
        <v>30</v>
      </c>
      <c r="J144" s="9" t="s">
        <v>172</v>
      </c>
      <c r="K144" s="17" t="str">
        <f>_xlfn.IFNA(VLOOKUP(C144, '[2]Unique HS'!$B$4:$J$999, 9, FALSE), "No")</f>
        <v>Yes</v>
      </c>
      <c r="L144" s="22">
        <f>VLOOKUP(C144, '[1]India EXIM'!$B$6:$C$580, 2, FALSE)</f>
        <v>0.15855141411099999</v>
      </c>
      <c r="M144" s="11">
        <f>VLOOKUP(C144, '[1]China EXIM'!$B$6:$D$580, 3, FALSE)</f>
        <v>4.7338345119880003</v>
      </c>
      <c r="N144" s="6"/>
      <c r="O144" s="6"/>
      <c r="P144" s="6"/>
      <c r="Q144" s="10" t="s">
        <v>24</v>
      </c>
      <c r="R144" s="9" t="s">
        <v>30</v>
      </c>
      <c r="T144" s="1" t="s">
        <v>362</v>
      </c>
      <c r="V144" s="1" t="s">
        <v>34</v>
      </c>
    </row>
    <row r="145" spans="2:23" ht="27.95" hidden="1">
      <c r="B145" s="6" t="str">
        <f>VLOOKUP(C145, [1]Definition!$D$5:$K$5665, 8, FALSE)</f>
        <v>Capital Goods</v>
      </c>
      <c r="C145" s="7">
        <v>846029</v>
      </c>
      <c r="D145" s="8" t="s">
        <v>335</v>
      </c>
      <c r="E145" s="8" t="s">
        <v>25</v>
      </c>
      <c r="F145" s="17" t="s">
        <v>19</v>
      </c>
      <c r="G145" s="8"/>
      <c r="H145" s="8"/>
      <c r="I145" s="9" t="s">
        <v>65</v>
      </c>
      <c r="J145" s="9" t="s">
        <v>31</v>
      </c>
      <c r="K145" s="17" t="str">
        <f>_xlfn.IFNA(VLOOKUP(C145, '[2]Unique HS'!$B$4:$J$999, 9, FALSE), "No")</f>
        <v>Yes</v>
      </c>
      <c r="L145" s="18">
        <f>VLOOKUP(C145, '[1]India EXIM'!$B$6:$C$580, 2, FALSE)</f>
        <v>6.4426513156000009E-2</v>
      </c>
      <c r="M145" s="11">
        <f>VLOOKUP(C145, '[1]China EXIM'!$B$6:$D$580, 3, FALSE)</f>
        <v>0.24030239656600003</v>
      </c>
      <c r="N145" s="6"/>
      <c r="O145" s="6"/>
      <c r="P145" s="6"/>
      <c r="Q145" s="10" t="s">
        <v>24</v>
      </c>
      <c r="R145" s="9" t="s">
        <v>65</v>
      </c>
      <c r="V145" s="1" t="s">
        <v>25</v>
      </c>
    </row>
    <row r="146" spans="2:23" ht="27.95" hidden="1">
      <c r="B146" s="6" t="str">
        <f>VLOOKUP(C146, [1]Definition!$D$5:$K$5665, 8, FALSE)</f>
        <v>Capital Goods</v>
      </c>
      <c r="C146" s="7">
        <v>820750</v>
      </c>
      <c r="D146" s="8" t="s">
        <v>336</v>
      </c>
      <c r="E146" s="8" t="s">
        <v>25</v>
      </c>
      <c r="F146" s="17" t="s">
        <v>19</v>
      </c>
      <c r="G146" s="8"/>
      <c r="H146" s="8"/>
      <c r="I146" s="9" t="s">
        <v>65</v>
      </c>
      <c r="J146" s="9" t="s">
        <v>337</v>
      </c>
      <c r="K146" s="17" t="str">
        <f>_xlfn.IFNA(VLOOKUP(C146, '[2]Unique HS'!$B$4:$J$999, 9, FALSE), "No")</f>
        <v>Yes</v>
      </c>
      <c r="L146" s="18">
        <f>VLOOKUP(C146, '[1]India EXIM'!$B$6:$C$580, 2, FALSE)</f>
        <v>6.3612462987999996E-2</v>
      </c>
      <c r="M146" s="11">
        <f>VLOOKUP(C146, '[1]China EXIM'!$B$6:$D$580, 3, FALSE)</f>
        <v>4.5378767303799998</v>
      </c>
      <c r="N146" s="6" t="s">
        <v>201</v>
      </c>
      <c r="O146" s="6"/>
      <c r="P146" s="6"/>
      <c r="Q146" s="10" t="s">
        <v>24</v>
      </c>
      <c r="R146" s="11" t="s">
        <v>202</v>
      </c>
      <c r="V146" s="1" t="s">
        <v>25</v>
      </c>
    </row>
    <row r="147" spans="2:23" ht="27.95" hidden="1">
      <c r="B147" s="6" t="str">
        <f>VLOOKUP(C147, [1]Definition!$D$5:$K$5665, 8, FALSE)</f>
        <v>Capital Goods</v>
      </c>
      <c r="C147" s="7">
        <v>846023</v>
      </c>
      <c r="D147" s="8" t="s">
        <v>339</v>
      </c>
      <c r="E147" s="8" t="s">
        <v>25</v>
      </c>
      <c r="F147" s="17" t="s">
        <v>19</v>
      </c>
      <c r="G147" s="8"/>
      <c r="H147" s="8"/>
      <c r="I147" s="9" t="s">
        <v>65</v>
      </c>
      <c r="J147" s="9" t="s">
        <v>31</v>
      </c>
      <c r="K147" s="17" t="str">
        <f>_xlfn.IFNA(VLOOKUP(C147, '[2]Unique HS'!$B$4:$J$999, 9, FALSE), "No")</f>
        <v>No</v>
      </c>
      <c r="L147" s="18">
        <f>VLOOKUP(C147, '[1]India EXIM'!$B$6:$C$580, 2, FALSE)</f>
        <v>6.1141555665E-2</v>
      </c>
      <c r="M147" s="11">
        <f>VLOOKUP(C147, '[1]China EXIM'!$B$6:$D$580, 3, FALSE)</f>
        <v>0.88233575990000002</v>
      </c>
      <c r="N147" s="6"/>
      <c r="O147" s="6"/>
      <c r="P147" s="6"/>
      <c r="Q147" s="10" t="s">
        <v>24</v>
      </c>
      <c r="R147" s="9" t="s">
        <v>65</v>
      </c>
      <c r="V147" s="1" t="s">
        <v>25</v>
      </c>
    </row>
    <row r="148" spans="2:23" ht="27.95" hidden="1">
      <c r="B148" s="6" t="str">
        <f>VLOOKUP(C148, [1]Definition!$D$5:$K$5665, 8, FALSE)</f>
        <v>Capital Goods</v>
      </c>
      <c r="C148" s="7">
        <v>850140</v>
      </c>
      <c r="D148" s="8" t="s">
        <v>176</v>
      </c>
      <c r="E148" s="8" t="s">
        <v>34</v>
      </c>
      <c r="F148" s="17" t="s">
        <v>27</v>
      </c>
      <c r="G148" s="8" t="s">
        <v>177</v>
      </c>
      <c r="H148" s="8" t="s">
        <v>178</v>
      </c>
      <c r="I148" s="9" t="s">
        <v>30</v>
      </c>
      <c r="J148" s="9" t="s">
        <v>31</v>
      </c>
      <c r="K148" s="17" t="str">
        <f>_xlfn.IFNA(VLOOKUP(C148, '[2]Unique HS'!$B$4:$J$999, 9, FALSE), "No")</f>
        <v>Yes</v>
      </c>
      <c r="L148" s="22">
        <f>VLOOKUP(C148, '[1]India EXIM'!$B$6:$C$580, 2, FALSE)</f>
        <v>0.14845630527100001</v>
      </c>
      <c r="M148" s="11">
        <f>VLOOKUP(C148, '[1]China EXIM'!$B$6:$D$580, 3, FALSE)</f>
        <v>5.8058155855500004</v>
      </c>
      <c r="N148" s="9" t="s">
        <v>129</v>
      </c>
      <c r="O148" s="9"/>
      <c r="P148" s="6"/>
      <c r="Q148" s="10" t="s">
        <v>24</v>
      </c>
      <c r="R148" s="9" t="s">
        <v>30</v>
      </c>
      <c r="T148" s="1" t="s">
        <v>33</v>
      </c>
      <c r="V148" s="1" t="s">
        <v>34</v>
      </c>
    </row>
    <row r="149" spans="2:23" ht="42" hidden="1">
      <c r="B149" s="6" t="str">
        <f>VLOOKUP(C149, [1]Definition!$D$5:$K$5665, 8, FALSE)</f>
        <v>Capital Goods</v>
      </c>
      <c r="C149" s="7">
        <v>850153</v>
      </c>
      <c r="D149" s="8" t="s">
        <v>188</v>
      </c>
      <c r="E149" s="8" t="s">
        <v>34</v>
      </c>
      <c r="F149" s="17" t="s">
        <v>27</v>
      </c>
      <c r="G149" s="8" t="s">
        <v>189</v>
      </c>
      <c r="H149" s="8" t="s">
        <v>190</v>
      </c>
      <c r="I149" s="9" t="s">
        <v>30</v>
      </c>
      <c r="J149" s="9" t="s">
        <v>31</v>
      </c>
      <c r="K149" s="17" t="str">
        <f>_xlfn.IFNA(VLOOKUP(C149, '[2]Unique HS'!$B$4:$J$999, 9, FALSE), "No")</f>
        <v>Yes</v>
      </c>
      <c r="L149" s="22">
        <f>VLOOKUP(C149, '[1]India EXIM'!$B$6:$C$580, 2, FALSE)</f>
        <v>0.13687962864199998</v>
      </c>
      <c r="M149" s="11">
        <f>VLOOKUP(C149, '[1]China EXIM'!$B$6:$D$580, 3, FALSE)</f>
        <v>8.3363056472729991</v>
      </c>
      <c r="N149" s="9" t="s">
        <v>129</v>
      </c>
      <c r="O149" s="9"/>
      <c r="P149" s="6"/>
      <c r="Q149" s="10" t="s">
        <v>24</v>
      </c>
      <c r="R149" s="9" t="s">
        <v>30</v>
      </c>
      <c r="T149" s="1" t="s">
        <v>33</v>
      </c>
      <c r="V149" s="1" t="s">
        <v>34</v>
      </c>
    </row>
    <row r="150" spans="2:23" ht="27.95" hidden="1">
      <c r="B150" s="6" t="str">
        <f>VLOOKUP(C150, [1]Definition!$D$5:$K$5665, 8, FALSE)</f>
        <v>Capital Goods</v>
      </c>
      <c r="C150" s="7">
        <v>846232</v>
      </c>
      <c r="D150" s="8" t="s">
        <v>347</v>
      </c>
      <c r="E150" s="8" t="s">
        <v>25</v>
      </c>
      <c r="F150" s="17" t="s">
        <v>19</v>
      </c>
      <c r="G150" s="8"/>
      <c r="H150" s="8"/>
      <c r="I150" s="9" t="s">
        <v>65</v>
      </c>
      <c r="J150" s="9" t="s">
        <v>31</v>
      </c>
      <c r="K150" s="17" t="str">
        <f>_xlfn.IFNA(VLOOKUP(C150, '[2]Unique HS'!$B$4:$J$999, 9, FALSE), "No")</f>
        <v>No</v>
      </c>
      <c r="L150" s="18">
        <f>VLOOKUP(C150, '[1]India EXIM'!$B$6:$C$580, 2, FALSE)</f>
        <v>5.9477119214E-2</v>
      </c>
      <c r="M150" s="11">
        <f>VLOOKUP(C150, '[1]China EXIM'!$B$6:$D$580, 3, FALSE)</f>
        <v>0.30567196612899999</v>
      </c>
      <c r="N150" s="6"/>
      <c r="O150" s="6"/>
      <c r="P150" s="6"/>
      <c r="Q150" s="10" t="s">
        <v>24</v>
      </c>
      <c r="R150" s="9" t="s">
        <v>65</v>
      </c>
      <c r="V150" s="1" t="s">
        <v>25</v>
      </c>
    </row>
    <row r="151" spans="2:23" ht="27.95" hidden="1">
      <c r="B151" s="6" t="str">
        <f>VLOOKUP(C151, [1]Definition!$D$5:$K$5665, 8, FALSE)</f>
        <v>Capital Goods</v>
      </c>
      <c r="C151" s="7">
        <v>843229</v>
      </c>
      <c r="D151" s="8" t="s">
        <v>360</v>
      </c>
      <c r="E151" s="8" t="s">
        <v>25</v>
      </c>
      <c r="F151" s="17" t="s">
        <v>19</v>
      </c>
      <c r="G151" s="8"/>
      <c r="H151" s="8"/>
      <c r="I151" s="9" t="s">
        <v>58</v>
      </c>
      <c r="J151" s="9" t="s">
        <v>361</v>
      </c>
      <c r="K151" s="17" t="str">
        <f>_xlfn.IFNA(VLOOKUP(C151, '[2]Unique HS'!$B$4:$J$999, 9, FALSE), "No")</f>
        <v>Yes</v>
      </c>
      <c r="L151" s="18">
        <f>VLOOKUP(C151, '[1]India EXIM'!$B$6:$C$580, 2, FALSE)</f>
        <v>5.4329471673E-2</v>
      </c>
      <c r="M151" s="11">
        <f>VLOOKUP(C151, '[1]China EXIM'!$B$6:$D$580, 3, FALSE)</f>
        <v>1.7663218081800001</v>
      </c>
      <c r="N151" s="6" t="s">
        <v>160</v>
      </c>
      <c r="O151" s="6"/>
      <c r="P151" s="6"/>
      <c r="Q151" s="10" t="s">
        <v>24</v>
      </c>
      <c r="R151" s="9" t="s">
        <v>58</v>
      </c>
      <c r="V151" s="1" t="s">
        <v>25</v>
      </c>
    </row>
    <row r="152" spans="2:23" ht="27.95">
      <c r="B152" s="6" t="str">
        <f>VLOOKUP(C152, [1]Definition!$D$5:$K$5665, 8, FALSE)</f>
        <v>Capital Goods</v>
      </c>
      <c r="C152" s="7">
        <v>903120</v>
      </c>
      <c r="D152" s="8" t="s">
        <v>317</v>
      </c>
      <c r="E152" s="8" t="s">
        <v>25</v>
      </c>
      <c r="F152" s="17" t="s">
        <v>19</v>
      </c>
      <c r="G152" s="8" t="s">
        <v>318</v>
      </c>
      <c r="H152" s="8"/>
      <c r="I152" s="9" t="s">
        <v>22</v>
      </c>
      <c r="J152" s="9" t="s">
        <v>319</v>
      </c>
      <c r="K152" s="17" t="str">
        <f>_xlfn.IFNA(VLOOKUP(C152, '[2]Unique HS'!$B$4:$J$999, 9, FALSE), "No")</f>
        <v>Yes</v>
      </c>
      <c r="L152" s="18">
        <f>VLOOKUP(C152, '[1]India EXIM'!$B$6:$C$580, 2, FALSE)</f>
        <v>7.1139032106999997E-2</v>
      </c>
      <c r="M152" s="11">
        <f>VLOOKUP(C152, '[1]China EXIM'!$B$6:$D$580, 3, FALSE)</f>
        <v>1.734273707279</v>
      </c>
      <c r="N152" s="6"/>
      <c r="O152" s="6"/>
      <c r="P152" s="6"/>
      <c r="Q152" s="10" t="s">
        <v>24</v>
      </c>
      <c r="R152" s="9" t="s">
        <v>22</v>
      </c>
      <c r="V152" s="1" t="s">
        <v>25</v>
      </c>
      <c r="W152" s="1" t="s">
        <v>378</v>
      </c>
    </row>
    <row r="153" spans="2:23" ht="69.95">
      <c r="B153" s="6" t="str">
        <f>VLOOKUP(C153, [1]Definition!$D$5:$K$5665, 8, FALSE)</f>
        <v>Capital Goods</v>
      </c>
      <c r="C153" s="7">
        <v>902580</v>
      </c>
      <c r="D153" s="8" t="s">
        <v>518</v>
      </c>
      <c r="E153" s="8" t="s">
        <v>25</v>
      </c>
      <c r="F153" s="17" t="s">
        <v>19</v>
      </c>
      <c r="G153" s="8" t="s">
        <v>519</v>
      </c>
      <c r="H153" s="8" t="s">
        <v>520</v>
      </c>
      <c r="I153" s="9" t="s">
        <v>22</v>
      </c>
      <c r="J153" s="9" t="s">
        <v>140</v>
      </c>
      <c r="K153" s="17" t="str">
        <f>_xlfn.IFNA(VLOOKUP(C153, '[2]Unique HS'!$B$4:$J$999, 9, FALSE), "No")</f>
        <v>Yes</v>
      </c>
      <c r="L153" s="18">
        <f>VLOOKUP(C153, '[1]India EXIM'!$B$6:$C$580, 2, FALSE)</f>
        <v>2.9271225416E-2</v>
      </c>
      <c r="M153" s="11">
        <f>VLOOKUP(C153, '[1]China EXIM'!$B$6:$D$580, 3, FALSE)</f>
        <v>1.7324008354360001</v>
      </c>
      <c r="N153" s="6"/>
      <c r="O153" s="6"/>
      <c r="P153" s="6"/>
      <c r="Q153" s="10" t="s">
        <v>24</v>
      </c>
      <c r="R153" s="11" t="s">
        <v>39</v>
      </c>
      <c r="V153" s="1" t="s">
        <v>25</v>
      </c>
    </row>
    <row r="154" spans="2:23" ht="27.95">
      <c r="B154" s="6" t="str">
        <f>VLOOKUP(C154, [1]Definition!$D$5:$K$5665, 8, FALSE)</f>
        <v>Capital Goods</v>
      </c>
      <c r="C154" s="7">
        <v>844110</v>
      </c>
      <c r="D154" s="8" t="s">
        <v>280</v>
      </c>
      <c r="E154" s="8" t="s">
        <v>25</v>
      </c>
      <c r="F154" s="17" t="s">
        <v>19</v>
      </c>
      <c r="G154" s="8"/>
      <c r="H154" s="8"/>
      <c r="I154" s="9" t="s">
        <v>22</v>
      </c>
      <c r="J154" s="9" t="s">
        <v>281</v>
      </c>
      <c r="K154" s="17" t="str">
        <f>_xlfn.IFNA(VLOOKUP(C154, '[2]Unique HS'!$B$4:$J$999, 9, FALSE), "No")</f>
        <v>No</v>
      </c>
      <c r="L154" s="18">
        <f>VLOOKUP(C154, '[1]India EXIM'!$B$6:$C$580, 2, FALSE)</f>
        <v>8.2488691057999997E-2</v>
      </c>
      <c r="M154" s="11">
        <f>VLOOKUP(C154, '[1]China EXIM'!$B$6:$D$580, 3, FALSE)</f>
        <v>1.714972609665</v>
      </c>
      <c r="N154" s="6" t="s">
        <v>253</v>
      </c>
      <c r="O154" s="6"/>
      <c r="P154" s="6"/>
      <c r="Q154" s="10" t="s">
        <v>24</v>
      </c>
      <c r="R154" s="11" t="s">
        <v>182</v>
      </c>
      <c r="V154" s="1" t="s">
        <v>25</v>
      </c>
    </row>
    <row r="155" spans="2:23" ht="27.95" hidden="1">
      <c r="B155" s="6" t="str">
        <f>VLOOKUP(C155, [1]Definition!$D$5:$K$5665, 8, FALSE)</f>
        <v>Capital Goods</v>
      </c>
      <c r="C155" s="7">
        <v>844630</v>
      </c>
      <c r="D155" s="8" t="s">
        <v>54</v>
      </c>
      <c r="E155" s="8" t="s">
        <v>25</v>
      </c>
      <c r="F155" s="17" t="s">
        <v>19</v>
      </c>
      <c r="G155" s="8"/>
      <c r="H155" s="8"/>
      <c r="I155" s="9" t="s">
        <v>55</v>
      </c>
      <c r="J155" s="9" t="s">
        <v>56</v>
      </c>
      <c r="K155" s="17" t="str">
        <f>_xlfn.IFNA(VLOOKUP(C155, '[2]Unique HS'!$B$4:$J$999, 9, FALSE), "No")</f>
        <v>No</v>
      </c>
      <c r="L155" s="18">
        <f>VLOOKUP(C155, '[1]India EXIM'!$B$6:$C$580, 2, FALSE)</f>
        <v>0.54152698235899999</v>
      </c>
      <c r="M155" s="11">
        <f>VLOOKUP(C155, '[1]China EXIM'!$B$6:$D$580, 3, FALSE)</f>
        <v>1.7074984034949998</v>
      </c>
      <c r="N155" s="6"/>
      <c r="O155" s="6"/>
      <c r="P155" s="6"/>
      <c r="Q155" s="10" t="s">
        <v>24</v>
      </c>
      <c r="R155" s="9" t="s">
        <v>55</v>
      </c>
      <c r="V155" s="1" t="s">
        <v>25</v>
      </c>
    </row>
    <row r="156" spans="2:23" hidden="1">
      <c r="B156" s="6" t="str">
        <f>VLOOKUP(C156, [1]Definition!$D$5:$K$5665, 8, FALSE)</f>
        <v>Capital Goods</v>
      </c>
      <c r="C156" s="7">
        <v>845129</v>
      </c>
      <c r="D156" s="8" t="s">
        <v>761</v>
      </c>
      <c r="E156" s="8" t="s">
        <v>25</v>
      </c>
      <c r="F156" s="17" t="s">
        <v>19</v>
      </c>
      <c r="G156" s="8"/>
      <c r="H156" s="8"/>
      <c r="I156" s="9" t="s">
        <v>55</v>
      </c>
      <c r="J156" s="9" t="s">
        <v>234</v>
      </c>
      <c r="K156" s="17" t="str">
        <f>_xlfn.IFNA(VLOOKUP(C156, '[2]Unique HS'!$B$4:$J$999, 9, FALSE), "No")</f>
        <v>No</v>
      </c>
      <c r="L156" s="18">
        <f>VLOOKUP(C156, '[1]India EXIM'!$B$6:$C$580, 2, FALSE)</f>
        <v>1.2386961129E-2</v>
      </c>
      <c r="M156" s="11">
        <f>VLOOKUP(C156, '[1]China EXIM'!$B$6:$D$580, 3, FALSE)</f>
        <v>1.69457222031</v>
      </c>
      <c r="N156" s="6"/>
      <c r="O156" s="6"/>
      <c r="P156" s="6"/>
      <c r="Q156" s="10" t="s">
        <v>24</v>
      </c>
      <c r="R156" s="9" t="s">
        <v>55</v>
      </c>
      <c r="V156" s="1" t="s">
        <v>25</v>
      </c>
    </row>
    <row r="157" spans="2:23" ht="56.1">
      <c r="B157" s="6" t="str">
        <f>VLOOKUP(C157, [1]Definition!$D$5:$K$5665, 8, FALSE)</f>
        <v>Capital Goods</v>
      </c>
      <c r="C157" s="7">
        <v>902820</v>
      </c>
      <c r="D157" s="8" t="s">
        <v>902</v>
      </c>
      <c r="E157" s="8" t="s">
        <v>25</v>
      </c>
      <c r="F157" s="17" t="s">
        <v>19</v>
      </c>
      <c r="G157" s="8" t="s">
        <v>903</v>
      </c>
      <c r="H157" s="8" t="s">
        <v>904</v>
      </c>
      <c r="I157" s="9" t="s">
        <v>22</v>
      </c>
      <c r="J157" s="9" t="s">
        <v>711</v>
      </c>
      <c r="K157" s="17" t="str">
        <f>_xlfn.IFNA(VLOOKUP(C157, '[2]Unique HS'!$B$4:$J$999, 9, FALSE), "No")</f>
        <v>Yes</v>
      </c>
      <c r="L157" s="18">
        <f>VLOOKUP(C157, '[1]India EXIM'!$B$6:$C$580, 2, FALSE)</f>
        <v>6.0392247369999994E-3</v>
      </c>
      <c r="M157" s="11">
        <f>VLOOKUP(C157, '[1]China EXIM'!$B$6:$D$580, 3, FALSE)</f>
        <v>1.6853011760850001</v>
      </c>
      <c r="N157" s="6"/>
      <c r="O157" s="6"/>
      <c r="P157" s="6"/>
      <c r="Q157" s="10" t="s">
        <v>24</v>
      </c>
      <c r="R157" s="11" t="s">
        <v>22</v>
      </c>
      <c r="V157" s="1" t="s">
        <v>25</v>
      </c>
      <c r="W157" s="1" t="s">
        <v>349</v>
      </c>
    </row>
    <row r="158" spans="2:23" ht="27.95" hidden="1">
      <c r="B158" s="6" t="str">
        <f>VLOOKUP(C158, [1]Definition!$D$5:$K$5665, 8, FALSE)</f>
        <v>Capital Goods</v>
      </c>
      <c r="C158" s="7">
        <v>842620</v>
      </c>
      <c r="D158" s="8" t="s">
        <v>411</v>
      </c>
      <c r="E158" s="8" t="s">
        <v>25</v>
      </c>
      <c r="F158" s="17" t="s">
        <v>19</v>
      </c>
      <c r="G158" s="8"/>
      <c r="H158" s="8"/>
      <c r="I158" s="9" t="s">
        <v>58</v>
      </c>
      <c r="J158" s="9" t="s">
        <v>31</v>
      </c>
      <c r="K158" s="17" t="str">
        <f>_xlfn.IFNA(VLOOKUP(C158, '[2]Unique HS'!$B$4:$J$999, 9, FALSE), "No")</f>
        <v>No</v>
      </c>
      <c r="L158" s="18">
        <f>VLOOKUP(C158, '[1]India EXIM'!$B$6:$C$580, 2, FALSE)</f>
        <v>4.5616390159E-2</v>
      </c>
      <c r="M158" s="11">
        <f>VLOOKUP(C158, '[1]China EXIM'!$B$6:$D$580, 3, FALSE)</f>
        <v>1.658015275011</v>
      </c>
      <c r="N158" s="9" t="s">
        <v>80</v>
      </c>
      <c r="O158" s="9"/>
      <c r="P158" s="6"/>
      <c r="Q158" s="10" t="s">
        <v>24</v>
      </c>
      <c r="R158" s="9" t="s">
        <v>58</v>
      </c>
      <c r="V158" s="1" t="s">
        <v>25</v>
      </c>
    </row>
    <row r="159" spans="2:23" ht="42">
      <c r="B159" s="6" t="str">
        <f>VLOOKUP(C159, [1]Definition!$D$5:$K$5665, 8, FALSE)</f>
        <v>Capital Goods</v>
      </c>
      <c r="C159" s="7">
        <v>843239</v>
      </c>
      <c r="D159" s="8" t="s">
        <v>396</v>
      </c>
      <c r="E159" s="8" t="s">
        <v>25</v>
      </c>
      <c r="F159" s="17" t="s">
        <v>1178</v>
      </c>
      <c r="G159" s="8" t="s">
        <v>397</v>
      </c>
      <c r="H159" s="8" t="s">
        <v>398</v>
      </c>
      <c r="I159" s="9" t="s">
        <v>22</v>
      </c>
      <c r="J159" s="9" t="s">
        <v>38</v>
      </c>
      <c r="K159" s="17" t="str">
        <f>_xlfn.IFNA(VLOOKUP(C159, '[2]Unique HS'!$B$4:$J$999, 9, FALSE), "No")</f>
        <v>No</v>
      </c>
      <c r="L159" s="18">
        <f>VLOOKUP(C159, '[1]India EXIM'!$B$6:$C$580, 2, FALSE)</f>
        <v>6.2746932889999997E-3</v>
      </c>
      <c r="M159" s="11">
        <f>VLOOKUP(C159, '[1]China EXIM'!$B$6:$D$580, 3, FALSE)</f>
        <v>1.651706697566</v>
      </c>
      <c r="N159" s="6" t="s">
        <v>160</v>
      </c>
      <c r="O159" s="6"/>
      <c r="P159" s="6"/>
      <c r="Q159" s="10" t="s">
        <v>24</v>
      </c>
      <c r="R159" s="11" t="s">
        <v>161</v>
      </c>
    </row>
    <row r="160" spans="2:23" ht="56.1" hidden="1">
      <c r="B160" s="6" t="str">
        <f>VLOOKUP(C160, [1]Definition!$D$5:$K$5665, 8, FALSE)</f>
        <v>Capital Goods</v>
      </c>
      <c r="C160" s="7">
        <v>903084</v>
      </c>
      <c r="D160" s="8" t="s">
        <v>555</v>
      </c>
      <c r="E160" s="8" t="s">
        <v>25</v>
      </c>
      <c r="F160" s="17" t="s">
        <v>19</v>
      </c>
      <c r="G160" s="8" t="s">
        <v>556</v>
      </c>
      <c r="H160" s="8" t="s">
        <v>557</v>
      </c>
      <c r="I160" s="9" t="s">
        <v>166</v>
      </c>
      <c r="J160" s="9" t="s">
        <v>201</v>
      </c>
      <c r="K160" s="17" t="str">
        <f>_xlfn.IFNA(VLOOKUP(C160, '[2]Unique HS'!$B$4:$J$999, 9, FALSE), "No")</f>
        <v>Yes</v>
      </c>
      <c r="L160" s="18">
        <f>VLOOKUP(C160, '[1]India EXIM'!$B$6:$C$580, 2, FALSE)</f>
        <v>2.5846311043000003E-2</v>
      </c>
      <c r="M160" s="11">
        <f>VLOOKUP(C160, '[1]China EXIM'!$B$6:$D$580, 3, FALSE)</f>
        <v>1.597133981352</v>
      </c>
      <c r="N160" s="6"/>
      <c r="O160" s="6"/>
      <c r="P160" s="6"/>
      <c r="Q160" s="10" t="s">
        <v>24</v>
      </c>
      <c r="R160" s="11" t="s">
        <v>39</v>
      </c>
      <c r="V160" s="1" t="s">
        <v>25</v>
      </c>
      <c r="W160" s="1" t="s">
        <v>401</v>
      </c>
    </row>
    <row r="161" spans="2:23" ht="42">
      <c r="B161" s="6" t="str">
        <f>VLOOKUP(C161, [1]Definition!$D$5:$K$5665, 8, FALSE)</f>
        <v>Capital Goods</v>
      </c>
      <c r="C161" s="7">
        <v>844180</v>
      </c>
      <c r="D161" s="8" t="s">
        <v>259</v>
      </c>
      <c r="E161" s="8" t="s">
        <v>25</v>
      </c>
      <c r="F161" s="17" t="s">
        <v>19</v>
      </c>
      <c r="G161" s="8" t="s">
        <v>260</v>
      </c>
      <c r="H161" s="8" t="s">
        <v>261</v>
      </c>
      <c r="I161" s="9" t="s">
        <v>22</v>
      </c>
      <c r="J161" s="9" t="s">
        <v>262</v>
      </c>
      <c r="K161" s="17" t="str">
        <f>_xlfn.IFNA(VLOOKUP(C161, '[2]Unique HS'!$B$4:$J$999, 9, FALSE), "No")</f>
        <v>No</v>
      </c>
      <c r="L161" s="18">
        <f>VLOOKUP(C161, '[1]India EXIM'!$B$6:$C$580, 2, FALSE)</f>
        <v>8.9524779523000003E-2</v>
      </c>
      <c r="M161" s="11">
        <f>VLOOKUP(C161, '[1]China EXIM'!$B$6:$D$580, 3, FALSE)</f>
        <v>1.595632331782</v>
      </c>
      <c r="N161" s="6" t="s">
        <v>253</v>
      </c>
      <c r="O161" s="6"/>
      <c r="P161" s="6"/>
      <c r="Q161" s="10" t="s">
        <v>24</v>
      </c>
      <c r="R161" s="11" t="s">
        <v>182</v>
      </c>
      <c r="V161" s="1" t="s">
        <v>25</v>
      </c>
    </row>
    <row r="162" spans="2:23" ht="42" hidden="1">
      <c r="B162" s="6" t="str">
        <f>VLOOKUP(C162, [1]Definition!$D$5:$K$5665, 8, FALSE)</f>
        <v>Capital Goods</v>
      </c>
      <c r="C162" s="7">
        <v>903033</v>
      </c>
      <c r="D162" s="8" t="s">
        <v>222</v>
      </c>
      <c r="E162" s="8" t="s">
        <v>25</v>
      </c>
      <c r="F162" s="17" t="s">
        <v>27</v>
      </c>
      <c r="G162" s="8" t="s">
        <v>223</v>
      </c>
      <c r="H162" s="8" t="s">
        <v>224</v>
      </c>
      <c r="I162" s="9" t="s">
        <v>30</v>
      </c>
      <c r="J162" s="9" t="s">
        <v>225</v>
      </c>
      <c r="K162" s="17" t="str">
        <f>_xlfn.IFNA(VLOOKUP(C162, '[2]Unique HS'!$B$4:$J$999, 9, FALSE), "No")</f>
        <v>Yes</v>
      </c>
      <c r="L162" s="22">
        <f>VLOOKUP(C162, '[1]India EXIM'!$B$6:$C$580, 2, FALSE)</f>
        <v>0.114872960274</v>
      </c>
      <c r="M162" s="11">
        <f>VLOOKUP(C162, '[1]China EXIM'!$B$6:$D$580, 3, FALSE)</f>
        <v>2.8954207943829999</v>
      </c>
      <c r="N162" s="6"/>
      <c r="O162" s="6"/>
      <c r="P162" s="6"/>
      <c r="Q162" s="10" t="s">
        <v>24</v>
      </c>
      <c r="R162" s="9" t="s">
        <v>30</v>
      </c>
      <c r="T162" s="1" t="s">
        <v>25</v>
      </c>
      <c r="V162" s="1" t="s">
        <v>25</v>
      </c>
    </row>
    <row r="163" spans="2:23" ht="42">
      <c r="B163" s="6" t="str">
        <f>VLOOKUP(C163, [1]Definition!$D$5:$K$5665, 8, FALSE)</f>
        <v>Capital Goods</v>
      </c>
      <c r="C163" s="7">
        <v>841319</v>
      </c>
      <c r="D163" s="8" t="s">
        <v>582</v>
      </c>
      <c r="E163" s="8" t="s">
        <v>25</v>
      </c>
      <c r="F163" s="17" t="s">
        <v>19</v>
      </c>
      <c r="G163" s="8"/>
      <c r="H163" s="8" t="s">
        <v>583</v>
      </c>
      <c r="I163" s="9" t="s">
        <v>22</v>
      </c>
      <c r="J163" s="9" t="s">
        <v>584</v>
      </c>
      <c r="K163" s="17" t="str">
        <f>_xlfn.IFNA(VLOOKUP(C163, '[2]Unique HS'!$B$4:$J$999, 9, FALSE), "No")</f>
        <v>Yes</v>
      </c>
      <c r="L163" s="18">
        <f>VLOOKUP(C163, '[1]India EXIM'!$B$6:$C$580, 2, FALSE)</f>
        <v>2.3554523824000001E-2</v>
      </c>
      <c r="M163" s="11">
        <f>VLOOKUP(C163, '[1]China EXIM'!$B$6:$D$580, 3, FALSE)</f>
        <v>1.5739793182569999</v>
      </c>
      <c r="N163" s="6" t="s">
        <v>103</v>
      </c>
      <c r="O163" s="6"/>
      <c r="P163" s="6"/>
      <c r="Q163" s="10" t="s">
        <v>24</v>
      </c>
      <c r="R163" s="9" t="s">
        <v>22</v>
      </c>
      <c r="V163" s="1" t="s">
        <v>25</v>
      </c>
    </row>
    <row r="164" spans="2:23" ht="42" hidden="1">
      <c r="B164" s="6" t="str">
        <f>VLOOKUP(C164, [1]Definition!$D$5:$K$5665, 8, FALSE)</f>
        <v>Capital Goods</v>
      </c>
      <c r="C164" s="7">
        <v>844319</v>
      </c>
      <c r="D164" s="8" t="s">
        <v>244</v>
      </c>
      <c r="E164" s="8" t="s">
        <v>25</v>
      </c>
      <c r="F164" s="17" t="s">
        <v>19</v>
      </c>
      <c r="G164" s="8"/>
      <c r="H164" s="8"/>
      <c r="I164" s="9" t="s">
        <v>180</v>
      </c>
      <c r="J164" s="9" t="s">
        <v>181</v>
      </c>
      <c r="K164" s="17" t="str">
        <f>_xlfn.IFNA(VLOOKUP(C164, '[2]Unique HS'!$B$4:$J$999, 9, FALSE), "No")</f>
        <v>No</v>
      </c>
      <c r="L164" s="18">
        <f>VLOOKUP(C164, '[1]India EXIM'!$B$6:$C$580, 2, FALSE)</f>
        <v>0.10055074059800001</v>
      </c>
      <c r="M164" s="11">
        <f>VLOOKUP(C164, '[1]China EXIM'!$B$6:$D$580, 3, FALSE)</f>
        <v>1.572719259591</v>
      </c>
      <c r="N164" s="6"/>
      <c r="O164" s="6"/>
      <c r="P164" s="6"/>
      <c r="Q164" s="10" t="s">
        <v>24</v>
      </c>
      <c r="R164" s="11" t="s">
        <v>182</v>
      </c>
      <c r="V164" s="1" t="s">
        <v>25</v>
      </c>
    </row>
    <row r="165" spans="2:23" ht="27.95">
      <c r="B165" s="6" t="str">
        <f>VLOOKUP(C165, [1]Definition!$D$5:$K$5665, 8, FALSE)</f>
        <v>Capital Goods</v>
      </c>
      <c r="C165" s="7">
        <v>850819</v>
      </c>
      <c r="D165" s="8" t="s">
        <v>755</v>
      </c>
      <c r="E165" s="8" t="s">
        <v>25</v>
      </c>
      <c r="F165" s="17" t="s">
        <v>19</v>
      </c>
      <c r="G165" s="8" t="s">
        <v>756</v>
      </c>
      <c r="H165" s="8"/>
      <c r="I165" s="9" t="s">
        <v>22</v>
      </c>
      <c r="J165" s="9" t="s">
        <v>38</v>
      </c>
      <c r="K165" s="17" t="str">
        <f>_xlfn.IFNA(VLOOKUP(C165, '[2]Unique HS'!$B$4:$J$999, 9, FALSE), "No")</f>
        <v>Yes</v>
      </c>
      <c r="L165" s="18">
        <f>VLOOKUP(C165, '[1]India EXIM'!$B$6:$C$580, 2, FALSE)</f>
        <v>1.3131796731000001E-2</v>
      </c>
      <c r="M165" s="11">
        <f>VLOOKUP(C165, '[1]China EXIM'!$B$6:$D$580, 3, FALSE)</f>
        <v>1.565520479136</v>
      </c>
      <c r="N165" s="6" t="s">
        <v>757</v>
      </c>
      <c r="O165" s="6"/>
      <c r="P165" s="6"/>
      <c r="Q165" s="10" t="s">
        <v>24</v>
      </c>
      <c r="R165" s="11" t="s">
        <v>22</v>
      </c>
      <c r="V165" s="1" t="s">
        <v>25</v>
      </c>
      <c r="W165" s="1" t="s">
        <v>349</v>
      </c>
    </row>
    <row r="166" spans="2:23" ht="42" hidden="1">
      <c r="B166" s="6" t="str">
        <f>VLOOKUP(C166, [1]Definition!$D$5:$K$5665, 8, FALSE)</f>
        <v>Capital Goods</v>
      </c>
      <c r="C166" s="7">
        <v>854330</v>
      </c>
      <c r="D166" s="8" t="s">
        <v>383</v>
      </c>
      <c r="E166" s="8" t="s">
        <v>25</v>
      </c>
      <c r="F166" s="17" t="s">
        <v>19</v>
      </c>
      <c r="G166" s="8" t="s">
        <v>384</v>
      </c>
      <c r="H166" s="8" t="s">
        <v>385</v>
      </c>
      <c r="I166" s="9" t="s">
        <v>46</v>
      </c>
      <c r="J166" s="9" t="s">
        <v>386</v>
      </c>
      <c r="K166" s="17" t="str">
        <f>_xlfn.IFNA(VLOOKUP(C166, '[2]Unique HS'!$B$4:$J$999, 9, FALSE), "No")</f>
        <v>Yes</v>
      </c>
      <c r="L166" s="18">
        <f>VLOOKUP(C166, '[1]India EXIM'!$B$6:$C$580, 2, FALSE)</f>
        <v>4.8769632310999997E-2</v>
      </c>
      <c r="M166" s="11">
        <f>VLOOKUP(C166, '[1]China EXIM'!$B$6:$D$580, 3, FALSE)</f>
        <v>1.5600557511440001</v>
      </c>
      <c r="N166" s="6"/>
      <c r="O166" s="6"/>
      <c r="P166" s="6"/>
      <c r="Q166" s="10" t="s">
        <v>24</v>
      </c>
      <c r="R166" s="9" t="s">
        <v>46</v>
      </c>
      <c r="V166" s="1" t="s">
        <v>25</v>
      </c>
    </row>
    <row r="167" spans="2:23" ht="27.95" hidden="1">
      <c r="B167" s="6" t="str">
        <f>VLOOKUP(C167, [1]Definition!$D$5:$K$5665, 8, FALSE)</f>
        <v>Capital Goods</v>
      </c>
      <c r="C167" s="7">
        <v>843320</v>
      </c>
      <c r="D167" s="8" t="s">
        <v>1055</v>
      </c>
      <c r="E167" s="8" t="s">
        <v>25</v>
      </c>
      <c r="F167" s="17" t="s">
        <v>19</v>
      </c>
      <c r="G167" s="8"/>
      <c r="H167" s="8"/>
      <c r="I167" s="9" t="s">
        <v>58</v>
      </c>
      <c r="J167" s="9" t="s">
        <v>1056</v>
      </c>
      <c r="K167" s="17" t="str">
        <f>_xlfn.IFNA(VLOOKUP(C167, '[2]Unique HS'!$B$4:$J$999, 9, FALSE), "No")</f>
        <v>No</v>
      </c>
      <c r="L167" s="18">
        <f>VLOOKUP(C167, '[1]India EXIM'!$B$6:$C$580, 2, FALSE)</f>
        <v>8.6561132399999997E-4</v>
      </c>
      <c r="M167" s="11">
        <f>VLOOKUP(C167, '[1]China EXIM'!$B$6:$D$580, 3, FALSE)</f>
        <v>1.5560013951909999</v>
      </c>
      <c r="N167" s="6" t="s">
        <v>160</v>
      </c>
      <c r="O167" s="6"/>
      <c r="P167" s="6"/>
      <c r="Q167" s="10" t="s">
        <v>24</v>
      </c>
      <c r="R167" s="11" t="s">
        <v>161</v>
      </c>
      <c r="V167" s="1" t="s">
        <v>25</v>
      </c>
    </row>
    <row r="168" spans="2:23" ht="56.1" hidden="1">
      <c r="B168" s="6" t="str">
        <f>VLOOKUP(C168, [1]Definition!$D$5:$K$5665, 8, FALSE)</f>
        <v>Capital Goods</v>
      </c>
      <c r="C168" s="7">
        <v>844339</v>
      </c>
      <c r="D168" s="8" t="s">
        <v>230</v>
      </c>
      <c r="E168" s="8" t="s">
        <v>25</v>
      </c>
      <c r="F168" s="17" t="s">
        <v>19</v>
      </c>
      <c r="G168" s="8"/>
      <c r="H168" s="8"/>
      <c r="I168" s="9" t="s">
        <v>180</v>
      </c>
      <c r="J168" s="9" t="s">
        <v>181</v>
      </c>
      <c r="K168" s="17" t="str">
        <f>_xlfn.IFNA(VLOOKUP(C168, '[2]Unique HS'!$B$4:$J$999, 9, FALSE), "No")</f>
        <v>Yes</v>
      </c>
      <c r="L168" s="18">
        <f>VLOOKUP(C168, '[1]India EXIM'!$B$6:$C$580, 2, FALSE)</f>
        <v>0.109496026229</v>
      </c>
      <c r="M168" s="11">
        <f>VLOOKUP(C168, '[1]China EXIM'!$B$6:$D$580, 3, FALSE)</f>
        <v>1.5516297982230001</v>
      </c>
      <c r="N168" s="6"/>
      <c r="O168" s="6"/>
      <c r="P168" s="6"/>
      <c r="Q168" s="10" t="s">
        <v>24</v>
      </c>
      <c r="R168" s="11" t="s">
        <v>182</v>
      </c>
      <c r="V168" s="1" t="s">
        <v>25</v>
      </c>
    </row>
    <row r="169" spans="2:23" ht="27.95">
      <c r="B169" s="6" t="str">
        <f>VLOOKUP(C169, [1]Definition!$D$5:$K$5665, 8, FALSE)</f>
        <v>Capital Goods</v>
      </c>
      <c r="C169" s="7">
        <v>843340</v>
      </c>
      <c r="D169" s="8" t="s">
        <v>418</v>
      </c>
      <c r="E169" s="8"/>
      <c r="F169" s="17" t="s">
        <v>1178</v>
      </c>
      <c r="G169" s="8" t="s">
        <v>419</v>
      </c>
      <c r="H169" s="8" t="s">
        <v>322</v>
      </c>
      <c r="I169" s="9" t="s">
        <v>22</v>
      </c>
      <c r="J169" s="9" t="s">
        <v>420</v>
      </c>
      <c r="K169" s="17" t="str">
        <f>_xlfn.IFNA(VLOOKUP(C169, '[2]Unique HS'!$B$4:$J$999, 9, FALSE), "No")</f>
        <v>No</v>
      </c>
      <c r="L169" s="18">
        <f>VLOOKUP(C169, '[1]India EXIM'!$B$6:$C$580, 2, FALSE)</f>
        <v>1.5564917857000002E-2</v>
      </c>
      <c r="M169" s="11">
        <f>VLOOKUP(C169, '[1]China EXIM'!$B$6:$D$580, 3, FALSE)</f>
        <v>1.539914232319</v>
      </c>
      <c r="N169" s="6" t="s">
        <v>160</v>
      </c>
      <c r="O169" s="6"/>
      <c r="P169" s="6"/>
      <c r="Q169" s="10" t="s">
        <v>24</v>
      </c>
      <c r="R169" s="11" t="s">
        <v>161</v>
      </c>
    </row>
    <row r="170" spans="2:23" ht="27.95" hidden="1">
      <c r="B170" s="6" t="str">
        <f>VLOOKUP(C170, [1]Definition!$D$5:$K$5665, 8, FALSE)</f>
        <v>Capital Goods</v>
      </c>
      <c r="C170" s="7">
        <v>842790</v>
      </c>
      <c r="D170" s="8" t="s">
        <v>283</v>
      </c>
      <c r="E170" s="8" t="s">
        <v>25</v>
      </c>
      <c r="F170" s="17" t="s">
        <v>19</v>
      </c>
      <c r="G170" s="8"/>
      <c r="H170" s="8"/>
      <c r="I170" s="9" t="s">
        <v>58</v>
      </c>
      <c r="J170" s="9" t="s">
        <v>31</v>
      </c>
      <c r="K170" s="17" t="str">
        <f>_xlfn.IFNA(VLOOKUP(C170, '[2]Unique HS'!$B$4:$J$999, 9, FALSE), "No")</f>
        <v>No</v>
      </c>
      <c r="L170" s="18">
        <f>VLOOKUP(C170, '[1]India EXIM'!$B$6:$C$580, 2, FALSE)</f>
        <v>8.2130282612000005E-2</v>
      </c>
      <c r="M170" s="11">
        <f>VLOOKUP(C170, '[1]China EXIM'!$B$6:$D$580, 3, FALSE)</f>
        <v>1.5081465035750001</v>
      </c>
      <c r="N170" s="9" t="s">
        <v>59</v>
      </c>
      <c r="O170" s="9"/>
      <c r="P170" s="6"/>
      <c r="Q170" s="10" t="s">
        <v>24</v>
      </c>
      <c r="R170" s="9" t="s">
        <v>58</v>
      </c>
      <c r="V170" s="1" t="s">
        <v>25</v>
      </c>
    </row>
    <row r="171" spans="2:23" ht="56.1" hidden="1">
      <c r="B171" s="6" t="str">
        <f>VLOOKUP(C171, [1]Definition!$D$5:$K$5665, 8, FALSE)</f>
        <v>Capital Goods</v>
      </c>
      <c r="C171" s="7">
        <v>901180</v>
      </c>
      <c r="D171" s="8" t="s">
        <v>310</v>
      </c>
      <c r="E171" s="8" t="s">
        <v>25</v>
      </c>
      <c r="F171" s="17" t="s">
        <v>19</v>
      </c>
      <c r="G171" s="8" t="s">
        <v>311</v>
      </c>
      <c r="H171" s="8" t="s">
        <v>312</v>
      </c>
      <c r="I171" s="9" t="s">
        <v>166</v>
      </c>
      <c r="J171" s="9" t="s">
        <v>201</v>
      </c>
      <c r="K171" s="17" t="str">
        <f>_xlfn.IFNA(VLOOKUP(C171, '[2]Unique HS'!$B$4:$J$999, 9, FALSE), "No")</f>
        <v>Yes</v>
      </c>
      <c r="L171" s="18">
        <f>VLOOKUP(C171, '[1]India EXIM'!$B$6:$C$580, 2, FALSE)</f>
        <v>7.1228741424E-2</v>
      </c>
      <c r="M171" s="11">
        <f>VLOOKUP(C171, '[1]China EXIM'!$B$6:$D$580, 3, FALSE)</f>
        <v>1.4780334768979999</v>
      </c>
      <c r="N171" s="6"/>
      <c r="O171" s="6"/>
      <c r="P171" s="6"/>
      <c r="Q171" s="10" t="s">
        <v>24</v>
      </c>
      <c r="R171" s="11" t="s">
        <v>70</v>
      </c>
      <c r="V171" s="1" t="s">
        <v>25</v>
      </c>
    </row>
    <row r="172" spans="2:23" hidden="1">
      <c r="B172" s="6" t="str">
        <f>VLOOKUP(C172, [1]Definition!$D$5:$K$5665, 8, FALSE)</f>
        <v>Capital Goods</v>
      </c>
      <c r="C172" s="7">
        <v>846261</v>
      </c>
      <c r="D172" s="8" t="s">
        <v>354</v>
      </c>
      <c r="E172" s="8" t="s">
        <v>25</v>
      </c>
      <c r="F172" s="17" t="s">
        <v>19</v>
      </c>
      <c r="G172" s="8"/>
      <c r="H172" s="8"/>
      <c r="I172" s="9" t="s">
        <v>65</v>
      </c>
      <c r="J172" s="9" t="s">
        <v>31</v>
      </c>
      <c r="K172" s="17" t="str">
        <f>_xlfn.IFNA(VLOOKUP(C172, '[2]Unique HS'!$B$4:$J$999, 9, FALSE), "No")</f>
        <v>No</v>
      </c>
      <c r="L172" s="18">
        <f>VLOOKUP(C172, '[1]India EXIM'!$B$6:$C$580, 2, FALSE)</f>
        <v>5.7158041978999999E-2</v>
      </c>
      <c r="M172" s="11">
        <f>VLOOKUP(C172, '[1]China EXIM'!$B$6:$D$580, 3, FALSE)</f>
        <v>0.90908541508299989</v>
      </c>
      <c r="N172" s="6"/>
      <c r="O172" s="6"/>
      <c r="P172" s="6"/>
      <c r="Q172" s="10" t="s">
        <v>24</v>
      </c>
      <c r="R172" s="9" t="s">
        <v>65</v>
      </c>
      <c r="V172" s="1" t="s">
        <v>25</v>
      </c>
    </row>
    <row r="173" spans="2:23" ht="27.95" hidden="1">
      <c r="B173" s="6" t="str">
        <f>VLOOKUP(C173, [1]Definition!$D$5:$K$5665, 8, FALSE)</f>
        <v>Capital Goods</v>
      </c>
      <c r="C173" s="7">
        <v>842531</v>
      </c>
      <c r="D173" s="8" t="s">
        <v>809</v>
      </c>
      <c r="E173" s="8" t="s">
        <v>25</v>
      </c>
      <c r="F173" s="17" t="s">
        <v>19</v>
      </c>
      <c r="G173" s="8"/>
      <c r="H173" s="8"/>
      <c r="I173" s="9" t="s">
        <v>58</v>
      </c>
      <c r="J173" s="9" t="s">
        <v>31</v>
      </c>
      <c r="K173" s="17" t="str">
        <f>_xlfn.IFNA(VLOOKUP(C173, '[2]Unique HS'!$B$4:$J$999, 9, FALSE), "No")</f>
        <v>No</v>
      </c>
      <c r="L173" s="18">
        <f>VLOOKUP(C173, '[1]India EXIM'!$B$6:$C$580, 2, FALSE)</f>
        <v>9.8695740139999998E-3</v>
      </c>
      <c r="M173" s="11">
        <f>VLOOKUP(C173, '[1]China EXIM'!$B$6:$D$580, 3, FALSE)</f>
        <v>1.4555112935280001</v>
      </c>
      <c r="N173" s="9" t="s">
        <v>59</v>
      </c>
      <c r="O173" s="9"/>
      <c r="P173" s="6" t="s">
        <v>663</v>
      </c>
      <c r="Q173" s="10" t="s">
        <v>24</v>
      </c>
      <c r="R173" s="9" t="s">
        <v>58</v>
      </c>
      <c r="V173" s="1" t="s">
        <v>25</v>
      </c>
    </row>
    <row r="174" spans="2:23" ht="27.95" hidden="1">
      <c r="B174" s="6" t="str">
        <f>VLOOKUP(C174, [1]Definition!$D$5:$K$5665, 8, FALSE)</f>
        <v>Capital Goods</v>
      </c>
      <c r="C174" s="7">
        <v>843031</v>
      </c>
      <c r="D174" s="8" t="s">
        <v>359</v>
      </c>
      <c r="E174" s="8" t="s">
        <v>25</v>
      </c>
      <c r="F174" s="17" t="s">
        <v>19</v>
      </c>
      <c r="G174" s="8"/>
      <c r="H174" s="8"/>
      <c r="I174" s="9" t="s">
        <v>58</v>
      </c>
      <c r="J174" s="9" t="s">
        <v>31</v>
      </c>
      <c r="K174" s="17" t="str">
        <f>_xlfn.IFNA(VLOOKUP(C174, '[2]Unique HS'!$B$4:$J$999, 9, FALSE), "No")</f>
        <v>No</v>
      </c>
      <c r="L174" s="18">
        <f>VLOOKUP(C174, '[1]India EXIM'!$B$6:$C$580, 2, FALSE)</f>
        <v>5.4367920917999996E-2</v>
      </c>
      <c r="M174" s="11">
        <f>VLOOKUP(C174, '[1]China EXIM'!$B$6:$D$580, 3, FALSE)</f>
        <v>1.446285292707</v>
      </c>
      <c r="N174" s="9" t="s">
        <v>117</v>
      </c>
      <c r="O174" s="9"/>
      <c r="P174" s="6"/>
      <c r="Q174" s="10" t="s">
        <v>24</v>
      </c>
      <c r="R174" s="9" t="s">
        <v>58</v>
      </c>
      <c r="V174" s="1" t="s">
        <v>25</v>
      </c>
    </row>
    <row r="175" spans="2:23" ht="27.95" hidden="1">
      <c r="B175" s="6" t="str">
        <f>VLOOKUP(C175, [1]Definition!$D$5:$K$5665, 8, FALSE)</f>
        <v>Capital Goods</v>
      </c>
      <c r="C175" s="7">
        <v>843280</v>
      </c>
      <c r="D175" s="8" t="s">
        <v>898</v>
      </c>
      <c r="E175" s="8" t="s">
        <v>25</v>
      </c>
      <c r="F175" s="17" t="s">
        <v>19</v>
      </c>
      <c r="G175" s="8"/>
      <c r="H175" s="8"/>
      <c r="I175" s="9" t="s">
        <v>58</v>
      </c>
      <c r="J175" s="9" t="s">
        <v>899</v>
      </c>
      <c r="K175" s="17" t="str">
        <f>_xlfn.IFNA(VLOOKUP(C175, '[2]Unique HS'!$B$4:$J$999, 9, FALSE), "No")</f>
        <v>No</v>
      </c>
      <c r="L175" s="18">
        <f>VLOOKUP(C175, '[1]India EXIM'!$B$6:$C$580, 2, FALSE)</f>
        <v>6.3556009110000006E-3</v>
      </c>
      <c r="M175" s="11">
        <f>VLOOKUP(C175, '[1]China EXIM'!$B$6:$D$580, 3, FALSE)</f>
        <v>1.4452164390220001</v>
      </c>
      <c r="N175" s="6" t="s">
        <v>160</v>
      </c>
      <c r="O175" s="6"/>
      <c r="P175" s="6"/>
      <c r="Q175" s="10" t="s">
        <v>24</v>
      </c>
      <c r="R175" s="9" t="s">
        <v>58</v>
      </c>
      <c r="V175" s="1" t="s">
        <v>25</v>
      </c>
    </row>
    <row r="176" spans="2:23" ht="56.1">
      <c r="B176" s="6" t="str">
        <f>VLOOKUP(C176, [1]Definition!$D$5:$K$5665, 8, FALSE)</f>
        <v>Capital Goods</v>
      </c>
      <c r="C176" s="7">
        <v>847529</v>
      </c>
      <c r="D176" s="8" t="s">
        <v>292</v>
      </c>
      <c r="E176" s="8" t="s">
        <v>25</v>
      </c>
      <c r="F176" s="17" t="s">
        <v>19</v>
      </c>
      <c r="G176" s="8" t="s">
        <v>293</v>
      </c>
      <c r="H176" s="8"/>
      <c r="I176" s="9" t="s">
        <v>22</v>
      </c>
      <c r="J176" s="9" t="s">
        <v>294</v>
      </c>
      <c r="K176" s="17" t="str">
        <f>_xlfn.IFNA(VLOOKUP(C176, '[2]Unique HS'!$B$4:$J$999, 9, FALSE), "No")</f>
        <v>No</v>
      </c>
      <c r="L176" s="18">
        <f>VLOOKUP(C176, '[1]India EXIM'!$B$6:$C$580, 2, FALSE)</f>
        <v>7.4120186952000011E-2</v>
      </c>
      <c r="M176" s="11">
        <f>VLOOKUP(C176, '[1]China EXIM'!$B$6:$D$580, 3, FALSE)</f>
        <v>1.437932210034</v>
      </c>
      <c r="N176" s="6"/>
      <c r="O176" s="6"/>
      <c r="P176" s="6"/>
      <c r="Q176" s="10" t="s">
        <v>24</v>
      </c>
      <c r="R176" s="9" t="s">
        <v>22</v>
      </c>
      <c r="V176" s="1" t="s">
        <v>25</v>
      </c>
    </row>
    <row r="177" spans="2:24" ht="27.95" hidden="1">
      <c r="B177" s="6" t="str">
        <f>VLOOKUP(C177, [1]Definition!$D$5:$K$5665, 8, FALSE)</f>
        <v>Capital Goods</v>
      </c>
      <c r="C177" s="7">
        <v>846211</v>
      </c>
      <c r="D177" s="8" t="s">
        <v>369</v>
      </c>
      <c r="E177" s="8" t="s">
        <v>25</v>
      </c>
      <c r="F177" s="17" t="s">
        <v>19</v>
      </c>
      <c r="G177" s="8"/>
      <c r="H177" s="8"/>
      <c r="I177" s="9" t="s">
        <v>65</v>
      </c>
      <c r="J177" s="9" t="s">
        <v>31</v>
      </c>
      <c r="K177" s="17" t="str">
        <f>_xlfn.IFNA(VLOOKUP(C177, '[2]Unique HS'!$B$4:$J$999, 9, FALSE), "No")</f>
        <v>No</v>
      </c>
      <c r="L177" s="18">
        <f>VLOOKUP(C177, '[1]India EXIM'!$B$6:$C$580, 2, FALSE)</f>
        <v>5.2360012625999999E-2</v>
      </c>
      <c r="M177" s="11">
        <f>VLOOKUP(C177, '[1]China EXIM'!$B$6:$D$580, 3, FALSE)</f>
        <v>0.49246440537399999</v>
      </c>
      <c r="N177" s="6"/>
      <c r="O177" s="6"/>
      <c r="P177" s="6"/>
      <c r="Q177" s="10" t="s">
        <v>24</v>
      </c>
      <c r="R177" s="9" t="s">
        <v>65</v>
      </c>
      <c r="V177" s="1" t="s">
        <v>25</v>
      </c>
    </row>
    <row r="178" spans="2:24" ht="42" hidden="1">
      <c r="B178" s="6" t="str">
        <f>VLOOKUP(C178, [1]Definition!$D$5:$K$5665, 8, FALSE)</f>
        <v>Capital Goods</v>
      </c>
      <c r="C178" s="7">
        <v>847759</v>
      </c>
      <c r="D178" s="8" t="s">
        <v>215</v>
      </c>
      <c r="E178" s="8" t="s">
        <v>25</v>
      </c>
      <c r="F178" s="17" t="s">
        <v>19</v>
      </c>
      <c r="G178" s="8"/>
      <c r="H178" s="8"/>
      <c r="I178" s="9" t="s">
        <v>52</v>
      </c>
      <c r="J178" s="9" t="s">
        <v>53</v>
      </c>
      <c r="K178" s="17" t="str">
        <f>_xlfn.IFNA(VLOOKUP(C178, '[2]Unique HS'!$B$4:$J$999, 9, FALSE), "No")</f>
        <v>No</v>
      </c>
      <c r="L178" s="18">
        <f>VLOOKUP(C178, '[1]India EXIM'!$B$6:$C$580, 2, FALSE)</f>
        <v>0.11997662432099999</v>
      </c>
      <c r="M178" s="11">
        <f>VLOOKUP(C178, '[1]China EXIM'!$B$6:$D$580, 3, FALSE)</f>
        <v>1.4301769840629999</v>
      </c>
      <c r="N178" s="6"/>
      <c r="O178" s="6"/>
      <c r="P178" s="6"/>
      <c r="Q178" s="10" t="s">
        <v>24</v>
      </c>
      <c r="R178" s="9" t="s">
        <v>52</v>
      </c>
      <c r="V178" s="1" t="s">
        <v>25</v>
      </c>
    </row>
    <row r="179" spans="2:24" ht="42" hidden="1">
      <c r="B179" s="6" t="str">
        <f>VLOOKUP(C179, [1]Definition!$D$5:$K$5665, 8, FALSE)</f>
        <v>Capital Goods</v>
      </c>
      <c r="C179" s="7">
        <v>850162</v>
      </c>
      <c r="D179" s="8" t="s">
        <v>740</v>
      </c>
      <c r="E179" s="8" t="s">
        <v>34</v>
      </c>
      <c r="F179" s="17" t="s">
        <v>27</v>
      </c>
      <c r="G179" s="8" t="s">
        <v>741</v>
      </c>
      <c r="H179" s="8" t="s">
        <v>742</v>
      </c>
      <c r="I179" s="9" t="s">
        <v>30</v>
      </c>
      <c r="J179" s="9" t="s">
        <v>31</v>
      </c>
      <c r="K179" s="17" t="str">
        <f>_xlfn.IFNA(VLOOKUP(C179, '[2]Unique HS'!$B$4:$J$999, 9, FALSE), "No")</f>
        <v>No</v>
      </c>
      <c r="L179" s="22">
        <f>VLOOKUP(C179, '[1]India EXIM'!$B$6:$C$580, 2, FALSE)</f>
        <v>1.3393040312999999E-2</v>
      </c>
      <c r="M179" s="11">
        <f>VLOOKUP(C179, '[1]China EXIM'!$B$6:$D$580, 3, FALSE)</f>
        <v>1.3617081918210001</v>
      </c>
      <c r="N179" s="9" t="s">
        <v>129</v>
      </c>
      <c r="O179" s="9"/>
      <c r="P179" s="6"/>
      <c r="Q179" s="10" t="s">
        <v>24</v>
      </c>
      <c r="R179" s="9" t="s">
        <v>30</v>
      </c>
      <c r="T179" s="1" t="s">
        <v>33</v>
      </c>
      <c r="V179" s="1" t="s">
        <v>34</v>
      </c>
    </row>
    <row r="180" spans="2:24" ht="27.95" hidden="1">
      <c r="B180" s="6" t="str">
        <f>VLOOKUP(C180, [1]Definition!$D$5:$K$5665, 8, FALSE)</f>
        <v>Capital Goods</v>
      </c>
      <c r="C180" s="7">
        <v>846721</v>
      </c>
      <c r="D180" s="8" t="s">
        <v>372</v>
      </c>
      <c r="E180" s="8" t="s">
        <v>25</v>
      </c>
      <c r="F180" s="17" t="s">
        <v>19</v>
      </c>
      <c r="G180" s="8"/>
      <c r="H180" s="8"/>
      <c r="I180" s="9" t="s">
        <v>65</v>
      </c>
      <c r="J180" s="9" t="s">
        <v>31</v>
      </c>
      <c r="K180" s="17" t="str">
        <f>_xlfn.IFNA(VLOOKUP(C180, '[2]Unique HS'!$B$4:$J$999, 9, FALSE), "No")</f>
        <v>Yes</v>
      </c>
      <c r="L180" s="18">
        <f>VLOOKUP(C180, '[1]India EXIM'!$B$6:$C$580, 2, FALSE)</f>
        <v>5.1904876715000006E-2</v>
      </c>
      <c r="M180" s="11">
        <f>VLOOKUP(C180, '[1]China EXIM'!$B$6:$D$580, 3, FALSE)</f>
        <v>4.5133868513050004</v>
      </c>
      <c r="N180" s="6"/>
      <c r="O180" s="6"/>
      <c r="P180" s="6"/>
      <c r="Q180" s="10" t="s">
        <v>24</v>
      </c>
      <c r="R180" s="9" t="s">
        <v>65</v>
      </c>
      <c r="V180" s="1" t="s">
        <v>25</v>
      </c>
    </row>
    <row r="181" spans="2:24" ht="42" hidden="1">
      <c r="B181" s="6" t="str">
        <f>VLOOKUP(C181, [1]Definition!$D$5:$K$5665, 8, FALSE)</f>
        <v>Capital Goods</v>
      </c>
      <c r="C181" s="7">
        <v>847730</v>
      </c>
      <c r="D181" s="8" t="s">
        <v>245</v>
      </c>
      <c r="E181" s="8" t="s">
        <v>25</v>
      </c>
      <c r="F181" s="17" t="s">
        <v>19</v>
      </c>
      <c r="G181" s="8"/>
      <c r="H181" s="8"/>
      <c r="I181" s="9" t="s">
        <v>52</v>
      </c>
      <c r="J181" s="9" t="s">
        <v>53</v>
      </c>
      <c r="K181" s="17" t="str">
        <f>_xlfn.IFNA(VLOOKUP(C181, '[2]Unique HS'!$B$4:$J$999, 9, FALSE), "No")</f>
        <v>No</v>
      </c>
      <c r="L181" s="18">
        <f>VLOOKUP(C181, '[1]India EXIM'!$B$6:$C$580, 2, FALSE)</f>
        <v>9.9844386928000003E-2</v>
      </c>
      <c r="M181" s="11">
        <f>VLOOKUP(C181, '[1]China EXIM'!$B$6:$D$580, 3, FALSE)</f>
        <v>1.3901139551800001</v>
      </c>
      <c r="N181" s="6"/>
      <c r="O181" s="6"/>
      <c r="P181" s="6"/>
      <c r="Q181" s="10" t="s">
        <v>24</v>
      </c>
      <c r="R181" s="9" t="s">
        <v>52</v>
      </c>
      <c r="V181" s="1" t="s">
        <v>25</v>
      </c>
    </row>
    <row r="182" spans="2:24" ht="56.1">
      <c r="B182" s="6" t="str">
        <f>VLOOKUP(C182, [1]Definition!$D$5:$K$5665, 8, FALSE)</f>
        <v>Capital Goods</v>
      </c>
      <c r="C182" s="7">
        <v>841940</v>
      </c>
      <c r="D182" s="8" t="s">
        <v>516</v>
      </c>
      <c r="E182" s="8" t="s">
        <v>25</v>
      </c>
      <c r="F182" s="17" t="s">
        <v>19</v>
      </c>
      <c r="G182" s="8" t="s">
        <v>517</v>
      </c>
      <c r="H182" s="8"/>
      <c r="I182" s="9" t="s">
        <v>22</v>
      </c>
      <c r="J182" s="9" t="s">
        <v>74</v>
      </c>
      <c r="K182" s="17" t="str">
        <f>_xlfn.IFNA(VLOOKUP(C182, '[2]Unique HS'!$B$4:$J$999, 9, FALSE), "No")</f>
        <v>Yes</v>
      </c>
      <c r="L182" s="18">
        <f>VLOOKUP(C182, '[1]India EXIM'!$B$6:$C$580, 2, FALSE)</f>
        <v>2.9402068614E-2</v>
      </c>
      <c r="M182" s="11">
        <f>VLOOKUP(C182, '[1]China EXIM'!$B$6:$D$580, 3, FALSE)</f>
        <v>1.389044602747</v>
      </c>
      <c r="N182" s="6"/>
      <c r="O182" s="6"/>
      <c r="P182" s="6"/>
      <c r="Q182" s="10" t="s">
        <v>24</v>
      </c>
      <c r="R182" s="9" t="s">
        <v>22</v>
      </c>
      <c r="V182" s="1" t="s">
        <v>25</v>
      </c>
      <c r="W182" s="1" t="s">
        <v>401</v>
      </c>
    </row>
    <row r="183" spans="2:24" ht="27.95" hidden="1">
      <c r="B183" s="6" t="str">
        <f>VLOOKUP(C183, [1]Definition!$D$5:$K$5665, 8, FALSE)</f>
        <v>Capital Goods</v>
      </c>
      <c r="C183" s="7">
        <v>843629</v>
      </c>
      <c r="D183" s="16" t="s">
        <v>759</v>
      </c>
      <c r="E183" s="16" t="s">
        <v>25</v>
      </c>
      <c r="F183" s="17" t="s">
        <v>19</v>
      </c>
      <c r="G183" s="8"/>
      <c r="H183" s="8"/>
      <c r="I183" s="9" t="s">
        <v>61</v>
      </c>
      <c r="J183" s="9" t="s">
        <v>760</v>
      </c>
      <c r="K183" s="17" t="str">
        <f>_xlfn.IFNA(VLOOKUP(C183, '[2]Unique HS'!$B$4:$J$999, 9, FALSE), "No")</f>
        <v>No</v>
      </c>
      <c r="L183" s="18">
        <f>VLOOKUP(C183, '[1]India EXIM'!$B$6:$C$580, 2, FALSE)</f>
        <v>1.2762712698999999E-2</v>
      </c>
      <c r="M183" s="11">
        <f>VLOOKUP(C183, '[1]China EXIM'!$B$6:$D$580, 3, FALSE)</f>
        <v>1.3829968884799999</v>
      </c>
      <c r="N183" s="6"/>
      <c r="O183" s="6"/>
      <c r="P183" s="6"/>
      <c r="Q183" s="10" t="s">
        <v>24</v>
      </c>
      <c r="R183" s="9" t="s">
        <v>61</v>
      </c>
      <c r="V183" s="1" t="s">
        <v>25</v>
      </c>
    </row>
    <row r="184" spans="2:24" ht="27.95" hidden="1">
      <c r="B184" s="6" t="str">
        <f>VLOOKUP(C184, [1]Definition!$D$5:$K$5665, 8, FALSE)</f>
        <v>Capital Goods</v>
      </c>
      <c r="C184" s="7">
        <v>820770</v>
      </c>
      <c r="D184" s="8" t="s">
        <v>376</v>
      </c>
      <c r="E184" s="8" t="s">
        <v>25</v>
      </c>
      <c r="F184" s="17" t="s">
        <v>19</v>
      </c>
      <c r="G184" s="8"/>
      <c r="H184" s="8"/>
      <c r="I184" s="9" t="s">
        <v>65</v>
      </c>
      <c r="J184" s="9" t="s">
        <v>377</v>
      </c>
      <c r="K184" s="17" t="str">
        <f>_xlfn.IFNA(VLOOKUP(C184, '[2]Unique HS'!$B$4:$J$999, 9, FALSE), "No")</f>
        <v>Yes</v>
      </c>
      <c r="L184" s="18">
        <f>VLOOKUP(C184, '[1]India EXIM'!$B$6:$C$580, 2, FALSE)</f>
        <v>5.1586156726999996E-2</v>
      </c>
      <c r="M184" s="11">
        <f>VLOOKUP(C184, '[1]China EXIM'!$B$6:$D$580, 3, FALSE)</f>
        <v>2.8063868964530001</v>
      </c>
      <c r="N184" s="6" t="s">
        <v>201</v>
      </c>
      <c r="O184" s="6"/>
      <c r="P184" s="6"/>
      <c r="Q184" s="10" t="s">
        <v>24</v>
      </c>
      <c r="R184" s="11" t="s">
        <v>202</v>
      </c>
      <c r="V184" s="1" t="s">
        <v>25</v>
      </c>
    </row>
    <row r="185" spans="2:24" ht="42" hidden="1">
      <c r="B185" s="6" t="str">
        <f>VLOOKUP(C185, [1]Definition!$D$5:$K$5665, 8, FALSE)</f>
        <v>Capital Goods</v>
      </c>
      <c r="C185" s="7">
        <v>850163</v>
      </c>
      <c r="D185" s="8" t="s">
        <v>994</v>
      </c>
      <c r="E185" s="8" t="s">
        <v>34</v>
      </c>
      <c r="F185" s="17" t="s">
        <v>27</v>
      </c>
      <c r="G185" s="8" t="s">
        <v>995</v>
      </c>
      <c r="H185" s="8" t="s">
        <v>996</v>
      </c>
      <c r="I185" s="9" t="s">
        <v>30</v>
      </c>
      <c r="J185" s="9" t="s">
        <v>31</v>
      </c>
      <c r="K185" s="17" t="str">
        <f>_xlfn.IFNA(VLOOKUP(C185, '[2]Unique HS'!$B$4:$J$999, 9, FALSE), "No")</f>
        <v>No</v>
      </c>
      <c r="L185" s="22">
        <f>VLOOKUP(C185, '[1]India EXIM'!$B$6:$C$580, 2, FALSE)</f>
        <v>2.372621017E-3</v>
      </c>
      <c r="M185" s="11">
        <f>VLOOKUP(C185, '[1]China EXIM'!$B$6:$D$580, 3, FALSE)</f>
        <v>0.35491233213599999</v>
      </c>
      <c r="N185" s="9" t="s">
        <v>129</v>
      </c>
      <c r="O185" s="9"/>
      <c r="P185" s="6"/>
      <c r="Q185" s="10" t="s">
        <v>24</v>
      </c>
      <c r="R185" s="9" t="s">
        <v>30</v>
      </c>
      <c r="T185" s="1" t="s">
        <v>33</v>
      </c>
      <c r="V185" s="1" t="s">
        <v>34</v>
      </c>
    </row>
    <row r="186" spans="2:24" ht="27.95" hidden="1">
      <c r="B186" s="6" t="str">
        <f>VLOOKUP(C186, [1]Definition!$D$5:$K$5665, 8, FALSE)</f>
        <v>Capital Goods</v>
      </c>
      <c r="C186" s="7">
        <v>845891</v>
      </c>
      <c r="D186" s="8" t="s">
        <v>402</v>
      </c>
      <c r="E186" s="8" t="s">
        <v>25</v>
      </c>
      <c r="F186" s="17" t="s">
        <v>19</v>
      </c>
      <c r="G186" s="8"/>
      <c r="H186" s="8"/>
      <c r="I186" s="9" t="s">
        <v>65</v>
      </c>
      <c r="J186" s="9" t="s">
        <v>174</v>
      </c>
      <c r="K186" s="17" t="str">
        <f>_xlfn.IFNA(VLOOKUP(C186, '[2]Unique HS'!$B$4:$J$999, 9, FALSE), "No")</f>
        <v>No</v>
      </c>
      <c r="L186" s="18">
        <f>VLOOKUP(C186, '[1]India EXIM'!$B$6:$C$580, 2, FALSE)</f>
        <v>4.6412194479999995E-2</v>
      </c>
      <c r="M186" s="11">
        <f>VLOOKUP(C186, '[1]China EXIM'!$B$6:$D$580, 3, FALSE)</f>
        <v>1.2016319750269999</v>
      </c>
      <c r="N186" s="6"/>
      <c r="O186" s="6"/>
      <c r="P186" s="6"/>
      <c r="Q186" s="10" t="s">
        <v>24</v>
      </c>
      <c r="R186" s="9" t="s">
        <v>65</v>
      </c>
      <c r="T186" s="1" t="s">
        <v>456</v>
      </c>
      <c r="V186" s="1" t="s">
        <v>25</v>
      </c>
      <c r="X186" s="1" t="s">
        <v>457</v>
      </c>
    </row>
    <row r="187" spans="2:24" ht="42">
      <c r="B187" s="6" t="str">
        <f>VLOOKUP(C187, [1]Definition!$D$5:$K$5665, 8, FALSE)</f>
        <v>Capital Goods</v>
      </c>
      <c r="C187" s="7">
        <v>902480</v>
      </c>
      <c r="D187" s="8" t="s">
        <v>305</v>
      </c>
      <c r="E187" s="8" t="s">
        <v>25</v>
      </c>
      <c r="F187" s="17" t="s">
        <v>19</v>
      </c>
      <c r="G187" s="8"/>
      <c r="H187" s="8" t="s">
        <v>306</v>
      </c>
      <c r="I187" s="9" t="s">
        <v>22</v>
      </c>
      <c r="J187" s="9" t="s">
        <v>307</v>
      </c>
      <c r="K187" s="17" t="str">
        <f>_xlfn.IFNA(VLOOKUP(C187, '[2]Unique HS'!$B$4:$J$999, 9, FALSE), "No")</f>
        <v>Yes</v>
      </c>
      <c r="L187" s="18">
        <f>VLOOKUP(C187, '[1]India EXIM'!$B$6:$C$580, 2, FALSE)</f>
        <v>7.2285559994999998E-2</v>
      </c>
      <c r="M187" s="11">
        <f>VLOOKUP(C187, '[1]China EXIM'!$B$6:$D$580, 3, FALSE)</f>
        <v>1.3486598420710001</v>
      </c>
      <c r="N187" s="6"/>
      <c r="O187" s="6"/>
      <c r="P187" s="6"/>
      <c r="Q187" s="10" t="s">
        <v>24</v>
      </c>
      <c r="R187" s="9" t="s">
        <v>22</v>
      </c>
      <c r="V187" s="1" t="s">
        <v>25</v>
      </c>
    </row>
    <row r="188" spans="2:24" ht="27.95" hidden="1">
      <c r="B188" s="6" t="str">
        <f>VLOOKUP(C188, [1]Definition!$D$5:$K$5665, 8, FALSE)</f>
        <v>Capital Goods</v>
      </c>
      <c r="C188" s="7">
        <v>842870</v>
      </c>
      <c r="D188" s="8" t="s">
        <v>697</v>
      </c>
      <c r="E188" s="8" t="s">
        <v>25</v>
      </c>
      <c r="F188" s="17" t="s">
        <v>142</v>
      </c>
      <c r="G188" s="8"/>
      <c r="H188" s="8"/>
      <c r="I188" s="9" t="s">
        <v>58</v>
      </c>
      <c r="J188" s="9" t="s">
        <v>31</v>
      </c>
      <c r="K188" s="17" t="str">
        <f>_xlfn.IFNA(VLOOKUP(C188, '[2]Unique HS'!$B$4:$J$999, 9, FALSE), "No")</f>
        <v>Yes</v>
      </c>
      <c r="L188" s="18">
        <f>VLOOKUP(C188, '[1]India EXIM'!$B$6:$C$580, 2, FALSE)</f>
        <v>1.6246014533000001E-2</v>
      </c>
      <c r="M188" s="11">
        <f>VLOOKUP(C188, '[1]China EXIM'!$B$6:$D$580, 3, FALSE)</f>
        <v>1.3345155115899998</v>
      </c>
      <c r="N188" s="9" t="s">
        <v>144</v>
      </c>
      <c r="O188" s="9"/>
      <c r="P188" s="6"/>
      <c r="Q188" s="10" t="s">
        <v>24</v>
      </c>
      <c r="R188" s="11" t="s">
        <v>144</v>
      </c>
      <c r="V188" s="1" t="s">
        <v>25</v>
      </c>
    </row>
    <row r="189" spans="2:24" ht="27.95" hidden="1">
      <c r="B189" s="6" t="str">
        <f>VLOOKUP(C189, [1]Definition!$D$5:$K$5665, 8, FALSE)</f>
        <v>Capital Goods</v>
      </c>
      <c r="C189" s="7">
        <v>848520</v>
      </c>
      <c r="D189" s="8" t="s">
        <v>804</v>
      </c>
      <c r="E189" s="8" t="s">
        <v>25</v>
      </c>
      <c r="F189" s="17" t="s">
        <v>19</v>
      </c>
      <c r="G189" s="8"/>
      <c r="H189" s="8"/>
      <c r="I189" s="9" t="s">
        <v>52</v>
      </c>
      <c r="J189" s="9" t="s">
        <v>31</v>
      </c>
      <c r="K189" s="17" t="str">
        <f>_xlfn.IFNA(VLOOKUP(C189, '[2]Unique HS'!$B$4:$J$999, 9, FALSE), "No")</f>
        <v>No</v>
      </c>
      <c r="L189" s="18">
        <f>VLOOKUP(C189, '[1]India EXIM'!$B$6:$C$580, 2, FALSE)</f>
        <v>1.0299531886E-2</v>
      </c>
      <c r="M189" s="11">
        <f>VLOOKUP(C189, '[1]China EXIM'!$B$6:$D$580, 3, FALSE)</f>
        <v>1.3224036971240001</v>
      </c>
      <c r="N189" s="6"/>
      <c r="O189" s="6"/>
      <c r="P189" s="6"/>
      <c r="Q189" s="10" t="s">
        <v>24</v>
      </c>
      <c r="R189" s="9" t="s">
        <v>52</v>
      </c>
      <c r="T189" s="1" t="s">
        <v>456</v>
      </c>
      <c r="V189" s="1" t="s">
        <v>25</v>
      </c>
      <c r="W189" s="1" t="s">
        <v>457</v>
      </c>
    </row>
    <row r="190" spans="2:24" ht="42" hidden="1">
      <c r="B190" s="6" t="str">
        <f>VLOOKUP(C190, [1]Definition!$D$5:$K$5665, 8, FALSE)</f>
        <v>Capital Goods</v>
      </c>
      <c r="C190" s="7">
        <v>851531</v>
      </c>
      <c r="D190" s="8" t="s">
        <v>412</v>
      </c>
      <c r="E190" s="8" t="s">
        <v>25</v>
      </c>
      <c r="F190" s="17" t="s">
        <v>19</v>
      </c>
      <c r="G190" s="8"/>
      <c r="H190" s="8"/>
      <c r="I190" s="9" t="s">
        <v>65</v>
      </c>
      <c r="J190" s="9" t="s">
        <v>232</v>
      </c>
      <c r="K190" s="17" t="str">
        <f>_xlfn.IFNA(VLOOKUP(C190, '[2]Unique HS'!$B$4:$J$999, 9, FALSE), "No")</f>
        <v>Yes</v>
      </c>
      <c r="L190" s="18">
        <f>VLOOKUP(C190, '[1]India EXIM'!$B$6:$C$580, 2, FALSE)</f>
        <v>4.5591867567000004E-2</v>
      </c>
      <c r="M190" s="11">
        <f>VLOOKUP(C190, '[1]China EXIM'!$B$6:$D$580, 3, FALSE)</f>
        <v>1.8553353238099999</v>
      </c>
      <c r="N190" s="6"/>
      <c r="O190" s="6"/>
      <c r="P190" s="6"/>
      <c r="Q190" s="10" t="s">
        <v>24</v>
      </c>
      <c r="R190" s="9" t="s">
        <v>65</v>
      </c>
      <c r="V190" s="1" t="s">
        <v>25</v>
      </c>
    </row>
    <row r="191" spans="2:24" ht="27.95" hidden="1">
      <c r="B191" s="6" t="str">
        <f>VLOOKUP(C191, [1]Definition!$D$5:$K$5665, 8, FALSE)</f>
        <v>Capital Goods</v>
      </c>
      <c r="C191" s="7">
        <v>901811</v>
      </c>
      <c r="D191" s="8" t="s">
        <v>569</v>
      </c>
      <c r="E191" s="8" t="s">
        <v>137</v>
      </c>
      <c r="F191" s="17" t="s">
        <v>205</v>
      </c>
      <c r="G191" s="8"/>
      <c r="H191" s="8"/>
      <c r="I191" s="9" t="s">
        <v>166</v>
      </c>
      <c r="J191" s="9" t="s">
        <v>570</v>
      </c>
      <c r="K191" s="17" t="str">
        <f>_xlfn.IFNA(VLOOKUP(C191, '[2]Unique HS'!$B$4:$J$999, 9, FALSE), "No")</f>
        <v>No</v>
      </c>
      <c r="L191" s="18">
        <f>VLOOKUP(C191, '[1]India EXIM'!$B$6:$C$580, 2, FALSE)</f>
        <v>2.4196861005E-2</v>
      </c>
      <c r="M191" s="11">
        <f>VLOOKUP(C191, '[1]China EXIM'!$B$6:$D$580, 3, FALSE)</f>
        <v>1.3136859153429998</v>
      </c>
      <c r="N191" s="6"/>
      <c r="O191" s="6"/>
      <c r="P191" s="6"/>
      <c r="Q191" s="10" t="s">
        <v>24</v>
      </c>
      <c r="R191" s="11" t="s">
        <v>70</v>
      </c>
      <c r="T191" s="1" t="s">
        <v>136</v>
      </c>
      <c r="V191" s="1" t="s">
        <v>137</v>
      </c>
    </row>
    <row r="192" spans="2:24" ht="27.95" hidden="1">
      <c r="B192" s="6" t="str">
        <f>VLOOKUP(C192, [1]Definition!$D$5:$K$5665, 8, FALSE)</f>
        <v>Capital Goods</v>
      </c>
      <c r="C192" s="7">
        <v>844540</v>
      </c>
      <c r="D192" s="8" t="s">
        <v>175</v>
      </c>
      <c r="E192" s="8" t="s">
        <v>25</v>
      </c>
      <c r="F192" s="17" t="s">
        <v>19</v>
      </c>
      <c r="G192" s="8"/>
      <c r="H192" s="8"/>
      <c r="I192" s="9" t="s">
        <v>55</v>
      </c>
      <c r="J192" s="9" t="s">
        <v>56</v>
      </c>
      <c r="K192" s="17" t="str">
        <f>_xlfn.IFNA(VLOOKUP(C192, '[2]Unique HS'!$B$4:$J$999, 9, FALSE), "No")</f>
        <v>No</v>
      </c>
      <c r="L192" s="18">
        <f>VLOOKUP(C192, '[1]India EXIM'!$B$6:$C$580, 2, FALSE)</f>
        <v>0.15382336005799999</v>
      </c>
      <c r="M192" s="11">
        <f>VLOOKUP(C192, '[1]China EXIM'!$B$6:$D$580, 3, FALSE)</f>
        <v>1.305928711055</v>
      </c>
      <c r="N192" s="6"/>
      <c r="O192" s="6"/>
      <c r="P192" s="6"/>
      <c r="Q192" s="10" t="s">
        <v>24</v>
      </c>
      <c r="R192" s="9" t="s">
        <v>55</v>
      </c>
      <c r="V192" s="1" t="s">
        <v>25</v>
      </c>
    </row>
    <row r="193" spans="2:23" ht="27.95" hidden="1">
      <c r="B193" s="6" t="str">
        <f>VLOOKUP(C193, [1]Definition!$D$5:$K$5665, 8, FALSE)</f>
        <v>Capital Goods</v>
      </c>
      <c r="C193" s="7">
        <v>844316</v>
      </c>
      <c r="D193" s="8" t="s">
        <v>403</v>
      </c>
      <c r="E193" s="8" t="s">
        <v>25</v>
      </c>
      <c r="F193" s="17" t="s">
        <v>19</v>
      </c>
      <c r="G193" s="8"/>
      <c r="H193" s="8"/>
      <c r="I193" s="9" t="s">
        <v>180</v>
      </c>
      <c r="J193" s="9" t="s">
        <v>181</v>
      </c>
      <c r="K193" s="17" t="str">
        <f>_xlfn.IFNA(VLOOKUP(C193, '[2]Unique HS'!$B$4:$J$999, 9, FALSE), "No")</f>
        <v>No</v>
      </c>
      <c r="L193" s="18">
        <f>VLOOKUP(C193, '[1]India EXIM'!$B$6:$C$580, 2, FALSE)</f>
        <v>4.6407118471E-2</v>
      </c>
      <c r="M193" s="11">
        <f>VLOOKUP(C193, '[1]China EXIM'!$B$6:$D$580, 3, FALSE)</f>
        <v>1.3058100167160001</v>
      </c>
      <c r="N193" s="6"/>
      <c r="O193" s="6"/>
      <c r="P193" s="6"/>
      <c r="Q193" s="10" t="s">
        <v>24</v>
      </c>
      <c r="R193" s="11" t="s">
        <v>182</v>
      </c>
      <c r="V193" s="1" t="s">
        <v>25</v>
      </c>
    </row>
    <row r="194" spans="2:23" ht="42" hidden="1">
      <c r="B194" s="6" t="str">
        <f>VLOOKUP(C194, [1]Definition!$D$5:$K$5665, 8, FALSE)</f>
        <v>Capital Goods</v>
      </c>
      <c r="C194" s="7">
        <v>842511</v>
      </c>
      <c r="D194" s="8" t="s">
        <v>510</v>
      </c>
      <c r="E194" s="8" t="s">
        <v>25</v>
      </c>
      <c r="F194" s="17" t="s">
        <v>19</v>
      </c>
      <c r="G194" s="8"/>
      <c r="H194" s="8"/>
      <c r="I194" s="9" t="s">
        <v>58</v>
      </c>
      <c r="J194" s="9" t="s">
        <v>511</v>
      </c>
      <c r="K194" s="17" t="str">
        <f>_xlfn.IFNA(VLOOKUP(C194, '[2]Unique HS'!$B$4:$J$999, 9, FALSE), "No")</f>
        <v>No</v>
      </c>
      <c r="L194" s="18">
        <f>VLOOKUP(C194, '[1]India EXIM'!$B$6:$C$580, 2, FALSE)</f>
        <v>3.0094886103999997E-2</v>
      </c>
      <c r="M194" s="11">
        <f>VLOOKUP(C194, '[1]China EXIM'!$B$6:$D$580, 3, FALSE)</f>
        <v>1.3036309544619999</v>
      </c>
      <c r="N194" s="9" t="s">
        <v>59</v>
      </c>
      <c r="O194" s="9"/>
      <c r="P194" s="6"/>
      <c r="Q194" s="10" t="s">
        <v>24</v>
      </c>
      <c r="R194" s="9" t="s">
        <v>58</v>
      </c>
      <c r="V194" s="1" t="s">
        <v>25</v>
      </c>
    </row>
    <row r="195" spans="2:23" ht="56.1">
      <c r="B195" s="6" t="str">
        <f>VLOOKUP(C195, [1]Definition!$D$5:$K$5665, 8, FALSE)</f>
        <v>Capital Goods</v>
      </c>
      <c r="C195" s="7">
        <v>841780</v>
      </c>
      <c r="D195" s="8" t="s">
        <v>216</v>
      </c>
      <c r="E195" s="8" t="s">
        <v>25</v>
      </c>
      <c r="F195" s="17" t="s">
        <v>19</v>
      </c>
      <c r="G195" s="8" t="s">
        <v>217</v>
      </c>
      <c r="H195" s="8"/>
      <c r="I195" s="9" t="s">
        <v>22</v>
      </c>
      <c r="J195" s="9" t="s">
        <v>218</v>
      </c>
      <c r="K195" s="17" t="str">
        <f>_xlfn.IFNA(VLOOKUP(C195, '[2]Unique HS'!$B$4:$J$999, 9, FALSE), "No")</f>
        <v>No</v>
      </c>
      <c r="L195" s="18">
        <f>VLOOKUP(C195, '[1]India EXIM'!$B$6:$C$580, 2, FALSE)</f>
        <v>0.115086068431</v>
      </c>
      <c r="M195" s="11">
        <f>VLOOKUP(C195, '[1]China EXIM'!$B$6:$D$580, 3, FALSE)</f>
        <v>1.3015325557170001</v>
      </c>
      <c r="N195" s="9" t="s">
        <v>82</v>
      </c>
      <c r="O195" s="9"/>
      <c r="P195" s="6"/>
      <c r="Q195" s="10" t="s">
        <v>24</v>
      </c>
      <c r="R195" s="9" t="s">
        <v>22</v>
      </c>
      <c r="V195" s="1" t="s">
        <v>25</v>
      </c>
    </row>
    <row r="196" spans="2:23" ht="27.95" hidden="1">
      <c r="B196" s="6" t="str">
        <f>VLOOKUP(C196, [1]Definition!$D$5:$K$5665, 8, FALSE)</f>
        <v>Capital Goods</v>
      </c>
      <c r="C196" s="7">
        <v>843820</v>
      </c>
      <c r="D196" s="8" t="s">
        <v>325</v>
      </c>
      <c r="E196" s="8" t="s">
        <v>25</v>
      </c>
      <c r="F196" s="17" t="s">
        <v>19</v>
      </c>
      <c r="G196" s="8"/>
      <c r="H196" s="8"/>
      <c r="I196" s="9" t="s">
        <v>61</v>
      </c>
      <c r="J196" s="9" t="s">
        <v>247</v>
      </c>
      <c r="K196" s="17" t="str">
        <f>_xlfn.IFNA(VLOOKUP(C196, '[2]Unique HS'!$B$4:$J$999, 9, FALSE), "No")</f>
        <v>No</v>
      </c>
      <c r="L196" s="18">
        <f>VLOOKUP(C196, '[1]India EXIM'!$B$6:$C$580, 2, FALSE)</f>
        <v>6.9915952182999994E-2</v>
      </c>
      <c r="M196" s="11">
        <f>VLOOKUP(C196, '[1]China EXIM'!$B$6:$D$580, 3, FALSE)</f>
        <v>1.2997481195439999</v>
      </c>
      <c r="N196" s="6"/>
      <c r="O196" s="6"/>
      <c r="P196" s="6"/>
      <c r="Q196" s="10" t="s">
        <v>24</v>
      </c>
      <c r="R196" s="9" t="s">
        <v>61</v>
      </c>
      <c r="V196" s="1" t="s">
        <v>25</v>
      </c>
    </row>
    <row r="197" spans="2:23" ht="42">
      <c r="B197" s="6" t="str">
        <f>VLOOKUP(C197, [1]Definition!$D$5:$K$5665, 8, FALSE)</f>
        <v>Capital Goods</v>
      </c>
      <c r="C197" s="7">
        <v>841960</v>
      </c>
      <c r="D197" s="8" t="s">
        <v>256</v>
      </c>
      <c r="E197" s="8" t="s">
        <v>25</v>
      </c>
      <c r="F197" s="17" t="s">
        <v>19</v>
      </c>
      <c r="G197" s="8" t="s">
        <v>257</v>
      </c>
      <c r="H197" s="8" t="s">
        <v>258</v>
      </c>
      <c r="I197" s="9" t="s">
        <v>22</v>
      </c>
      <c r="J197" s="9" t="s">
        <v>74</v>
      </c>
      <c r="K197" s="17" t="str">
        <f>_xlfn.IFNA(VLOOKUP(C197, '[2]Unique HS'!$B$4:$J$999, 9, FALSE), "No")</f>
        <v>No</v>
      </c>
      <c r="L197" s="18">
        <f>VLOOKUP(C197, '[1]India EXIM'!$B$6:$C$580, 2, FALSE)</f>
        <v>9.0236484717999998E-2</v>
      </c>
      <c r="M197" s="11">
        <f>VLOOKUP(C197, '[1]China EXIM'!$B$6:$D$580, 3, FALSE)</f>
        <v>1.2844302528</v>
      </c>
      <c r="N197" s="6"/>
      <c r="O197" s="6"/>
      <c r="P197" s="6"/>
      <c r="Q197" s="10" t="s">
        <v>24</v>
      </c>
      <c r="R197" s="9" t="s">
        <v>22</v>
      </c>
      <c r="V197" s="1" t="s">
        <v>25</v>
      </c>
    </row>
    <row r="198" spans="2:23" ht="27.95" hidden="1">
      <c r="B198" s="6" t="str">
        <f>VLOOKUP(C198, [1]Definition!$D$5:$K$5665, 8, FALSE)</f>
        <v>Capital Goods</v>
      </c>
      <c r="C198" s="7">
        <v>845630</v>
      </c>
      <c r="D198" s="8" t="s">
        <v>413</v>
      </c>
      <c r="E198" s="8" t="s">
        <v>25</v>
      </c>
      <c r="F198" s="17" t="s">
        <v>19</v>
      </c>
      <c r="G198" s="8"/>
      <c r="H198" s="8"/>
      <c r="I198" s="9" t="s">
        <v>65</v>
      </c>
      <c r="J198" s="9" t="s">
        <v>31</v>
      </c>
      <c r="K198" s="17" t="str">
        <f>_xlfn.IFNA(VLOOKUP(C198, '[2]Unique HS'!$B$4:$J$999, 9, FALSE), "No")</f>
        <v>No</v>
      </c>
      <c r="L198" s="18">
        <f>VLOOKUP(C198, '[1]India EXIM'!$B$6:$C$580, 2, FALSE)</f>
        <v>4.5551206976000007E-2</v>
      </c>
      <c r="M198" s="11">
        <f>VLOOKUP(C198, '[1]China EXIM'!$B$6:$D$580, 3, FALSE)</f>
        <v>0.87904726366399999</v>
      </c>
      <c r="N198" s="6"/>
      <c r="O198" s="6"/>
      <c r="P198" s="6"/>
      <c r="Q198" s="10" t="s">
        <v>24</v>
      </c>
      <c r="R198" s="9" t="s">
        <v>65</v>
      </c>
      <c r="V198" s="1" t="s">
        <v>25</v>
      </c>
    </row>
    <row r="199" spans="2:23" hidden="1">
      <c r="B199" s="6" t="str">
        <f>VLOOKUP(C199, [1]Definition!$D$5:$K$5665, 8, FALSE)</f>
        <v>Capital Goods</v>
      </c>
      <c r="C199" s="7">
        <v>844520</v>
      </c>
      <c r="D199" s="8" t="s">
        <v>203</v>
      </c>
      <c r="E199" s="8" t="s">
        <v>25</v>
      </c>
      <c r="F199" s="17" t="s">
        <v>19</v>
      </c>
      <c r="G199" s="8"/>
      <c r="H199" s="8"/>
      <c r="I199" s="9" t="s">
        <v>55</v>
      </c>
      <c r="J199" s="9" t="s">
        <v>56</v>
      </c>
      <c r="K199" s="17" t="str">
        <f>_xlfn.IFNA(VLOOKUP(C199, '[2]Unique HS'!$B$4:$J$999, 9, FALSE), "No")</f>
        <v>No</v>
      </c>
      <c r="L199" s="18">
        <f>VLOOKUP(C199, '[1]India EXIM'!$B$6:$C$580, 2, FALSE)</f>
        <v>0.12359979195399999</v>
      </c>
      <c r="M199" s="11">
        <f>VLOOKUP(C199, '[1]China EXIM'!$B$6:$D$580, 3, FALSE)</f>
        <v>1.2708829996589999</v>
      </c>
      <c r="N199" s="6"/>
      <c r="O199" s="6"/>
      <c r="P199" s="6"/>
      <c r="Q199" s="10" t="s">
        <v>24</v>
      </c>
      <c r="R199" s="9" t="s">
        <v>55</v>
      </c>
      <c r="V199" s="1" t="s">
        <v>25</v>
      </c>
    </row>
    <row r="200" spans="2:23" ht="27.95" hidden="1">
      <c r="B200" s="6" t="str">
        <f>VLOOKUP(C200, [1]Definition!$D$5:$K$5665, 8, FALSE)</f>
        <v>Capital Goods</v>
      </c>
      <c r="C200" s="7">
        <v>843069</v>
      </c>
      <c r="D200" s="8" t="s">
        <v>815</v>
      </c>
      <c r="E200" s="8" t="s">
        <v>25</v>
      </c>
      <c r="F200" s="17" t="s">
        <v>19</v>
      </c>
      <c r="G200" s="8"/>
      <c r="H200" s="8"/>
      <c r="I200" s="9" t="s">
        <v>58</v>
      </c>
      <c r="J200" s="9" t="s">
        <v>31</v>
      </c>
      <c r="K200" s="17" t="str">
        <f>_xlfn.IFNA(VLOOKUP(C200, '[2]Unique HS'!$B$4:$J$999, 9, FALSE), "No")</f>
        <v>No</v>
      </c>
      <c r="L200" s="18">
        <f>VLOOKUP(C200, '[1]India EXIM'!$B$6:$C$580, 2, FALSE)</f>
        <v>9.615186789999999E-3</v>
      </c>
      <c r="M200" s="11">
        <f>VLOOKUP(C200, '[1]China EXIM'!$B$6:$D$580, 3, FALSE)</f>
        <v>1.265461331684</v>
      </c>
      <c r="N200" s="9" t="s">
        <v>117</v>
      </c>
      <c r="O200" s="9"/>
      <c r="P200" s="6"/>
      <c r="Q200" s="10" t="s">
        <v>24</v>
      </c>
      <c r="R200" s="9" t="s">
        <v>58</v>
      </c>
      <c r="V200" s="1" t="s">
        <v>25</v>
      </c>
    </row>
    <row r="201" spans="2:23" ht="42" hidden="1">
      <c r="B201" s="6" t="str">
        <f>VLOOKUP(C201, [1]Definition!$D$5:$K$5665, 8, FALSE)</f>
        <v>Capital Goods</v>
      </c>
      <c r="C201" s="7">
        <v>901780</v>
      </c>
      <c r="D201" s="8" t="s">
        <v>938</v>
      </c>
      <c r="E201" s="8" t="s">
        <v>25</v>
      </c>
      <c r="F201" s="17" t="s">
        <v>142</v>
      </c>
      <c r="G201" s="8" t="s">
        <v>223</v>
      </c>
      <c r="H201" s="8" t="s">
        <v>939</v>
      </c>
      <c r="I201" s="9" t="s">
        <v>166</v>
      </c>
      <c r="J201" s="9" t="s">
        <v>471</v>
      </c>
      <c r="K201" s="17" t="str">
        <f>_xlfn.IFNA(VLOOKUP(C201, '[2]Unique HS'!$B$4:$J$999, 9, FALSE), "No")</f>
        <v>Yes</v>
      </c>
      <c r="L201" s="18">
        <f>VLOOKUP(C201, '[1]India EXIM'!$B$6:$C$580, 2, FALSE)</f>
        <v>4.7484671210000001E-3</v>
      </c>
      <c r="M201" s="11">
        <f>VLOOKUP(C201, '[1]China EXIM'!$B$6:$D$580, 3, FALSE)</f>
        <v>1.265199224004</v>
      </c>
      <c r="N201" s="6"/>
      <c r="O201" s="6"/>
      <c r="P201" s="6"/>
      <c r="Q201" s="10" t="s">
        <v>24</v>
      </c>
      <c r="R201" s="11" t="s">
        <v>39</v>
      </c>
      <c r="V201" s="1" t="s">
        <v>25</v>
      </c>
    </row>
    <row r="202" spans="2:23" ht="27.95" hidden="1">
      <c r="B202" s="6" t="str">
        <f>VLOOKUP(C202, [1]Definition!$D$5:$K$5665, 8, FALSE)</f>
        <v>Capital Goods</v>
      </c>
      <c r="C202" s="7">
        <v>845221</v>
      </c>
      <c r="D202" s="8" t="s">
        <v>355</v>
      </c>
      <c r="E202" s="8" t="s">
        <v>25</v>
      </c>
      <c r="F202" s="17" t="s">
        <v>19</v>
      </c>
      <c r="G202" s="8"/>
      <c r="H202" s="8"/>
      <c r="I202" s="9" t="s">
        <v>55</v>
      </c>
      <c r="J202" s="9" t="s">
        <v>115</v>
      </c>
      <c r="K202" s="17" t="str">
        <f>_xlfn.IFNA(VLOOKUP(C202, '[2]Unique HS'!$B$4:$J$999, 9, FALSE), "No")</f>
        <v>No</v>
      </c>
      <c r="L202" s="18">
        <f>VLOOKUP(C202, '[1]India EXIM'!$B$6:$C$580, 2, FALSE)</f>
        <v>5.6406885624000001E-2</v>
      </c>
      <c r="M202" s="11">
        <f>VLOOKUP(C202, '[1]China EXIM'!$B$6:$D$580, 3, FALSE)</f>
        <v>1.2633477899349999</v>
      </c>
      <c r="N202" s="6"/>
      <c r="O202" s="6"/>
      <c r="P202" s="6"/>
      <c r="Q202" s="10" t="s">
        <v>24</v>
      </c>
      <c r="R202" s="9" t="s">
        <v>55</v>
      </c>
      <c r="V202" s="1" t="s">
        <v>25</v>
      </c>
    </row>
    <row r="203" spans="2:23" ht="27.95" hidden="1">
      <c r="B203" s="6" t="str">
        <f>VLOOKUP(C203, [1]Definition!$D$5:$K$5665, 8, FALSE)</f>
        <v>Capital Goods</v>
      </c>
      <c r="C203" s="7">
        <v>844400</v>
      </c>
      <c r="D203" s="8" t="s">
        <v>329</v>
      </c>
      <c r="E203" s="8" t="s">
        <v>25</v>
      </c>
      <c r="F203" s="17" t="s">
        <v>19</v>
      </c>
      <c r="G203" s="8"/>
      <c r="H203" s="8"/>
      <c r="I203" s="9" t="s">
        <v>55</v>
      </c>
      <c r="J203" s="9" t="s">
        <v>56</v>
      </c>
      <c r="K203" s="17" t="str">
        <f>_xlfn.IFNA(VLOOKUP(C203, '[2]Unique HS'!$B$4:$J$999, 9, FALSE), "No")</f>
        <v>Yes</v>
      </c>
      <c r="L203" s="18">
        <f>VLOOKUP(C203, '[1]India EXIM'!$B$6:$C$580, 2, FALSE)</f>
        <v>6.7399447471000004E-2</v>
      </c>
      <c r="M203" s="11">
        <f>VLOOKUP(C203, '[1]China EXIM'!$B$6:$D$580, 3, FALSE)</f>
        <v>1.2616895306789999</v>
      </c>
      <c r="N203" s="6"/>
      <c r="O203" s="6"/>
      <c r="P203" s="6"/>
      <c r="Q203" s="10" t="s">
        <v>24</v>
      </c>
      <c r="R203" s="9" t="s">
        <v>55</v>
      </c>
      <c r="V203" s="1" t="s">
        <v>25</v>
      </c>
    </row>
    <row r="204" spans="2:23" ht="27.95">
      <c r="B204" s="6" t="str">
        <f>VLOOKUP(C204, [1]Definition!$D$5:$K$5665, 8, FALSE)</f>
        <v>Capital Goods</v>
      </c>
      <c r="C204" s="7">
        <v>841920</v>
      </c>
      <c r="D204" s="8" t="s">
        <v>488</v>
      </c>
      <c r="E204" s="8" t="s">
        <v>25</v>
      </c>
      <c r="F204" s="17" t="s">
        <v>119</v>
      </c>
      <c r="G204" s="8" t="s">
        <v>489</v>
      </c>
      <c r="H204" s="8" t="s">
        <v>490</v>
      </c>
      <c r="I204" s="9" t="s">
        <v>22</v>
      </c>
      <c r="J204" s="9" t="s">
        <v>491</v>
      </c>
      <c r="K204" s="17" t="str">
        <f>_xlfn.IFNA(VLOOKUP(C204, '[2]Unique HS'!$B$4:$J$999, 9, FALSE), "No")</f>
        <v>Yes</v>
      </c>
      <c r="L204" s="18">
        <f>VLOOKUP(C204, '[1]India EXIM'!$B$6:$C$580, 2, FALSE)</f>
        <v>3.4521047386000002E-2</v>
      </c>
      <c r="M204" s="11">
        <f>VLOOKUP(C204, '[1]China EXIM'!$B$6:$D$580, 3, FALSE)</f>
        <v>1.2508590092030001</v>
      </c>
      <c r="N204" s="6"/>
      <c r="O204" s="6"/>
      <c r="P204" s="6"/>
      <c r="Q204" s="10" t="s">
        <v>24</v>
      </c>
      <c r="R204" s="9" t="s">
        <v>22</v>
      </c>
      <c r="V204" s="1" t="s">
        <v>34</v>
      </c>
      <c r="W204" s="1" t="s">
        <v>113</v>
      </c>
    </row>
    <row r="205" spans="2:23" hidden="1">
      <c r="B205" s="6" t="str">
        <f>VLOOKUP(C205, [1]Definition!$D$5:$K$5665, 8, FALSE)</f>
        <v>Capital Goods</v>
      </c>
      <c r="C205" s="7">
        <v>846263</v>
      </c>
      <c r="D205" s="8" t="s">
        <v>421</v>
      </c>
      <c r="E205" s="8" t="s">
        <v>25</v>
      </c>
      <c r="F205" s="17" t="s">
        <v>19</v>
      </c>
      <c r="G205" s="8"/>
      <c r="H205" s="8"/>
      <c r="I205" s="9" t="s">
        <v>65</v>
      </c>
      <c r="J205" s="9" t="s">
        <v>31</v>
      </c>
      <c r="K205" s="17" t="str">
        <f>_xlfn.IFNA(VLOOKUP(C205, '[2]Unique HS'!$B$4:$J$999, 9, FALSE), "No")</f>
        <v>No</v>
      </c>
      <c r="L205" s="18">
        <f>VLOOKUP(C205, '[1]India EXIM'!$B$6:$C$580, 2, FALSE)</f>
        <v>4.494813609E-2</v>
      </c>
      <c r="M205" s="11">
        <f>VLOOKUP(C205, '[1]China EXIM'!$B$6:$D$580, 3, FALSE)</f>
        <v>0.303521236375</v>
      </c>
      <c r="N205" s="6"/>
      <c r="O205" s="6"/>
      <c r="P205" s="6"/>
      <c r="Q205" s="10" t="s">
        <v>24</v>
      </c>
      <c r="R205" s="9" t="s">
        <v>65</v>
      </c>
      <c r="V205" s="1" t="s">
        <v>25</v>
      </c>
    </row>
    <row r="206" spans="2:23" ht="27.95" hidden="1">
      <c r="B206" s="6" t="str">
        <f>VLOOKUP(C206, [1]Definition!$D$5:$K$5665, 8, FALSE)</f>
        <v>Capital Goods</v>
      </c>
      <c r="C206" s="7">
        <v>850164</v>
      </c>
      <c r="D206" s="8" t="s">
        <v>452</v>
      </c>
      <c r="E206" s="8" t="s">
        <v>34</v>
      </c>
      <c r="F206" s="17" t="s">
        <v>27</v>
      </c>
      <c r="G206" s="8" t="s">
        <v>453</v>
      </c>
      <c r="H206" s="8" t="s">
        <v>454</v>
      </c>
      <c r="I206" s="9" t="s">
        <v>30</v>
      </c>
      <c r="J206" s="9" t="s">
        <v>31</v>
      </c>
      <c r="K206" s="17" t="str">
        <f>_xlfn.IFNA(VLOOKUP(C206, '[2]Unique HS'!$B$4:$J$999, 9, FALSE), "No")</f>
        <v>No</v>
      </c>
      <c r="L206" s="22">
        <f>VLOOKUP(C206, '[1]India EXIM'!$B$6:$C$580, 2, FALSE)</f>
        <v>3.8078411358000004E-2</v>
      </c>
      <c r="M206" s="11">
        <f>VLOOKUP(C206, '[1]China EXIM'!$B$6:$D$580, 3, FALSE)</f>
        <v>3.5096623587020002</v>
      </c>
      <c r="N206" s="9" t="s">
        <v>129</v>
      </c>
      <c r="O206" s="9"/>
      <c r="P206" s="6"/>
      <c r="Q206" s="10" t="s">
        <v>24</v>
      </c>
      <c r="R206" s="9" t="s">
        <v>30</v>
      </c>
      <c r="T206" s="1" t="s">
        <v>33</v>
      </c>
      <c r="V206" s="1" t="s">
        <v>34</v>
      </c>
    </row>
    <row r="207" spans="2:23" ht="42">
      <c r="B207" s="6" t="str">
        <f>VLOOKUP(C207, [1]Definition!$D$5:$K$5665, 8, FALSE)</f>
        <v>Capital Goods</v>
      </c>
      <c r="C207" s="7">
        <v>841320</v>
      </c>
      <c r="D207" s="8" t="s">
        <v>876</v>
      </c>
      <c r="E207" s="8" t="s">
        <v>25</v>
      </c>
      <c r="F207" s="17" t="s">
        <v>19</v>
      </c>
      <c r="G207" s="8"/>
      <c r="H207" s="8" t="s">
        <v>877</v>
      </c>
      <c r="I207" s="9" t="s">
        <v>22</v>
      </c>
      <c r="J207" s="9" t="s">
        <v>878</v>
      </c>
      <c r="K207" s="17" t="str">
        <f>_xlfn.IFNA(VLOOKUP(C207, '[2]Unique HS'!$B$4:$J$999, 9, FALSE), "No")</f>
        <v>Yes</v>
      </c>
      <c r="L207" s="18">
        <f>VLOOKUP(C207, '[1]India EXIM'!$B$6:$C$580, 2, FALSE)</f>
        <v>7.5312262609999996E-3</v>
      </c>
      <c r="M207" s="11">
        <f>VLOOKUP(C207, '[1]China EXIM'!$B$6:$D$580, 3, FALSE)</f>
        <v>1.2280170536600001</v>
      </c>
      <c r="N207" s="6" t="s">
        <v>103</v>
      </c>
      <c r="O207" s="6"/>
      <c r="P207" s="6"/>
      <c r="Q207" s="10" t="s">
        <v>24</v>
      </c>
      <c r="R207" s="9" t="s">
        <v>22</v>
      </c>
      <c r="V207" s="1" t="s">
        <v>25</v>
      </c>
    </row>
    <row r="208" spans="2:23" ht="27.95" hidden="1">
      <c r="B208" s="6" t="str">
        <f>VLOOKUP(C208, [1]Definition!$D$5:$K$5665, 8, FALSE)</f>
        <v>Capital Goods</v>
      </c>
      <c r="C208" s="7">
        <v>843610</v>
      </c>
      <c r="D208" s="8" t="s">
        <v>567</v>
      </c>
      <c r="E208" s="8" t="s">
        <v>25</v>
      </c>
      <c r="F208" s="17" t="s">
        <v>19</v>
      </c>
      <c r="G208" s="8"/>
      <c r="H208" s="8"/>
      <c r="I208" s="9" t="s">
        <v>61</v>
      </c>
      <c r="J208" s="9" t="s">
        <v>568</v>
      </c>
      <c r="K208" s="17" t="str">
        <f>_xlfn.IFNA(VLOOKUP(C208, '[2]Unique HS'!$B$4:$J$999, 9, FALSE), "No")</f>
        <v>No</v>
      </c>
      <c r="L208" s="18">
        <f>VLOOKUP(C208, '[1]India EXIM'!$B$6:$C$580, 2, FALSE)</f>
        <v>2.4411253250999999E-2</v>
      </c>
      <c r="M208" s="11">
        <f>VLOOKUP(C208, '[1]China EXIM'!$B$6:$D$580, 3, FALSE)</f>
        <v>1.2184339111559999</v>
      </c>
      <c r="N208" s="6"/>
      <c r="O208" s="6"/>
      <c r="P208" s="6"/>
      <c r="Q208" s="10" t="s">
        <v>24</v>
      </c>
      <c r="R208" s="9" t="s">
        <v>61</v>
      </c>
      <c r="V208" s="1" t="s">
        <v>25</v>
      </c>
    </row>
    <row r="209" spans="2:23" ht="69.95">
      <c r="B209" s="6" t="str">
        <f>VLOOKUP(C209, [1]Definition!$D$5:$K$5665, 8, FALSE)</f>
        <v>Capital Goods</v>
      </c>
      <c r="C209" s="7">
        <v>843920</v>
      </c>
      <c r="D209" s="8" t="s">
        <v>250</v>
      </c>
      <c r="E209" s="8" t="s">
        <v>25</v>
      </c>
      <c r="F209" s="17" t="s">
        <v>19</v>
      </c>
      <c r="G209" s="8" t="s">
        <v>251</v>
      </c>
      <c r="H209" s="8"/>
      <c r="I209" s="9" t="s">
        <v>22</v>
      </c>
      <c r="J209" s="9" t="s">
        <v>252</v>
      </c>
      <c r="K209" s="17" t="str">
        <f>_xlfn.IFNA(VLOOKUP(C209, '[2]Unique HS'!$B$4:$J$999, 9, FALSE), "No")</f>
        <v>No</v>
      </c>
      <c r="L209" s="18">
        <f>VLOOKUP(C209, '[1]India EXIM'!$B$6:$C$580, 2, FALSE)</f>
        <v>9.7049355672999993E-2</v>
      </c>
      <c r="M209" s="11">
        <f>VLOOKUP(C209, '[1]China EXIM'!$B$6:$D$580, 3, FALSE)</f>
        <v>1.2180796592119998</v>
      </c>
      <c r="N209" s="6" t="s">
        <v>253</v>
      </c>
      <c r="O209" s="6"/>
      <c r="P209" s="6"/>
      <c r="Q209" s="10" t="s">
        <v>24</v>
      </c>
      <c r="R209" s="11" t="s">
        <v>182</v>
      </c>
      <c r="V209" s="1" t="s">
        <v>25</v>
      </c>
    </row>
    <row r="210" spans="2:23" ht="56.1" hidden="1">
      <c r="B210" s="6" t="str">
        <f>VLOOKUP(C210, [1]Definition!$D$5:$K$5665, 8, FALSE)</f>
        <v>Capital Goods</v>
      </c>
      <c r="C210" s="7">
        <v>846090</v>
      </c>
      <c r="D210" s="8" t="s">
        <v>422</v>
      </c>
      <c r="E210" s="8" t="s">
        <v>25</v>
      </c>
      <c r="F210" s="17" t="s">
        <v>19</v>
      </c>
      <c r="G210" s="8"/>
      <c r="H210" s="8"/>
      <c r="I210" s="9" t="s">
        <v>65</v>
      </c>
      <c r="J210" s="9" t="s">
        <v>31</v>
      </c>
      <c r="K210" s="17" t="str">
        <f>_xlfn.IFNA(VLOOKUP(C210, '[2]Unique HS'!$B$4:$J$999, 9, FALSE), "No")</f>
        <v>Yes</v>
      </c>
      <c r="L210" s="18">
        <f>VLOOKUP(C210, '[1]India EXIM'!$B$6:$C$580, 2, FALSE)</f>
        <v>4.4646310424000003E-2</v>
      </c>
      <c r="M210" s="11">
        <f>VLOOKUP(C210, '[1]China EXIM'!$B$6:$D$580, 3, FALSE)</f>
        <v>0.61184279975</v>
      </c>
      <c r="N210" s="6"/>
      <c r="O210" s="6"/>
      <c r="P210" s="6"/>
      <c r="Q210" s="10" t="s">
        <v>24</v>
      </c>
      <c r="R210" s="9" t="s">
        <v>65</v>
      </c>
      <c r="V210" s="1" t="s">
        <v>25</v>
      </c>
    </row>
    <row r="211" spans="2:23" ht="27.95" hidden="1">
      <c r="B211" s="6" t="str">
        <f>VLOOKUP(C211, [1]Definition!$D$5:$K$5665, 8, FALSE)</f>
        <v>Capital Goods</v>
      </c>
      <c r="C211" s="7">
        <v>843360</v>
      </c>
      <c r="D211" s="8" t="s">
        <v>631</v>
      </c>
      <c r="E211" s="8" t="s">
        <v>25</v>
      </c>
      <c r="F211" s="17" t="s">
        <v>19</v>
      </c>
      <c r="G211" s="8"/>
      <c r="H211" s="8"/>
      <c r="I211" s="9" t="s">
        <v>61</v>
      </c>
      <c r="J211" s="9" t="s">
        <v>632</v>
      </c>
      <c r="K211" s="17" t="str">
        <f>_xlfn.IFNA(VLOOKUP(C211, '[2]Unique HS'!$B$4:$J$999, 9, FALSE), "No")</f>
        <v>No</v>
      </c>
      <c r="L211" s="18">
        <f>VLOOKUP(C211, '[1]India EXIM'!$B$6:$C$580, 2, FALSE)</f>
        <v>2.0369429528999998E-2</v>
      </c>
      <c r="M211" s="11">
        <f>VLOOKUP(C211, '[1]China EXIM'!$B$6:$D$580, 3, FALSE)</f>
        <v>1.2080283842000001</v>
      </c>
      <c r="N211" s="6"/>
      <c r="O211" s="6"/>
      <c r="P211" s="6"/>
      <c r="Q211" s="10" t="s">
        <v>24</v>
      </c>
      <c r="R211" s="9" t="s">
        <v>61</v>
      </c>
      <c r="V211" s="1" t="s">
        <v>25</v>
      </c>
    </row>
    <row r="212" spans="2:23" ht="27.95" hidden="1">
      <c r="B212" s="6" t="str">
        <f>VLOOKUP(C212, [1]Definition!$D$5:$K$5665, 8, FALSE)</f>
        <v>Capital Goods</v>
      </c>
      <c r="C212" s="7">
        <v>846711</v>
      </c>
      <c r="D212" s="8" t="s">
        <v>432</v>
      </c>
      <c r="E212" s="8" t="s">
        <v>25</v>
      </c>
      <c r="F212" s="17" t="s">
        <v>19</v>
      </c>
      <c r="G212" s="8"/>
      <c r="H212" s="8"/>
      <c r="I212" s="9" t="s">
        <v>65</v>
      </c>
      <c r="J212" s="9" t="s">
        <v>31</v>
      </c>
      <c r="K212" s="17" t="str">
        <f>_xlfn.IFNA(VLOOKUP(C212, '[2]Unique HS'!$B$4:$J$999, 9, FALSE), "No")</f>
        <v>Yes</v>
      </c>
      <c r="L212" s="18">
        <f>VLOOKUP(C212, '[1]India EXIM'!$B$6:$C$580, 2, FALSE)</f>
        <v>4.2655846966999998E-2</v>
      </c>
      <c r="M212" s="11">
        <f>VLOOKUP(C212, '[1]China EXIM'!$B$6:$D$580, 3, FALSE)</f>
        <v>0.89248308480400007</v>
      </c>
      <c r="N212" s="6"/>
      <c r="O212" s="6"/>
      <c r="P212" s="6"/>
      <c r="Q212" s="10" t="s">
        <v>24</v>
      </c>
      <c r="R212" s="9" t="s">
        <v>65</v>
      </c>
      <c r="V212" s="1" t="s">
        <v>25</v>
      </c>
    </row>
    <row r="213" spans="2:23" ht="42" hidden="1">
      <c r="B213" s="6" t="str">
        <f>VLOOKUP(C213, [1]Definition!$D$5:$K$5665, 8, FALSE)</f>
        <v>Capital Goods</v>
      </c>
      <c r="C213" s="7">
        <v>846310</v>
      </c>
      <c r="D213" s="8" t="s">
        <v>433</v>
      </c>
      <c r="E213" s="8" t="s">
        <v>25</v>
      </c>
      <c r="F213" s="17" t="s">
        <v>19</v>
      </c>
      <c r="G213" s="8"/>
      <c r="H213" s="8"/>
      <c r="I213" s="9" t="s">
        <v>65</v>
      </c>
      <c r="J213" s="9" t="s">
        <v>31</v>
      </c>
      <c r="K213" s="17" t="str">
        <f>_xlfn.IFNA(VLOOKUP(C213, '[2]Unique HS'!$B$4:$J$999, 9, FALSE), "No")</f>
        <v>No</v>
      </c>
      <c r="L213" s="18">
        <f>VLOOKUP(C213, '[1]India EXIM'!$B$6:$C$580, 2, FALSE)</f>
        <v>4.2290907039999999E-2</v>
      </c>
      <c r="M213" s="11">
        <f>VLOOKUP(C213, '[1]China EXIM'!$B$6:$D$580, 3, FALSE)</f>
        <v>0.48831889063700001</v>
      </c>
      <c r="N213" s="6"/>
      <c r="O213" s="6"/>
      <c r="P213" s="6"/>
      <c r="Q213" s="10" t="s">
        <v>24</v>
      </c>
      <c r="R213" s="9" t="s">
        <v>65</v>
      </c>
      <c r="V213" s="1" t="s">
        <v>25</v>
      </c>
    </row>
    <row r="214" spans="2:23" ht="27.95" hidden="1">
      <c r="B214" s="6" t="str">
        <f>VLOOKUP(C214, [1]Definition!$D$5:$K$5665, 8, FALSE)</f>
        <v>Capital Goods</v>
      </c>
      <c r="C214" s="7">
        <v>845229</v>
      </c>
      <c r="D214" s="8" t="s">
        <v>114</v>
      </c>
      <c r="E214" s="8" t="s">
        <v>25</v>
      </c>
      <c r="F214" s="17" t="s">
        <v>19</v>
      </c>
      <c r="G214" s="8"/>
      <c r="H214" s="8"/>
      <c r="I214" s="9" t="s">
        <v>55</v>
      </c>
      <c r="J214" s="9" t="s">
        <v>115</v>
      </c>
      <c r="K214" s="17" t="str">
        <f>_xlfn.IFNA(VLOOKUP(C214, '[2]Unique HS'!$B$4:$J$999, 9, FALSE), "No")</f>
        <v>Yes</v>
      </c>
      <c r="L214" s="18">
        <f>VLOOKUP(C214, '[1]India EXIM'!$B$6:$C$580, 2, FALSE)</f>
        <v>0.211593125947</v>
      </c>
      <c r="M214" s="11">
        <f>VLOOKUP(C214, '[1]China EXIM'!$B$6:$D$580, 3, FALSE)</f>
        <v>1.2014289408299998</v>
      </c>
      <c r="N214" s="6"/>
      <c r="O214" s="6"/>
      <c r="P214" s="6"/>
      <c r="Q214" s="10" t="s">
        <v>24</v>
      </c>
      <c r="R214" s="9" t="s">
        <v>55</v>
      </c>
      <c r="V214" s="1" t="s">
        <v>25</v>
      </c>
    </row>
    <row r="215" spans="2:23" ht="27.95" hidden="1">
      <c r="B215" s="6" t="str">
        <f>VLOOKUP(C215, [1]Definition!$D$5:$K$5665, 8, FALSE)</f>
        <v>Capital Goods</v>
      </c>
      <c r="C215" s="7">
        <v>842820</v>
      </c>
      <c r="D215" s="8" t="s">
        <v>348</v>
      </c>
      <c r="E215" s="8" t="s">
        <v>25</v>
      </c>
      <c r="F215" s="17" t="s">
        <v>19</v>
      </c>
      <c r="G215" s="8"/>
      <c r="H215" s="8"/>
      <c r="I215" s="9" t="s">
        <v>58</v>
      </c>
      <c r="J215" s="9" t="s">
        <v>31</v>
      </c>
      <c r="K215" s="17" t="str">
        <f>_xlfn.IFNA(VLOOKUP(C215, '[2]Unique HS'!$B$4:$J$999, 9, FALSE), "No")</f>
        <v>Yes</v>
      </c>
      <c r="L215" s="18">
        <f>VLOOKUP(C215, '[1]India EXIM'!$B$6:$C$580, 2, FALSE)</f>
        <v>5.9022702196000004E-2</v>
      </c>
      <c r="M215" s="11">
        <f>VLOOKUP(C215, '[1]China EXIM'!$B$6:$D$580, 3, FALSE)</f>
        <v>1.1935064308480001</v>
      </c>
      <c r="N215" s="9" t="s">
        <v>59</v>
      </c>
      <c r="O215" s="9"/>
      <c r="P215" s="6"/>
      <c r="Q215" s="10" t="s">
        <v>24</v>
      </c>
      <c r="R215" s="9" t="s">
        <v>58</v>
      </c>
      <c r="V215" s="1" t="s">
        <v>25</v>
      </c>
    </row>
    <row r="216" spans="2:23" ht="27.95" hidden="1">
      <c r="B216" s="6" t="str">
        <f>VLOOKUP(C216, [1]Definition!$D$5:$K$5665, 8, FALSE)</f>
        <v>Capital Goods</v>
      </c>
      <c r="C216" s="7">
        <v>853630</v>
      </c>
      <c r="D216" s="8" t="s">
        <v>295</v>
      </c>
      <c r="E216" s="8" t="s">
        <v>34</v>
      </c>
      <c r="F216" s="17" t="s">
        <v>27</v>
      </c>
      <c r="G216" s="8" t="s">
        <v>296</v>
      </c>
      <c r="H216" s="8" t="s">
        <v>171</v>
      </c>
      <c r="I216" s="9" t="s">
        <v>30</v>
      </c>
      <c r="J216" s="9" t="s">
        <v>172</v>
      </c>
      <c r="K216" s="17" t="str">
        <f>_xlfn.IFNA(VLOOKUP(C216, '[2]Unique HS'!$B$4:$J$999, 9, FALSE), "No")</f>
        <v>Yes</v>
      </c>
      <c r="L216" s="22">
        <f>VLOOKUP(C216, '[1]India EXIM'!$B$6:$C$580, 2, FALSE)</f>
        <v>7.3251585745E-2</v>
      </c>
      <c r="M216" s="11">
        <f>VLOOKUP(C216, '[1]China EXIM'!$B$6:$D$580, 3, FALSE)</f>
        <v>5.3823246756199996</v>
      </c>
      <c r="N216" s="6"/>
      <c r="O216" s="6"/>
      <c r="P216" s="6"/>
      <c r="Q216" s="10" t="s">
        <v>24</v>
      </c>
      <c r="R216" s="9" t="s">
        <v>30</v>
      </c>
      <c r="T216" s="1" t="s">
        <v>136</v>
      </c>
      <c r="V216" s="1" t="s">
        <v>34</v>
      </c>
    </row>
    <row r="217" spans="2:23" ht="27.95" hidden="1">
      <c r="B217" s="6" t="str">
        <f>VLOOKUP(C217, [1]Definition!$D$5:$K$5665, 8, FALSE)</f>
        <v>Capital Goods</v>
      </c>
      <c r="C217" s="7">
        <v>820890</v>
      </c>
      <c r="D217" s="8" t="s">
        <v>434</v>
      </c>
      <c r="E217" s="8" t="s">
        <v>25</v>
      </c>
      <c r="F217" s="17" t="s">
        <v>19</v>
      </c>
      <c r="G217" s="8"/>
      <c r="H217" s="8"/>
      <c r="I217" s="9" t="s">
        <v>65</v>
      </c>
      <c r="J217" s="9" t="s">
        <v>435</v>
      </c>
      <c r="K217" s="17" t="str">
        <f>_xlfn.IFNA(VLOOKUP(C217, '[2]Unique HS'!$B$4:$J$999, 9, FALSE), "No")</f>
        <v>Yes</v>
      </c>
      <c r="L217" s="18">
        <f>VLOOKUP(C217, '[1]India EXIM'!$B$6:$C$580, 2, FALSE)</f>
        <v>4.0364762497000002E-2</v>
      </c>
      <c r="M217" s="11">
        <f>VLOOKUP(C217, '[1]China EXIM'!$B$6:$D$580, 3, FALSE)</f>
        <v>1.4560796053010001</v>
      </c>
      <c r="N217" s="6" t="s">
        <v>201</v>
      </c>
      <c r="O217" s="6"/>
      <c r="P217" s="6"/>
      <c r="Q217" s="10" t="s">
        <v>24</v>
      </c>
      <c r="R217" s="11" t="s">
        <v>202</v>
      </c>
      <c r="V217" s="1" t="s">
        <v>25</v>
      </c>
    </row>
    <row r="218" spans="2:23" ht="42">
      <c r="B218" s="6" t="str">
        <f>VLOOKUP(C218, [1]Definition!$D$5:$K$5665, 8, FALSE)</f>
        <v>Capital Goods</v>
      </c>
      <c r="C218" s="7">
        <v>842449</v>
      </c>
      <c r="D218" s="8" t="s">
        <v>529</v>
      </c>
      <c r="E218" s="8" t="s">
        <v>25</v>
      </c>
      <c r="F218" s="17" t="s">
        <v>19</v>
      </c>
      <c r="G218" s="8" t="s">
        <v>530</v>
      </c>
      <c r="H218" s="8"/>
      <c r="I218" s="9" t="s">
        <v>22</v>
      </c>
      <c r="J218" s="9" t="s">
        <v>38</v>
      </c>
      <c r="K218" s="17" t="str">
        <f>_xlfn.IFNA(VLOOKUP(C218, '[2]Unique HS'!$B$4:$J$999, 9, FALSE), "No")</f>
        <v>Yes</v>
      </c>
      <c r="L218" s="18">
        <f>VLOOKUP(C218, '[1]India EXIM'!$B$6:$C$580, 2, FALSE)</f>
        <v>2.8313323357999999E-2</v>
      </c>
      <c r="M218" s="11">
        <f>VLOOKUP(C218, '[1]China EXIM'!$B$6:$D$580, 3, FALSE)</f>
        <v>1.171731022301</v>
      </c>
      <c r="N218" s="6" t="s">
        <v>160</v>
      </c>
      <c r="O218" s="6"/>
      <c r="P218" s="6"/>
      <c r="Q218" s="10" t="s">
        <v>24</v>
      </c>
      <c r="R218" s="9" t="s">
        <v>161</v>
      </c>
      <c r="V218" s="1" t="s">
        <v>25</v>
      </c>
      <c r="W218" s="1" t="s">
        <v>113</v>
      </c>
    </row>
    <row r="219" spans="2:23" ht="27.95" hidden="1">
      <c r="B219" s="6" t="str">
        <f>VLOOKUP(C219, [1]Definition!$D$5:$K$5665, 8, FALSE)</f>
        <v>Capital Goods</v>
      </c>
      <c r="C219" s="7">
        <v>847431</v>
      </c>
      <c r="D219" s="8" t="s">
        <v>915</v>
      </c>
      <c r="E219" s="8" t="s">
        <v>25</v>
      </c>
      <c r="F219" s="17" t="s">
        <v>19</v>
      </c>
      <c r="G219" s="8"/>
      <c r="H219" s="8"/>
      <c r="I219" s="9" t="s">
        <v>58</v>
      </c>
      <c r="J219" s="9" t="s">
        <v>916</v>
      </c>
      <c r="K219" s="17" t="str">
        <f>_xlfn.IFNA(VLOOKUP(C219, '[2]Unique HS'!$B$4:$J$999, 9, FALSE), "No")</f>
        <v>No</v>
      </c>
      <c r="L219" s="18">
        <f>VLOOKUP(C219, '[1]India EXIM'!$B$6:$C$580, 2, FALSE)</f>
        <v>5.2779969879999996E-3</v>
      </c>
      <c r="M219" s="11">
        <f>VLOOKUP(C219, '[1]China EXIM'!$B$6:$D$580, 3, FALSE)</f>
        <v>1.1529879786549999</v>
      </c>
      <c r="N219" s="6"/>
      <c r="O219" s="6"/>
      <c r="P219" s="6"/>
      <c r="Q219" s="10" t="s">
        <v>24</v>
      </c>
      <c r="R219" s="9" t="s">
        <v>58</v>
      </c>
      <c r="V219" s="1" t="s">
        <v>25</v>
      </c>
    </row>
    <row r="220" spans="2:23" ht="27.95" hidden="1">
      <c r="B220" s="6" t="str">
        <f>VLOOKUP(C220, [1]Definition!$D$5:$K$5665, 8, FALSE)</f>
        <v>Capital Goods</v>
      </c>
      <c r="C220" s="7">
        <v>850151</v>
      </c>
      <c r="D220" s="8" t="s">
        <v>326</v>
      </c>
      <c r="E220" s="8" t="s">
        <v>34</v>
      </c>
      <c r="F220" s="17" t="s">
        <v>27</v>
      </c>
      <c r="G220" s="8" t="s">
        <v>327</v>
      </c>
      <c r="H220" s="8" t="s">
        <v>328</v>
      </c>
      <c r="I220" s="9" t="s">
        <v>30</v>
      </c>
      <c r="J220" s="9" t="s">
        <v>31</v>
      </c>
      <c r="K220" s="17" t="str">
        <f>_xlfn.IFNA(VLOOKUP(C220, '[2]Unique HS'!$B$4:$J$999, 9, FALSE), "No")</f>
        <v>Yes</v>
      </c>
      <c r="L220" s="22">
        <f>VLOOKUP(C220, '[1]India EXIM'!$B$6:$C$580, 2, FALSE)</f>
        <v>6.8903465726999999E-2</v>
      </c>
      <c r="M220" s="11">
        <f>VLOOKUP(C220, '[1]China EXIM'!$B$6:$D$580, 3, FALSE)</f>
        <v>4.4159612465819995</v>
      </c>
      <c r="N220" s="9" t="s">
        <v>129</v>
      </c>
      <c r="O220" s="9"/>
      <c r="P220" s="6"/>
      <c r="Q220" s="10" t="s">
        <v>24</v>
      </c>
      <c r="R220" s="9" t="s">
        <v>30</v>
      </c>
      <c r="T220" s="1" t="s">
        <v>33</v>
      </c>
      <c r="V220" s="1" t="s">
        <v>34</v>
      </c>
    </row>
    <row r="221" spans="2:23" ht="56.1" hidden="1">
      <c r="B221" s="6" t="str">
        <f>VLOOKUP(C221, [1]Definition!$D$5:$K$5665, 8, FALSE)</f>
        <v>Capital Goods</v>
      </c>
      <c r="C221" s="7">
        <v>847930</v>
      </c>
      <c r="D221" s="8" t="s">
        <v>351</v>
      </c>
      <c r="E221" s="8" t="s">
        <v>25</v>
      </c>
      <c r="F221" s="17" t="s">
        <v>19</v>
      </c>
      <c r="G221" s="8"/>
      <c r="H221" s="8"/>
      <c r="I221" s="9" t="s">
        <v>55</v>
      </c>
      <c r="J221" s="9" t="s">
        <v>352</v>
      </c>
      <c r="K221" s="17" t="str">
        <f>_xlfn.IFNA(VLOOKUP(C221, '[2]Unique HS'!$B$4:$J$999, 9, FALSE), "No")</f>
        <v>No</v>
      </c>
      <c r="L221" s="18">
        <f>VLOOKUP(C221, '[1]India EXIM'!$B$6:$C$580, 2, FALSE)</f>
        <v>5.8048496534999994E-2</v>
      </c>
      <c r="M221" s="11">
        <f>VLOOKUP(C221, '[1]China EXIM'!$B$6:$D$580, 3, FALSE)</f>
        <v>1.1357126161089999</v>
      </c>
      <c r="N221" s="6"/>
      <c r="O221" s="6"/>
      <c r="P221" s="6"/>
      <c r="Q221" s="10" t="s">
        <v>24</v>
      </c>
      <c r="R221" s="9" t="s">
        <v>55</v>
      </c>
      <c r="V221" s="1" t="s">
        <v>25</v>
      </c>
    </row>
    <row r="222" spans="2:23" ht="27.95" hidden="1">
      <c r="B222" s="6" t="str">
        <f>VLOOKUP(C222, [1]Definition!$D$5:$K$5665, 8, FALSE)</f>
        <v>Capital Goods</v>
      </c>
      <c r="C222" s="7">
        <v>842539</v>
      </c>
      <c r="D222" s="8" t="s">
        <v>662</v>
      </c>
      <c r="E222" s="8" t="s">
        <v>25</v>
      </c>
      <c r="F222" s="17" t="s">
        <v>19</v>
      </c>
      <c r="G222" s="8"/>
      <c r="H222" s="8"/>
      <c r="I222" s="9" t="s">
        <v>58</v>
      </c>
      <c r="J222" s="9" t="s">
        <v>31</v>
      </c>
      <c r="K222" s="17" t="str">
        <f>_xlfn.IFNA(VLOOKUP(C222, '[2]Unique HS'!$B$4:$J$999, 9, FALSE), "No")</f>
        <v>No</v>
      </c>
      <c r="L222" s="18">
        <f>VLOOKUP(C222, '[1]India EXIM'!$B$6:$C$580, 2, FALSE)</f>
        <v>1.7221554305000001E-2</v>
      </c>
      <c r="M222" s="11">
        <f>VLOOKUP(C222, '[1]China EXIM'!$B$6:$D$580, 3, FALSE)</f>
        <v>1.1166606162769999</v>
      </c>
      <c r="N222" s="9" t="s">
        <v>59</v>
      </c>
      <c r="O222" s="9"/>
      <c r="P222" s="6" t="s">
        <v>663</v>
      </c>
      <c r="Q222" s="10" t="s">
        <v>24</v>
      </c>
      <c r="R222" s="9" t="s">
        <v>58</v>
      </c>
      <c r="V222" s="1" t="s">
        <v>25</v>
      </c>
    </row>
    <row r="223" spans="2:23" ht="27.95" hidden="1">
      <c r="B223" s="6" t="str">
        <f>VLOOKUP(C223, [1]Definition!$D$5:$K$5665, 8, FALSE)</f>
        <v>Capital Goods</v>
      </c>
      <c r="C223" s="7">
        <v>843050</v>
      </c>
      <c r="D223" s="8" t="s">
        <v>277</v>
      </c>
      <c r="E223" s="8" t="s">
        <v>25</v>
      </c>
      <c r="F223" s="17" t="s">
        <v>19</v>
      </c>
      <c r="G223" s="8"/>
      <c r="H223" s="8"/>
      <c r="I223" s="9" t="s">
        <v>58</v>
      </c>
      <c r="J223" s="9" t="s">
        <v>31</v>
      </c>
      <c r="K223" s="17" t="str">
        <f>_xlfn.IFNA(VLOOKUP(C223, '[2]Unique HS'!$B$4:$J$999, 9, FALSE), "No")</f>
        <v>Yes</v>
      </c>
      <c r="L223" s="18">
        <f>VLOOKUP(C223, '[1]India EXIM'!$B$6:$C$580, 2, FALSE)</f>
        <v>8.3197856853000005E-2</v>
      </c>
      <c r="M223" s="11">
        <f>VLOOKUP(C223, '[1]China EXIM'!$B$6:$D$580, 3, FALSE)</f>
        <v>1.116646821425</v>
      </c>
      <c r="N223" s="9" t="s">
        <v>117</v>
      </c>
      <c r="O223" s="9"/>
      <c r="P223" s="6"/>
      <c r="Q223" s="10" t="s">
        <v>24</v>
      </c>
      <c r="R223" s="9" t="s">
        <v>58</v>
      </c>
      <c r="V223" s="1" t="s">
        <v>25</v>
      </c>
    </row>
    <row r="224" spans="2:23" ht="27.95" hidden="1">
      <c r="B224" s="6" t="str">
        <f>VLOOKUP(C224, [1]Definition!$D$5:$K$5665, 8, FALSE)</f>
        <v>Capital Goods</v>
      </c>
      <c r="C224" s="7">
        <v>846024</v>
      </c>
      <c r="D224" s="8" t="s">
        <v>436</v>
      </c>
      <c r="E224" s="8" t="s">
        <v>25</v>
      </c>
      <c r="F224" s="17" t="s">
        <v>19</v>
      </c>
      <c r="G224" s="8"/>
      <c r="H224" s="8"/>
      <c r="I224" s="9" t="s">
        <v>65</v>
      </c>
      <c r="J224" s="9" t="s">
        <v>31</v>
      </c>
      <c r="K224" s="17" t="str">
        <f>_xlfn.IFNA(VLOOKUP(C224, '[2]Unique HS'!$B$4:$J$999, 9, FALSE), "No")</f>
        <v>No</v>
      </c>
      <c r="L224" s="18">
        <f>VLOOKUP(C224, '[1]India EXIM'!$B$6:$C$580, 2, FALSE)</f>
        <v>4.0285582554999998E-2</v>
      </c>
      <c r="M224" s="11">
        <f>VLOOKUP(C224, '[1]China EXIM'!$B$6:$D$580, 3, FALSE)</f>
        <v>0.67453104088600002</v>
      </c>
      <c r="N224" s="6"/>
      <c r="O224" s="6"/>
      <c r="P224" s="6"/>
      <c r="Q224" s="10" t="s">
        <v>24</v>
      </c>
      <c r="R224" s="9" t="s">
        <v>65</v>
      </c>
      <c r="V224" s="1" t="s">
        <v>25</v>
      </c>
    </row>
    <row r="225" spans="2:23" ht="42" hidden="1">
      <c r="B225" s="6" t="str">
        <f>VLOOKUP(C225, [1]Definition!$D$5:$K$5665, 8, FALSE)</f>
        <v>Capital Goods</v>
      </c>
      <c r="C225" s="7">
        <v>903039</v>
      </c>
      <c r="D225" s="8" t="s">
        <v>353</v>
      </c>
      <c r="E225" s="8" t="s">
        <v>25</v>
      </c>
      <c r="F225" s="17" t="s">
        <v>27</v>
      </c>
      <c r="G225" s="8" t="s">
        <v>223</v>
      </c>
      <c r="H225" s="8" t="s">
        <v>224</v>
      </c>
      <c r="I225" s="9" t="s">
        <v>30</v>
      </c>
      <c r="J225" s="9" t="s">
        <v>225</v>
      </c>
      <c r="K225" s="17" t="str">
        <f>_xlfn.IFNA(VLOOKUP(C225, '[2]Unique HS'!$B$4:$J$999, 9, FALSE), "No")</f>
        <v>Yes</v>
      </c>
      <c r="L225" s="22">
        <f>VLOOKUP(C225, '[1]India EXIM'!$B$6:$C$580, 2, FALSE)</f>
        <v>5.7736262207999996E-2</v>
      </c>
      <c r="M225" s="11">
        <f>VLOOKUP(C225, '[1]China EXIM'!$B$6:$D$580, 3, FALSE)</f>
        <v>2.0689643973859999</v>
      </c>
      <c r="N225" s="6"/>
      <c r="O225" s="6"/>
      <c r="P225" s="6"/>
      <c r="Q225" s="10" t="s">
        <v>24</v>
      </c>
      <c r="R225" s="9" t="s">
        <v>30</v>
      </c>
      <c r="T225" s="1" t="s">
        <v>43</v>
      </c>
      <c r="V225" s="1" t="s">
        <v>25</v>
      </c>
    </row>
    <row r="226" spans="2:23" ht="27.95" hidden="1">
      <c r="B226" s="6" t="str">
        <f>VLOOKUP(C226, [1]Definition!$D$5:$K$5665, 8, FALSE)</f>
        <v>Capital Goods</v>
      </c>
      <c r="C226" s="7">
        <v>846150</v>
      </c>
      <c r="D226" s="8" t="s">
        <v>440</v>
      </c>
      <c r="E226" s="8" t="s">
        <v>25</v>
      </c>
      <c r="F226" s="17" t="s">
        <v>19</v>
      </c>
      <c r="G226" s="8"/>
      <c r="H226" s="8"/>
      <c r="I226" s="9" t="s">
        <v>65</v>
      </c>
      <c r="J226" s="9" t="s">
        <v>31</v>
      </c>
      <c r="K226" s="17" t="str">
        <f>_xlfn.IFNA(VLOOKUP(C226, '[2]Unique HS'!$B$4:$J$999, 9, FALSE), "No")</f>
        <v>Yes</v>
      </c>
      <c r="L226" s="18">
        <f>VLOOKUP(C226, '[1]India EXIM'!$B$6:$C$580, 2, FALSE)</f>
        <v>3.9557989483000003E-2</v>
      </c>
      <c r="M226" s="11">
        <f>VLOOKUP(C226, '[1]China EXIM'!$B$6:$D$580, 3, FALSE)</f>
        <v>1.2090452149440001</v>
      </c>
      <c r="N226" s="6"/>
      <c r="O226" s="6"/>
      <c r="P226" s="6"/>
      <c r="Q226" s="10" t="s">
        <v>24</v>
      </c>
      <c r="R226" s="9" t="s">
        <v>65</v>
      </c>
      <c r="V226" s="1" t="s">
        <v>25</v>
      </c>
    </row>
    <row r="227" spans="2:23" ht="56.1" hidden="1">
      <c r="B227" s="6" t="str">
        <f>VLOOKUP(C227, [1]Definition!$D$5:$K$5665, 8, FALSE)</f>
        <v>Capital Goods</v>
      </c>
      <c r="C227" s="7">
        <v>846249</v>
      </c>
      <c r="D227" s="8" t="s">
        <v>441</v>
      </c>
      <c r="E227" s="8" t="s">
        <v>25</v>
      </c>
      <c r="F227" s="17" t="s">
        <v>19</v>
      </c>
      <c r="G227" s="8"/>
      <c r="H227" s="8"/>
      <c r="I227" s="9" t="s">
        <v>65</v>
      </c>
      <c r="J227" s="9" t="s">
        <v>31</v>
      </c>
      <c r="K227" s="17" t="str">
        <f>_xlfn.IFNA(VLOOKUP(C227, '[2]Unique HS'!$B$4:$J$999, 9, FALSE), "No")</f>
        <v>Yes</v>
      </c>
      <c r="L227" s="18">
        <f>VLOOKUP(C227, '[1]India EXIM'!$B$6:$C$580, 2, FALSE)</f>
        <v>3.9130166815999998E-2</v>
      </c>
      <c r="M227" s="11">
        <f>VLOOKUP(C227, '[1]China EXIM'!$B$6:$D$580, 3, FALSE)</f>
        <v>0.26135543557199997</v>
      </c>
      <c r="N227" s="6"/>
      <c r="O227" s="6"/>
      <c r="P227" s="6"/>
      <c r="Q227" s="10" t="s">
        <v>24</v>
      </c>
      <c r="R227" s="9" t="s">
        <v>65</v>
      </c>
      <c r="V227" s="1" t="s">
        <v>25</v>
      </c>
    </row>
    <row r="228" spans="2:23" ht="56.1">
      <c r="B228" s="6" t="str">
        <f>VLOOKUP(C228, [1]Definition!$D$5:$K$5665, 8, FALSE)</f>
        <v>Capital Goods</v>
      </c>
      <c r="C228" s="7">
        <v>841280</v>
      </c>
      <c r="D228" s="8" t="s">
        <v>838</v>
      </c>
      <c r="E228" s="8" t="s">
        <v>34</v>
      </c>
      <c r="F228" s="17" t="s">
        <v>205</v>
      </c>
      <c r="G228" s="8"/>
      <c r="H228" s="8" t="s">
        <v>839</v>
      </c>
      <c r="I228" s="9" t="s">
        <v>22</v>
      </c>
      <c r="J228" s="9" t="s">
        <v>444</v>
      </c>
      <c r="K228" s="17" t="str">
        <f>_xlfn.IFNA(VLOOKUP(C228, '[2]Unique HS'!$B$4:$J$999, 9, FALSE), "No")</f>
        <v>Yes</v>
      </c>
      <c r="L228" s="18">
        <f>VLOOKUP(C228, '[1]India EXIM'!$B$6:$C$580, 2, FALSE)</f>
        <v>8.9221272129999998E-3</v>
      </c>
      <c r="M228" s="11">
        <f>VLOOKUP(C228, '[1]China EXIM'!$B$6:$D$580, 3, FALSE)</f>
        <v>1.064322781522</v>
      </c>
      <c r="N228" s="6"/>
      <c r="O228" s="6"/>
      <c r="P228" s="6"/>
      <c r="Q228" s="10" t="s">
        <v>24</v>
      </c>
      <c r="R228" s="9" t="s">
        <v>22</v>
      </c>
      <c r="V228" s="1" t="s">
        <v>34</v>
      </c>
      <c r="W228" s="1" t="s">
        <v>542</v>
      </c>
    </row>
    <row r="229" spans="2:23" ht="42" hidden="1">
      <c r="B229" s="6" t="str">
        <f>VLOOKUP(C229, [1]Definition!$D$5:$K$5665, 8, FALSE)</f>
        <v>Capital Goods</v>
      </c>
      <c r="C229" s="7">
        <v>842010</v>
      </c>
      <c r="D229" s="8" t="s">
        <v>459</v>
      </c>
      <c r="E229" s="8" t="s">
        <v>25</v>
      </c>
      <c r="F229" s="17" t="s">
        <v>19</v>
      </c>
      <c r="G229" s="8"/>
      <c r="H229" s="8"/>
      <c r="I229" s="9" t="s">
        <v>55</v>
      </c>
      <c r="J229" s="9" t="s">
        <v>460</v>
      </c>
      <c r="K229" s="17" t="str">
        <f>_xlfn.IFNA(VLOOKUP(C229, '[2]Unique HS'!$B$4:$J$999, 9, FALSE), "No")</f>
        <v>Yes</v>
      </c>
      <c r="L229" s="18">
        <f>VLOOKUP(C229, '[1]India EXIM'!$B$6:$C$580, 2, FALSE)</f>
        <v>3.7157922295E-2</v>
      </c>
      <c r="M229" s="11">
        <f>VLOOKUP(C229, '[1]China EXIM'!$B$6:$D$580, 3, FALSE)</f>
        <v>1.050121812694</v>
      </c>
      <c r="N229" s="12" t="s">
        <v>52</v>
      </c>
      <c r="O229" s="12"/>
      <c r="P229" s="6" t="s">
        <v>461</v>
      </c>
      <c r="Q229" s="10" t="s">
        <v>24</v>
      </c>
      <c r="R229" s="9" t="s">
        <v>55</v>
      </c>
      <c r="V229" s="1" t="s">
        <v>25</v>
      </c>
    </row>
    <row r="230" spans="2:23" hidden="1">
      <c r="B230" s="6" t="str">
        <f>VLOOKUP(C230, [1]Definition!$D$5:$K$5665, 8, FALSE)</f>
        <v>Capital Goods</v>
      </c>
      <c r="C230" s="7">
        <v>821300</v>
      </c>
      <c r="D230" s="8" t="s">
        <v>545</v>
      </c>
      <c r="E230" s="8" t="s">
        <v>34</v>
      </c>
      <c r="F230" s="17" t="s">
        <v>119</v>
      </c>
      <c r="G230" s="8"/>
      <c r="H230" s="8"/>
      <c r="I230" s="9" t="s">
        <v>55</v>
      </c>
      <c r="J230" s="9" t="s">
        <v>546</v>
      </c>
      <c r="K230" s="17" t="str">
        <f>_xlfn.IFNA(VLOOKUP(C230, '[2]Unique HS'!$B$4:$J$999, 9, FALSE), "No")</f>
        <v>Yes</v>
      </c>
      <c r="L230" s="18">
        <f>VLOOKUP(C230, '[1]India EXIM'!$B$6:$C$580, 2, FALSE)</f>
        <v>1.2219486073999999E-2</v>
      </c>
      <c r="M230" s="11">
        <f>VLOOKUP(C230, '[1]China EXIM'!$B$6:$D$580, 3, FALSE)</f>
        <v>1.0500670898539999</v>
      </c>
      <c r="N230" s="6" t="s">
        <v>210</v>
      </c>
      <c r="O230" s="6"/>
      <c r="P230" s="6" t="s">
        <v>547</v>
      </c>
      <c r="Q230" s="10" t="s">
        <v>24</v>
      </c>
      <c r="R230" s="11" t="s">
        <v>55</v>
      </c>
      <c r="V230" s="1" t="s">
        <v>34</v>
      </c>
    </row>
    <row r="231" spans="2:23" ht="56.1" hidden="1">
      <c r="B231" s="6" t="str">
        <f>VLOOKUP(C231, [1]Definition!$D$5:$K$5665, 8, FALSE)</f>
        <v>Capital Goods</v>
      </c>
      <c r="C231" s="7">
        <v>903020</v>
      </c>
      <c r="D231" s="8" t="s">
        <v>392</v>
      </c>
      <c r="E231" s="8" t="s">
        <v>25</v>
      </c>
      <c r="F231" s="17" t="s">
        <v>19</v>
      </c>
      <c r="G231" s="8" t="s">
        <v>393</v>
      </c>
      <c r="H231" s="8" t="s">
        <v>394</v>
      </c>
      <c r="I231" s="9" t="s">
        <v>46</v>
      </c>
      <c r="J231" s="9" t="s">
        <v>395</v>
      </c>
      <c r="K231" s="17" t="str">
        <f>_xlfn.IFNA(VLOOKUP(C231, '[2]Unique HS'!$B$4:$J$999, 9, FALSE), "No")</f>
        <v>Yes</v>
      </c>
      <c r="L231" s="18">
        <f>VLOOKUP(C231, '[1]India EXIM'!$B$6:$C$580, 2, FALSE)</f>
        <v>4.6768788597999995E-2</v>
      </c>
      <c r="M231" s="11">
        <f>VLOOKUP(C231, '[1]China EXIM'!$B$6:$D$580, 3, FALSE)</f>
        <v>1.0498585999249999</v>
      </c>
      <c r="N231" s="6"/>
      <c r="O231" s="6"/>
      <c r="P231" s="6"/>
      <c r="Q231" s="10" t="s">
        <v>24</v>
      </c>
      <c r="R231" s="9" t="s">
        <v>46</v>
      </c>
      <c r="V231" s="1" t="s">
        <v>25</v>
      </c>
    </row>
    <row r="232" spans="2:23" ht="56.1">
      <c r="B232" s="6" t="str">
        <f>VLOOKUP(C232, [1]Definition!$D$5:$K$5665, 8, FALSE)</f>
        <v>Capital Goods</v>
      </c>
      <c r="C232" s="7">
        <v>841239</v>
      </c>
      <c r="D232" s="8" t="s">
        <v>442</v>
      </c>
      <c r="E232" s="8" t="s">
        <v>34</v>
      </c>
      <c r="F232" s="17" t="s">
        <v>205</v>
      </c>
      <c r="G232" s="8"/>
      <c r="H232" s="8" t="s">
        <v>443</v>
      </c>
      <c r="I232" s="9" t="s">
        <v>22</v>
      </c>
      <c r="J232" s="9" t="s">
        <v>444</v>
      </c>
      <c r="K232" s="17" t="str">
        <f>_xlfn.IFNA(VLOOKUP(C232, '[2]Unique HS'!$B$4:$J$999, 9, FALSE), "No")</f>
        <v>Yes</v>
      </c>
      <c r="L232" s="18">
        <f>VLOOKUP(C232, '[1]India EXIM'!$B$6:$C$580, 2, FALSE)</f>
        <v>3.9114681451E-2</v>
      </c>
      <c r="M232" s="11">
        <f>VLOOKUP(C232, '[1]China EXIM'!$B$6:$D$580, 3, FALSE)</f>
        <v>1.045914108796</v>
      </c>
      <c r="N232" s="6"/>
      <c r="O232" s="6"/>
      <c r="P232" s="6"/>
      <c r="Q232" s="10" t="s">
        <v>24</v>
      </c>
      <c r="R232" s="9" t="s">
        <v>22</v>
      </c>
      <c r="V232" s="1" t="s">
        <v>34</v>
      </c>
    </row>
    <row r="233" spans="2:23" ht="27.95" hidden="1">
      <c r="B233" s="6" t="str">
        <f>VLOOKUP(C233, [1]Definition!$D$5:$K$5665, 8, FALSE)</f>
        <v>Capital Goods</v>
      </c>
      <c r="C233" s="7">
        <v>842219</v>
      </c>
      <c r="D233" s="16" t="s">
        <v>551</v>
      </c>
      <c r="E233" s="16" t="s">
        <v>25</v>
      </c>
      <c r="F233" s="17" t="s">
        <v>119</v>
      </c>
      <c r="G233" s="8"/>
      <c r="H233" s="8"/>
      <c r="I233" s="9" t="s">
        <v>61</v>
      </c>
      <c r="J233" s="9" t="s">
        <v>552</v>
      </c>
      <c r="K233" s="17" t="str">
        <f>_xlfn.IFNA(VLOOKUP(C233, '[2]Unique HS'!$B$4:$J$999, 9, FALSE), "No")</f>
        <v>No</v>
      </c>
      <c r="L233" s="18">
        <f>VLOOKUP(C233, '[1]India EXIM'!$B$6:$C$580, 2, FALSE)</f>
        <v>1.447851518E-2</v>
      </c>
      <c r="M233" s="11">
        <f>VLOOKUP(C233, '[1]China EXIM'!$B$6:$D$580, 3, FALSE)</f>
        <v>1.0412079485670001</v>
      </c>
      <c r="N233" s="6"/>
      <c r="O233" s="6"/>
      <c r="P233" s="6"/>
      <c r="Q233" s="10" t="s">
        <v>24</v>
      </c>
      <c r="R233" s="9" t="s">
        <v>61</v>
      </c>
      <c r="V233" s="1" t="s">
        <v>25</v>
      </c>
    </row>
    <row r="234" spans="2:23" ht="27.95" hidden="1">
      <c r="B234" s="6" t="str">
        <f>VLOOKUP(C234, [1]Definition!$D$5:$K$5665, 8, FALSE)</f>
        <v>Capital Goods</v>
      </c>
      <c r="C234" s="7">
        <v>870191</v>
      </c>
      <c r="D234" s="8" t="s">
        <v>1068</v>
      </c>
      <c r="E234" s="8" t="s">
        <v>25</v>
      </c>
      <c r="F234" s="17" t="s">
        <v>19</v>
      </c>
      <c r="G234" s="8"/>
      <c r="H234" s="8"/>
      <c r="I234" s="9" t="s">
        <v>58</v>
      </c>
      <c r="J234" s="9" t="s">
        <v>31</v>
      </c>
      <c r="K234" s="17" t="str">
        <f>_xlfn.IFNA(VLOOKUP(C234, '[2]Unique HS'!$B$4:$J$999, 9, FALSE), "No")</f>
        <v>No</v>
      </c>
      <c r="L234" s="18">
        <f>VLOOKUP(C234, '[1]India EXIM'!$B$6:$C$580, 2, FALSE)</f>
        <v>5.9828328700000006E-4</v>
      </c>
      <c r="M234" s="11">
        <f>VLOOKUP(C234, '[1]China EXIM'!$B$6:$D$580, 3, FALSE)</f>
        <v>1.0287239699949999</v>
      </c>
      <c r="N234" s="6"/>
      <c r="O234" s="6"/>
      <c r="P234" s="6"/>
      <c r="Q234" s="10" t="s">
        <v>24</v>
      </c>
      <c r="R234" s="9" t="s">
        <v>58</v>
      </c>
      <c r="V234" s="1" t="s">
        <v>25</v>
      </c>
    </row>
    <row r="235" spans="2:23" ht="56.1" hidden="1">
      <c r="B235" s="6" t="str">
        <f>VLOOKUP(C235, [1]Definition!$D$5:$K$5665, 8, FALSE)</f>
        <v>Capital Goods</v>
      </c>
      <c r="C235" s="7">
        <v>845180</v>
      </c>
      <c r="D235" s="8" t="s">
        <v>233</v>
      </c>
      <c r="E235" s="8" t="s">
        <v>25</v>
      </c>
      <c r="F235" s="17" t="s">
        <v>19</v>
      </c>
      <c r="G235" s="8"/>
      <c r="H235" s="8"/>
      <c r="I235" s="9" t="s">
        <v>55</v>
      </c>
      <c r="J235" s="9" t="s">
        <v>234</v>
      </c>
      <c r="K235" s="17" t="str">
        <f>_xlfn.IFNA(VLOOKUP(C235, '[2]Unique HS'!$B$4:$J$999, 9, FALSE), "No")</f>
        <v>No</v>
      </c>
      <c r="L235" s="18">
        <f>VLOOKUP(C235, '[1]India EXIM'!$B$6:$C$580, 2, FALSE)</f>
        <v>0.103249811937</v>
      </c>
      <c r="M235" s="11">
        <f>VLOOKUP(C235, '[1]China EXIM'!$B$6:$D$580, 3, FALSE)</f>
        <v>1.0211504429180001</v>
      </c>
      <c r="N235" s="6"/>
      <c r="O235" s="6"/>
      <c r="P235" s="6"/>
      <c r="Q235" s="10" t="s">
        <v>24</v>
      </c>
      <c r="R235" s="9" t="s">
        <v>55</v>
      </c>
      <c r="V235" s="1" t="s">
        <v>25</v>
      </c>
    </row>
    <row r="236" spans="2:23" ht="27.95" hidden="1">
      <c r="B236" s="6" t="str">
        <f>VLOOKUP(C236, [1]Definition!$D$5:$K$5665, 8, FALSE)</f>
        <v>Capital Goods</v>
      </c>
      <c r="C236" s="7">
        <v>842611</v>
      </c>
      <c r="D236" s="8" t="s">
        <v>671</v>
      </c>
      <c r="E236" s="8" t="s">
        <v>25</v>
      </c>
      <c r="F236" s="17" t="s">
        <v>19</v>
      </c>
      <c r="G236" s="8"/>
      <c r="H236" s="8"/>
      <c r="I236" s="9" t="s">
        <v>58</v>
      </c>
      <c r="J236" s="9" t="s">
        <v>31</v>
      </c>
      <c r="K236" s="17" t="str">
        <f>_xlfn.IFNA(VLOOKUP(C236, '[2]Unique HS'!$B$4:$J$999, 9, FALSE), "No")</f>
        <v>No</v>
      </c>
      <c r="L236" s="18">
        <f>VLOOKUP(C236, '[1]India EXIM'!$B$6:$C$580, 2, FALSE)</f>
        <v>1.7102620940999999E-2</v>
      </c>
      <c r="M236" s="11">
        <f>VLOOKUP(C236, '[1]China EXIM'!$B$6:$D$580, 3, FALSE)</f>
        <v>1.018463931266</v>
      </c>
      <c r="N236" s="9" t="s">
        <v>80</v>
      </c>
      <c r="O236" s="9"/>
      <c r="P236" s="6"/>
      <c r="Q236" s="10" t="s">
        <v>24</v>
      </c>
      <c r="R236" s="9" t="s">
        <v>58</v>
      </c>
      <c r="V236" s="1" t="s">
        <v>25</v>
      </c>
    </row>
    <row r="237" spans="2:23" ht="27.95" hidden="1">
      <c r="B237" s="6" t="str">
        <f>VLOOKUP(C237, [1]Definition!$D$5:$K$5665, 8, FALSE)</f>
        <v>Capital Goods</v>
      </c>
      <c r="C237" s="7">
        <v>845899</v>
      </c>
      <c r="D237" s="8" t="s">
        <v>445</v>
      </c>
      <c r="E237" s="8" t="s">
        <v>25</v>
      </c>
      <c r="F237" s="17" t="s">
        <v>19</v>
      </c>
      <c r="G237" s="8"/>
      <c r="H237" s="8"/>
      <c r="I237" s="9" t="s">
        <v>65</v>
      </c>
      <c r="J237" s="9" t="s">
        <v>174</v>
      </c>
      <c r="K237" s="17" t="str">
        <f>_xlfn.IFNA(VLOOKUP(C237, '[2]Unique HS'!$B$4:$J$999, 9, FALSE), "No")</f>
        <v>No</v>
      </c>
      <c r="L237" s="18">
        <f>VLOOKUP(C237, '[1]India EXIM'!$B$6:$C$580, 2, FALSE)</f>
        <v>3.9027264292999998E-2</v>
      </c>
      <c r="M237" s="11">
        <f>VLOOKUP(C237, '[1]China EXIM'!$B$6:$D$580, 3, FALSE)</f>
        <v>0.21354861496799998</v>
      </c>
      <c r="N237" s="6"/>
      <c r="O237" s="6"/>
      <c r="P237" s="6"/>
      <c r="Q237" s="10" t="s">
        <v>24</v>
      </c>
      <c r="R237" s="9" t="s">
        <v>65</v>
      </c>
      <c r="V237" s="1" t="s">
        <v>25</v>
      </c>
    </row>
    <row r="238" spans="2:23" ht="42" hidden="1">
      <c r="B238" s="6" t="str">
        <f>VLOOKUP(C238, [1]Definition!$D$5:$K$5665, 8, FALSE)</f>
        <v>Capital Goods</v>
      </c>
      <c r="C238" s="7">
        <v>847740</v>
      </c>
      <c r="D238" s="8" t="s">
        <v>571</v>
      </c>
      <c r="E238" s="8" t="s">
        <v>25</v>
      </c>
      <c r="F238" s="17" t="s">
        <v>19</v>
      </c>
      <c r="G238" s="8"/>
      <c r="H238" s="8"/>
      <c r="I238" s="9" t="s">
        <v>52</v>
      </c>
      <c r="J238" s="9" t="s">
        <v>53</v>
      </c>
      <c r="K238" s="17" t="str">
        <f>_xlfn.IFNA(VLOOKUP(C238, '[2]Unique HS'!$B$4:$J$999, 9, FALSE), "No")</f>
        <v>Yes</v>
      </c>
      <c r="L238" s="18">
        <f>VLOOKUP(C238, '[1]India EXIM'!$B$6:$C$580, 2, FALSE)</f>
        <v>2.3991636124000001E-2</v>
      </c>
      <c r="M238" s="11">
        <f>VLOOKUP(C238, '[1]China EXIM'!$B$6:$D$580, 3, FALSE)</f>
        <v>1.0125384192209999</v>
      </c>
      <c r="N238" s="6"/>
      <c r="O238" s="6"/>
      <c r="P238" s="6"/>
      <c r="Q238" s="10" t="s">
        <v>24</v>
      </c>
      <c r="R238" s="9" t="s">
        <v>52</v>
      </c>
      <c r="V238" s="1" t="s">
        <v>25</v>
      </c>
    </row>
    <row r="239" spans="2:23" ht="27.95" hidden="1">
      <c r="B239" s="6" t="str">
        <f>VLOOKUP(C239, [1]Definition!$D$5:$K$5665, 8, FALSE)</f>
        <v>Capital Goods</v>
      </c>
      <c r="C239" s="7">
        <v>845961</v>
      </c>
      <c r="D239" s="8" t="s">
        <v>455</v>
      </c>
      <c r="E239" s="8" t="s">
        <v>25</v>
      </c>
      <c r="F239" s="17" t="s">
        <v>19</v>
      </c>
      <c r="G239" s="8"/>
      <c r="H239" s="8"/>
      <c r="I239" s="9" t="s">
        <v>65</v>
      </c>
      <c r="J239" s="9" t="s">
        <v>31</v>
      </c>
      <c r="K239" s="17" t="str">
        <f>_xlfn.IFNA(VLOOKUP(C239, '[2]Unique HS'!$B$4:$J$999, 9, FALSE), "No")</f>
        <v>No</v>
      </c>
      <c r="L239" s="18">
        <f>VLOOKUP(C239, '[1]India EXIM'!$B$6:$C$580, 2, FALSE)</f>
        <v>3.7855634436999998E-2</v>
      </c>
      <c r="M239" s="11">
        <f>VLOOKUP(C239, '[1]China EXIM'!$B$6:$D$580, 3, FALSE)</f>
        <v>0.89699737533400004</v>
      </c>
      <c r="N239" s="6"/>
      <c r="O239" s="6"/>
      <c r="P239" s="6"/>
      <c r="Q239" s="10" t="s">
        <v>24</v>
      </c>
      <c r="R239" s="9" t="s">
        <v>65</v>
      </c>
      <c r="V239" s="1" t="s">
        <v>25</v>
      </c>
    </row>
    <row r="240" spans="2:23" ht="56.1" hidden="1">
      <c r="B240" s="6" t="str">
        <f>VLOOKUP(C240, [1]Definition!$D$5:$K$5665, 8, FALSE)</f>
        <v>Capital Goods</v>
      </c>
      <c r="C240" s="7">
        <v>820559</v>
      </c>
      <c r="D240" s="8" t="s">
        <v>462</v>
      </c>
      <c r="E240" s="8" t="s">
        <v>25</v>
      </c>
      <c r="F240" s="17" t="s">
        <v>19</v>
      </c>
      <c r="G240" s="8"/>
      <c r="H240" s="8"/>
      <c r="I240" s="9" t="s">
        <v>65</v>
      </c>
      <c r="J240" s="9" t="s">
        <v>209</v>
      </c>
      <c r="K240" s="17" t="str">
        <f>_xlfn.IFNA(VLOOKUP(C240, '[2]Unique HS'!$B$4:$J$999, 9, FALSE), "No")</f>
        <v>Yes</v>
      </c>
      <c r="L240" s="18">
        <f>VLOOKUP(C240, '[1]India EXIM'!$B$6:$C$580, 2, FALSE)</f>
        <v>3.6883880537000001E-2</v>
      </c>
      <c r="M240" s="11">
        <f>VLOOKUP(C240, '[1]China EXIM'!$B$6:$D$580, 3, FALSE)</f>
        <v>4.5257598742259999</v>
      </c>
      <c r="N240" s="6" t="s">
        <v>210</v>
      </c>
      <c r="O240" s="6"/>
      <c r="P240" s="9"/>
      <c r="Q240" s="10" t="s">
        <v>24</v>
      </c>
      <c r="R240" s="11" t="s">
        <v>210</v>
      </c>
      <c r="V240" s="1" t="s">
        <v>25</v>
      </c>
    </row>
    <row r="241" spans="2:23" ht="27.95" hidden="1">
      <c r="B241" s="6" t="str">
        <f>VLOOKUP(C241, [1]Definition!$D$5:$K$5665, 8, FALSE)</f>
        <v>Capital Goods</v>
      </c>
      <c r="C241" s="7">
        <v>845730</v>
      </c>
      <c r="D241" s="8" t="s">
        <v>475</v>
      </c>
      <c r="E241" s="8" t="s">
        <v>25</v>
      </c>
      <c r="F241" s="17" t="s">
        <v>19</v>
      </c>
      <c r="G241" s="8"/>
      <c r="H241" s="8"/>
      <c r="I241" s="9" t="s">
        <v>65</v>
      </c>
      <c r="J241" s="9" t="s">
        <v>31</v>
      </c>
      <c r="K241" s="17" t="str">
        <f>_xlfn.IFNA(VLOOKUP(C241, '[2]Unique HS'!$B$4:$J$999, 9, FALSE), "No")</f>
        <v>No</v>
      </c>
      <c r="L241" s="18">
        <f>VLOOKUP(C241, '[1]India EXIM'!$B$6:$C$580, 2, FALSE)</f>
        <v>3.4317356400999997E-2</v>
      </c>
      <c r="M241" s="11">
        <f>VLOOKUP(C241, '[1]China EXIM'!$B$6:$D$580, 3, FALSE)</f>
        <v>0.59012683434699997</v>
      </c>
      <c r="N241" s="6"/>
      <c r="O241" s="6"/>
      <c r="P241" s="6"/>
      <c r="Q241" s="10" t="s">
        <v>24</v>
      </c>
      <c r="R241" s="9" t="s">
        <v>65</v>
      </c>
      <c r="V241" s="1" t="s">
        <v>25</v>
      </c>
    </row>
    <row r="242" spans="2:23" ht="27.95">
      <c r="B242" s="6" t="str">
        <f>VLOOKUP(C242, [1]Definition!$D$5:$K$5665, 8, FALSE)</f>
        <v>Capital Goods</v>
      </c>
      <c r="C242" s="7">
        <v>847920</v>
      </c>
      <c r="D242" s="8" t="s">
        <v>669</v>
      </c>
      <c r="E242" s="8" t="s">
        <v>25</v>
      </c>
      <c r="F242" s="17" t="s">
        <v>19</v>
      </c>
      <c r="G242" s="8"/>
      <c r="H242" s="8"/>
      <c r="I242" s="9" t="s">
        <v>22</v>
      </c>
      <c r="J242" s="9" t="s">
        <v>670</v>
      </c>
      <c r="K242" s="17" t="str">
        <f>_xlfn.IFNA(VLOOKUP(C242, '[2]Unique HS'!$B$4:$J$999, 9, FALSE), "No")</f>
        <v>No</v>
      </c>
      <c r="L242" s="18">
        <f>VLOOKUP(C242, '[1]India EXIM'!$B$6:$C$580, 2, FALSE)</f>
        <v>1.7111225274000001E-2</v>
      </c>
      <c r="M242" s="11">
        <f>VLOOKUP(C242, '[1]China EXIM'!$B$6:$D$580, 3, FALSE)</f>
        <v>1.0022013841749999</v>
      </c>
      <c r="N242" s="6"/>
      <c r="O242" s="6"/>
      <c r="P242" s="6"/>
      <c r="Q242" s="10" t="s">
        <v>24</v>
      </c>
      <c r="R242" s="9" t="s">
        <v>22</v>
      </c>
      <c r="V242" s="1" t="s">
        <v>25</v>
      </c>
    </row>
    <row r="243" spans="2:23" ht="42" hidden="1">
      <c r="B243" s="6" t="str">
        <f>VLOOKUP(C243, [1]Definition!$D$5:$K$5665, 8, FALSE)</f>
        <v>Capital Goods</v>
      </c>
      <c r="C243" s="7">
        <v>850231</v>
      </c>
      <c r="D243" s="8" t="s">
        <v>786</v>
      </c>
      <c r="E243" s="8" t="s">
        <v>137</v>
      </c>
      <c r="F243" s="17" t="s">
        <v>27</v>
      </c>
      <c r="G243" s="8" t="s">
        <v>787</v>
      </c>
      <c r="H243" s="8" t="s">
        <v>788</v>
      </c>
      <c r="I243" s="9" t="s">
        <v>30</v>
      </c>
      <c r="J243" s="9" t="s">
        <v>31</v>
      </c>
      <c r="K243" s="17" t="str">
        <f>_xlfn.IFNA(VLOOKUP(C243, '[2]Unique HS'!$B$4:$J$999, 9, FALSE), "No")</f>
        <v>No</v>
      </c>
      <c r="L243" s="22">
        <f>VLOOKUP(C243, '[1]India EXIM'!$B$6:$C$580, 2, FALSE)</f>
        <v>1.0939294332000001E-2</v>
      </c>
      <c r="M243" s="11">
        <f>VLOOKUP(C243, '[1]China EXIM'!$B$6:$D$580, 3, FALSE)</f>
        <v>5.2178171173220012</v>
      </c>
      <c r="N243" s="6"/>
      <c r="O243" s="6"/>
      <c r="P243" s="6"/>
      <c r="Q243" s="10" t="s">
        <v>24</v>
      </c>
      <c r="R243" s="9" t="s">
        <v>30</v>
      </c>
      <c r="T243" s="1" t="s">
        <v>136</v>
      </c>
      <c r="V243" s="1" t="s">
        <v>137</v>
      </c>
    </row>
    <row r="244" spans="2:23" ht="27.95" hidden="1">
      <c r="B244" s="6" t="str">
        <f>VLOOKUP(C244, [1]Definition!$D$5:$K$5665, 8, FALSE)</f>
        <v>Capital Goods</v>
      </c>
      <c r="C244" s="7">
        <v>844790</v>
      </c>
      <c r="D244" s="8" t="s">
        <v>66</v>
      </c>
      <c r="E244" s="8" t="s">
        <v>25</v>
      </c>
      <c r="F244" s="17" t="s">
        <v>19</v>
      </c>
      <c r="G244" s="8"/>
      <c r="H244" s="8"/>
      <c r="I244" s="9" t="s">
        <v>55</v>
      </c>
      <c r="J244" s="9" t="s">
        <v>56</v>
      </c>
      <c r="K244" s="17" t="str">
        <f>_xlfn.IFNA(VLOOKUP(C244, '[2]Unique HS'!$B$4:$J$999, 9, FALSE), "No")</f>
        <v>No</v>
      </c>
      <c r="L244" s="18">
        <f>VLOOKUP(C244, '[1]India EXIM'!$B$6:$C$580, 2, FALSE)</f>
        <v>0.37993592745499999</v>
      </c>
      <c r="M244" s="11">
        <f>VLOOKUP(C244, '[1]China EXIM'!$B$6:$D$580, 3, FALSE)</f>
        <v>0.99697570118800005</v>
      </c>
      <c r="N244" s="6"/>
      <c r="O244" s="6"/>
      <c r="P244" s="6"/>
      <c r="Q244" s="10" t="s">
        <v>24</v>
      </c>
      <c r="R244" s="9" t="s">
        <v>55</v>
      </c>
      <c r="V244" s="1" t="s">
        <v>25</v>
      </c>
    </row>
    <row r="245" spans="2:23" ht="27.95" hidden="1">
      <c r="B245" s="6" t="str">
        <f>VLOOKUP(C245, [1]Definition!$D$5:$K$5665, 8, FALSE)</f>
        <v>Capital Goods</v>
      </c>
      <c r="C245" s="7">
        <v>842220</v>
      </c>
      <c r="D245" s="8" t="s">
        <v>751</v>
      </c>
      <c r="E245" s="8" t="s">
        <v>25</v>
      </c>
      <c r="F245" s="17" t="s">
        <v>19</v>
      </c>
      <c r="G245" s="8"/>
      <c r="H245" s="8"/>
      <c r="I245" s="9" t="s">
        <v>61</v>
      </c>
      <c r="J245" s="9" t="s">
        <v>62</v>
      </c>
      <c r="K245" s="17" t="str">
        <f>_xlfn.IFNA(VLOOKUP(C245, '[2]Unique HS'!$B$4:$J$999, 9, FALSE), "No")</f>
        <v>Yes</v>
      </c>
      <c r="L245" s="18">
        <f>VLOOKUP(C245, '[1]India EXIM'!$B$6:$C$580, 2, FALSE)</f>
        <v>1.3176121281E-2</v>
      </c>
      <c r="M245" s="11">
        <f>VLOOKUP(C245, '[1]China EXIM'!$B$6:$D$580, 3, FALSE)</f>
        <v>0.99618588906799999</v>
      </c>
      <c r="N245" s="6"/>
      <c r="O245" s="6"/>
      <c r="P245" s="6"/>
      <c r="Q245" s="10" t="s">
        <v>24</v>
      </c>
      <c r="R245" s="9" t="s">
        <v>61</v>
      </c>
      <c r="V245" s="1" t="s">
        <v>25</v>
      </c>
    </row>
    <row r="246" spans="2:23" ht="27.95" hidden="1">
      <c r="B246" s="6" t="str">
        <f>VLOOKUP(C246, [1]Definition!$D$5:$K$5665, 8, FALSE)</f>
        <v>Capital Goods</v>
      </c>
      <c r="C246" s="7">
        <v>846781</v>
      </c>
      <c r="D246" s="8" t="s">
        <v>476</v>
      </c>
      <c r="E246" s="8" t="s">
        <v>25</v>
      </c>
      <c r="F246" s="17" t="s">
        <v>19</v>
      </c>
      <c r="G246" s="8"/>
      <c r="H246" s="8"/>
      <c r="I246" s="9" t="s">
        <v>65</v>
      </c>
      <c r="J246" s="9" t="s">
        <v>31</v>
      </c>
      <c r="K246" s="17" t="str">
        <f>_xlfn.IFNA(VLOOKUP(C246, '[2]Unique HS'!$B$4:$J$999, 9, FALSE), "No")</f>
        <v>No</v>
      </c>
      <c r="L246" s="18">
        <f>VLOOKUP(C246, '[1]India EXIM'!$B$6:$C$580, 2, FALSE)</f>
        <v>3.4217680399999999E-2</v>
      </c>
      <c r="M246" s="11">
        <f>VLOOKUP(C246, '[1]China EXIM'!$B$6:$D$580, 3, FALSE)</f>
        <v>1.006053998779</v>
      </c>
      <c r="N246" s="6"/>
      <c r="O246" s="6"/>
      <c r="P246" s="6"/>
      <c r="Q246" s="10" t="s">
        <v>24</v>
      </c>
      <c r="R246" s="9" t="s">
        <v>65</v>
      </c>
      <c r="V246" s="1" t="s">
        <v>25</v>
      </c>
    </row>
    <row r="247" spans="2:23" ht="27.95" hidden="1">
      <c r="B247" s="6" t="str">
        <f>VLOOKUP(C247, [1]Definition!$D$5:$K$5665, 8, FALSE)</f>
        <v>Capital Goods</v>
      </c>
      <c r="C247" s="7">
        <v>845430</v>
      </c>
      <c r="D247" s="8" t="s">
        <v>81</v>
      </c>
      <c r="E247" s="8" t="s">
        <v>25</v>
      </c>
      <c r="F247" s="17" t="s">
        <v>19</v>
      </c>
      <c r="G247" s="8"/>
      <c r="H247" s="8"/>
      <c r="I247" s="9" t="s">
        <v>82</v>
      </c>
      <c r="J247" s="9" t="s">
        <v>83</v>
      </c>
      <c r="K247" s="17" t="str">
        <f>_xlfn.IFNA(VLOOKUP(C247, '[2]Unique HS'!$B$4:$J$999, 9, FALSE), "No")</f>
        <v>No</v>
      </c>
      <c r="L247" s="18">
        <f>VLOOKUP(C247, '[1]India EXIM'!$B$6:$C$580, 2, FALSE)</f>
        <v>0.31250048724299995</v>
      </c>
      <c r="M247" s="11">
        <f>VLOOKUP(C247, '[1]China EXIM'!$B$6:$D$580, 3, FALSE)</f>
        <v>0.98452318866999999</v>
      </c>
      <c r="N247" s="6"/>
      <c r="O247" s="6"/>
      <c r="P247" s="6"/>
      <c r="Q247" s="10" t="s">
        <v>24</v>
      </c>
      <c r="R247" s="9" t="s">
        <v>82</v>
      </c>
      <c r="V247" s="1" t="s">
        <v>25</v>
      </c>
    </row>
    <row r="248" spans="2:23" hidden="1">
      <c r="B248" s="6" t="str">
        <f>VLOOKUP(C248, [1]Definition!$D$5:$K$5665, 8, FALSE)</f>
        <v>Capital Goods</v>
      </c>
      <c r="C248" s="7">
        <v>847940</v>
      </c>
      <c r="D248" s="8" t="s">
        <v>290</v>
      </c>
      <c r="E248" s="8" t="s">
        <v>25</v>
      </c>
      <c r="F248" s="17" t="s">
        <v>19</v>
      </c>
      <c r="G248" s="8"/>
      <c r="H248" s="8"/>
      <c r="I248" s="9" t="s">
        <v>55</v>
      </c>
      <c r="J248" s="9" t="s">
        <v>291</v>
      </c>
      <c r="K248" s="17" t="str">
        <f>_xlfn.IFNA(VLOOKUP(C248, '[2]Unique HS'!$B$4:$J$999, 9, FALSE), "No")</f>
        <v>No</v>
      </c>
      <c r="L248" s="18">
        <f>VLOOKUP(C248, '[1]India EXIM'!$B$6:$C$580, 2, FALSE)</f>
        <v>7.4375279808999994E-2</v>
      </c>
      <c r="M248" s="11">
        <f>VLOOKUP(C248, '[1]China EXIM'!$B$6:$D$580, 3, FALSE)</f>
        <v>0.97746500599499997</v>
      </c>
      <c r="N248" s="6"/>
      <c r="O248" s="6"/>
      <c r="P248" s="6"/>
      <c r="Q248" s="10" t="s">
        <v>24</v>
      </c>
      <c r="R248" s="9" t="s">
        <v>55</v>
      </c>
      <c r="V248" s="1" t="s">
        <v>25</v>
      </c>
    </row>
    <row r="249" spans="2:23" ht="42" hidden="1">
      <c r="B249" s="6" t="str">
        <f>VLOOKUP(C249, [1]Definition!$D$5:$K$5665, 8, FALSE)</f>
        <v>Capital Goods</v>
      </c>
      <c r="C249" s="7">
        <v>850239</v>
      </c>
      <c r="D249" s="8" t="s">
        <v>562</v>
      </c>
      <c r="E249" s="8" t="s">
        <v>137</v>
      </c>
      <c r="F249" s="17" t="s">
        <v>27</v>
      </c>
      <c r="G249" s="8" t="s">
        <v>563</v>
      </c>
      <c r="H249" s="8" t="s">
        <v>564</v>
      </c>
      <c r="I249" s="9" t="s">
        <v>30</v>
      </c>
      <c r="J249" s="9" t="s">
        <v>31</v>
      </c>
      <c r="K249" s="17" t="str">
        <f>_xlfn.IFNA(VLOOKUP(C249, '[2]Unique HS'!$B$4:$J$999, 9, FALSE), "No")</f>
        <v>No</v>
      </c>
      <c r="L249" s="22">
        <f>VLOOKUP(C249, '[1]India EXIM'!$B$6:$C$580, 2, FALSE)</f>
        <v>2.541252594E-2</v>
      </c>
      <c r="M249" s="11">
        <f>VLOOKUP(C249, '[1]China EXIM'!$B$6:$D$580, 3, FALSE)</f>
        <v>2.2943463484810001</v>
      </c>
      <c r="N249" s="6"/>
      <c r="O249" s="6"/>
      <c r="P249" s="6"/>
      <c r="Q249" s="10" t="s">
        <v>24</v>
      </c>
      <c r="R249" s="9" t="s">
        <v>30</v>
      </c>
      <c r="T249" s="1" t="s">
        <v>136</v>
      </c>
      <c r="V249" s="1" t="s">
        <v>137</v>
      </c>
    </row>
    <row r="250" spans="2:23" ht="27.95" hidden="1">
      <c r="B250" s="6" t="str">
        <f>VLOOKUP(C250, [1]Definition!$D$5:$K$5665, 8, FALSE)</f>
        <v>Capital Goods</v>
      </c>
      <c r="C250" s="7">
        <v>851680</v>
      </c>
      <c r="D250" s="8" t="s">
        <v>356</v>
      </c>
      <c r="E250" s="8" t="s">
        <v>34</v>
      </c>
      <c r="F250" s="17" t="s">
        <v>27</v>
      </c>
      <c r="G250" s="8" t="s">
        <v>357</v>
      </c>
      <c r="H250" s="8" t="s">
        <v>358</v>
      </c>
      <c r="I250" s="9" t="s">
        <v>30</v>
      </c>
      <c r="J250" s="9" t="s">
        <v>38</v>
      </c>
      <c r="K250" s="17" t="str">
        <f>_xlfn.IFNA(VLOOKUP(C250, '[2]Unique HS'!$B$4:$J$999, 9, FALSE), "No")</f>
        <v>Yes</v>
      </c>
      <c r="L250" s="22">
        <f>VLOOKUP(C250, '[1]India EXIM'!$B$6:$C$580, 2, FALSE)</f>
        <v>5.6017180902000002E-2</v>
      </c>
      <c r="M250" s="11">
        <f>VLOOKUP(C250, '[1]China EXIM'!$B$6:$D$580, 3, FALSE)</f>
        <v>5.7814885885749998</v>
      </c>
      <c r="N250" s="6"/>
      <c r="O250" s="6"/>
      <c r="P250" s="6"/>
      <c r="Q250" s="10" t="s">
        <v>24</v>
      </c>
      <c r="R250" s="11" t="s">
        <v>30</v>
      </c>
      <c r="T250" s="1" t="s">
        <v>136</v>
      </c>
      <c r="V250" s="1" t="s">
        <v>34</v>
      </c>
    </row>
    <row r="251" spans="2:23" ht="42" hidden="1">
      <c r="B251" s="6" t="str">
        <f>VLOOKUP(C251, [1]Definition!$D$5:$K$5665, 8, FALSE)</f>
        <v>Capital Goods</v>
      </c>
      <c r="C251" s="7">
        <v>850422</v>
      </c>
      <c r="D251" s="8" t="s">
        <v>446</v>
      </c>
      <c r="E251" s="8" t="s">
        <v>137</v>
      </c>
      <c r="F251" s="17" t="s">
        <v>205</v>
      </c>
      <c r="G251" s="8" t="s">
        <v>447</v>
      </c>
      <c r="H251" s="8" t="s">
        <v>448</v>
      </c>
      <c r="I251" s="9" t="s">
        <v>30</v>
      </c>
      <c r="J251" s="9" t="s">
        <v>31</v>
      </c>
      <c r="K251" s="17" t="str">
        <f>_xlfn.IFNA(VLOOKUP(C251, '[2]Unique HS'!$B$4:$J$999, 9, FALSE), "No")</f>
        <v>No</v>
      </c>
      <c r="L251" s="22">
        <f>VLOOKUP(C251, '[1]India EXIM'!$B$6:$C$580, 2, FALSE)</f>
        <v>3.8926518601999999E-2</v>
      </c>
      <c r="M251" s="11">
        <f>VLOOKUP(C251, '[1]China EXIM'!$B$6:$D$580, 3, FALSE)</f>
        <v>3.9319181300209998</v>
      </c>
      <c r="N251" s="6" t="s">
        <v>32</v>
      </c>
      <c r="O251" s="6"/>
      <c r="P251" s="6"/>
      <c r="Q251" s="10" t="s">
        <v>24</v>
      </c>
      <c r="R251" s="9" t="s">
        <v>30</v>
      </c>
      <c r="T251" s="1" t="s">
        <v>136</v>
      </c>
      <c r="V251" s="1" t="s">
        <v>137</v>
      </c>
    </row>
    <row r="252" spans="2:23" hidden="1">
      <c r="B252" s="6" t="str">
        <f>VLOOKUP(C252, [1]Definition!$D$5:$K$5665, 8, FALSE)</f>
        <v>Capital Goods</v>
      </c>
      <c r="C252" s="7">
        <v>846040</v>
      </c>
      <c r="D252" s="8" t="s">
        <v>481</v>
      </c>
      <c r="E252" s="8" t="s">
        <v>25</v>
      </c>
      <c r="F252" s="17" t="s">
        <v>19</v>
      </c>
      <c r="G252" s="8"/>
      <c r="H252" s="8"/>
      <c r="I252" s="9" t="s">
        <v>65</v>
      </c>
      <c r="J252" s="9" t="s">
        <v>31</v>
      </c>
      <c r="K252" s="17" t="str">
        <f>_xlfn.IFNA(VLOOKUP(C252, '[2]Unique HS'!$B$4:$J$999, 9, FALSE), "No")</f>
        <v>No</v>
      </c>
      <c r="L252" s="18">
        <f>VLOOKUP(C252, '[1]India EXIM'!$B$6:$C$580, 2, FALSE)</f>
        <v>3.3303474519000002E-2</v>
      </c>
      <c r="M252" s="11">
        <f>VLOOKUP(C252, '[1]China EXIM'!$B$6:$D$580, 3, FALSE)</f>
        <v>0.35827570779900003</v>
      </c>
      <c r="N252" s="6"/>
      <c r="O252" s="6"/>
      <c r="P252" s="6"/>
      <c r="Q252" s="10" t="s">
        <v>24</v>
      </c>
      <c r="R252" s="9" t="s">
        <v>65</v>
      </c>
      <c r="V252" s="1" t="s">
        <v>25</v>
      </c>
    </row>
    <row r="253" spans="2:23" ht="42" hidden="1">
      <c r="B253" s="6" t="str">
        <f>VLOOKUP(C253, [1]Definition!$D$5:$K$5665, 8, FALSE)</f>
        <v>Capital Goods</v>
      </c>
      <c r="C253" s="7">
        <v>841710</v>
      </c>
      <c r="D253" s="8" t="s">
        <v>131</v>
      </c>
      <c r="E253" s="8" t="s">
        <v>25</v>
      </c>
      <c r="F253" s="17" t="s">
        <v>19</v>
      </c>
      <c r="G253" s="8"/>
      <c r="H253" s="8"/>
      <c r="I253" s="9" t="s">
        <v>82</v>
      </c>
      <c r="J253" s="9" t="s">
        <v>132</v>
      </c>
      <c r="K253" s="17" t="str">
        <f>_xlfn.IFNA(VLOOKUP(C253, '[2]Unique HS'!$B$4:$J$999, 9, FALSE), "No")</f>
        <v>No</v>
      </c>
      <c r="L253" s="18">
        <f>VLOOKUP(C253, '[1]India EXIM'!$B$6:$C$580, 2, FALSE)</f>
        <v>0.18278632127300001</v>
      </c>
      <c r="M253" s="11">
        <f>VLOOKUP(C253, '[1]China EXIM'!$B$6:$D$580, 3, FALSE)</f>
        <v>0.96328814488699999</v>
      </c>
      <c r="N253" s="6"/>
      <c r="O253" s="6"/>
      <c r="P253" s="6"/>
      <c r="Q253" s="10" t="s">
        <v>24</v>
      </c>
      <c r="R253" s="9" t="s">
        <v>82</v>
      </c>
      <c r="V253" s="1" t="s">
        <v>25</v>
      </c>
    </row>
    <row r="254" spans="2:23" ht="42">
      <c r="B254" s="6" t="str">
        <f>VLOOKUP(C254, [1]Definition!$D$5:$K$5665, 8, FALSE)</f>
        <v>Capital Goods</v>
      </c>
      <c r="C254" s="7">
        <v>842390</v>
      </c>
      <c r="D254" s="8" t="s">
        <v>483</v>
      </c>
      <c r="E254" s="8" t="s">
        <v>34</v>
      </c>
      <c r="F254" s="17" t="s">
        <v>19</v>
      </c>
      <c r="G254" s="8" t="s">
        <v>484</v>
      </c>
      <c r="H254" s="8" t="s">
        <v>485</v>
      </c>
      <c r="I254" s="9" t="s">
        <v>22</v>
      </c>
      <c r="J254" s="9" t="s">
        <v>486</v>
      </c>
      <c r="K254" s="17" t="str">
        <f>_xlfn.IFNA(VLOOKUP(C254, '[2]Unique HS'!$B$4:$J$999, 9, FALSE), "No")</f>
        <v>Yes</v>
      </c>
      <c r="L254" s="18">
        <f>VLOOKUP(C254, '[1]India EXIM'!$B$6:$C$580, 2, FALSE)</f>
        <v>3.2859428507999999E-2</v>
      </c>
      <c r="M254" s="11">
        <f>VLOOKUP(C254, '[1]China EXIM'!$B$6:$D$580, 3, FALSE)</f>
        <v>0.96308819597299999</v>
      </c>
      <c r="N254" s="6"/>
      <c r="O254" s="6"/>
      <c r="P254" s="6"/>
      <c r="Q254" s="10" t="s">
        <v>24</v>
      </c>
      <c r="R254" s="9" t="s">
        <v>22</v>
      </c>
      <c r="V254" s="1" t="s">
        <v>34</v>
      </c>
      <c r="W254" s="1" t="s">
        <v>596</v>
      </c>
    </row>
    <row r="255" spans="2:23" ht="27.95" hidden="1">
      <c r="B255" s="6" t="str">
        <f>VLOOKUP(C255, [1]Definition!$D$5:$K$5665, 8, FALSE)</f>
        <v>Capital Goods</v>
      </c>
      <c r="C255" s="7">
        <v>962000</v>
      </c>
      <c r="D255" s="8" t="s">
        <v>537</v>
      </c>
      <c r="E255" s="8" t="s">
        <v>34</v>
      </c>
      <c r="F255" s="17" t="s">
        <v>205</v>
      </c>
      <c r="G255" s="8" t="s">
        <v>538</v>
      </c>
      <c r="H255" s="8" t="s">
        <v>539</v>
      </c>
      <c r="I255" s="9" t="s">
        <v>166</v>
      </c>
      <c r="J255" s="9" t="s">
        <v>201</v>
      </c>
      <c r="K255" s="17" t="str">
        <f>_xlfn.IFNA(VLOOKUP(C255, '[2]Unique HS'!$B$4:$J$999, 9, FALSE), "No")</f>
        <v>Yes</v>
      </c>
      <c r="L255" s="18">
        <f>VLOOKUP(C255, '[1]India EXIM'!$B$6:$C$580, 2, FALSE)</f>
        <v>2.7167896565000002E-2</v>
      </c>
      <c r="M255" s="11">
        <f>VLOOKUP(C255, '[1]China EXIM'!$B$6:$D$580, 3, FALSE)</f>
        <v>0.94283574407699999</v>
      </c>
      <c r="N255" s="6"/>
      <c r="O255" s="6"/>
      <c r="P255" s="6"/>
      <c r="Q255" s="10" t="s">
        <v>24</v>
      </c>
      <c r="R255" s="11" t="s">
        <v>466</v>
      </c>
      <c r="V255" s="1" t="s">
        <v>34</v>
      </c>
      <c r="W255" s="1" t="s">
        <v>600</v>
      </c>
    </row>
    <row r="256" spans="2:23" ht="27.95" hidden="1">
      <c r="B256" s="6" t="str">
        <f>VLOOKUP(C256, [1]Definition!$D$5:$K$5665, 8, FALSE)</f>
        <v>Capital Goods</v>
      </c>
      <c r="C256" s="7">
        <v>850423</v>
      </c>
      <c r="D256" s="8" t="s">
        <v>365</v>
      </c>
      <c r="E256" s="8" t="s">
        <v>137</v>
      </c>
      <c r="F256" s="17" t="s">
        <v>205</v>
      </c>
      <c r="G256" s="8" t="s">
        <v>366</v>
      </c>
      <c r="H256" s="8" t="s">
        <v>367</v>
      </c>
      <c r="I256" s="9" t="s">
        <v>30</v>
      </c>
      <c r="J256" s="9" t="s">
        <v>31</v>
      </c>
      <c r="K256" s="17" t="str">
        <f>_xlfn.IFNA(VLOOKUP(C256, '[2]Unique HS'!$B$4:$J$999, 9, FALSE), "No")</f>
        <v>No</v>
      </c>
      <c r="L256" s="22">
        <f>VLOOKUP(C256, '[1]India EXIM'!$B$6:$C$580, 2, FALSE)</f>
        <v>5.3564331560999996E-2</v>
      </c>
      <c r="M256" s="11">
        <f>VLOOKUP(C256, '[1]China EXIM'!$B$6:$D$580, 3, FALSE)</f>
        <v>6.9821049336210006</v>
      </c>
      <c r="N256" s="6" t="s">
        <v>32</v>
      </c>
      <c r="O256" s="6"/>
      <c r="P256" s="6"/>
      <c r="Q256" s="10" t="s">
        <v>24</v>
      </c>
      <c r="R256" s="9" t="s">
        <v>30</v>
      </c>
      <c r="T256" s="1" t="s">
        <v>136</v>
      </c>
      <c r="V256" s="1" t="s">
        <v>137</v>
      </c>
    </row>
    <row r="257" spans="2:24" ht="27.95" hidden="1">
      <c r="B257" s="6" t="str">
        <f>VLOOKUP(C257, [1]Definition!$D$5:$K$5665, 8, FALSE)</f>
        <v>Capital Goods</v>
      </c>
      <c r="C257" s="7">
        <v>903210</v>
      </c>
      <c r="D257" s="8" t="s">
        <v>379</v>
      </c>
      <c r="E257" s="8" t="s">
        <v>25</v>
      </c>
      <c r="F257" s="17" t="s">
        <v>27</v>
      </c>
      <c r="G257" s="8" t="s">
        <v>380</v>
      </c>
      <c r="H257" s="8" t="s">
        <v>381</v>
      </c>
      <c r="I257" s="9" t="s">
        <v>30</v>
      </c>
      <c r="J257" s="9" t="s">
        <v>42</v>
      </c>
      <c r="K257" s="17" t="str">
        <f>_xlfn.IFNA(VLOOKUP(C257, '[2]Unique HS'!$B$4:$J$999, 9, FALSE), "No")</f>
        <v>Yes</v>
      </c>
      <c r="L257" s="22">
        <f>VLOOKUP(C257, '[1]India EXIM'!$B$6:$C$580, 2, FALSE)</f>
        <v>5.0876872901E-2</v>
      </c>
      <c r="M257" s="11">
        <f>VLOOKUP(C257, '[1]China EXIM'!$B$6:$D$580, 3, FALSE)</f>
        <v>4.7264740327229999</v>
      </c>
      <c r="N257" s="6"/>
      <c r="O257" s="6"/>
      <c r="P257" s="6"/>
      <c r="Q257" s="10" t="s">
        <v>24</v>
      </c>
      <c r="R257" s="9" t="s">
        <v>30</v>
      </c>
      <c r="T257" s="1" t="s">
        <v>25</v>
      </c>
      <c r="V257" s="1" t="s">
        <v>25</v>
      </c>
    </row>
    <row r="258" spans="2:24" ht="27.95" hidden="1">
      <c r="B258" s="6" t="str">
        <f>VLOOKUP(C258, [1]Definition!$D$5:$K$5665, 8, FALSE)</f>
        <v>Capital Goods</v>
      </c>
      <c r="C258" s="7">
        <v>901110</v>
      </c>
      <c r="D258" s="8" t="s">
        <v>954</v>
      </c>
      <c r="E258" s="8" t="s">
        <v>25</v>
      </c>
      <c r="F258" s="17" t="s">
        <v>19</v>
      </c>
      <c r="G258" s="8" t="s">
        <v>955</v>
      </c>
      <c r="H258" s="8" t="s">
        <v>223</v>
      </c>
      <c r="I258" s="9" t="s">
        <v>166</v>
      </c>
      <c r="J258" s="9" t="s">
        <v>201</v>
      </c>
      <c r="K258" s="17" t="str">
        <f>_xlfn.IFNA(VLOOKUP(C258, '[2]Unique HS'!$B$4:$J$999, 9, FALSE), "No")</f>
        <v>Yes</v>
      </c>
      <c r="L258" s="18">
        <f>VLOOKUP(C258, '[1]India EXIM'!$B$6:$C$580, 2, FALSE)</f>
        <v>3.8434990170000002E-3</v>
      </c>
      <c r="M258" s="11">
        <f>VLOOKUP(C258, '[1]China EXIM'!$B$6:$D$580, 3, FALSE)</f>
        <v>0.90967586394399991</v>
      </c>
      <c r="N258" s="6"/>
      <c r="O258" s="6"/>
      <c r="P258" s="6"/>
      <c r="Q258" s="10" t="s">
        <v>24</v>
      </c>
      <c r="R258" s="11" t="s">
        <v>70</v>
      </c>
      <c r="V258" s="1" t="s">
        <v>25</v>
      </c>
    </row>
    <row r="259" spans="2:24" ht="42" hidden="1">
      <c r="B259" s="6" t="str">
        <f>VLOOKUP(C259, [1]Definition!$D$5:$K$5665, 8, FALSE)</f>
        <v>Capital Goods</v>
      </c>
      <c r="C259" s="7">
        <v>846420</v>
      </c>
      <c r="D259" s="8" t="s">
        <v>482</v>
      </c>
      <c r="E259" s="8" t="s">
        <v>25</v>
      </c>
      <c r="F259" s="17" t="s">
        <v>19</v>
      </c>
      <c r="G259" s="8"/>
      <c r="H259" s="8"/>
      <c r="I259" s="9" t="s">
        <v>65</v>
      </c>
      <c r="J259" s="9" t="s">
        <v>31</v>
      </c>
      <c r="K259" s="17" t="str">
        <f>_xlfn.IFNA(VLOOKUP(C259, '[2]Unique HS'!$B$4:$J$999, 9, FALSE), "No")</f>
        <v>Yes</v>
      </c>
      <c r="L259" s="18">
        <f>VLOOKUP(C259, '[1]India EXIM'!$B$6:$C$580, 2, FALSE)</f>
        <v>3.3199120561000002E-2</v>
      </c>
      <c r="M259" s="11">
        <f>VLOOKUP(C259, '[1]China EXIM'!$B$6:$D$580, 3, FALSE)</f>
        <v>0.96563901758999993</v>
      </c>
      <c r="N259" s="6"/>
      <c r="O259" s="6"/>
      <c r="P259" s="6"/>
      <c r="Q259" s="10" t="s">
        <v>24</v>
      </c>
      <c r="R259" s="9" t="s">
        <v>65</v>
      </c>
      <c r="V259" s="1" t="s">
        <v>25</v>
      </c>
    </row>
    <row r="260" spans="2:24" ht="42">
      <c r="B260" s="6" t="str">
        <f>VLOOKUP(C260, [1]Definition!$D$5:$K$5665, 8, FALSE)</f>
        <v>Capital Goods</v>
      </c>
      <c r="C260" s="7">
        <v>841620</v>
      </c>
      <c r="D260" s="8" t="s">
        <v>558</v>
      </c>
      <c r="E260" s="8" t="s">
        <v>25</v>
      </c>
      <c r="F260" s="17" t="s">
        <v>19</v>
      </c>
      <c r="G260" s="8"/>
      <c r="H260" s="8" t="s">
        <v>559</v>
      </c>
      <c r="I260" s="9" t="s">
        <v>22</v>
      </c>
      <c r="J260" s="9" t="s">
        <v>560</v>
      </c>
      <c r="K260" s="17" t="str">
        <f>_xlfn.IFNA(VLOOKUP(C260, '[2]Unique HS'!$B$4:$J$999, 9, FALSE), "No")</f>
        <v>No</v>
      </c>
      <c r="L260" s="18">
        <f>VLOOKUP(C260, '[1]India EXIM'!$B$6:$C$580, 2, FALSE)</f>
        <v>2.5789905868E-2</v>
      </c>
      <c r="M260" s="11">
        <f>VLOOKUP(C260, '[1]China EXIM'!$B$6:$D$580, 3, FALSE)</f>
        <v>0.90618732547699998</v>
      </c>
      <c r="N260" s="9" t="s">
        <v>82</v>
      </c>
      <c r="O260" s="9"/>
      <c r="P260" s="6"/>
      <c r="Q260" s="10" t="s">
        <v>24</v>
      </c>
      <c r="R260" s="9" t="s">
        <v>22</v>
      </c>
      <c r="V260" s="1" t="s">
        <v>25</v>
      </c>
    </row>
    <row r="261" spans="2:24" ht="42" hidden="1">
      <c r="B261" s="6" t="str">
        <f>VLOOKUP(C261, [1]Definition!$D$5:$K$5665, 8, FALSE)</f>
        <v>Capital Goods</v>
      </c>
      <c r="C261" s="7">
        <v>850120</v>
      </c>
      <c r="D261" s="8" t="s">
        <v>404</v>
      </c>
      <c r="E261" s="8" t="s">
        <v>34</v>
      </c>
      <c r="F261" s="17" t="s">
        <v>27</v>
      </c>
      <c r="G261" s="8" t="s">
        <v>405</v>
      </c>
      <c r="H261" s="8" t="s">
        <v>406</v>
      </c>
      <c r="I261" s="9" t="s">
        <v>30</v>
      </c>
      <c r="J261" s="9" t="s">
        <v>407</v>
      </c>
      <c r="K261" s="17" t="str">
        <f>_xlfn.IFNA(VLOOKUP(C261, '[2]Unique HS'!$B$4:$J$999, 9, FALSE), "No")</f>
        <v>Yes</v>
      </c>
      <c r="L261" s="22">
        <f>VLOOKUP(C261, '[1]India EXIM'!$B$6:$C$580, 2, FALSE)</f>
        <v>4.5927919101000005E-2</v>
      </c>
      <c r="M261" s="11">
        <f>VLOOKUP(C261, '[1]China EXIM'!$B$6:$D$580, 3, FALSE)</f>
        <v>0.96974949074299999</v>
      </c>
      <c r="N261" s="9" t="s">
        <v>129</v>
      </c>
      <c r="O261" s="9"/>
      <c r="P261" s="6"/>
      <c r="Q261" s="10" t="s">
        <v>24</v>
      </c>
      <c r="R261" s="9" t="s">
        <v>30</v>
      </c>
      <c r="T261" s="1" t="s">
        <v>618</v>
      </c>
      <c r="V261" s="1" t="s">
        <v>34</v>
      </c>
    </row>
    <row r="262" spans="2:24" ht="42" hidden="1">
      <c r="B262" s="6" t="str">
        <f>VLOOKUP(C262, [1]Definition!$D$5:$K$5665, 8, FALSE)</f>
        <v>Capital Goods</v>
      </c>
      <c r="C262" s="7">
        <v>820220</v>
      </c>
      <c r="D262" s="8" t="s">
        <v>619</v>
      </c>
      <c r="E262" s="8" t="s">
        <v>211</v>
      </c>
      <c r="F262" s="17" t="s">
        <v>119</v>
      </c>
      <c r="G262" s="8" t="s">
        <v>620</v>
      </c>
      <c r="H262" s="8" t="s">
        <v>1179</v>
      </c>
      <c r="I262" s="9" t="s">
        <v>65</v>
      </c>
      <c r="J262" s="9" t="s">
        <v>209</v>
      </c>
      <c r="K262" s="17" t="str">
        <f>_xlfn.IFNA(VLOOKUP(C262, '[2]Unique HS'!$B$4:$J$999, 9, FALSE), "No")</f>
        <v>No</v>
      </c>
      <c r="L262" s="18">
        <f>VLOOKUP(C262, '[1]India EXIM'!$B$6:$C$580, 2, FALSE)</f>
        <v>3.2898870078999998E-2</v>
      </c>
      <c r="M262" s="11">
        <f>VLOOKUP(C262, '[1]China EXIM'!$B$6:$D$580, 3, FALSE)</f>
        <v>0.73188064745699999</v>
      </c>
      <c r="N262" s="6" t="s">
        <v>210</v>
      </c>
      <c r="O262" s="6"/>
      <c r="P262" s="9"/>
      <c r="Q262" s="10" t="s">
        <v>24</v>
      </c>
      <c r="R262" s="11" t="s">
        <v>210</v>
      </c>
      <c r="V262" s="1" t="s">
        <v>211</v>
      </c>
    </row>
    <row r="263" spans="2:24" ht="42" hidden="1">
      <c r="B263" s="6" t="str">
        <f>VLOOKUP(C263, [1]Definition!$D$5:$K$5665, 8, FALSE)</f>
        <v>Capital Goods</v>
      </c>
      <c r="C263" s="7">
        <v>846239</v>
      </c>
      <c r="D263" s="8" t="s">
        <v>487</v>
      </c>
      <c r="E263" s="8" t="s">
        <v>25</v>
      </c>
      <c r="F263" s="17" t="s">
        <v>19</v>
      </c>
      <c r="G263" s="8"/>
      <c r="H263" s="8"/>
      <c r="I263" s="9" t="s">
        <v>65</v>
      </c>
      <c r="J263" s="9" t="s">
        <v>31</v>
      </c>
      <c r="K263" s="17" t="str">
        <f>_xlfn.IFNA(VLOOKUP(C263, '[2]Unique HS'!$B$4:$J$999, 9, FALSE), "No")</f>
        <v>No</v>
      </c>
      <c r="L263" s="18">
        <f>VLOOKUP(C263, '[1]India EXIM'!$B$6:$C$580, 2, FALSE)</f>
        <v>3.2817932192999999E-2</v>
      </c>
      <c r="M263" s="11">
        <f>VLOOKUP(C263, '[1]China EXIM'!$B$6:$D$580, 3, FALSE)</f>
        <v>0.29133711127399997</v>
      </c>
      <c r="N263" s="6"/>
      <c r="O263" s="6"/>
      <c r="P263" s="6"/>
      <c r="Q263" s="10" t="s">
        <v>24</v>
      </c>
      <c r="R263" s="9" t="s">
        <v>65</v>
      </c>
      <c r="V263" s="1" t="s">
        <v>25</v>
      </c>
    </row>
    <row r="264" spans="2:24" ht="56.1">
      <c r="B264" s="6" t="str">
        <f>VLOOKUP(C264, [1]Definition!$D$5:$K$5665, 8, FALSE)</f>
        <v>Capital Goods</v>
      </c>
      <c r="C264" s="7">
        <v>843330</v>
      </c>
      <c r="D264" s="8" t="s">
        <v>624</v>
      </c>
      <c r="E264" s="8"/>
      <c r="F264" s="17" t="s">
        <v>1178</v>
      </c>
      <c r="G264" s="8"/>
      <c r="H264" s="8" t="s">
        <v>625</v>
      </c>
      <c r="I264" s="9" t="s">
        <v>22</v>
      </c>
      <c r="J264" s="9" t="s">
        <v>626</v>
      </c>
      <c r="K264" s="17" t="str">
        <f>_xlfn.IFNA(VLOOKUP(C264, '[2]Unique HS'!$B$4:$J$999, 9, FALSE), "No")</f>
        <v>No</v>
      </c>
      <c r="L264" s="18">
        <f>VLOOKUP(C264, '[1]India EXIM'!$B$6:$C$580, 2, FALSE)</f>
        <v>6.3183544129999996E-3</v>
      </c>
      <c r="M264" s="11">
        <f>VLOOKUP(C264, '[1]China EXIM'!$B$6:$D$580, 3, FALSE)</f>
        <v>0.88480695283400002</v>
      </c>
      <c r="N264" s="6" t="s">
        <v>160</v>
      </c>
      <c r="O264" s="6"/>
      <c r="P264" s="6"/>
      <c r="Q264" s="10" t="s">
        <v>24</v>
      </c>
      <c r="R264" s="11" t="s">
        <v>161</v>
      </c>
    </row>
    <row r="265" spans="2:24" ht="27.95" hidden="1">
      <c r="B265" s="6" t="str">
        <f>VLOOKUP(C265, [1]Definition!$D$5:$K$5665, 8, FALSE)</f>
        <v>Capital Goods</v>
      </c>
      <c r="C265" s="7">
        <v>820740</v>
      </c>
      <c r="D265" s="8" t="s">
        <v>531</v>
      </c>
      <c r="E265" s="8" t="s">
        <v>25</v>
      </c>
      <c r="F265" s="17" t="s">
        <v>19</v>
      </c>
      <c r="G265" s="8"/>
      <c r="H265" s="8"/>
      <c r="I265" s="9" t="s">
        <v>65</v>
      </c>
      <c r="J265" s="9" t="s">
        <v>532</v>
      </c>
      <c r="K265" s="17" t="str">
        <f>_xlfn.IFNA(VLOOKUP(C265, '[2]Unique HS'!$B$4:$J$999, 9, FALSE), "No")</f>
        <v>Yes</v>
      </c>
      <c r="L265" s="18">
        <f>VLOOKUP(C265, '[1]India EXIM'!$B$6:$C$580, 2, FALSE)</f>
        <v>2.8154091685E-2</v>
      </c>
      <c r="M265" s="11">
        <f>VLOOKUP(C265, '[1]China EXIM'!$B$6:$D$580, 3, FALSE)</f>
        <v>1.1744374112390001</v>
      </c>
      <c r="N265" s="6" t="s">
        <v>201</v>
      </c>
      <c r="O265" s="6"/>
      <c r="P265" s="6"/>
      <c r="Q265" s="10" t="s">
        <v>24</v>
      </c>
      <c r="R265" s="11" t="s">
        <v>202</v>
      </c>
      <c r="V265" s="1" t="s">
        <v>25</v>
      </c>
    </row>
    <row r="266" spans="2:24" ht="69.95" hidden="1">
      <c r="B266" s="6" t="str">
        <f>VLOOKUP(C266, [1]Definition!$D$5:$K$5665, 8, FALSE)</f>
        <v>Capital Goods</v>
      </c>
      <c r="C266" s="7">
        <v>846226</v>
      </c>
      <c r="D266" s="8" t="s">
        <v>533</v>
      </c>
      <c r="E266" s="8" t="s">
        <v>25</v>
      </c>
      <c r="F266" s="17" t="s">
        <v>19</v>
      </c>
      <c r="G266" s="8"/>
      <c r="H266" s="8"/>
      <c r="I266" s="9" t="s">
        <v>65</v>
      </c>
      <c r="J266" s="9" t="s">
        <v>31</v>
      </c>
      <c r="K266" s="17" t="str">
        <f>_xlfn.IFNA(VLOOKUP(C266, '[2]Unique HS'!$B$4:$J$999, 9, FALSE), "No")</f>
        <v>No</v>
      </c>
      <c r="L266" s="18">
        <f>VLOOKUP(C266, '[1]India EXIM'!$B$6:$C$580, 2, FALSE)</f>
        <v>2.7504413798000001E-2</v>
      </c>
      <c r="M266" s="11">
        <f>VLOOKUP(C266, '[1]China EXIM'!$B$6:$D$580, 3, FALSE)</f>
        <v>0.602499278699</v>
      </c>
      <c r="N266" s="6"/>
      <c r="O266" s="6"/>
      <c r="P266" s="6"/>
      <c r="Q266" s="10" t="s">
        <v>24</v>
      </c>
      <c r="R266" s="9" t="s">
        <v>65</v>
      </c>
      <c r="V266" s="1" t="s">
        <v>25</v>
      </c>
    </row>
    <row r="267" spans="2:24" ht="42" hidden="1">
      <c r="B267" s="6" t="str">
        <f>VLOOKUP(C267, [1]Definition!$D$5:$K$5665, 8, FALSE)</f>
        <v>Capital Goods</v>
      </c>
      <c r="C267" s="7">
        <v>850132</v>
      </c>
      <c r="D267" s="8" t="s">
        <v>424</v>
      </c>
      <c r="E267" s="8" t="s">
        <v>34</v>
      </c>
      <c r="F267" s="17" t="s">
        <v>27</v>
      </c>
      <c r="G267" s="8" t="s">
        <v>425</v>
      </c>
      <c r="H267" s="8" t="s">
        <v>426</v>
      </c>
      <c r="I267" s="9" t="s">
        <v>30</v>
      </c>
      <c r="J267" s="9" t="s">
        <v>31</v>
      </c>
      <c r="K267" s="17" t="str">
        <f>_xlfn.IFNA(VLOOKUP(C267, '[2]Unique HS'!$B$4:$J$999, 9, FALSE), "No")</f>
        <v>Yes</v>
      </c>
      <c r="L267" s="22">
        <f>VLOOKUP(C267, '[1]India EXIM'!$B$6:$C$580, 2, FALSE)</f>
        <v>4.4283241871000002E-2</v>
      </c>
      <c r="M267" s="11">
        <f>VLOOKUP(C267, '[1]China EXIM'!$B$6:$D$580, 3, FALSE)</f>
        <v>3.0923400794410001</v>
      </c>
      <c r="N267" s="9" t="s">
        <v>129</v>
      </c>
      <c r="O267" s="9"/>
      <c r="P267" s="6"/>
      <c r="Q267" s="10" t="s">
        <v>24</v>
      </c>
      <c r="R267" s="9" t="s">
        <v>30</v>
      </c>
      <c r="T267" s="1" t="s">
        <v>33</v>
      </c>
      <c r="V267" s="1" t="s">
        <v>34</v>
      </c>
      <c r="X267" s="1" t="s">
        <v>633</v>
      </c>
    </row>
    <row r="268" spans="2:24" ht="27.95" hidden="1">
      <c r="B268" s="6" t="str">
        <f>VLOOKUP(C268, [1]Definition!$D$5:$K$5665, 8, FALSE)</f>
        <v>Capital Goods</v>
      </c>
      <c r="C268" s="7">
        <v>843860</v>
      </c>
      <c r="D268" s="8" t="s">
        <v>350</v>
      </c>
      <c r="E268" s="8" t="s">
        <v>25</v>
      </c>
      <c r="F268" s="17" t="s">
        <v>19</v>
      </c>
      <c r="G268" s="8"/>
      <c r="H268" s="8"/>
      <c r="I268" s="9" t="s">
        <v>61</v>
      </c>
      <c r="J268" s="9" t="s">
        <v>247</v>
      </c>
      <c r="K268" s="17" t="str">
        <f>_xlfn.IFNA(VLOOKUP(C268, '[2]Unique HS'!$B$4:$J$999, 9, FALSE), "No")</f>
        <v>No</v>
      </c>
      <c r="L268" s="18">
        <f>VLOOKUP(C268, '[1]India EXIM'!$B$6:$C$580, 2, FALSE)</f>
        <v>5.8244575617999998E-2</v>
      </c>
      <c r="M268" s="11">
        <f>VLOOKUP(C268, '[1]China EXIM'!$B$6:$D$580, 3, FALSE)</f>
        <v>0.87266431336900008</v>
      </c>
      <c r="N268" s="6"/>
      <c r="O268" s="6"/>
      <c r="P268" s="6"/>
      <c r="Q268" s="10" t="s">
        <v>24</v>
      </c>
      <c r="R268" s="9" t="s">
        <v>61</v>
      </c>
      <c r="V268" s="1" t="s">
        <v>25</v>
      </c>
    </row>
    <row r="269" spans="2:24" ht="69.95" hidden="1">
      <c r="B269" s="6" t="str">
        <f>VLOOKUP(C269, [1]Definition!$D$5:$K$5665, 8, FALSE)</f>
        <v>Capital Goods</v>
      </c>
      <c r="C269" s="7">
        <v>850520</v>
      </c>
      <c r="D269" s="8" t="s">
        <v>654</v>
      </c>
      <c r="E269" s="8" t="s">
        <v>34</v>
      </c>
      <c r="F269" s="17" t="s">
        <v>163</v>
      </c>
      <c r="G269" s="8" t="s">
        <v>655</v>
      </c>
      <c r="H269" s="8" t="s">
        <v>656</v>
      </c>
      <c r="I269" s="9" t="s">
        <v>30</v>
      </c>
      <c r="J269" s="9" t="s">
        <v>266</v>
      </c>
      <c r="K269" s="17" t="str">
        <f>_xlfn.IFNA(VLOOKUP(C269, '[2]Unique HS'!$B$4:$J$999, 9, FALSE), "No")</f>
        <v>Yes</v>
      </c>
      <c r="L269" s="18">
        <f>VLOOKUP(C269, '[1]India EXIM'!$B$6:$C$580, 2, FALSE)</f>
        <v>1.7929759885999999E-2</v>
      </c>
      <c r="M269" s="11">
        <f>VLOOKUP(C269, '[1]China EXIM'!$B$6:$D$580, 3, FALSE)</f>
        <v>0.96731026323899993</v>
      </c>
      <c r="N269" s="6"/>
      <c r="O269" s="6"/>
      <c r="P269" s="6"/>
      <c r="Q269" s="10" t="s">
        <v>24</v>
      </c>
      <c r="R269" s="9" t="s">
        <v>30</v>
      </c>
      <c r="T269" s="1" t="s">
        <v>33</v>
      </c>
      <c r="V269" s="1" t="s">
        <v>34</v>
      </c>
    </row>
    <row r="270" spans="2:24" ht="27.95" hidden="1">
      <c r="B270" s="6" t="str">
        <f>VLOOKUP(C270, [1]Definition!$D$5:$K$5665, 8, FALSE)</f>
        <v>Capital Goods</v>
      </c>
      <c r="C270" s="7">
        <v>843020</v>
      </c>
      <c r="D270" s="8" t="s">
        <v>1067</v>
      </c>
      <c r="E270" s="8" t="s">
        <v>25</v>
      </c>
      <c r="F270" s="17" t="s">
        <v>19</v>
      </c>
      <c r="G270" s="8"/>
      <c r="H270" s="8"/>
      <c r="I270" s="9" t="s">
        <v>58</v>
      </c>
      <c r="J270" s="9" t="s">
        <v>31</v>
      </c>
      <c r="K270" s="17" t="str">
        <f>_xlfn.IFNA(VLOOKUP(C270, '[2]Unique HS'!$B$4:$J$999, 9, FALSE), "No")</f>
        <v>No</v>
      </c>
      <c r="L270" s="18">
        <f>VLOOKUP(C270, '[1]India EXIM'!$B$6:$C$580, 2, FALSE)</f>
        <v>6.1041649799999998E-4</v>
      </c>
      <c r="M270" s="11">
        <f>VLOOKUP(C270, '[1]China EXIM'!$B$6:$D$580, 3, FALSE)</f>
        <v>0.86051019320299993</v>
      </c>
      <c r="N270" s="9" t="s">
        <v>117</v>
      </c>
      <c r="O270" s="9"/>
      <c r="P270" s="6"/>
      <c r="Q270" s="10" t="s">
        <v>24</v>
      </c>
      <c r="R270" s="9" t="s">
        <v>58</v>
      </c>
      <c r="V270" s="1" t="s">
        <v>25</v>
      </c>
    </row>
    <row r="271" spans="2:24" ht="27.95" hidden="1">
      <c r="B271" s="6" t="str">
        <f>VLOOKUP(C271, [1]Definition!$D$5:$K$5665, 8, FALSE)</f>
        <v>Capital Goods</v>
      </c>
      <c r="C271" s="7">
        <v>850590</v>
      </c>
      <c r="D271" s="8" t="s">
        <v>263</v>
      </c>
      <c r="E271" s="8" t="s">
        <v>34</v>
      </c>
      <c r="F271" s="17" t="s">
        <v>163</v>
      </c>
      <c r="G271" s="8" t="s">
        <v>264</v>
      </c>
      <c r="H271" s="8" t="s">
        <v>265</v>
      </c>
      <c r="I271" s="9" t="s">
        <v>30</v>
      </c>
      <c r="J271" s="9" t="s">
        <v>266</v>
      </c>
      <c r="K271" s="17" t="str">
        <f>_xlfn.IFNA(VLOOKUP(C271, '[2]Unique HS'!$B$4:$J$999, 9, FALSE), "No")</f>
        <v>Yes</v>
      </c>
      <c r="L271" s="18">
        <f>VLOOKUP(C271, '[1]India EXIM'!$B$6:$C$580, 2, FALSE)</f>
        <v>8.8738987140000003E-2</v>
      </c>
      <c r="M271" s="11">
        <f>VLOOKUP(C271, '[1]China EXIM'!$B$6:$D$580, 3, FALSE)</f>
        <v>3.2888021665890004</v>
      </c>
      <c r="N271" s="6"/>
      <c r="O271" s="6"/>
      <c r="P271" s="6"/>
      <c r="Q271" s="10" t="s">
        <v>24</v>
      </c>
      <c r="R271" s="9" t="s">
        <v>30</v>
      </c>
      <c r="T271" s="1" t="s">
        <v>33</v>
      </c>
      <c r="V271" s="1" t="s">
        <v>34</v>
      </c>
    </row>
    <row r="272" spans="2:24" ht="41.45" hidden="1" customHeight="1">
      <c r="B272" s="6" t="str">
        <f>VLOOKUP(C272, [1]Definition!$D$5:$K$5665, 8, FALSE)</f>
        <v>Capital Goods</v>
      </c>
      <c r="C272" s="7">
        <v>845690</v>
      </c>
      <c r="D272" s="8" t="s">
        <v>534</v>
      </c>
      <c r="E272" s="8" t="s">
        <v>25</v>
      </c>
      <c r="F272" s="17" t="s">
        <v>19</v>
      </c>
      <c r="G272" s="8"/>
      <c r="H272" s="8"/>
      <c r="I272" s="9" t="s">
        <v>65</v>
      </c>
      <c r="J272" s="9" t="s">
        <v>31</v>
      </c>
      <c r="K272" s="17" t="str">
        <f>_xlfn.IFNA(VLOOKUP(C272, '[2]Unique HS'!$B$4:$J$999, 9, FALSE), "No")</f>
        <v>Yes</v>
      </c>
      <c r="L272" s="18">
        <f>VLOOKUP(C272, '[1]India EXIM'!$B$6:$C$580, 2, FALSE)</f>
        <v>2.7341981206999998E-2</v>
      </c>
      <c r="M272" s="11">
        <f>VLOOKUP(C272, '[1]China EXIM'!$B$6:$D$580, 3, FALSE)</f>
        <v>0.28861160058399998</v>
      </c>
      <c r="N272" s="6"/>
      <c r="O272" s="6"/>
      <c r="P272" s="6"/>
      <c r="Q272" s="10" t="s">
        <v>24</v>
      </c>
      <c r="R272" s="9" t="s">
        <v>65</v>
      </c>
      <c r="V272" s="1" t="s">
        <v>25</v>
      </c>
    </row>
    <row r="273" spans="2:22" ht="42" hidden="1">
      <c r="B273" s="6" t="str">
        <f>VLOOKUP(C273, [1]Definition!$D$5:$K$5665, 8, FALSE)</f>
        <v>Capital Goods</v>
      </c>
      <c r="C273" s="7">
        <v>820299</v>
      </c>
      <c r="D273" s="8" t="s">
        <v>640</v>
      </c>
      <c r="E273" s="8" t="s">
        <v>211</v>
      </c>
      <c r="F273" s="17" t="s">
        <v>119</v>
      </c>
      <c r="G273" s="8" t="s">
        <v>1180</v>
      </c>
      <c r="H273" s="8"/>
      <c r="I273" s="9" t="s">
        <v>65</v>
      </c>
      <c r="J273" s="9" t="s">
        <v>209</v>
      </c>
      <c r="K273" s="17" t="str">
        <f>_xlfn.IFNA(VLOOKUP(C273, '[2]Unique HS'!$B$4:$J$999, 9, FALSE), "No")</f>
        <v>Yes</v>
      </c>
      <c r="L273" s="18">
        <f>VLOOKUP(C273, '[1]India EXIM'!$B$6:$C$580, 2, FALSE)</f>
        <v>2.6763827530000003E-2</v>
      </c>
      <c r="M273" s="11">
        <f>VLOOKUP(C273, '[1]China EXIM'!$B$6:$D$580, 3, FALSE)</f>
        <v>1.006735677967</v>
      </c>
      <c r="N273" s="6" t="s">
        <v>210</v>
      </c>
      <c r="O273" s="6"/>
      <c r="P273" s="9"/>
      <c r="Q273" s="10" t="s">
        <v>24</v>
      </c>
      <c r="R273" s="11" t="s">
        <v>210</v>
      </c>
      <c r="V273" s="1" t="s">
        <v>211</v>
      </c>
    </row>
    <row r="274" spans="2:22" ht="27.95" hidden="1">
      <c r="B274" s="6" t="str">
        <f>VLOOKUP(C274, [1]Definition!$D$5:$K$5665, 8, FALSE)</f>
        <v>Capital Goods</v>
      </c>
      <c r="C274" s="7">
        <v>843410</v>
      </c>
      <c r="D274" s="8" t="s">
        <v>1059</v>
      </c>
      <c r="E274" s="8" t="s">
        <v>25</v>
      </c>
      <c r="F274" s="17" t="s">
        <v>19</v>
      </c>
      <c r="G274" s="8"/>
      <c r="H274" s="8"/>
      <c r="I274" s="9" t="s">
        <v>61</v>
      </c>
      <c r="J274" s="9" t="s">
        <v>632</v>
      </c>
      <c r="K274" s="17" t="str">
        <f>_xlfn.IFNA(VLOOKUP(C274, '[2]Unique HS'!$B$4:$J$999, 9, FALSE), "No")</f>
        <v>No</v>
      </c>
      <c r="L274" s="18">
        <f>VLOOKUP(C274, '[1]India EXIM'!$B$6:$C$580, 2, FALSE)</f>
        <v>7.9140757400000003E-4</v>
      </c>
      <c r="M274" s="11">
        <f>VLOOKUP(C274, '[1]China EXIM'!$B$6:$D$580, 3, FALSE)</f>
        <v>0.81416678606900006</v>
      </c>
      <c r="N274" s="6"/>
      <c r="O274" s="6"/>
      <c r="P274" s="6"/>
      <c r="Q274" s="10" t="s">
        <v>24</v>
      </c>
      <c r="R274" s="9" t="s">
        <v>61</v>
      </c>
      <c r="V274" s="1" t="s">
        <v>25</v>
      </c>
    </row>
    <row r="275" spans="2:22" ht="42">
      <c r="B275" s="6" t="str">
        <f>VLOOKUP(C275, [1]Definition!$D$5:$K$5665, 8, FALSE)</f>
        <v>Capital Goods</v>
      </c>
      <c r="C275" s="7">
        <v>841311</v>
      </c>
      <c r="D275" s="8" t="s">
        <v>913</v>
      </c>
      <c r="E275" s="8" t="s">
        <v>137</v>
      </c>
      <c r="F275" s="17" t="s">
        <v>205</v>
      </c>
      <c r="G275" s="8"/>
      <c r="H275" s="8"/>
      <c r="I275" s="9" t="s">
        <v>22</v>
      </c>
      <c r="J275" s="9" t="s">
        <v>584</v>
      </c>
      <c r="K275" s="17" t="str">
        <f>_xlfn.IFNA(VLOOKUP(C275, '[2]Unique HS'!$B$4:$J$999, 9, FALSE), "No")</f>
        <v>No</v>
      </c>
      <c r="L275" s="18">
        <f>VLOOKUP(C275, '[1]India EXIM'!$B$6:$C$580, 2, FALSE)</f>
        <v>5.3934718390000001E-3</v>
      </c>
      <c r="M275" s="11">
        <f>VLOOKUP(C275, '[1]China EXIM'!$B$6:$D$580, 3, FALSE)</f>
        <v>0.810302440289</v>
      </c>
      <c r="N275" s="6" t="s">
        <v>103</v>
      </c>
      <c r="O275" s="6"/>
      <c r="P275" s="6"/>
      <c r="Q275" s="10" t="s">
        <v>24</v>
      </c>
      <c r="R275" s="9" t="s">
        <v>22</v>
      </c>
      <c r="V275" s="1" t="s">
        <v>137</v>
      </c>
    </row>
    <row r="276" spans="2:22" ht="27.95" hidden="1">
      <c r="B276" s="6" t="str">
        <f>VLOOKUP(C276, [1]Definition!$D$5:$K$5665, 8, FALSE)</f>
        <v>Capital Goods</v>
      </c>
      <c r="C276" s="7">
        <v>846269</v>
      </c>
      <c r="D276" s="8" t="s">
        <v>540</v>
      </c>
      <c r="E276" s="8" t="s">
        <v>25</v>
      </c>
      <c r="F276" s="17" t="s">
        <v>19</v>
      </c>
      <c r="G276" s="8"/>
      <c r="H276" s="8"/>
      <c r="I276" s="9" t="s">
        <v>65</v>
      </c>
      <c r="J276" s="9" t="s">
        <v>31</v>
      </c>
      <c r="K276" s="17" t="str">
        <f>_xlfn.IFNA(VLOOKUP(C276, '[2]Unique HS'!$B$4:$J$999, 9, FALSE), "No")</f>
        <v>No</v>
      </c>
      <c r="L276" s="18">
        <f>VLOOKUP(C276, '[1]India EXIM'!$B$6:$C$580, 2, FALSE)</f>
        <v>2.6760975469000001E-2</v>
      </c>
      <c r="M276" s="11">
        <f>VLOOKUP(C276, '[1]China EXIM'!$B$6:$D$580, 3, FALSE)</f>
        <v>0.114848270037</v>
      </c>
      <c r="N276" s="6"/>
      <c r="O276" s="6"/>
      <c r="P276" s="6"/>
      <c r="Q276" s="10" t="s">
        <v>24</v>
      </c>
      <c r="R276" s="9" t="s">
        <v>65</v>
      </c>
      <c r="V276" s="1" t="s">
        <v>25</v>
      </c>
    </row>
    <row r="277" spans="2:22" ht="27.95" hidden="1">
      <c r="B277" s="6" t="str">
        <f>VLOOKUP(C277, [1]Definition!$D$5:$K$5665, 8, FALSE)</f>
        <v>Capital Goods</v>
      </c>
      <c r="C277" s="7">
        <v>850740</v>
      </c>
      <c r="D277" s="8" t="s">
        <v>1138</v>
      </c>
      <c r="E277" s="8" t="s">
        <v>137</v>
      </c>
      <c r="F277" s="17" t="s">
        <v>205</v>
      </c>
      <c r="G277" s="8" t="s">
        <v>1139</v>
      </c>
      <c r="H277" s="8" t="s">
        <v>996</v>
      </c>
      <c r="I277" s="9" t="s">
        <v>30</v>
      </c>
      <c r="J277" s="9" t="s">
        <v>38</v>
      </c>
      <c r="K277" s="17" t="str">
        <f>_xlfn.IFNA(VLOOKUP(C277, '[2]Unique HS'!$B$4:$J$999, 9, FALSE), "No")</f>
        <v>No</v>
      </c>
      <c r="L277" s="22">
        <f>VLOOKUP(C277, '[1]India EXIM'!$B$6:$C$580, 2, FALSE)</f>
        <v>0</v>
      </c>
      <c r="M277" s="11">
        <f>VLOOKUP(C277, '[1]China EXIM'!$B$6:$D$580, 3, FALSE)</f>
        <v>1.4374332999999998E-4</v>
      </c>
      <c r="N277" s="6"/>
      <c r="O277" s="6"/>
      <c r="P277" s="6"/>
      <c r="Q277" s="10" t="s">
        <v>1140</v>
      </c>
      <c r="R277" s="11" t="s">
        <v>30</v>
      </c>
      <c r="T277" s="1" t="s">
        <v>136</v>
      </c>
      <c r="V277" s="1" t="s">
        <v>137</v>
      </c>
    </row>
    <row r="278" spans="2:22" ht="27.95" hidden="1">
      <c r="B278" s="6" t="str">
        <f>VLOOKUP(C278, [1]Definition!$D$5:$K$5665, 8, FALSE)</f>
        <v>Capital Goods</v>
      </c>
      <c r="C278" s="7">
        <v>845819</v>
      </c>
      <c r="D278" s="8" t="s">
        <v>541</v>
      </c>
      <c r="E278" s="8" t="s">
        <v>25</v>
      </c>
      <c r="F278" s="17" t="s">
        <v>19</v>
      </c>
      <c r="G278" s="8"/>
      <c r="H278" s="8"/>
      <c r="I278" s="9" t="s">
        <v>65</v>
      </c>
      <c r="J278" s="9" t="s">
        <v>174</v>
      </c>
      <c r="K278" s="17" t="str">
        <f>_xlfn.IFNA(VLOOKUP(C278, '[2]Unique HS'!$B$4:$J$999, 9, FALSE), "No")</f>
        <v>No</v>
      </c>
      <c r="L278" s="18">
        <f>VLOOKUP(C278, '[1]India EXIM'!$B$6:$C$580, 2, FALSE)</f>
        <v>2.6459069801999999E-2</v>
      </c>
      <c r="M278" s="11">
        <f>VLOOKUP(C278, '[1]China EXIM'!$B$6:$D$580, 3, FALSE)</f>
        <v>0.38012057104900004</v>
      </c>
      <c r="N278" s="6"/>
      <c r="O278" s="6"/>
      <c r="P278" s="6"/>
      <c r="Q278" s="10" t="s">
        <v>24</v>
      </c>
      <c r="R278" s="9" t="s">
        <v>65</v>
      </c>
      <c r="V278" s="1" t="s">
        <v>25</v>
      </c>
    </row>
    <row r="279" spans="2:22" ht="27.95" hidden="1">
      <c r="B279" s="6" t="str">
        <f>VLOOKUP(C279, [1]Definition!$D$5:$K$5665, 8, FALSE)</f>
        <v>Capital Goods</v>
      </c>
      <c r="C279" s="7">
        <v>845150</v>
      </c>
      <c r="D279" s="8" t="s">
        <v>423</v>
      </c>
      <c r="E279" s="8" t="s">
        <v>25</v>
      </c>
      <c r="F279" s="17" t="s">
        <v>19</v>
      </c>
      <c r="G279" s="8"/>
      <c r="H279" s="8"/>
      <c r="I279" s="9" t="s">
        <v>55</v>
      </c>
      <c r="J279" s="9" t="s">
        <v>234</v>
      </c>
      <c r="K279" s="17" t="str">
        <f>_xlfn.IFNA(VLOOKUP(C279, '[2]Unique HS'!$B$4:$J$999, 9, FALSE), "No")</f>
        <v>No</v>
      </c>
      <c r="L279" s="18">
        <f>VLOOKUP(C279, '[1]India EXIM'!$B$6:$C$580, 2, FALSE)</f>
        <v>4.4358387925999998E-2</v>
      </c>
      <c r="M279" s="11">
        <f>VLOOKUP(C279, '[1]China EXIM'!$B$6:$D$580, 3, FALSE)</f>
        <v>0.78956889965699995</v>
      </c>
      <c r="N279" s="6"/>
      <c r="O279" s="6"/>
      <c r="P279" s="6"/>
      <c r="Q279" s="10" t="s">
        <v>24</v>
      </c>
      <c r="R279" s="9" t="s">
        <v>55</v>
      </c>
      <c r="V279" s="1" t="s">
        <v>25</v>
      </c>
    </row>
    <row r="280" spans="2:22" ht="69.95">
      <c r="B280" s="6" t="str">
        <f>VLOOKUP(C280, [1]Definition!$D$5:$K$5665, 8, FALSE)</f>
        <v>Capital Goods</v>
      </c>
      <c r="C280" s="7">
        <v>843930</v>
      </c>
      <c r="D280" s="8" t="s">
        <v>506</v>
      </c>
      <c r="E280" s="8" t="s">
        <v>25</v>
      </c>
      <c r="F280" s="17" t="s">
        <v>19</v>
      </c>
      <c r="G280" s="8"/>
      <c r="H280" s="8"/>
      <c r="I280" s="9" t="s">
        <v>22</v>
      </c>
      <c r="J280" s="9" t="s">
        <v>252</v>
      </c>
      <c r="K280" s="17" t="str">
        <f>_xlfn.IFNA(VLOOKUP(C280, '[2]Unique HS'!$B$4:$J$999, 9, FALSE), "No")</f>
        <v>No</v>
      </c>
      <c r="L280" s="18">
        <f>VLOOKUP(C280, '[1]India EXIM'!$B$6:$C$580, 2, FALSE)</f>
        <v>3.0397731394E-2</v>
      </c>
      <c r="M280" s="11">
        <f>VLOOKUP(C280, '[1]China EXIM'!$B$6:$D$580, 3, FALSE)</f>
        <v>0.78826712964300005</v>
      </c>
      <c r="N280" s="6" t="s">
        <v>253</v>
      </c>
      <c r="O280" s="6"/>
      <c r="P280" s="6"/>
      <c r="Q280" s="10" t="s">
        <v>24</v>
      </c>
      <c r="R280" s="11" t="s">
        <v>182</v>
      </c>
      <c r="V280" s="1" t="s">
        <v>25</v>
      </c>
    </row>
    <row r="281" spans="2:22" ht="27.95" hidden="1">
      <c r="B281" s="6" t="str">
        <f>VLOOKUP(C281, [1]Definition!$D$5:$K$5665, 8, FALSE)</f>
        <v>Capital Goods</v>
      </c>
      <c r="C281" s="7">
        <v>820720</v>
      </c>
      <c r="D281" s="8" t="s">
        <v>649</v>
      </c>
      <c r="E281" s="8" t="s">
        <v>34</v>
      </c>
      <c r="F281" s="17" t="s">
        <v>119</v>
      </c>
      <c r="G281" s="8"/>
      <c r="H281" s="8"/>
      <c r="I281" s="9" t="s">
        <v>149</v>
      </c>
      <c r="J281" s="9" t="s">
        <v>650</v>
      </c>
      <c r="K281" s="17" t="str">
        <f>_xlfn.IFNA(VLOOKUP(C281, '[2]Unique HS'!$B$4:$J$999, 9, FALSE), "No")</f>
        <v>Yes</v>
      </c>
      <c r="L281" s="18">
        <f>VLOOKUP(C281, '[1]India EXIM'!$B$6:$C$580, 2, FALSE)</f>
        <v>3.6606259057999996E-2</v>
      </c>
      <c r="M281" s="11">
        <f>VLOOKUP(C281, '[1]China EXIM'!$B$6:$D$580, 3, FALSE)</f>
        <v>0.78806860611600005</v>
      </c>
      <c r="N281" s="6" t="s">
        <v>151</v>
      </c>
      <c r="O281" s="6"/>
      <c r="P281" s="6" t="s">
        <v>152</v>
      </c>
      <c r="Q281" s="10" t="s">
        <v>24</v>
      </c>
      <c r="R281" s="9" t="s">
        <v>149</v>
      </c>
      <c r="V281" s="1" t="s">
        <v>34</v>
      </c>
    </row>
    <row r="282" spans="2:22" ht="27.95">
      <c r="B282" s="6" t="str">
        <f>VLOOKUP(C282, [1]Definition!$D$5:$K$5665, 8, FALSE)</f>
        <v>Capital Goods</v>
      </c>
      <c r="C282" s="7">
        <v>843231</v>
      </c>
      <c r="D282" s="8" t="s">
        <v>651</v>
      </c>
      <c r="E282" s="8"/>
      <c r="F282" s="17" t="s">
        <v>1178</v>
      </c>
      <c r="G282" s="8" t="s">
        <v>652</v>
      </c>
      <c r="H282" s="8" t="s">
        <v>625</v>
      </c>
      <c r="I282" s="9" t="s">
        <v>22</v>
      </c>
      <c r="J282" s="9" t="s">
        <v>38</v>
      </c>
      <c r="K282" s="17" t="str">
        <f>_xlfn.IFNA(VLOOKUP(C282, '[2]Unique HS'!$B$4:$J$999, 9, FALSE), "No")</f>
        <v>No</v>
      </c>
      <c r="L282" s="18">
        <f>VLOOKUP(C282, '[1]India EXIM'!$B$6:$C$580, 2, FALSE)</f>
        <v>1.026334563E-2</v>
      </c>
      <c r="M282" s="11">
        <f>VLOOKUP(C282, '[1]China EXIM'!$B$6:$D$580, 3, FALSE)</f>
        <v>0.786365078873</v>
      </c>
      <c r="N282" s="6" t="s">
        <v>160</v>
      </c>
      <c r="O282" s="6"/>
      <c r="P282" s="6"/>
      <c r="Q282" s="10" t="s">
        <v>24</v>
      </c>
      <c r="R282" s="11" t="s">
        <v>161</v>
      </c>
    </row>
    <row r="283" spans="2:22" ht="42" hidden="1">
      <c r="B283" s="6" t="str">
        <f>VLOOKUP(C283, [1]Definition!$D$5:$K$5665, 8, FALSE)</f>
        <v>Capital Goods</v>
      </c>
      <c r="C283" s="7">
        <v>843780</v>
      </c>
      <c r="D283" s="8" t="s">
        <v>282</v>
      </c>
      <c r="E283" s="8" t="s">
        <v>25</v>
      </c>
      <c r="F283" s="17" t="s">
        <v>19</v>
      </c>
      <c r="G283" s="8"/>
      <c r="H283" s="8"/>
      <c r="I283" s="9" t="s">
        <v>61</v>
      </c>
      <c r="J283" s="9" t="s">
        <v>255</v>
      </c>
      <c r="K283" s="17" t="str">
        <f>_xlfn.IFNA(VLOOKUP(C283, '[2]Unique HS'!$B$4:$J$999, 9, FALSE), "No")</f>
        <v>No</v>
      </c>
      <c r="L283" s="18">
        <f>VLOOKUP(C283, '[1]India EXIM'!$B$6:$C$580, 2, FALSE)</f>
        <v>8.2388254710999989E-2</v>
      </c>
      <c r="M283" s="11">
        <f>VLOOKUP(C283, '[1]China EXIM'!$B$6:$D$580, 3, FALSE)</f>
        <v>0.78601445856399998</v>
      </c>
      <c r="N283" s="6"/>
      <c r="O283" s="6"/>
      <c r="P283" s="6"/>
      <c r="Q283" s="10" t="s">
        <v>24</v>
      </c>
      <c r="R283" s="9" t="s">
        <v>61</v>
      </c>
      <c r="V283" s="1" t="s">
        <v>25</v>
      </c>
    </row>
    <row r="284" spans="2:22" ht="56.1" hidden="1">
      <c r="B284" s="6" t="str">
        <f>VLOOKUP(C284, [1]Definition!$D$5:$K$5665, 8, FALSE)</f>
        <v>Capital Goods</v>
      </c>
      <c r="C284" s="7">
        <v>901730</v>
      </c>
      <c r="D284" s="8" t="s">
        <v>501</v>
      </c>
      <c r="E284" s="8" t="s">
        <v>25</v>
      </c>
      <c r="F284" s="17" t="s">
        <v>142</v>
      </c>
      <c r="G284" s="8" t="s">
        <v>502</v>
      </c>
      <c r="H284" s="8" t="s">
        <v>503</v>
      </c>
      <c r="I284" s="9" t="s">
        <v>166</v>
      </c>
      <c r="J284" s="9" t="s">
        <v>471</v>
      </c>
      <c r="K284" s="17" t="str">
        <f>_xlfn.IFNA(VLOOKUP(C284, '[2]Unique HS'!$B$4:$J$999, 9, FALSE), "No")</f>
        <v>Yes</v>
      </c>
      <c r="L284" s="18">
        <f>VLOOKUP(C284, '[1]India EXIM'!$B$6:$C$580, 2, FALSE)</f>
        <v>3.1253139842999995E-2</v>
      </c>
      <c r="M284" s="11">
        <f>VLOOKUP(C284, '[1]China EXIM'!$B$6:$D$580, 3, FALSE)</f>
        <v>0.78468209982899995</v>
      </c>
      <c r="N284" s="6"/>
      <c r="O284" s="6"/>
      <c r="P284" s="6"/>
      <c r="Q284" s="10" t="s">
        <v>24</v>
      </c>
      <c r="R284" s="11" t="s">
        <v>39</v>
      </c>
      <c r="V284" s="1" t="s">
        <v>25</v>
      </c>
    </row>
    <row r="285" spans="2:22" ht="42">
      <c r="B285" s="6" t="str">
        <f>VLOOKUP(C285, [1]Definition!$D$5:$K$5665, 8, FALSE)</f>
        <v>Capital Goods</v>
      </c>
      <c r="C285" s="7">
        <v>851440</v>
      </c>
      <c r="D285" s="8" t="s">
        <v>408</v>
      </c>
      <c r="E285" s="8" t="s">
        <v>25</v>
      </c>
      <c r="F285" s="17" t="s">
        <v>19</v>
      </c>
      <c r="G285" s="8" t="s">
        <v>409</v>
      </c>
      <c r="H285" s="8" t="s">
        <v>410</v>
      </c>
      <c r="I285" s="9" t="s">
        <v>22</v>
      </c>
      <c r="J285" s="9" t="s">
        <v>38</v>
      </c>
      <c r="K285" s="17" t="str">
        <f>_xlfn.IFNA(VLOOKUP(C285, '[2]Unique HS'!$B$4:$J$999, 9, FALSE), "No")</f>
        <v>Yes</v>
      </c>
      <c r="L285" s="18">
        <f>VLOOKUP(C285, '[1]India EXIM'!$B$6:$C$580, 2, FALSE)</f>
        <v>4.5779563894000001E-2</v>
      </c>
      <c r="M285" s="11">
        <f>VLOOKUP(C285, '[1]China EXIM'!$B$6:$D$580, 3, FALSE)</f>
        <v>0.78232562565699992</v>
      </c>
      <c r="N285" s="6"/>
      <c r="O285" s="6"/>
      <c r="P285" s="6"/>
      <c r="Q285" s="10" t="s">
        <v>24</v>
      </c>
      <c r="R285" s="9" t="s">
        <v>22</v>
      </c>
      <c r="V285" s="1" t="s">
        <v>25</v>
      </c>
    </row>
    <row r="286" spans="2:22" ht="42">
      <c r="B286" s="6" t="str">
        <f>VLOOKUP(C286, [1]Definition!$D$5:$K$5665, 8, FALSE)</f>
        <v>Capital Goods</v>
      </c>
      <c r="C286" s="7">
        <v>851610</v>
      </c>
      <c r="D286" s="8" t="s">
        <v>585</v>
      </c>
      <c r="E286" s="8" t="s">
        <v>25</v>
      </c>
      <c r="F286" s="17" t="s">
        <v>27</v>
      </c>
      <c r="G286" s="8"/>
      <c r="H286" s="8" t="s">
        <v>586</v>
      </c>
      <c r="I286" s="9" t="s">
        <v>22</v>
      </c>
      <c r="J286" s="9" t="s">
        <v>587</v>
      </c>
      <c r="K286" s="17" t="str">
        <f>_xlfn.IFNA(VLOOKUP(C286, '[2]Unique HS'!$B$4:$J$999, 9, FALSE), "No")</f>
        <v>Yes</v>
      </c>
      <c r="L286" s="22">
        <f>VLOOKUP(C286, '[1]India EXIM'!$B$6:$C$580, 2, FALSE)</f>
        <v>2.3548812299999999E-2</v>
      </c>
      <c r="M286" s="11">
        <f>VLOOKUP(C286, '[1]China EXIM'!$B$6:$D$580, 3, FALSE)</f>
        <v>3.6109116999590003</v>
      </c>
      <c r="N286" s="6"/>
      <c r="O286" s="6"/>
      <c r="P286" s="6"/>
      <c r="Q286" s="10" t="s">
        <v>24</v>
      </c>
      <c r="R286" s="11" t="s">
        <v>22</v>
      </c>
      <c r="V286" s="1" t="s">
        <v>25</v>
      </c>
    </row>
    <row r="287" spans="2:22" ht="27.95" hidden="1">
      <c r="B287" s="6" t="str">
        <f>VLOOKUP(C287, [1]Definition!$D$5:$K$5665, 8, FALSE)</f>
        <v>Capital Goods</v>
      </c>
      <c r="C287" s="7">
        <v>840219</v>
      </c>
      <c r="D287" s="8" t="s">
        <v>827</v>
      </c>
      <c r="E287" s="8" t="s">
        <v>25</v>
      </c>
      <c r="F287" s="17" t="s">
        <v>142</v>
      </c>
      <c r="G287" s="8"/>
      <c r="H287" s="8"/>
      <c r="I287" s="9" t="s">
        <v>30</v>
      </c>
      <c r="J287" s="9" t="s">
        <v>784</v>
      </c>
      <c r="K287" s="17" t="str">
        <f>_xlfn.IFNA(VLOOKUP(C287, '[2]Unique HS'!$B$4:$J$999, 9, FALSE), "No")</f>
        <v>No</v>
      </c>
      <c r="L287" s="18">
        <f>VLOOKUP(C287, '[1]India EXIM'!$B$6:$C$580, 2, FALSE)</f>
        <v>9.4500841539999995E-3</v>
      </c>
      <c r="M287" s="11">
        <f>VLOOKUP(C287, '[1]China EXIM'!$B$6:$D$580, 3, FALSE)</f>
        <v>0.76130414471500008</v>
      </c>
      <c r="N287" s="9" t="s">
        <v>785</v>
      </c>
      <c r="O287" s="9"/>
      <c r="P287" s="6"/>
      <c r="Q287" s="10" t="s">
        <v>24</v>
      </c>
      <c r="R287" s="9" t="s">
        <v>30</v>
      </c>
      <c r="V287" s="1" t="s">
        <v>25</v>
      </c>
    </row>
    <row r="288" spans="2:22" ht="27.95" hidden="1">
      <c r="B288" s="6" t="str">
        <f>VLOOKUP(C288, [1]Definition!$D$5:$K$5665, 8, FALSE)</f>
        <v>Capital Goods</v>
      </c>
      <c r="C288" s="7">
        <v>843710</v>
      </c>
      <c r="D288" s="8" t="s">
        <v>254</v>
      </c>
      <c r="E288" s="8" t="s">
        <v>25</v>
      </c>
      <c r="F288" s="17" t="s">
        <v>19</v>
      </c>
      <c r="G288" s="8"/>
      <c r="H288" s="8"/>
      <c r="I288" s="9" t="s">
        <v>61</v>
      </c>
      <c r="J288" s="9" t="s">
        <v>255</v>
      </c>
      <c r="K288" s="17" t="str">
        <f>_xlfn.IFNA(VLOOKUP(C288, '[2]Unique HS'!$B$4:$J$999, 9, FALSE), "No")</f>
        <v>Yes</v>
      </c>
      <c r="L288" s="18">
        <f>VLOOKUP(C288, '[1]India EXIM'!$B$6:$C$580, 2, FALSE)</f>
        <v>9.0459096823999996E-2</v>
      </c>
      <c r="M288" s="11">
        <f>VLOOKUP(C288, '[1]China EXIM'!$B$6:$D$580, 3, FALSE)</f>
        <v>0.75999658664000003</v>
      </c>
      <c r="N288" s="6"/>
      <c r="O288" s="6"/>
      <c r="P288" s="6"/>
      <c r="Q288" s="10" t="s">
        <v>24</v>
      </c>
      <c r="R288" s="9" t="s">
        <v>61</v>
      </c>
      <c r="V288" s="1" t="s">
        <v>25</v>
      </c>
    </row>
    <row r="289" spans="2:23" ht="27.95" hidden="1">
      <c r="B289" s="6" t="str">
        <f>VLOOKUP(C289, [1]Definition!$D$5:$K$5665, 8, FALSE)</f>
        <v>Capital Goods</v>
      </c>
      <c r="C289" s="7">
        <v>820780</v>
      </c>
      <c r="D289" s="8" t="s">
        <v>553</v>
      </c>
      <c r="E289" s="8" t="s">
        <v>25</v>
      </c>
      <c r="F289" s="17" t="s">
        <v>19</v>
      </c>
      <c r="G289" s="8"/>
      <c r="H289" s="8"/>
      <c r="I289" s="9" t="s">
        <v>65</v>
      </c>
      <c r="J289" s="9" t="s">
        <v>554</v>
      </c>
      <c r="K289" s="17" t="str">
        <f>_xlfn.IFNA(VLOOKUP(C289, '[2]Unique HS'!$B$4:$J$999, 9, FALSE), "No")</f>
        <v>Yes</v>
      </c>
      <c r="L289" s="18">
        <f>VLOOKUP(C289, '[1]India EXIM'!$B$6:$C$580, 2, FALSE)</f>
        <v>2.6028204888999998E-2</v>
      </c>
      <c r="M289" s="11">
        <f>VLOOKUP(C289, '[1]China EXIM'!$B$6:$D$580, 3, FALSE)</f>
        <v>0.78998360665400003</v>
      </c>
      <c r="N289" s="6" t="s">
        <v>201</v>
      </c>
      <c r="O289" s="6"/>
      <c r="P289" s="6"/>
      <c r="Q289" s="10" t="s">
        <v>24</v>
      </c>
      <c r="R289" s="11" t="s">
        <v>202</v>
      </c>
      <c r="V289" s="1" t="s">
        <v>25</v>
      </c>
    </row>
    <row r="290" spans="2:23" ht="42" hidden="1">
      <c r="B290" s="6" t="str">
        <f>VLOOKUP(C290, [1]Definition!$D$5:$K$5665, 8, FALSE)</f>
        <v>Capital Goods</v>
      </c>
      <c r="C290" s="7">
        <v>846222</v>
      </c>
      <c r="D290" s="8" t="s">
        <v>565</v>
      </c>
      <c r="E290" s="8" t="s">
        <v>25</v>
      </c>
      <c r="F290" s="17" t="s">
        <v>19</v>
      </c>
      <c r="G290" s="8"/>
      <c r="H290" s="8"/>
      <c r="I290" s="9" t="s">
        <v>65</v>
      </c>
      <c r="J290" s="9" t="s">
        <v>31</v>
      </c>
      <c r="K290" s="17" t="str">
        <f>_xlfn.IFNA(VLOOKUP(C290, '[2]Unique HS'!$B$4:$J$999, 9, FALSE), "No")</f>
        <v>No</v>
      </c>
      <c r="L290" s="18">
        <f>VLOOKUP(C290, '[1]India EXIM'!$B$6:$C$580, 2, FALSE)</f>
        <v>2.5342439256999999E-2</v>
      </c>
      <c r="M290" s="11">
        <f>VLOOKUP(C290, '[1]China EXIM'!$B$6:$D$580, 3, FALSE)</f>
        <v>0.45144876837499998</v>
      </c>
      <c r="N290" s="6"/>
      <c r="O290" s="6"/>
      <c r="P290" s="6"/>
      <c r="Q290" s="10" t="s">
        <v>24</v>
      </c>
      <c r="R290" s="9" t="s">
        <v>65</v>
      </c>
      <c r="V290" s="1" t="s">
        <v>25</v>
      </c>
    </row>
    <row r="291" spans="2:23" ht="56.1" hidden="1">
      <c r="B291" s="6" t="str">
        <f>VLOOKUP(C291, [1]Definition!$D$5:$K$5665, 8, FALSE)</f>
        <v>Capital Goods</v>
      </c>
      <c r="C291" s="7">
        <v>854151</v>
      </c>
      <c r="D291" s="8" t="s">
        <v>666</v>
      </c>
      <c r="E291" s="8" t="s">
        <v>34</v>
      </c>
      <c r="F291" s="17" t="s">
        <v>119</v>
      </c>
      <c r="G291" s="8" t="s">
        <v>667</v>
      </c>
      <c r="H291" s="8" t="s">
        <v>668</v>
      </c>
      <c r="I291" s="9" t="s">
        <v>46</v>
      </c>
      <c r="J291" s="9" t="s">
        <v>303</v>
      </c>
      <c r="K291" s="17" t="str">
        <f>_xlfn.IFNA(VLOOKUP(C291, '[2]Unique HS'!$B$4:$J$999, 9, FALSE), "No")</f>
        <v>Yes</v>
      </c>
      <c r="L291" s="19">
        <f>VLOOKUP(C291, '[1]India EXIM'!$B$6:$C$580, 2, FALSE)</f>
        <v>4.5499528200000005E-3</v>
      </c>
      <c r="M291" s="11">
        <f>VLOOKUP(C291, '[1]China EXIM'!$B$6:$D$580, 3, FALSE)</f>
        <v>0.74864945711100006</v>
      </c>
      <c r="N291" s="6"/>
      <c r="O291" s="6"/>
      <c r="P291" s="6"/>
      <c r="Q291" s="10" t="s">
        <v>24</v>
      </c>
      <c r="R291" s="9" t="s">
        <v>46</v>
      </c>
      <c r="V291" s="1" t="s">
        <v>211</v>
      </c>
      <c r="W291" s="1" t="s">
        <v>542</v>
      </c>
    </row>
    <row r="292" spans="2:23" ht="56.1">
      <c r="B292" s="6" t="str">
        <f>VLOOKUP(C292, [1]Definition!$D$5:$K$5665, 8, FALSE)</f>
        <v>Capital Goods</v>
      </c>
      <c r="C292" s="7">
        <v>842381</v>
      </c>
      <c r="D292" s="8" t="s">
        <v>927</v>
      </c>
      <c r="E292" s="8" t="s">
        <v>25</v>
      </c>
      <c r="F292" s="17" t="s">
        <v>19</v>
      </c>
      <c r="G292" s="8"/>
      <c r="H292" s="8" t="s">
        <v>928</v>
      </c>
      <c r="I292" s="9" t="s">
        <v>22</v>
      </c>
      <c r="J292" s="9" t="s">
        <v>486</v>
      </c>
      <c r="K292" s="17" t="str">
        <f>_xlfn.IFNA(VLOOKUP(C292, '[2]Unique HS'!$B$4:$J$999, 9, FALSE), "No")</f>
        <v>Yes</v>
      </c>
      <c r="L292" s="18">
        <f>VLOOKUP(C292, '[1]India EXIM'!$B$6:$C$580, 2, FALSE)</f>
        <v>5.0134382229999998E-3</v>
      </c>
      <c r="M292" s="11">
        <f>VLOOKUP(C292, '[1]China EXIM'!$B$6:$D$580, 3, FALSE)</f>
        <v>0.74849261771599995</v>
      </c>
      <c r="N292" s="6"/>
      <c r="O292" s="6"/>
      <c r="P292" s="6"/>
      <c r="Q292" s="10" t="s">
        <v>24</v>
      </c>
      <c r="R292" s="9" t="s">
        <v>22</v>
      </c>
      <c r="V292" s="1" t="s">
        <v>25</v>
      </c>
    </row>
    <row r="293" spans="2:23" ht="42" hidden="1">
      <c r="B293" s="6" t="str">
        <f>VLOOKUP(C293, [1]Definition!$D$5:$K$5665, 8, FALSE)</f>
        <v>Capital Goods</v>
      </c>
      <c r="C293" s="7">
        <v>846410</v>
      </c>
      <c r="D293" s="8" t="s">
        <v>588</v>
      </c>
      <c r="E293" s="8" t="s">
        <v>25</v>
      </c>
      <c r="F293" s="17" t="s">
        <v>19</v>
      </c>
      <c r="G293" s="8"/>
      <c r="H293" s="8"/>
      <c r="I293" s="9" t="s">
        <v>65</v>
      </c>
      <c r="J293" s="9" t="s">
        <v>31</v>
      </c>
      <c r="K293" s="17" t="str">
        <f>_xlfn.IFNA(VLOOKUP(C293, '[2]Unique HS'!$B$4:$J$999, 9, FALSE), "No")</f>
        <v>No</v>
      </c>
      <c r="L293" s="18">
        <f>VLOOKUP(C293, '[1]India EXIM'!$B$6:$C$580, 2, FALSE)</f>
        <v>2.3380765152999999E-2</v>
      </c>
      <c r="M293" s="11">
        <f>VLOOKUP(C293, '[1]China EXIM'!$B$6:$D$580, 3, FALSE)</f>
        <v>0.62192466377199995</v>
      </c>
      <c r="N293" s="6"/>
      <c r="O293" s="6"/>
      <c r="P293" s="6"/>
      <c r="Q293" s="10" t="s">
        <v>24</v>
      </c>
      <c r="R293" s="9" t="s">
        <v>65</v>
      </c>
      <c r="V293" s="1" t="s">
        <v>25</v>
      </c>
    </row>
    <row r="294" spans="2:23" ht="27.95">
      <c r="B294" s="6" t="str">
        <f>VLOOKUP(C294, [1]Definition!$D$5:$K$5665, 8, FALSE)</f>
        <v>Capital Goods</v>
      </c>
      <c r="C294" s="7">
        <v>842441</v>
      </c>
      <c r="D294" s="8" t="s">
        <v>672</v>
      </c>
      <c r="E294" s="8" t="s">
        <v>25</v>
      </c>
      <c r="F294" s="17" t="s">
        <v>1178</v>
      </c>
      <c r="G294" s="8" t="s">
        <v>673</v>
      </c>
      <c r="H294" s="8"/>
      <c r="I294" s="9" t="s">
        <v>22</v>
      </c>
      <c r="J294" s="9" t="s">
        <v>38</v>
      </c>
      <c r="K294" s="17" t="str">
        <f>_xlfn.IFNA(VLOOKUP(C294, '[2]Unique HS'!$B$4:$J$999, 9, FALSE), "No")</f>
        <v>No</v>
      </c>
      <c r="L294" s="18">
        <f>VLOOKUP(C294, '[1]India EXIM'!$B$6:$C$580, 2, FALSE)</f>
        <v>2.4586809636999999E-2</v>
      </c>
      <c r="M294" s="11">
        <f>VLOOKUP(C294, '[1]China EXIM'!$B$6:$D$580, 3, FALSE)</f>
        <v>0.74577324205100004</v>
      </c>
      <c r="N294" s="6" t="s">
        <v>160</v>
      </c>
      <c r="O294" s="6"/>
      <c r="P294" s="6"/>
      <c r="Q294" s="10" t="s">
        <v>24</v>
      </c>
      <c r="R294" s="9" t="s">
        <v>161</v>
      </c>
      <c r="V294" s="1" t="s">
        <v>137</v>
      </c>
    </row>
    <row r="295" spans="2:23" ht="42">
      <c r="B295" s="6" t="str">
        <f>VLOOKUP(C295, [1]Definition!$D$5:$K$5665, 8, FALSE)</f>
        <v>Capital Goods</v>
      </c>
      <c r="C295" s="7">
        <v>842382</v>
      </c>
      <c r="D295" s="8" t="s">
        <v>1007</v>
      </c>
      <c r="E295" s="8" t="s">
        <v>25</v>
      </c>
      <c r="F295" s="17" t="s">
        <v>19</v>
      </c>
      <c r="G295" s="8" t="s">
        <v>1008</v>
      </c>
      <c r="H295" s="8" t="s">
        <v>928</v>
      </c>
      <c r="I295" s="9" t="s">
        <v>22</v>
      </c>
      <c r="J295" s="9" t="s">
        <v>486</v>
      </c>
      <c r="K295" s="17" t="str">
        <f>_xlfn.IFNA(VLOOKUP(C295, '[2]Unique HS'!$B$4:$J$999, 9, FALSE), "No")</f>
        <v>Yes</v>
      </c>
      <c r="L295" s="19">
        <f>VLOOKUP(C295, '[1]India EXIM'!$B$6:$C$580, 2, FALSE)</f>
        <v>1.9837335560000001E-3</v>
      </c>
      <c r="M295" s="11">
        <f>VLOOKUP(C295, '[1]China EXIM'!$B$6:$D$580, 3, FALSE)</f>
        <v>0.74246686951199992</v>
      </c>
      <c r="N295" s="6"/>
      <c r="O295" s="6"/>
      <c r="P295" s="6"/>
      <c r="Q295" s="10" t="s">
        <v>24</v>
      </c>
      <c r="R295" s="9" t="s">
        <v>22</v>
      </c>
      <c r="V295" s="1" t="s">
        <v>25</v>
      </c>
    </row>
    <row r="296" spans="2:23" ht="27.95" hidden="1">
      <c r="B296" s="6" t="str">
        <f>VLOOKUP(C296, [1]Definition!$D$5:$K$5665, 8, FALSE)</f>
        <v>Capital Goods</v>
      </c>
      <c r="C296" s="7">
        <v>851519</v>
      </c>
      <c r="D296" s="8" t="s">
        <v>589</v>
      </c>
      <c r="E296" s="8" t="s">
        <v>25</v>
      </c>
      <c r="F296" s="17" t="s">
        <v>19</v>
      </c>
      <c r="G296" s="8"/>
      <c r="H296" s="8"/>
      <c r="I296" s="9" t="s">
        <v>65</v>
      </c>
      <c r="J296" s="9" t="s">
        <v>590</v>
      </c>
      <c r="K296" s="17" t="str">
        <f>_xlfn.IFNA(VLOOKUP(C296, '[2]Unique HS'!$B$4:$J$999, 9, FALSE), "No")</f>
        <v>Yes</v>
      </c>
      <c r="L296" s="18">
        <f>VLOOKUP(C296, '[1]India EXIM'!$B$6:$C$580, 2, FALSE)</f>
        <v>2.3043982052999998E-2</v>
      </c>
      <c r="M296" s="11">
        <f>VLOOKUP(C296, '[1]China EXIM'!$B$6:$D$580, 3, FALSE)</f>
        <v>0.66475508838899999</v>
      </c>
      <c r="N296" s="6"/>
      <c r="O296" s="6"/>
      <c r="P296" s="6"/>
      <c r="Q296" s="10" t="s">
        <v>24</v>
      </c>
      <c r="R296" s="9" t="s">
        <v>65</v>
      </c>
      <c r="V296" s="1" t="s">
        <v>25</v>
      </c>
    </row>
    <row r="297" spans="2:23" ht="56.1">
      <c r="B297" s="6" t="str">
        <f>VLOOKUP(C297, [1]Definition!$D$5:$K$5665, 8, FALSE)</f>
        <v>Capital Goods</v>
      </c>
      <c r="C297" s="7">
        <v>903110</v>
      </c>
      <c r="D297" s="8" t="s">
        <v>686</v>
      </c>
      <c r="E297" s="8" t="s">
        <v>25</v>
      </c>
      <c r="F297" s="17" t="s">
        <v>205</v>
      </c>
      <c r="G297" s="8" t="s">
        <v>687</v>
      </c>
      <c r="H297" s="8" t="s">
        <v>688</v>
      </c>
      <c r="I297" s="9" t="s">
        <v>22</v>
      </c>
      <c r="J297" s="9" t="s">
        <v>319</v>
      </c>
      <c r="K297" s="17" t="str">
        <f>_xlfn.IFNA(VLOOKUP(C297, '[2]Unique HS'!$B$4:$J$999, 9, FALSE), "No")</f>
        <v>No</v>
      </c>
      <c r="L297" s="22">
        <f>VLOOKUP(C297, '[1]India EXIM'!$B$6:$C$580, 2, FALSE)</f>
        <v>1.6636235433E-2</v>
      </c>
      <c r="M297" s="11">
        <f>VLOOKUP(C297, '[1]China EXIM'!$B$6:$D$580, 3, FALSE)</f>
        <v>0.489244696448</v>
      </c>
      <c r="N297" s="6"/>
      <c r="O297" s="6"/>
      <c r="P297" s="6"/>
      <c r="Q297" s="10" t="s">
        <v>24</v>
      </c>
      <c r="R297" s="9" t="s">
        <v>22</v>
      </c>
      <c r="V297" s="1" t="s">
        <v>25</v>
      </c>
    </row>
    <row r="298" spans="2:23" ht="27.95" hidden="1">
      <c r="B298" s="6" t="str">
        <f>VLOOKUP(C298, [1]Definition!$D$5:$K$5665, 8, FALSE)</f>
        <v>Capital Goods</v>
      </c>
      <c r="C298" s="7">
        <v>850433</v>
      </c>
      <c r="D298" s="8" t="s">
        <v>507</v>
      </c>
      <c r="E298" s="8" t="s">
        <v>34</v>
      </c>
      <c r="F298" s="17" t="s">
        <v>27</v>
      </c>
      <c r="G298" s="8" t="s">
        <v>508</v>
      </c>
      <c r="H298" s="8" t="s">
        <v>509</v>
      </c>
      <c r="I298" s="9" t="s">
        <v>30</v>
      </c>
      <c r="J298" s="9" t="s">
        <v>31</v>
      </c>
      <c r="K298" s="17" t="str">
        <f>_xlfn.IFNA(VLOOKUP(C298, '[2]Unique HS'!$B$4:$J$999, 9, FALSE), "No")</f>
        <v>Yes</v>
      </c>
      <c r="L298" s="22">
        <f>VLOOKUP(C298, '[1]India EXIM'!$B$6:$C$580, 2, FALSE)</f>
        <v>3.0344638638E-2</v>
      </c>
      <c r="M298" s="11">
        <f>VLOOKUP(C298, '[1]China EXIM'!$B$6:$D$580, 3, FALSE)</f>
        <v>1.5922873954319998</v>
      </c>
      <c r="N298" s="6" t="s">
        <v>32</v>
      </c>
      <c r="O298" s="6"/>
      <c r="P298" s="6"/>
      <c r="Q298" s="10" t="s">
        <v>24</v>
      </c>
      <c r="R298" s="9" t="s">
        <v>30</v>
      </c>
      <c r="T298" s="1" t="s">
        <v>33</v>
      </c>
      <c r="V298" s="1" t="s">
        <v>34</v>
      </c>
    </row>
    <row r="299" spans="2:23" ht="27.95" hidden="1">
      <c r="B299" s="6" t="str">
        <f>VLOOKUP(C299, [1]Definition!$D$5:$K$5665, 8, FALSE)</f>
        <v>Capital Goods</v>
      </c>
      <c r="C299" s="7">
        <v>846330</v>
      </c>
      <c r="D299" s="8" t="s">
        <v>595</v>
      </c>
      <c r="E299" s="8" t="s">
        <v>25</v>
      </c>
      <c r="F299" s="17" t="s">
        <v>19</v>
      </c>
      <c r="G299" s="8"/>
      <c r="H299" s="8"/>
      <c r="I299" s="9" t="s">
        <v>65</v>
      </c>
      <c r="J299" s="9" t="s">
        <v>31</v>
      </c>
      <c r="K299" s="17" t="str">
        <f>_xlfn.IFNA(VLOOKUP(C299, '[2]Unique HS'!$B$4:$J$999, 9, FALSE), "No")</f>
        <v>No</v>
      </c>
      <c r="L299" s="18">
        <f>VLOOKUP(C299, '[1]India EXIM'!$B$6:$C$580, 2, FALSE)</f>
        <v>2.2755831717999997E-2</v>
      </c>
      <c r="M299" s="11">
        <f>VLOOKUP(C299, '[1]China EXIM'!$B$6:$D$580, 3, FALSE)</f>
        <v>0.474833037836</v>
      </c>
      <c r="N299" s="6"/>
      <c r="O299" s="6"/>
      <c r="P299" s="6"/>
      <c r="Q299" s="10" t="s">
        <v>24</v>
      </c>
      <c r="R299" s="9" t="s">
        <v>65</v>
      </c>
      <c r="V299" s="1" t="s">
        <v>25</v>
      </c>
    </row>
    <row r="300" spans="2:23" ht="42" hidden="1">
      <c r="B300" s="6" t="str">
        <f>VLOOKUP(C300, [1]Definition!$D$5:$K$5665, 8, FALSE)</f>
        <v>Capital Goods</v>
      </c>
      <c r="C300" s="7">
        <v>902910</v>
      </c>
      <c r="D300" s="8" t="s">
        <v>682</v>
      </c>
      <c r="E300" s="8" t="s">
        <v>211</v>
      </c>
      <c r="F300" s="17" t="s">
        <v>119</v>
      </c>
      <c r="G300" s="8" t="s">
        <v>683</v>
      </c>
      <c r="H300" s="8" t="s">
        <v>684</v>
      </c>
      <c r="I300" s="9" t="s">
        <v>166</v>
      </c>
      <c r="J300" s="9" t="s">
        <v>201</v>
      </c>
      <c r="K300" s="17" t="str">
        <f>_xlfn.IFNA(VLOOKUP(C300, '[2]Unique HS'!$B$4:$J$999, 9, FALSE), "No")</f>
        <v>Yes</v>
      </c>
      <c r="L300" s="18">
        <f>VLOOKUP(C300, '[1]India EXIM'!$B$6:$C$580, 2, FALSE)</f>
        <v>1.1068616083000001E-2</v>
      </c>
      <c r="M300" s="11">
        <f>VLOOKUP(C300, '[1]China EXIM'!$B$6:$D$580, 3, FALSE)</f>
        <v>0.71351973504499999</v>
      </c>
      <c r="N300" s="6"/>
      <c r="O300" s="6"/>
      <c r="P300" s="6"/>
      <c r="Q300" s="10" t="s">
        <v>24</v>
      </c>
      <c r="R300" s="11" t="s">
        <v>39</v>
      </c>
      <c r="V300" s="1" t="s">
        <v>211</v>
      </c>
      <c r="W300" s="1" t="s">
        <v>685</v>
      </c>
    </row>
    <row r="301" spans="2:23" ht="42" hidden="1">
      <c r="B301" s="6" t="str">
        <f>VLOOKUP(C301, [1]Definition!$D$5:$K$5665, 8, FALSE)</f>
        <v>Capital Goods</v>
      </c>
      <c r="C301" s="7">
        <v>842519</v>
      </c>
      <c r="D301" s="8" t="s">
        <v>770</v>
      </c>
      <c r="E301" s="8" t="s">
        <v>25</v>
      </c>
      <c r="F301" s="17" t="s">
        <v>19</v>
      </c>
      <c r="G301" s="8"/>
      <c r="H301" s="8"/>
      <c r="I301" s="9" t="s">
        <v>58</v>
      </c>
      <c r="J301" s="9" t="s">
        <v>31</v>
      </c>
      <c r="K301" s="17" t="str">
        <f>_xlfn.IFNA(VLOOKUP(C301, '[2]Unique HS'!$B$4:$J$999, 9, FALSE), "No")</f>
        <v>No</v>
      </c>
      <c r="L301" s="18">
        <f>VLOOKUP(C301, '[1]India EXIM'!$B$6:$C$580, 2, FALSE)</f>
        <v>1.1692425219E-2</v>
      </c>
      <c r="M301" s="11">
        <f>VLOOKUP(C301, '[1]China EXIM'!$B$6:$D$580, 3, FALSE)</f>
        <v>0.71327302342799992</v>
      </c>
      <c r="N301" s="9" t="s">
        <v>59</v>
      </c>
      <c r="O301" s="9"/>
      <c r="P301" s="6"/>
      <c r="Q301" s="10" t="s">
        <v>24</v>
      </c>
      <c r="R301" s="9" t="s">
        <v>58</v>
      </c>
      <c r="V301" s="1" t="s">
        <v>25</v>
      </c>
    </row>
    <row r="302" spans="2:23" ht="27.95" hidden="1">
      <c r="B302" s="6" t="str">
        <f>VLOOKUP(C302, [1]Definition!$D$5:$K$5665, 8, FALSE)</f>
        <v>Capital Goods</v>
      </c>
      <c r="C302" s="7">
        <v>842699</v>
      </c>
      <c r="D302" s="8" t="s">
        <v>782</v>
      </c>
      <c r="E302" s="8" t="s">
        <v>25</v>
      </c>
      <c r="F302" s="17" t="s">
        <v>19</v>
      </c>
      <c r="G302" s="8"/>
      <c r="H302" s="8"/>
      <c r="I302" s="9" t="s">
        <v>58</v>
      </c>
      <c r="J302" s="9" t="s">
        <v>31</v>
      </c>
      <c r="K302" s="17" t="str">
        <f>_xlfn.IFNA(VLOOKUP(C302, '[2]Unique HS'!$B$4:$J$999, 9, FALSE), "No")</f>
        <v>No</v>
      </c>
      <c r="L302" s="18">
        <f>VLOOKUP(C302, '[1]India EXIM'!$B$6:$C$580, 2, FALSE)</f>
        <v>1.1022219622E-2</v>
      </c>
      <c r="M302" s="11">
        <f>VLOOKUP(C302, '[1]China EXIM'!$B$6:$D$580, 3, FALSE)</f>
        <v>0.71119894577800002</v>
      </c>
      <c r="N302" s="9" t="s">
        <v>80</v>
      </c>
      <c r="O302" s="9"/>
      <c r="P302" s="6"/>
      <c r="Q302" s="10" t="s">
        <v>24</v>
      </c>
      <c r="R302" s="9" t="s">
        <v>58</v>
      </c>
      <c r="V302" s="1" t="s">
        <v>25</v>
      </c>
    </row>
    <row r="303" spans="2:23" ht="27.95" hidden="1">
      <c r="B303" s="6" t="str">
        <f>VLOOKUP(C303, [1]Definition!$D$5:$K$5665, 8, FALSE)</f>
        <v>Capital Goods</v>
      </c>
      <c r="C303" s="7">
        <v>846791</v>
      </c>
      <c r="D303" s="8" t="s">
        <v>691</v>
      </c>
      <c r="E303" s="8" t="s">
        <v>34</v>
      </c>
      <c r="F303" s="17" t="s">
        <v>119</v>
      </c>
      <c r="G303" s="8" t="s">
        <v>692</v>
      </c>
      <c r="H303" s="8" t="s">
        <v>693</v>
      </c>
      <c r="I303" s="9" t="s">
        <v>65</v>
      </c>
      <c r="J303" s="9" t="s">
        <v>31</v>
      </c>
      <c r="K303" s="17" t="str">
        <f>_xlfn.IFNA(VLOOKUP(C303, '[2]Unique HS'!$B$4:$J$999, 9, FALSE), "No")</f>
        <v>No</v>
      </c>
      <c r="L303" s="18">
        <f>VLOOKUP(C303, '[1]India EXIM'!$B$6:$C$580, 2, FALSE)</f>
        <v>2.0811422419000001E-2</v>
      </c>
      <c r="M303" s="11">
        <f>VLOOKUP(C303, '[1]China EXIM'!$B$6:$D$580, 3, FALSE)</f>
        <v>0.37471774780800005</v>
      </c>
      <c r="N303" s="6"/>
      <c r="O303" s="6"/>
      <c r="P303" s="6"/>
      <c r="Q303" s="10" t="s">
        <v>24</v>
      </c>
      <c r="R303" s="9" t="s">
        <v>65</v>
      </c>
      <c r="V303" s="1" t="s">
        <v>34</v>
      </c>
    </row>
    <row r="304" spans="2:23" ht="42" hidden="1">
      <c r="B304" s="6" t="str">
        <f>VLOOKUP(C304, [1]Definition!$D$5:$K$5665, 8, FALSE)</f>
        <v>Capital Goods</v>
      </c>
      <c r="C304" s="7">
        <v>844900</v>
      </c>
      <c r="D304" s="8" t="s">
        <v>391</v>
      </c>
      <c r="E304" s="8" t="s">
        <v>25</v>
      </c>
      <c r="F304" s="17" t="s">
        <v>19</v>
      </c>
      <c r="G304" s="8"/>
      <c r="H304" s="8"/>
      <c r="I304" s="9" t="s">
        <v>55</v>
      </c>
      <c r="J304" s="9" t="s">
        <v>56</v>
      </c>
      <c r="K304" s="17" t="str">
        <f>_xlfn.IFNA(VLOOKUP(C304, '[2]Unique HS'!$B$4:$J$999, 9, FALSE), "No")</f>
        <v>Yes</v>
      </c>
      <c r="L304" s="18">
        <f>VLOOKUP(C304, '[1]India EXIM'!$B$6:$C$580, 2, FALSE)</f>
        <v>4.6792241805000002E-2</v>
      </c>
      <c r="M304" s="11">
        <f>VLOOKUP(C304, '[1]China EXIM'!$B$6:$D$580, 3, FALSE)</f>
        <v>0.70994372708099995</v>
      </c>
      <c r="N304" s="6"/>
      <c r="O304" s="6"/>
      <c r="P304" s="6"/>
      <c r="Q304" s="10" t="s">
        <v>24</v>
      </c>
      <c r="R304" s="9" t="s">
        <v>55</v>
      </c>
      <c r="V304" s="1" t="s">
        <v>25</v>
      </c>
    </row>
    <row r="305" spans="2:23" ht="27.95">
      <c r="B305" s="6" t="str">
        <f>VLOOKUP(C305, [1]Definition!$D$5:$K$5665, 8, FALSE)</f>
        <v>Capital Goods</v>
      </c>
      <c r="C305" s="7">
        <v>847810</v>
      </c>
      <c r="D305" s="8" t="s">
        <v>627</v>
      </c>
      <c r="E305" s="8" t="s">
        <v>25</v>
      </c>
      <c r="F305" s="17" t="s">
        <v>19</v>
      </c>
      <c r="G305" s="8"/>
      <c r="H305" s="8"/>
      <c r="I305" s="9" t="s">
        <v>22</v>
      </c>
      <c r="J305" s="9" t="s">
        <v>628</v>
      </c>
      <c r="K305" s="17" t="str">
        <f>_xlfn.IFNA(VLOOKUP(C305, '[2]Unique HS'!$B$4:$J$999, 9, FALSE), "No")</f>
        <v>No</v>
      </c>
      <c r="L305" s="18">
        <f>VLOOKUP(C305, '[1]India EXIM'!$B$6:$C$580, 2, FALSE)</f>
        <v>2.0497804056000001E-2</v>
      </c>
      <c r="M305" s="11">
        <f>VLOOKUP(C305, '[1]China EXIM'!$B$6:$D$580, 3, FALSE)</f>
        <v>0.69600618403699999</v>
      </c>
      <c r="N305" s="6"/>
      <c r="O305" s="6"/>
      <c r="P305" s="6"/>
      <c r="Q305" s="10" t="s">
        <v>24</v>
      </c>
      <c r="R305" s="9" t="s">
        <v>22</v>
      </c>
      <c r="V305" s="1" t="s">
        <v>25</v>
      </c>
    </row>
    <row r="306" spans="2:23" ht="56.1" hidden="1">
      <c r="B306" s="6" t="str">
        <f>VLOOKUP(C306, [1]Definition!$D$5:$K$5665, 8, FALSE)</f>
        <v>Capital Goods</v>
      </c>
      <c r="C306" s="7">
        <v>851439</v>
      </c>
      <c r="D306" s="8" t="s">
        <v>437</v>
      </c>
      <c r="E306" s="8" t="s">
        <v>25</v>
      </c>
      <c r="F306" s="17" t="s">
        <v>19</v>
      </c>
      <c r="G306" s="8"/>
      <c r="H306" s="8"/>
      <c r="I306" s="9" t="s">
        <v>82</v>
      </c>
      <c r="J306" s="9" t="s">
        <v>438</v>
      </c>
      <c r="K306" s="17" t="str">
        <f>_xlfn.IFNA(VLOOKUP(C306, '[2]Unique HS'!$B$4:$J$999, 9, FALSE), "No")</f>
        <v>Yes</v>
      </c>
      <c r="L306" s="18">
        <f>VLOOKUP(C306, '[1]India EXIM'!$B$6:$C$580, 2, FALSE)</f>
        <v>3.9662669281999997E-2</v>
      </c>
      <c r="M306" s="11">
        <f>VLOOKUP(C306, '[1]China EXIM'!$B$6:$D$580, 3, FALSE)</f>
        <v>0.69347657228900006</v>
      </c>
      <c r="N306" s="9" t="s">
        <v>439</v>
      </c>
      <c r="O306" s="9"/>
      <c r="P306" s="6"/>
      <c r="Q306" s="10" t="s">
        <v>24</v>
      </c>
      <c r="R306" s="9" t="s">
        <v>82</v>
      </c>
      <c r="V306" s="1" t="s">
        <v>25</v>
      </c>
    </row>
    <row r="307" spans="2:23" ht="27.95" hidden="1">
      <c r="B307" s="6" t="str">
        <f>VLOOKUP(C307, [1]Definition!$D$5:$K$5665, 8, FALSE)</f>
        <v>Capital Goods</v>
      </c>
      <c r="C307" s="7">
        <v>846722</v>
      </c>
      <c r="D307" s="8" t="s">
        <v>638</v>
      </c>
      <c r="E307" s="8" t="s">
        <v>25</v>
      </c>
      <c r="F307" s="17" t="s">
        <v>19</v>
      </c>
      <c r="G307" s="8"/>
      <c r="H307" s="8"/>
      <c r="I307" s="9" t="s">
        <v>65</v>
      </c>
      <c r="J307" s="9" t="s">
        <v>31</v>
      </c>
      <c r="K307" s="17" t="str">
        <f>_xlfn.IFNA(VLOOKUP(C307, '[2]Unique HS'!$B$4:$J$999, 9, FALSE), "No")</f>
        <v>Yes</v>
      </c>
      <c r="L307" s="18">
        <f>VLOOKUP(C307, '[1]India EXIM'!$B$6:$C$580, 2, FALSE)</f>
        <v>1.9746395931000003E-2</v>
      </c>
      <c r="M307" s="11">
        <f>VLOOKUP(C307, '[1]China EXIM'!$B$6:$D$580, 3, FALSE)</f>
        <v>3.4022948934770003</v>
      </c>
      <c r="N307" s="6"/>
      <c r="O307" s="6"/>
      <c r="P307" s="6"/>
      <c r="Q307" s="10" t="s">
        <v>24</v>
      </c>
      <c r="R307" s="9" t="s">
        <v>65</v>
      </c>
      <c r="V307" s="1" t="s">
        <v>25</v>
      </c>
    </row>
    <row r="308" spans="2:23" ht="42">
      <c r="B308" s="6" t="str">
        <f>VLOOKUP(C308, [1]Definition!$D$5:$K$5665, 8, FALSE)</f>
        <v>Capital Goods</v>
      </c>
      <c r="C308" s="7">
        <v>761300</v>
      </c>
      <c r="D308" s="8" t="s">
        <v>762</v>
      </c>
      <c r="E308" s="8" t="s">
        <v>25</v>
      </c>
      <c r="F308" s="17" t="s">
        <v>19</v>
      </c>
      <c r="G308" s="8" t="s">
        <v>763</v>
      </c>
      <c r="H308" s="8"/>
      <c r="I308" s="9" t="s">
        <v>22</v>
      </c>
      <c r="J308" s="9" t="s">
        <v>528</v>
      </c>
      <c r="K308" s="17" t="str">
        <f>_xlfn.IFNA(VLOOKUP(C308, '[2]Unique HS'!$B$4:$J$999, 9, FALSE), "No")</f>
        <v>No</v>
      </c>
      <c r="L308" s="18">
        <f>VLOOKUP(C308, '[1]India EXIM'!$B$6:$C$580, 2, FALSE)</f>
        <v>1.2344889826999999E-2</v>
      </c>
      <c r="M308" s="11">
        <f>VLOOKUP(C308, '[1]China EXIM'!$B$6:$D$580, 3, FALSE)</f>
        <v>0.68340405238399993</v>
      </c>
      <c r="N308" s="6" t="s">
        <v>201</v>
      </c>
      <c r="O308" s="6"/>
      <c r="P308" s="9"/>
      <c r="Q308" s="10" t="s">
        <v>24</v>
      </c>
      <c r="R308" s="9" t="s">
        <v>22</v>
      </c>
      <c r="V308" s="1" t="s">
        <v>25</v>
      </c>
    </row>
    <row r="309" spans="2:23" ht="42">
      <c r="B309" s="6" t="str">
        <f>VLOOKUP(C309, [1]Definition!$D$5:$K$5665, 8, FALSE)</f>
        <v>Capital Goods</v>
      </c>
      <c r="C309" s="7">
        <v>842330</v>
      </c>
      <c r="D309" s="8" t="s">
        <v>576</v>
      </c>
      <c r="E309" s="8" t="s">
        <v>25</v>
      </c>
      <c r="F309" s="17" t="s">
        <v>19</v>
      </c>
      <c r="G309" s="8" t="s">
        <v>577</v>
      </c>
      <c r="H309" s="8" t="s">
        <v>578</v>
      </c>
      <c r="I309" s="9" t="s">
        <v>22</v>
      </c>
      <c r="J309" s="9" t="s">
        <v>486</v>
      </c>
      <c r="K309" s="17" t="str">
        <f>_xlfn.IFNA(VLOOKUP(C309, '[2]Unique HS'!$B$4:$J$999, 9, FALSE), "No")</f>
        <v>Yes</v>
      </c>
      <c r="L309" s="18">
        <f>VLOOKUP(C309, '[1]India EXIM'!$B$6:$C$580, 2, FALSE)</f>
        <v>2.3756191811999998E-2</v>
      </c>
      <c r="M309" s="11">
        <f>VLOOKUP(C309, '[1]China EXIM'!$B$6:$D$580, 3, FALSE)</f>
        <v>0.68045448207799997</v>
      </c>
      <c r="N309" s="6"/>
      <c r="O309" s="6"/>
      <c r="P309" s="6"/>
      <c r="Q309" s="10" t="s">
        <v>24</v>
      </c>
      <c r="R309" s="9" t="s">
        <v>22</v>
      </c>
      <c r="V309" s="1" t="s">
        <v>25</v>
      </c>
    </row>
    <row r="310" spans="2:23" ht="69.95" hidden="1">
      <c r="B310" s="6" t="str">
        <f>VLOOKUP(C310, [1]Definition!$D$5:$K$5665, 8, FALSE)</f>
        <v>Capital Goods</v>
      </c>
      <c r="C310" s="7">
        <v>901530</v>
      </c>
      <c r="D310" s="8" t="s">
        <v>856</v>
      </c>
      <c r="E310" s="8" t="s">
        <v>25</v>
      </c>
      <c r="F310" s="17" t="s">
        <v>19</v>
      </c>
      <c r="G310" s="8" t="s">
        <v>857</v>
      </c>
      <c r="H310" s="8" t="s">
        <v>858</v>
      </c>
      <c r="I310" s="9" t="s">
        <v>166</v>
      </c>
      <c r="J310" s="9" t="s">
        <v>167</v>
      </c>
      <c r="K310" s="17" t="str">
        <f>_xlfn.IFNA(VLOOKUP(C310, '[2]Unique HS'!$B$4:$J$999, 9, FALSE), "No")</f>
        <v>Yes</v>
      </c>
      <c r="L310" s="18">
        <f>VLOOKUP(C310, '[1]India EXIM'!$B$6:$C$580, 2, FALSE)</f>
        <v>7.9850400869999998E-3</v>
      </c>
      <c r="M310" s="11">
        <f>VLOOKUP(C310, '[1]China EXIM'!$B$6:$D$580, 3, FALSE)</f>
        <v>0.68045336077699992</v>
      </c>
      <c r="N310" s="6"/>
      <c r="O310" s="6"/>
      <c r="P310" s="6"/>
      <c r="Q310" s="10" t="s">
        <v>24</v>
      </c>
      <c r="R310" s="11" t="s">
        <v>168</v>
      </c>
      <c r="V310" s="1" t="s">
        <v>25</v>
      </c>
    </row>
    <row r="311" spans="2:23" ht="42" hidden="1">
      <c r="B311" s="6" t="str">
        <f>VLOOKUP(C311, [1]Definition!$D$5:$K$5665, 8, FALSE)</f>
        <v>Capital Goods</v>
      </c>
      <c r="C311" s="7">
        <v>901820</v>
      </c>
      <c r="D311" s="8" t="s">
        <v>703</v>
      </c>
      <c r="E311" s="8" t="s">
        <v>211</v>
      </c>
      <c r="F311" s="17" t="s">
        <v>119</v>
      </c>
      <c r="G311" s="8" t="s">
        <v>704</v>
      </c>
      <c r="H311" s="8" t="s">
        <v>705</v>
      </c>
      <c r="I311" s="9" t="s">
        <v>166</v>
      </c>
      <c r="J311" s="9" t="s">
        <v>570</v>
      </c>
      <c r="K311" s="17" t="str">
        <f>_xlfn.IFNA(VLOOKUP(C311, '[2]Unique HS'!$B$4:$J$999, 9, FALSE), "No")</f>
        <v>Yes</v>
      </c>
      <c r="L311" s="18">
        <f>VLOOKUP(C311, '[1]India EXIM'!$B$6:$C$580, 2, FALSE)</f>
        <v>1.7743136910000001E-3</v>
      </c>
      <c r="M311" s="11">
        <f>VLOOKUP(C311, '[1]China EXIM'!$B$6:$D$580, 3, FALSE)</f>
        <v>0.67993905700000001</v>
      </c>
      <c r="N311" s="6"/>
      <c r="O311" s="6"/>
      <c r="P311" s="6"/>
      <c r="Q311" s="10" t="s">
        <v>24</v>
      </c>
      <c r="R311" s="11" t="s">
        <v>70</v>
      </c>
      <c r="V311" s="1" t="s">
        <v>211</v>
      </c>
      <c r="W311" s="1" t="s">
        <v>542</v>
      </c>
    </row>
    <row r="312" spans="2:23" ht="27.95" hidden="1">
      <c r="B312" s="6" t="str">
        <f>VLOOKUP(C312, [1]Definition!$D$5:$K$5665, 8, FALSE)</f>
        <v>Capital Goods</v>
      </c>
      <c r="C312" s="7">
        <v>844010</v>
      </c>
      <c r="D312" s="8" t="s">
        <v>543</v>
      </c>
      <c r="E312" s="8" t="s">
        <v>25</v>
      </c>
      <c r="F312" s="17" t="s">
        <v>19</v>
      </c>
      <c r="G312" s="8"/>
      <c r="H312" s="8"/>
      <c r="I312" s="9" t="s">
        <v>180</v>
      </c>
      <c r="J312" s="9" t="s">
        <v>544</v>
      </c>
      <c r="K312" s="17" t="str">
        <f>_xlfn.IFNA(VLOOKUP(C312, '[2]Unique HS'!$B$4:$J$999, 9, FALSE), "No")</f>
        <v>No</v>
      </c>
      <c r="L312" s="18">
        <f>VLOOKUP(C312, '[1]India EXIM'!$B$6:$C$580, 2, FALSE)</f>
        <v>2.6268873905999999E-2</v>
      </c>
      <c r="M312" s="11">
        <f>VLOOKUP(C312, '[1]China EXIM'!$B$6:$D$580, 3, FALSE)</f>
        <v>0.67765983825199994</v>
      </c>
      <c r="N312" s="6"/>
      <c r="O312" s="6"/>
      <c r="P312" s="6"/>
      <c r="Q312" s="10" t="s">
        <v>24</v>
      </c>
      <c r="R312" s="11" t="s">
        <v>182</v>
      </c>
      <c r="V312" s="1" t="s">
        <v>25</v>
      </c>
    </row>
    <row r="313" spans="2:23" ht="42" hidden="1">
      <c r="B313" s="6" t="str">
        <f>VLOOKUP(C313, [1]Definition!$D$5:$K$5665, 8, FALSE)</f>
        <v>Capital Goods</v>
      </c>
      <c r="C313" s="7">
        <v>846223</v>
      </c>
      <c r="D313" s="8" t="s">
        <v>639</v>
      </c>
      <c r="E313" s="8" t="s">
        <v>25</v>
      </c>
      <c r="F313" s="17" t="s">
        <v>19</v>
      </c>
      <c r="G313" s="8"/>
      <c r="H313" s="8"/>
      <c r="I313" s="9" t="s">
        <v>65</v>
      </c>
      <c r="J313" s="9" t="s">
        <v>31</v>
      </c>
      <c r="K313" s="17" t="str">
        <f>_xlfn.IFNA(VLOOKUP(C313, '[2]Unique HS'!$B$4:$J$999, 9, FALSE), "No")</f>
        <v>No</v>
      </c>
      <c r="L313" s="18">
        <f>VLOOKUP(C313, '[1]India EXIM'!$B$6:$C$580, 2, FALSE)</f>
        <v>1.9475821181000001E-2</v>
      </c>
      <c r="M313" s="11">
        <f>VLOOKUP(C313, '[1]China EXIM'!$B$6:$D$580, 3, FALSE)</f>
        <v>1.0837698496050001</v>
      </c>
      <c r="N313" s="6"/>
      <c r="O313" s="6"/>
      <c r="P313" s="6"/>
      <c r="Q313" s="10" t="s">
        <v>24</v>
      </c>
      <c r="R313" s="9" t="s">
        <v>65</v>
      </c>
      <c r="V313" s="1" t="s">
        <v>25</v>
      </c>
    </row>
    <row r="314" spans="2:23" hidden="1">
      <c r="B314" s="6" t="str">
        <f>VLOOKUP(C314, [1]Definition!$D$5:$K$5665, 8, FALSE)</f>
        <v>Capital Goods</v>
      </c>
      <c r="C314" s="7">
        <v>851850</v>
      </c>
      <c r="D314" s="8" t="s">
        <v>399</v>
      </c>
      <c r="E314" s="8" t="s">
        <v>137</v>
      </c>
      <c r="F314" s="17" t="s">
        <v>27</v>
      </c>
      <c r="G314" s="8"/>
      <c r="H314" s="8"/>
      <c r="I314" s="9" t="s">
        <v>166</v>
      </c>
      <c r="J314" s="9" t="s">
        <v>201</v>
      </c>
      <c r="K314" s="17" t="str">
        <f>_xlfn.IFNA(VLOOKUP(C314, '[2]Unique HS'!$B$4:$J$999, 9, FALSE), "No")</f>
        <v>No</v>
      </c>
      <c r="L314" s="22">
        <f>VLOOKUP(C314, '[1]India EXIM'!$B$6:$C$580, 2, FALSE)</f>
        <v>4.6720521869000005E-2</v>
      </c>
      <c r="M314" s="11">
        <f>VLOOKUP(C314, '[1]China EXIM'!$B$6:$D$580, 3, FALSE)</f>
        <v>1.240999750217</v>
      </c>
      <c r="N314" s="6" t="s">
        <v>400</v>
      </c>
      <c r="O314" s="6"/>
      <c r="P314" s="6"/>
      <c r="Q314" s="10" t="s">
        <v>24</v>
      </c>
      <c r="R314" s="11" t="s">
        <v>390</v>
      </c>
      <c r="T314" s="1" t="s">
        <v>136</v>
      </c>
      <c r="V314" s="1" t="s">
        <v>137</v>
      </c>
    </row>
    <row r="315" spans="2:23" ht="42" hidden="1">
      <c r="B315" s="6" t="str">
        <f>VLOOKUP(C315, [1]Definition!$D$5:$K$5665, 8, FALSE)</f>
        <v>Capital Goods</v>
      </c>
      <c r="C315" s="7">
        <v>902410</v>
      </c>
      <c r="D315" s="8" t="s">
        <v>591</v>
      </c>
      <c r="E315" s="8" t="s">
        <v>25</v>
      </c>
      <c r="F315" s="17" t="s">
        <v>19</v>
      </c>
      <c r="G315" s="8"/>
      <c r="H315" s="8"/>
      <c r="I315" s="9" t="s">
        <v>82</v>
      </c>
      <c r="J315" s="9" t="s">
        <v>592</v>
      </c>
      <c r="K315" s="17" t="str">
        <f>_xlfn.IFNA(VLOOKUP(C315, '[2]Unique HS'!$B$4:$J$999, 9, FALSE), "No")</f>
        <v>Yes</v>
      </c>
      <c r="L315" s="18">
        <f>VLOOKUP(C315, '[1]India EXIM'!$B$6:$C$580, 2, FALSE)</f>
        <v>2.2885620214999999E-2</v>
      </c>
      <c r="M315" s="11">
        <f>VLOOKUP(C315, '[1]China EXIM'!$B$6:$D$580, 3, FALSE)</f>
        <v>0.67026651880700006</v>
      </c>
      <c r="N315" s="6"/>
      <c r="O315" s="6"/>
      <c r="P315" s="6"/>
      <c r="Q315" s="10" t="s">
        <v>24</v>
      </c>
      <c r="R315" s="9" t="s">
        <v>82</v>
      </c>
      <c r="V315" s="1" t="s">
        <v>25</v>
      </c>
    </row>
    <row r="316" spans="2:23" ht="27.95" hidden="1">
      <c r="B316" s="6" t="str">
        <f>VLOOKUP(C316, [1]Definition!$D$5:$K$5665, 8, FALSE)</f>
        <v>Capital Goods</v>
      </c>
      <c r="C316" s="7">
        <v>842630</v>
      </c>
      <c r="D316" s="8" t="s">
        <v>637</v>
      </c>
      <c r="E316" s="8" t="s">
        <v>25</v>
      </c>
      <c r="F316" s="17" t="s">
        <v>19</v>
      </c>
      <c r="G316" s="8"/>
      <c r="H316" s="8"/>
      <c r="I316" s="9" t="s">
        <v>58</v>
      </c>
      <c r="J316" s="9" t="s">
        <v>31</v>
      </c>
      <c r="K316" s="17" t="str">
        <f>_xlfn.IFNA(VLOOKUP(C316, '[2]Unique HS'!$B$4:$J$999, 9, FALSE), "No")</f>
        <v>No</v>
      </c>
      <c r="L316" s="18">
        <f>VLOOKUP(C316, '[1]India EXIM'!$B$6:$C$580, 2, FALSE)</f>
        <v>2.0068890871E-2</v>
      </c>
      <c r="M316" s="11">
        <f>VLOOKUP(C316, '[1]China EXIM'!$B$6:$D$580, 3, FALSE)</f>
        <v>0.66918608881899999</v>
      </c>
      <c r="N316" s="9" t="s">
        <v>80</v>
      </c>
      <c r="O316" s="9"/>
      <c r="P316" s="6"/>
      <c r="Q316" s="10" t="s">
        <v>24</v>
      </c>
      <c r="R316" s="9" t="s">
        <v>58</v>
      </c>
      <c r="V316" s="1" t="s">
        <v>25</v>
      </c>
    </row>
    <row r="317" spans="2:23" hidden="1">
      <c r="B317" s="6" t="str">
        <f>VLOOKUP(C317, [1]Definition!$D$5:$K$5665, 8, FALSE)</f>
        <v>Capital Goods</v>
      </c>
      <c r="C317" s="7">
        <v>844720</v>
      </c>
      <c r="D317" s="8" t="s">
        <v>368</v>
      </c>
      <c r="E317" s="8" t="s">
        <v>25</v>
      </c>
      <c r="F317" s="17" t="s">
        <v>19</v>
      </c>
      <c r="G317" s="8"/>
      <c r="H317" s="8"/>
      <c r="I317" s="9" t="s">
        <v>55</v>
      </c>
      <c r="J317" s="9" t="s">
        <v>56</v>
      </c>
      <c r="K317" s="17" t="str">
        <f>_xlfn.IFNA(VLOOKUP(C317, '[2]Unique HS'!$B$4:$J$999, 9, FALSE), "No")</f>
        <v>No</v>
      </c>
      <c r="L317" s="18">
        <f>VLOOKUP(C317, '[1]India EXIM'!$B$6:$C$580, 2, FALSE)</f>
        <v>5.3188586038000002E-2</v>
      </c>
      <c r="M317" s="11">
        <f>VLOOKUP(C317, '[1]China EXIM'!$B$6:$D$580, 3, FALSE)</f>
        <v>0.66717570651799996</v>
      </c>
      <c r="N317" s="6"/>
      <c r="O317" s="6"/>
      <c r="P317" s="6"/>
      <c r="Q317" s="10" t="s">
        <v>24</v>
      </c>
      <c r="R317" s="9" t="s">
        <v>55</v>
      </c>
      <c r="V317" s="1" t="s">
        <v>25</v>
      </c>
    </row>
    <row r="318" spans="2:23" hidden="1">
      <c r="B318" s="6" t="str">
        <f>VLOOKUP(C318, [1]Definition!$D$5:$K$5665, 8, FALSE)</f>
        <v>Capital Goods</v>
      </c>
      <c r="C318" s="7">
        <v>845140</v>
      </c>
      <c r="D318" s="8" t="s">
        <v>382</v>
      </c>
      <c r="E318" s="8" t="s">
        <v>25</v>
      </c>
      <c r="F318" s="17" t="s">
        <v>19</v>
      </c>
      <c r="G318" s="8"/>
      <c r="H318" s="8"/>
      <c r="I318" s="9" t="s">
        <v>55</v>
      </c>
      <c r="J318" s="9" t="s">
        <v>234</v>
      </c>
      <c r="K318" s="17" t="str">
        <f>_xlfn.IFNA(VLOOKUP(C318, '[2]Unique HS'!$B$4:$J$999, 9, FALSE), "No")</f>
        <v>No</v>
      </c>
      <c r="L318" s="18">
        <f>VLOOKUP(C318, '[1]India EXIM'!$B$6:$C$580, 2, FALSE)</f>
        <v>5.0547174006999998E-2</v>
      </c>
      <c r="M318" s="11">
        <f>VLOOKUP(C318, '[1]China EXIM'!$B$6:$D$580, 3, FALSE)</f>
        <v>0.66580091346000003</v>
      </c>
      <c r="N318" s="6"/>
      <c r="O318" s="6"/>
      <c r="P318" s="6"/>
      <c r="Q318" s="10" t="s">
        <v>24</v>
      </c>
      <c r="R318" s="9" t="s">
        <v>55</v>
      </c>
      <c r="V318" s="1" t="s">
        <v>25</v>
      </c>
    </row>
    <row r="319" spans="2:23" ht="27.95" hidden="1">
      <c r="B319" s="6" t="str">
        <f>VLOOKUP(C319, [1]Definition!$D$5:$K$5665, 8, FALSE)</f>
        <v>Capital Goods</v>
      </c>
      <c r="C319" s="7">
        <v>845969</v>
      </c>
      <c r="D319" s="8" t="s">
        <v>643</v>
      </c>
      <c r="E319" s="8" t="s">
        <v>25</v>
      </c>
      <c r="F319" s="17" t="s">
        <v>19</v>
      </c>
      <c r="G319" s="8"/>
      <c r="H319" s="8"/>
      <c r="I319" s="9" t="s">
        <v>65</v>
      </c>
      <c r="J319" s="9" t="s">
        <v>31</v>
      </c>
      <c r="K319" s="17" t="str">
        <f>_xlfn.IFNA(VLOOKUP(C319, '[2]Unique HS'!$B$4:$J$999, 9, FALSE), "No")</f>
        <v>No</v>
      </c>
      <c r="L319" s="18">
        <f>VLOOKUP(C319, '[1]India EXIM'!$B$6:$C$580, 2, FALSE)</f>
        <v>1.8598575374999999E-2</v>
      </c>
      <c r="M319" s="11">
        <f>VLOOKUP(C319, '[1]China EXIM'!$B$6:$D$580, 3, FALSE)</f>
        <v>0.30442855307300004</v>
      </c>
      <c r="N319" s="6"/>
      <c r="O319" s="6"/>
      <c r="P319" s="6"/>
      <c r="Q319" s="10" t="s">
        <v>24</v>
      </c>
      <c r="R319" s="9" t="s">
        <v>65</v>
      </c>
      <c r="V319" s="1" t="s">
        <v>25</v>
      </c>
    </row>
    <row r="320" spans="2:23" ht="56.1" hidden="1">
      <c r="B320" s="6" t="str">
        <f>VLOOKUP(C320, [1]Definition!$D$5:$K$5665, 8, FALSE)</f>
        <v>Capital Goods</v>
      </c>
      <c r="C320" s="15">
        <v>847010</v>
      </c>
      <c r="D320" s="16" t="s">
        <v>495</v>
      </c>
      <c r="E320" s="16" t="s">
        <v>137</v>
      </c>
      <c r="F320" s="17" t="s">
        <v>163</v>
      </c>
      <c r="G320" s="8"/>
      <c r="H320" s="8"/>
      <c r="I320" s="9" t="s">
        <v>496</v>
      </c>
      <c r="J320" s="9" t="s">
        <v>497</v>
      </c>
      <c r="K320" s="17" t="str">
        <f>_xlfn.IFNA(VLOOKUP(C320, '[2]Unique HS'!$B$4:$J$999, 9, FALSE), "No")</f>
        <v>Yes</v>
      </c>
      <c r="L320" s="18">
        <f>VLOOKUP(C320, '[1]India EXIM'!$B$6:$C$580, 2, FALSE)</f>
        <v>3.2107419157000001E-2</v>
      </c>
      <c r="M320" s="11">
        <f>VLOOKUP(C320, '[1]China EXIM'!$B$6:$D$580, 3, FALSE)</f>
        <v>0.66370427959799994</v>
      </c>
      <c r="N320" s="6"/>
      <c r="O320" s="6"/>
      <c r="P320" s="6"/>
      <c r="Q320" s="10" t="s">
        <v>24</v>
      </c>
      <c r="R320" s="9" t="s">
        <v>496</v>
      </c>
      <c r="T320" s="1" t="s">
        <v>136</v>
      </c>
      <c r="V320" s="1" t="s">
        <v>137</v>
      </c>
      <c r="W320" s="1" t="s">
        <v>349</v>
      </c>
    </row>
    <row r="321" spans="2:23" ht="42" hidden="1">
      <c r="B321" s="6" t="str">
        <f>VLOOKUP(C321, [1]Definition!$D$5:$K$5665, 8, FALSE)</f>
        <v>Capital Goods</v>
      </c>
      <c r="C321" s="15">
        <v>940210</v>
      </c>
      <c r="D321" s="16" t="s">
        <v>780</v>
      </c>
      <c r="E321" s="16" t="s">
        <v>137</v>
      </c>
      <c r="F321" s="17" t="s">
        <v>163</v>
      </c>
      <c r="G321" s="8"/>
      <c r="H321" s="8"/>
      <c r="I321" s="9" t="s">
        <v>496</v>
      </c>
      <c r="J321" s="9" t="s">
        <v>781</v>
      </c>
      <c r="K321" s="17" t="str">
        <f>_xlfn.IFNA(VLOOKUP(C321, '[2]Unique HS'!$B$4:$J$999, 9, FALSE), "No")</f>
        <v>Yes</v>
      </c>
      <c r="L321" s="18">
        <f>VLOOKUP(C321, '[1]India EXIM'!$B$6:$C$580, 2, FALSE)</f>
        <v>1.1074181006999998E-2</v>
      </c>
      <c r="M321" s="11">
        <f>VLOOKUP(C321, '[1]China EXIM'!$B$6:$D$580, 3, FALSE)</f>
        <v>0.65169036718100004</v>
      </c>
      <c r="N321" s="6"/>
      <c r="O321" s="6"/>
      <c r="P321" s="6"/>
      <c r="Q321" s="10" t="s">
        <v>24</v>
      </c>
      <c r="R321" s="9" t="s">
        <v>496</v>
      </c>
      <c r="T321" s="1" t="s">
        <v>136</v>
      </c>
      <c r="V321" s="1" t="s">
        <v>137</v>
      </c>
      <c r="W321" s="1" t="s">
        <v>349</v>
      </c>
    </row>
    <row r="322" spans="2:23" ht="27.95" hidden="1">
      <c r="B322" s="6" t="str">
        <f>VLOOKUP(C322, [1]Definition!$D$5:$K$5665, 8, FALSE)</f>
        <v>Capital Goods</v>
      </c>
      <c r="C322" s="7">
        <v>851920</v>
      </c>
      <c r="D322" s="8" t="s">
        <v>1112</v>
      </c>
      <c r="E322" s="8" t="s">
        <v>137</v>
      </c>
      <c r="F322" s="17" t="s">
        <v>27</v>
      </c>
      <c r="G322" s="8"/>
      <c r="H322" s="8"/>
      <c r="I322" s="9" t="s">
        <v>166</v>
      </c>
      <c r="J322" s="9" t="s">
        <v>201</v>
      </c>
      <c r="K322" s="17" t="str">
        <f>_xlfn.IFNA(VLOOKUP(C322, '[2]Unique HS'!$B$4:$J$999, 9, FALSE), "No")</f>
        <v>No</v>
      </c>
      <c r="L322" s="22">
        <f>VLOOKUP(C322, '[1]India EXIM'!$B$6:$C$580, 2, FALSE)</f>
        <v>1.0459309E-4</v>
      </c>
      <c r="M322" s="11">
        <f>VLOOKUP(C322, '[1]China EXIM'!$B$6:$D$580, 3, FALSE)</f>
        <v>3.6821353648000002E-2</v>
      </c>
      <c r="N322" s="6" t="s">
        <v>400</v>
      </c>
      <c r="O322" s="6"/>
      <c r="P322" s="6"/>
      <c r="Q322" s="10" t="s">
        <v>24</v>
      </c>
      <c r="R322" s="11" t="s">
        <v>390</v>
      </c>
      <c r="T322" s="1" t="s">
        <v>136</v>
      </c>
      <c r="V322" s="1" t="s">
        <v>137</v>
      </c>
    </row>
    <row r="323" spans="2:23" ht="27.95" hidden="1">
      <c r="B323" s="6" t="str">
        <f>VLOOKUP(C323, [1]Definition!$D$5:$K$5665, 8, FALSE)</f>
        <v>Capital Goods</v>
      </c>
      <c r="C323" s="7">
        <v>845522</v>
      </c>
      <c r="D323" s="8" t="s">
        <v>123</v>
      </c>
      <c r="E323" s="8" t="s">
        <v>25</v>
      </c>
      <c r="F323" s="17" t="s">
        <v>19</v>
      </c>
      <c r="G323" s="8"/>
      <c r="H323" s="8"/>
      <c r="I323" s="9" t="s">
        <v>82</v>
      </c>
      <c r="J323" s="9" t="s">
        <v>124</v>
      </c>
      <c r="K323" s="17" t="str">
        <f>_xlfn.IFNA(VLOOKUP(C323, '[2]Unique HS'!$B$4:$J$999, 9, FALSE), "No")</f>
        <v>No</v>
      </c>
      <c r="L323" s="18">
        <f>VLOOKUP(C323, '[1]India EXIM'!$B$6:$C$580, 2, FALSE)</f>
        <v>0.19598846997700001</v>
      </c>
      <c r="M323" s="11">
        <f>VLOOKUP(C323, '[1]China EXIM'!$B$6:$D$580, 3, FALSE)</f>
        <v>0.64496026407200002</v>
      </c>
      <c r="N323" s="6"/>
      <c r="O323" s="6"/>
      <c r="P323" s="6"/>
      <c r="Q323" s="10" t="s">
        <v>24</v>
      </c>
      <c r="R323" s="9" t="s">
        <v>82</v>
      </c>
      <c r="V323" s="1" t="s">
        <v>25</v>
      </c>
    </row>
    <row r="324" spans="2:23" ht="56.1" hidden="1">
      <c r="B324" s="6" t="str">
        <f>VLOOKUP(C324, [1]Definition!$D$5:$K$5665, 8, FALSE)</f>
        <v>Capital Goods</v>
      </c>
      <c r="C324" s="7">
        <v>846242</v>
      </c>
      <c r="D324" s="8" t="s">
        <v>644</v>
      </c>
      <c r="E324" s="8" t="s">
        <v>25</v>
      </c>
      <c r="F324" s="17" t="s">
        <v>19</v>
      </c>
      <c r="G324" s="8"/>
      <c r="H324" s="8"/>
      <c r="I324" s="9" t="s">
        <v>65</v>
      </c>
      <c r="J324" s="9" t="s">
        <v>31</v>
      </c>
      <c r="K324" s="17" t="str">
        <f>_xlfn.IFNA(VLOOKUP(C324, '[2]Unique HS'!$B$4:$J$999, 9, FALSE), "No")</f>
        <v>No</v>
      </c>
      <c r="L324" s="18">
        <f>VLOOKUP(C324, '[1]India EXIM'!$B$6:$C$580, 2, FALSE)</f>
        <v>1.855601497E-2</v>
      </c>
      <c r="M324" s="11">
        <f>VLOOKUP(C324, '[1]China EXIM'!$B$6:$D$580, 3, FALSE)</f>
        <v>1.0136742219500001</v>
      </c>
      <c r="N324" s="6"/>
      <c r="O324" s="6"/>
      <c r="P324" s="6"/>
      <c r="Q324" s="10" t="s">
        <v>24</v>
      </c>
      <c r="R324" s="9" t="s">
        <v>65</v>
      </c>
      <c r="V324" s="1" t="s">
        <v>25</v>
      </c>
    </row>
    <row r="325" spans="2:23" ht="27.95" hidden="1">
      <c r="B325" s="6" t="str">
        <f>VLOOKUP(C325, [1]Definition!$D$5:$K$5665, 8, FALSE)</f>
        <v>Capital Goods</v>
      </c>
      <c r="C325" s="7">
        <v>842612</v>
      </c>
      <c r="D325" s="8" t="s">
        <v>645</v>
      </c>
      <c r="E325" s="8" t="s">
        <v>25</v>
      </c>
      <c r="F325" s="17" t="s">
        <v>19</v>
      </c>
      <c r="G325" s="8"/>
      <c r="H325" s="8"/>
      <c r="I325" s="9" t="s">
        <v>58</v>
      </c>
      <c r="J325" s="9" t="s">
        <v>31</v>
      </c>
      <c r="K325" s="17" t="str">
        <f>_xlfn.IFNA(VLOOKUP(C325, '[2]Unique HS'!$B$4:$J$999, 9, FALSE), "No")</f>
        <v>No</v>
      </c>
      <c r="L325" s="18">
        <f>VLOOKUP(C325, '[1]India EXIM'!$B$6:$C$580, 2, FALSE)</f>
        <v>1.8546175695E-2</v>
      </c>
      <c r="M325" s="11">
        <f>VLOOKUP(C325, '[1]China EXIM'!$B$6:$D$580, 3, FALSE)</f>
        <v>0.63700656155099999</v>
      </c>
      <c r="N325" s="9" t="s">
        <v>80</v>
      </c>
      <c r="O325" s="9"/>
      <c r="P325" s="6"/>
      <c r="Q325" s="10" t="s">
        <v>24</v>
      </c>
      <c r="R325" s="9" t="s">
        <v>58</v>
      </c>
      <c r="V325" s="1" t="s">
        <v>25</v>
      </c>
    </row>
    <row r="326" spans="2:23" ht="42" hidden="1">
      <c r="B326" s="6" t="str">
        <f>VLOOKUP(C326, [1]Definition!$D$5:$K$5665, 8, FALSE)</f>
        <v>Capital Goods</v>
      </c>
      <c r="C326" s="7">
        <v>840410</v>
      </c>
      <c r="D326" s="8" t="s">
        <v>881</v>
      </c>
      <c r="E326" s="8" t="s">
        <v>25</v>
      </c>
      <c r="F326" s="17" t="s">
        <v>142</v>
      </c>
      <c r="G326" s="8"/>
      <c r="H326" s="8"/>
      <c r="I326" s="9" t="s">
        <v>30</v>
      </c>
      <c r="J326" s="9" t="s">
        <v>784</v>
      </c>
      <c r="K326" s="17" t="str">
        <f>_xlfn.IFNA(VLOOKUP(C326, '[2]Unique HS'!$B$4:$J$999, 9, FALSE), "No")</f>
        <v>No</v>
      </c>
      <c r="L326" s="18">
        <f>VLOOKUP(C326, '[1]India EXIM'!$B$6:$C$580, 2, FALSE)</f>
        <v>7.523214294E-3</v>
      </c>
      <c r="M326" s="11">
        <f>VLOOKUP(C326, '[1]China EXIM'!$B$6:$D$580, 3, FALSE)</f>
        <v>0.63232031817000001</v>
      </c>
      <c r="N326" s="9" t="s">
        <v>785</v>
      </c>
      <c r="O326" s="9"/>
      <c r="P326" s="6"/>
      <c r="Q326" s="10" t="s">
        <v>24</v>
      </c>
      <c r="R326" s="9" t="s">
        <v>30</v>
      </c>
      <c r="V326" s="1" t="s">
        <v>25</v>
      </c>
    </row>
    <row r="327" spans="2:23" ht="27.95" hidden="1">
      <c r="B327" s="6" t="str">
        <f>VLOOKUP(C327, [1]Definition!$D$5:$K$5665, 8, FALSE)</f>
        <v>Capital Goods</v>
      </c>
      <c r="C327" s="7">
        <v>845929</v>
      </c>
      <c r="D327" s="8" t="s">
        <v>647</v>
      </c>
      <c r="E327" s="8" t="s">
        <v>25</v>
      </c>
      <c r="F327" s="17" t="s">
        <v>19</v>
      </c>
      <c r="G327" s="8"/>
      <c r="H327" s="8"/>
      <c r="I327" s="9" t="s">
        <v>65</v>
      </c>
      <c r="J327" s="9" t="s">
        <v>31</v>
      </c>
      <c r="K327" s="17" t="str">
        <f>_xlfn.IFNA(VLOOKUP(C327, '[2]Unique HS'!$B$4:$J$999, 9, FALSE), "No")</f>
        <v>Yes</v>
      </c>
      <c r="L327" s="18">
        <f>VLOOKUP(C327, '[1]India EXIM'!$B$6:$C$580, 2, FALSE)</f>
        <v>1.8214169145E-2</v>
      </c>
      <c r="M327" s="11">
        <f>VLOOKUP(C327, '[1]China EXIM'!$B$6:$D$580, 3, FALSE)</f>
        <v>0.33413212411100002</v>
      </c>
      <c r="N327" s="6"/>
      <c r="O327" s="6"/>
      <c r="P327" s="6"/>
      <c r="Q327" s="10" t="s">
        <v>24</v>
      </c>
      <c r="R327" s="9" t="s">
        <v>65</v>
      </c>
      <c r="V327" s="1" t="s">
        <v>25</v>
      </c>
    </row>
    <row r="328" spans="2:23" ht="27.95">
      <c r="B328" s="6" t="str">
        <f>VLOOKUP(C328, [1]Definition!$D$5:$K$5665, 8, FALSE)</f>
        <v>Capital Goods</v>
      </c>
      <c r="C328" s="7">
        <v>843353</v>
      </c>
      <c r="D328" s="8" t="s">
        <v>737</v>
      </c>
      <c r="E328" s="8"/>
      <c r="F328" s="17" t="s">
        <v>1178</v>
      </c>
      <c r="G328" s="8" t="s">
        <v>738</v>
      </c>
      <c r="H328" s="8"/>
      <c r="I328" s="9" t="s">
        <v>22</v>
      </c>
      <c r="J328" s="9" t="s">
        <v>316</v>
      </c>
      <c r="K328" s="17" t="str">
        <f>_xlfn.IFNA(VLOOKUP(C328, '[2]Unique HS'!$B$4:$J$999, 9, FALSE), "No")</f>
        <v>No</v>
      </c>
      <c r="L328" s="18">
        <f>VLOOKUP(C328, '[1]India EXIM'!$B$6:$C$580, 2, FALSE)</f>
        <v>2.7115549099999996E-4</v>
      </c>
      <c r="M328" s="11">
        <f>VLOOKUP(C328, '[1]China EXIM'!$B$6:$D$580, 3, FALSE)</f>
        <v>0.62521515595499999</v>
      </c>
      <c r="N328" s="6" t="s">
        <v>160</v>
      </c>
      <c r="O328" s="6"/>
      <c r="P328" s="6"/>
      <c r="Q328" s="10" t="s">
        <v>24</v>
      </c>
      <c r="R328" s="11" t="s">
        <v>161</v>
      </c>
    </row>
    <row r="329" spans="2:23" ht="27.95" hidden="1">
      <c r="B329" s="6" t="str">
        <f>VLOOKUP(C329, [1]Definition!$D$5:$K$5665, 8, FALSE)</f>
        <v>Capital Goods</v>
      </c>
      <c r="C329" s="7">
        <v>846031</v>
      </c>
      <c r="D329" s="8" t="s">
        <v>648</v>
      </c>
      <c r="E329" s="8" t="s">
        <v>25</v>
      </c>
      <c r="F329" s="17" t="s">
        <v>19</v>
      </c>
      <c r="G329" s="8"/>
      <c r="H329" s="8"/>
      <c r="I329" s="9" t="s">
        <v>65</v>
      </c>
      <c r="J329" s="9" t="s">
        <v>31</v>
      </c>
      <c r="K329" s="17" t="str">
        <f>_xlfn.IFNA(VLOOKUP(C329, '[2]Unique HS'!$B$4:$J$999, 9, FALSE), "No")</f>
        <v>No</v>
      </c>
      <c r="L329" s="18">
        <f>VLOOKUP(C329, '[1]India EXIM'!$B$6:$C$580, 2, FALSE)</f>
        <v>1.8177315651999999E-2</v>
      </c>
      <c r="M329" s="11">
        <f>VLOOKUP(C329, '[1]China EXIM'!$B$6:$D$580, 3, FALSE)</f>
        <v>0.39964715150500002</v>
      </c>
      <c r="N329" s="6"/>
      <c r="O329" s="6"/>
      <c r="P329" s="6"/>
      <c r="Q329" s="10" t="s">
        <v>24</v>
      </c>
      <c r="R329" s="9" t="s">
        <v>65</v>
      </c>
      <c r="V329" s="1" t="s">
        <v>25</v>
      </c>
    </row>
    <row r="330" spans="2:23" ht="27.95" hidden="1">
      <c r="B330" s="6" t="str">
        <f>VLOOKUP(C330, [1]Definition!$D$5:$K$5665, 8, FALSE)</f>
        <v>Capital Goods</v>
      </c>
      <c r="C330" s="7">
        <v>843221</v>
      </c>
      <c r="D330" s="8" t="s">
        <v>1121</v>
      </c>
      <c r="E330" s="8" t="s">
        <v>25</v>
      </c>
      <c r="F330" s="17" t="s">
        <v>19</v>
      </c>
      <c r="G330" s="8"/>
      <c r="H330" s="8"/>
      <c r="I330" s="9" t="s">
        <v>58</v>
      </c>
      <c r="J330" s="9" t="s">
        <v>361</v>
      </c>
      <c r="K330" s="17" t="str">
        <f>_xlfn.IFNA(VLOOKUP(C330, '[2]Unique HS'!$B$4:$J$999, 9, FALSE), "No")</f>
        <v>No</v>
      </c>
      <c r="L330" s="18">
        <f>VLOOKUP(C330, '[1]India EXIM'!$B$6:$C$580, 2, FALSE)</f>
        <v>3.2536782999999997E-5</v>
      </c>
      <c r="M330" s="11">
        <f>VLOOKUP(C330, '[1]China EXIM'!$B$6:$D$580, 3, FALSE)</f>
        <v>0.62040193158699997</v>
      </c>
      <c r="N330" s="6" t="s">
        <v>160</v>
      </c>
      <c r="O330" s="6"/>
      <c r="P330" s="6"/>
      <c r="Q330" s="10" t="s">
        <v>24</v>
      </c>
      <c r="R330" s="9" t="s">
        <v>58</v>
      </c>
      <c r="V330" s="1" t="s">
        <v>25</v>
      </c>
    </row>
    <row r="331" spans="2:23" ht="27.95" hidden="1">
      <c r="B331" s="6" t="str">
        <f>VLOOKUP(C331, [1]Definition!$D$5:$K$5665, 8, FALSE)</f>
        <v>Capital Goods</v>
      </c>
      <c r="C331" s="7">
        <v>845720</v>
      </c>
      <c r="D331" s="8" t="s">
        <v>659</v>
      </c>
      <c r="E331" s="8" t="s">
        <v>25</v>
      </c>
      <c r="F331" s="17" t="s">
        <v>19</v>
      </c>
      <c r="G331" s="8"/>
      <c r="H331" s="8"/>
      <c r="I331" s="9" t="s">
        <v>65</v>
      </c>
      <c r="J331" s="9" t="s">
        <v>31</v>
      </c>
      <c r="K331" s="17" t="str">
        <f>_xlfn.IFNA(VLOOKUP(C331, '[2]Unique HS'!$B$4:$J$999, 9, FALSE), "No")</f>
        <v>No</v>
      </c>
      <c r="L331" s="18">
        <f>VLOOKUP(C331, '[1]India EXIM'!$B$6:$C$580, 2, FALSE)</f>
        <v>1.7629745007E-2</v>
      </c>
      <c r="M331" s="11">
        <f>VLOOKUP(C331, '[1]China EXIM'!$B$6:$D$580, 3, FALSE)</f>
        <v>6.0701960588000002E-2</v>
      </c>
      <c r="N331" s="6"/>
      <c r="O331" s="6"/>
      <c r="P331" s="6"/>
      <c r="Q331" s="10" t="s">
        <v>24</v>
      </c>
      <c r="R331" s="9" t="s">
        <v>65</v>
      </c>
      <c r="V331" s="1" t="s">
        <v>25</v>
      </c>
    </row>
    <row r="332" spans="2:23" ht="42" hidden="1">
      <c r="B332" s="6" t="str">
        <f>VLOOKUP(C332, [1]Definition!$D$5:$K$5665, 8, FALSE)</f>
        <v>Capital Goods</v>
      </c>
      <c r="C332" s="7">
        <v>851981</v>
      </c>
      <c r="D332" s="8" t="s">
        <v>1044</v>
      </c>
      <c r="E332" s="8" t="s">
        <v>137</v>
      </c>
      <c r="F332" s="17" t="s">
        <v>27</v>
      </c>
      <c r="G332" s="8"/>
      <c r="H332" s="8"/>
      <c r="I332" s="9" t="s">
        <v>166</v>
      </c>
      <c r="J332" s="9" t="s">
        <v>201</v>
      </c>
      <c r="K332" s="17" t="str">
        <f>_xlfn.IFNA(VLOOKUP(C332, '[2]Unique HS'!$B$4:$J$999, 9, FALSE), "No")</f>
        <v>No</v>
      </c>
      <c r="L332" s="22">
        <f>VLOOKUP(C332, '[1]India EXIM'!$B$6:$C$580, 2, FALSE)</f>
        <v>1.149817609E-3</v>
      </c>
      <c r="M332" s="11">
        <f>VLOOKUP(C332, '[1]China EXIM'!$B$6:$D$580, 3, FALSE)</f>
        <v>1.7990510376700002</v>
      </c>
      <c r="N332" s="6" t="s">
        <v>400</v>
      </c>
      <c r="O332" s="6"/>
      <c r="P332" s="6"/>
      <c r="Q332" s="10" t="s">
        <v>24</v>
      </c>
      <c r="R332" s="11" t="s">
        <v>390</v>
      </c>
      <c r="T332" s="1" t="s">
        <v>136</v>
      </c>
      <c r="V332" s="1" t="s">
        <v>137</v>
      </c>
    </row>
    <row r="333" spans="2:23" ht="27.95" hidden="1">
      <c r="B333" s="6" t="str">
        <f>VLOOKUP(C333, [1]Definition!$D$5:$K$5665, 8, FALSE)</f>
        <v>Capital Goods</v>
      </c>
      <c r="C333" s="7">
        <v>820231</v>
      </c>
      <c r="D333" s="8" t="s">
        <v>745</v>
      </c>
      <c r="E333" s="8" t="s">
        <v>211</v>
      </c>
      <c r="F333" s="17" t="s">
        <v>119</v>
      </c>
      <c r="G333" s="8" t="s">
        <v>1181</v>
      </c>
      <c r="H333" s="8" t="s">
        <v>1182</v>
      </c>
      <c r="I333" s="9" t="s">
        <v>65</v>
      </c>
      <c r="J333" s="9" t="s">
        <v>209</v>
      </c>
      <c r="K333" s="17" t="str">
        <f>_xlfn.IFNA(VLOOKUP(C333, '[2]Unique HS'!$B$4:$J$999, 9, FALSE), "No")</f>
        <v>No</v>
      </c>
      <c r="L333" s="18">
        <f>VLOOKUP(C333, '[1]India EXIM'!$B$6:$C$580, 2, FALSE)</f>
        <v>1.7495762100999998E-2</v>
      </c>
      <c r="M333" s="11">
        <f>VLOOKUP(C333, '[1]China EXIM'!$B$6:$D$580, 3, FALSE)</f>
        <v>0.56286728058400004</v>
      </c>
      <c r="N333" s="6" t="s">
        <v>210</v>
      </c>
      <c r="O333" s="6"/>
      <c r="P333" s="9"/>
      <c r="Q333" s="10" t="s">
        <v>24</v>
      </c>
      <c r="R333" s="11" t="s">
        <v>210</v>
      </c>
      <c r="V333" s="1" t="s">
        <v>211</v>
      </c>
    </row>
    <row r="334" spans="2:23" ht="56.1">
      <c r="B334" s="6" t="str">
        <f>VLOOKUP(C334, [1]Definition!$D$5:$K$5665, 8, FALSE)</f>
        <v>Capital Goods</v>
      </c>
      <c r="C334" s="15">
        <v>840510</v>
      </c>
      <c r="D334" s="16" t="s">
        <v>746</v>
      </c>
      <c r="E334" s="16" t="s">
        <v>211</v>
      </c>
      <c r="F334" s="17" t="s">
        <v>119</v>
      </c>
      <c r="G334" s="8" t="s">
        <v>747</v>
      </c>
      <c r="H334" s="8" t="s">
        <v>748</v>
      </c>
      <c r="I334" s="9" t="s">
        <v>22</v>
      </c>
      <c r="J334" s="9" t="s">
        <v>749</v>
      </c>
      <c r="K334" s="17" t="str">
        <f>_xlfn.IFNA(VLOOKUP(C334, '[2]Unique HS'!$B$4:$J$999, 9, FALSE), "No")</f>
        <v>Yes</v>
      </c>
      <c r="L334" s="18">
        <f>VLOOKUP(C334, '[1]India EXIM'!$B$6:$C$580, 2, FALSE)</f>
        <v>3.5147464731999999E-2</v>
      </c>
      <c r="M334" s="11">
        <f>VLOOKUP(C334, '[1]China EXIM'!$B$6:$D$580, 3, FALSE)</f>
        <v>0.60610802675600006</v>
      </c>
      <c r="N334" s="6" t="s">
        <v>201</v>
      </c>
      <c r="O334" s="6"/>
      <c r="P334" s="6"/>
      <c r="Q334" s="10" t="s">
        <v>24</v>
      </c>
      <c r="R334" s="9" t="s">
        <v>22</v>
      </c>
      <c r="V334" s="1" t="s">
        <v>211</v>
      </c>
      <c r="W334" s="1" t="s">
        <v>750</v>
      </c>
    </row>
    <row r="335" spans="2:23" ht="27.95" hidden="1">
      <c r="B335" s="6" t="str">
        <f>VLOOKUP(C335, [1]Definition!$D$5:$K$5665, 8, FALSE)</f>
        <v>Capital Goods</v>
      </c>
      <c r="C335" s="7">
        <v>851989</v>
      </c>
      <c r="D335" s="8" t="s">
        <v>717</v>
      </c>
      <c r="E335" s="8" t="s">
        <v>137</v>
      </c>
      <c r="F335" s="17" t="s">
        <v>27</v>
      </c>
      <c r="G335" s="8"/>
      <c r="H335" s="8"/>
      <c r="I335" s="9" t="s">
        <v>166</v>
      </c>
      <c r="J335" s="9" t="s">
        <v>201</v>
      </c>
      <c r="K335" s="17" t="str">
        <f>_xlfn.IFNA(VLOOKUP(C335, '[2]Unique HS'!$B$4:$J$999, 9, FALSE), "No")</f>
        <v>No</v>
      </c>
      <c r="L335" s="22">
        <f>VLOOKUP(C335, '[1]India EXIM'!$B$6:$C$580, 2, FALSE)</f>
        <v>1.4830510541E-2</v>
      </c>
      <c r="M335" s="11">
        <f>VLOOKUP(C335, '[1]China EXIM'!$B$6:$D$580, 3, FALSE)</f>
        <v>0.99957464538100005</v>
      </c>
      <c r="N335" s="6" t="s">
        <v>400</v>
      </c>
      <c r="O335" s="6"/>
      <c r="P335" s="6"/>
      <c r="Q335" s="10" t="s">
        <v>24</v>
      </c>
      <c r="R335" s="11" t="s">
        <v>390</v>
      </c>
      <c r="T335" s="1" t="s">
        <v>136</v>
      </c>
      <c r="V335" s="1" t="s">
        <v>137</v>
      </c>
    </row>
    <row r="336" spans="2:23" ht="27.95" hidden="1">
      <c r="B336" s="6" t="str">
        <f>VLOOKUP(C336, [1]Definition!$D$5:$K$5665, 8, FALSE)</f>
        <v>Capital Goods</v>
      </c>
      <c r="C336" s="7">
        <v>846012</v>
      </c>
      <c r="D336" s="8" t="s">
        <v>661</v>
      </c>
      <c r="E336" s="8" t="s">
        <v>25</v>
      </c>
      <c r="F336" s="17" t="s">
        <v>19</v>
      </c>
      <c r="G336" s="8"/>
      <c r="H336" s="8"/>
      <c r="I336" s="9" t="s">
        <v>65</v>
      </c>
      <c r="J336" s="9" t="s">
        <v>31</v>
      </c>
      <c r="K336" s="17" t="str">
        <f>_xlfn.IFNA(VLOOKUP(C336, '[2]Unique HS'!$B$4:$J$999, 9, FALSE), "No")</f>
        <v>No</v>
      </c>
      <c r="L336" s="18">
        <f>VLOOKUP(C336, '[1]India EXIM'!$B$6:$C$580, 2, FALSE)</f>
        <v>1.7226516718999999E-2</v>
      </c>
      <c r="M336" s="11">
        <f>VLOOKUP(C336, '[1]China EXIM'!$B$6:$D$580, 3, FALSE)</f>
        <v>0.44105261386299999</v>
      </c>
      <c r="N336" s="6"/>
      <c r="O336" s="6"/>
      <c r="P336" s="6"/>
      <c r="Q336" s="10" t="s">
        <v>24</v>
      </c>
      <c r="R336" s="9" t="s">
        <v>65</v>
      </c>
      <c r="V336" s="1" t="s">
        <v>25</v>
      </c>
    </row>
    <row r="337" spans="2:22" ht="27.95" hidden="1">
      <c r="B337" s="6" t="str">
        <f>VLOOKUP(C337, [1]Definition!$D$5:$K$5665, 8, FALSE)</f>
        <v>Capital Goods</v>
      </c>
      <c r="C337" s="7">
        <v>853010</v>
      </c>
      <c r="D337" s="8" t="s">
        <v>593</v>
      </c>
      <c r="E337" s="8" t="s">
        <v>137</v>
      </c>
      <c r="F337" s="17" t="s">
        <v>27</v>
      </c>
      <c r="G337" s="8"/>
      <c r="H337" s="8" t="s">
        <v>594</v>
      </c>
      <c r="I337" s="9" t="s">
        <v>166</v>
      </c>
      <c r="J337" s="9" t="s">
        <v>201</v>
      </c>
      <c r="K337" s="17" t="str">
        <f>_xlfn.IFNA(VLOOKUP(C337, '[2]Unique HS'!$B$4:$J$999, 9, FALSE), "No")</f>
        <v>No</v>
      </c>
      <c r="L337" s="22">
        <f>VLOOKUP(C337, '[1]India EXIM'!$B$6:$C$580, 2, FALSE)</f>
        <v>2.2789096136000001E-2</v>
      </c>
      <c r="M337" s="11">
        <f>VLOOKUP(C337, '[1]China EXIM'!$B$6:$D$580, 3, FALSE)</f>
        <v>0.67286980689199993</v>
      </c>
      <c r="N337" s="6" t="s">
        <v>389</v>
      </c>
      <c r="O337" s="6"/>
      <c r="P337" s="6"/>
      <c r="Q337" s="10" t="s">
        <v>24</v>
      </c>
      <c r="R337" s="11" t="s">
        <v>390</v>
      </c>
      <c r="T337" s="1" t="s">
        <v>136</v>
      </c>
      <c r="V337" s="1" t="s">
        <v>137</v>
      </c>
    </row>
    <row r="338" spans="2:22" ht="27.95" hidden="1">
      <c r="B338" s="6" t="str">
        <f>VLOOKUP(C338, [1]Definition!$D$5:$K$5665, 8, FALSE)</f>
        <v>Capital Goods</v>
      </c>
      <c r="C338" s="7">
        <v>841340</v>
      </c>
      <c r="D338" s="8" t="s">
        <v>816</v>
      </c>
      <c r="E338" s="8" t="s">
        <v>25</v>
      </c>
      <c r="F338" s="17" t="s">
        <v>19</v>
      </c>
      <c r="G338" s="8"/>
      <c r="H338" s="8"/>
      <c r="I338" s="9" t="s">
        <v>58</v>
      </c>
      <c r="J338" s="9" t="s">
        <v>817</v>
      </c>
      <c r="K338" s="17" t="str">
        <f>_xlfn.IFNA(VLOOKUP(C338, '[2]Unique HS'!$B$4:$J$999, 9, FALSE), "No")</f>
        <v>No</v>
      </c>
      <c r="L338" s="18">
        <f>VLOOKUP(C338, '[1]India EXIM'!$B$6:$C$580, 2, FALSE)</f>
        <v>9.5851393980000005E-3</v>
      </c>
      <c r="M338" s="11">
        <f>VLOOKUP(C338, '[1]China EXIM'!$B$6:$D$580, 3, FALSE)</f>
        <v>0.5957925747870001</v>
      </c>
      <c r="N338" s="6" t="s">
        <v>103</v>
      </c>
      <c r="O338" s="6"/>
      <c r="P338" s="6"/>
      <c r="Q338" s="10" t="s">
        <v>24</v>
      </c>
      <c r="R338" s="9" t="s">
        <v>22</v>
      </c>
      <c r="V338" s="1" t="s">
        <v>25</v>
      </c>
    </row>
    <row r="339" spans="2:22" ht="27.95" hidden="1">
      <c r="B339" s="6" t="str">
        <f>VLOOKUP(C339, [1]Definition!$D$5:$K$5665, 8, FALSE)</f>
        <v>Capital Goods</v>
      </c>
      <c r="C339" s="7">
        <v>843840</v>
      </c>
      <c r="D339" s="8" t="s">
        <v>1027</v>
      </c>
      <c r="E339" s="8" t="s">
        <v>25</v>
      </c>
      <c r="F339" s="17" t="s">
        <v>19</v>
      </c>
      <c r="G339" s="8"/>
      <c r="H339" s="8"/>
      <c r="I339" s="9" t="s">
        <v>61</v>
      </c>
      <c r="J339" s="9" t="s">
        <v>247</v>
      </c>
      <c r="K339" s="17" t="str">
        <f>_xlfn.IFNA(VLOOKUP(C339, '[2]Unique HS'!$B$4:$J$999, 9, FALSE), "No")</f>
        <v>No</v>
      </c>
      <c r="L339" s="18">
        <f>VLOOKUP(C339, '[1]India EXIM'!$B$6:$C$580, 2, FALSE)</f>
        <v>1.6458055539999999E-3</v>
      </c>
      <c r="M339" s="11">
        <f>VLOOKUP(C339, '[1]China EXIM'!$B$6:$D$580, 3, FALSE)</f>
        <v>0.59570659939999993</v>
      </c>
      <c r="N339" s="6"/>
      <c r="O339" s="6"/>
      <c r="P339" s="6"/>
      <c r="Q339" s="10" t="s">
        <v>24</v>
      </c>
      <c r="R339" s="9" t="s">
        <v>61</v>
      </c>
      <c r="V339" s="1" t="s">
        <v>25</v>
      </c>
    </row>
    <row r="340" spans="2:22" ht="27.95" hidden="1">
      <c r="B340" s="6" t="str">
        <f>VLOOKUP(C340, [1]Definition!$D$5:$K$5665, 8, FALSE)</f>
        <v>Capital Goods</v>
      </c>
      <c r="C340" s="7">
        <v>845521</v>
      </c>
      <c r="D340" s="8" t="s">
        <v>106</v>
      </c>
      <c r="E340" s="8" t="s">
        <v>25</v>
      </c>
      <c r="F340" s="17" t="s">
        <v>19</v>
      </c>
      <c r="G340" s="8"/>
      <c r="H340" s="8"/>
      <c r="I340" s="9" t="s">
        <v>82</v>
      </c>
      <c r="J340" s="9" t="s">
        <v>107</v>
      </c>
      <c r="K340" s="17" t="str">
        <f>_xlfn.IFNA(VLOOKUP(C340, '[2]Unique HS'!$B$4:$J$999, 9, FALSE), "No")</f>
        <v>No</v>
      </c>
      <c r="L340" s="18">
        <f>VLOOKUP(C340, '[1]India EXIM'!$B$6:$C$580, 2, FALSE)</f>
        <v>0.255416278035</v>
      </c>
      <c r="M340" s="11">
        <f>VLOOKUP(C340, '[1]China EXIM'!$B$6:$D$580, 3, FALSE)</f>
        <v>0.59172417046000003</v>
      </c>
      <c r="N340" s="6"/>
      <c r="O340" s="6"/>
      <c r="P340" s="6"/>
      <c r="Q340" s="10" t="s">
        <v>24</v>
      </c>
      <c r="R340" s="9" t="s">
        <v>82</v>
      </c>
      <c r="V340" s="1" t="s">
        <v>25</v>
      </c>
    </row>
    <row r="341" spans="2:22" ht="27.95" hidden="1">
      <c r="B341" s="6" t="str">
        <f>VLOOKUP(C341, [1]Definition!$D$5:$K$5665, 8, FALSE)</f>
        <v>Capital Goods</v>
      </c>
      <c r="C341" s="7">
        <v>846022</v>
      </c>
      <c r="D341" s="8" t="s">
        <v>674</v>
      </c>
      <c r="E341" s="8" t="s">
        <v>25</v>
      </c>
      <c r="F341" s="17" t="s">
        <v>19</v>
      </c>
      <c r="G341" s="8"/>
      <c r="H341" s="8"/>
      <c r="I341" s="9" t="s">
        <v>65</v>
      </c>
      <c r="J341" s="9" t="s">
        <v>31</v>
      </c>
      <c r="K341" s="17" t="str">
        <f>_xlfn.IFNA(VLOOKUP(C341, '[2]Unique HS'!$B$4:$J$999, 9, FALSE), "No")</f>
        <v>No</v>
      </c>
      <c r="L341" s="18">
        <f>VLOOKUP(C341, '[1]India EXIM'!$B$6:$C$580, 2, FALSE)</f>
        <v>1.6848597728E-2</v>
      </c>
      <c r="M341" s="11">
        <f>VLOOKUP(C341, '[1]China EXIM'!$B$6:$D$580, 3, FALSE)</f>
        <v>0.154975347584</v>
      </c>
      <c r="N341" s="6"/>
      <c r="O341" s="6"/>
      <c r="P341" s="6"/>
      <c r="Q341" s="10" t="s">
        <v>24</v>
      </c>
      <c r="R341" s="9" t="s">
        <v>65</v>
      </c>
      <c r="V341" s="1" t="s">
        <v>25</v>
      </c>
    </row>
    <row r="342" spans="2:22" ht="27.95" hidden="1">
      <c r="B342" s="6" t="str">
        <f>VLOOKUP(C342, [1]Definition!$D$5:$K$5665, 8, FALSE)</f>
        <v>Capital Goods</v>
      </c>
      <c r="C342" s="7">
        <v>846591</v>
      </c>
      <c r="D342" s="8" t="s">
        <v>681</v>
      </c>
      <c r="E342" s="8" t="s">
        <v>25</v>
      </c>
      <c r="F342" s="17" t="s">
        <v>19</v>
      </c>
      <c r="G342" s="8"/>
      <c r="H342" s="8"/>
      <c r="I342" s="9" t="s">
        <v>65</v>
      </c>
      <c r="J342" s="9" t="s">
        <v>31</v>
      </c>
      <c r="K342" s="17" t="str">
        <f>_xlfn.IFNA(VLOOKUP(C342, '[2]Unique HS'!$B$4:$J$999, 9, FALSE), "No")</f>
        <v>No</v>
      </c>
      <c r="L342" s="18">
        <f>VLOOKUP(C342, '[1]India EXIM'!$B$6:$C$580, 2, FALSE)</f>
        <v>1.6697005773000002E-2</v>
      </c>
      <c r="M342" s="11">
        <f>VLOOKUP(C342, '[1]China EXIM'!$B$6:$D$580, 3, FALSE)</f>
        <v>2.1957360485419999</v>
      </c>
      <c r="N342" s="6"/>
      <c r="O342" s="6"/>
      <c r="P342" s="6"/>
      <c r="Q342" s="10" t="s">
        <v>24</v>
      </c>
      <c r="R342" s="9" t="s">
        <v>65</v>
      </c>
      <c r="V342" s="1" t="s">
        <v>25</v>
      </c>
    </row>
    <row r="343" spans="2:22" ht="42" hidden="1">
      <c r="B343" s="6" t="str">
        <f>VLOOKUP(C343, [1]Definition!$D$5:$K$5665, 8, FALSE)</f>
        <v>Capital Goods</v>
      </c>
      <c r="C343" s="7">
        <v>853080</v>
      </c>
      <c r="D343" s="8" t="s">
        <v>387</v>
      </c>
      <c r="E343" s="8" t="s">
        <v>137</v>
      </c>
      <c r="F343" s="17" t="s">
        <v>27</v>
      </c>
      <c r="G343" s="8" t="s">
        <v>388</v>
      </c>
      <c r="H343" s="8"/>
      <c r="I343" s="9" t="s">
        <v>166</v>
      </c>
      <c r="J343" s="9" t="s">
        <v>201</v>
      </c>
      <c r="K343" s="17" t="str">
        <f>_xlfn.IFNA(VLOOKUP(C343, '[2]Unique HS'!$B$4:$J$999, 9, FALSE), "No")</f>
        <v>No</v>
      </c>
      <c r="L343" s="22">
        <f>VLOOKUP(C343, '[1]India EXIM'!$B$6:$C$580, 2, FALSE)</f>
        <v>4.7108055052000004E-2</v>
      </c>
      <c r="M343" s="11">
        <f>VLOOKUP(C343, '[1]China EXIM'!$B$6:$D$580, 3, FALSE)</f>
        <v>1.1502503842409999</v>
      </c>
      <c r="N343" s="6" t="s">
        <v>389</v>
      </c>
      <c r="O343" s="6"/>
      <c r="P343" s="6"/>
      <c r="Q343" s="10" t="s">
        <v>24</v>
      </c>
      <c r="R343" s="11" t="s">
        <v>390</v>
      </c>
      <c r="T343" s="1" t="s">
        <v>136</v>
      </c>
      <c r="V343" s="1" t="s">
        <v>137</v>
      </c>
    </row>
    <row r="344" spans="2:22" ht="27.95" hidden="1">
      <c r="B344" s="6" t="str">
        <f>VLOOKUP(C344, [1]Definition!$D$5:$K$5665, 8, FALSE)</f>
        <v>Capital Goods</v>
      </c>
      <c r="C344" s="7">
        <v>842840</v>
      </c>
      <c r="D344" s="8" t="s">
        <v>765</v>
      </c>
      <c r="E344" s="8"/>
      <c r="F344" s="17" t="s">
        <v>119</v>
      </c>
      <c r="G344" s="8"/>
      <c r="H344" s="8"/>
      <c r="I344" s="9" t="s">
        <v>58</v>
      </c>
      <c r="J344" s="9" t="s">
        <v>31</v>
      </c>
      <c r="K344" s="17" t="str">
        <f>_xlfn.IFNA(VLOOKUP(C344, '[2]Unique HS'!$B$4:$J$999, 9, FALSE), "No")</f>
        <v>No</v>
      </c>
      <c r="L344" s="18">
        <f>VLOOKUP(C344, '[1]India EXIM'!$B$6:$C$580, 2, FALSE)</f>
        <v>2.6543323905999998E-2</v>
      </c>
      <c r="M344" s="11">
        <f>VLOOKUP(C344, '[1]China EXIM'!$B$6:$D$580, 3, FALSE)</f>
        <v>0.57540366947099997</v>
      </c>
      <c r="N344" s="9" t="s">
        <v>155</v>
      </c>
      <c r="O344" s="9"/>
      <c r="P344" s="6"/>
      <c r="Q344" s="10" t="s">
        <v>24</v>
      </c>
      <c r="R344" s="9" t="s">
        <v>58</v>
      </c>
    </row>
    <row r="345" spans="2:22" ht="42" hidden="1">
      <c r="B345" s="6" t="str">
        <f>VLOOKUP(C345, [1]Definition!$D$5:$K$5665, 8, FALSE)</f>
        <v>Capital Goods</v>
      </c>
      <c r="C345" s="7">
        <v>847439</v>
      </c>
      <c r="D345" s="8" t="s">
        <v>622</v>
      </c>
      <c r="E345" s="8" t="s">
        <v>25</v>
      </c>
      <c r="F345" s="17" t="s">
        <v>19</v>
      </c>
      <c r="G345" s="8"/>
      <c r="H345" s="8"/>
      <c r="I345" s="9" t="s">
        <v>58</v>
      </c>
      <c r="J345" s="9" t="s">
        <v>623</v>
      </c>
      <c r="K345" s="17" t="str">
        <f>_xlfn.IFNA(VLOOKUP(C345, '[2]Unique HS'!$B$4:$J$999, 9, FALSE), "No")</f>
        <v>Yes</v>
      </c>
      <c r="L345" s="18">
        <f>VLOOKUP(C345, '[1]India EXIM'!$B$6:$C$580, 2, FALSE)</f>
        <v>2.1030613242E-2</v>
      </c>
      <c r="M345" s="11">
        <f>VLOOKUP(C345, '[1]China EXIM'!$B$6:$D$580, 3, FALSE)</f>
        <v>0.57140625548899993</v>
      </c>
      <c r="N345" s="6"/>
      <c r="O345" s="6"/>
      <c r="P345" s="6"/>
      <c r="Q345" s="10" t="s">
        <v>24</v>
      </c>
      <c r="R345" s="9" t="s">
        <v>58</v>
      </c>
      <c r="V345" s="1" t="s">
        <v>25</v>
      </c>
    </row>
    <row r="346" spans="2:22" ht="27.95" hidden="1">
      <c r="B346" s="6" t="str">
        <f>VLOOKUP(C346, [1]Definition!$D$5:$K$5665, 8, FALSE)</f>
        <v>Capital Goods</v>
      </c>
      <c r="C346" s="7">
        <v>843010</v>
      </c>
      <c r="D346" s="8" t="s">
        <v>767</v>
      </c>
      <c r="E346" s="8" t="s">
        <v>25</v>
      </c>
      <c r="F346" s="17" t="s">
        <v>19</v>
      </c>
      <c r="G346" s="8"/>
      <c r="H346" s="8"/>
      <c r="I346" s="9" t="s">
        <v>58</v>
      </c>
      <c r="J346" s="9" t="s">
        <v>31</v>
      </c>
      <c r="K346" s="17" t="str">
        <f>_xlfn.IFNA(VLOOKUP(C346, '[2]Unique HS'!$B$4:$J$999, 9, FALSE), "No")</f>
        <v>No</v>
      </c>
      <c r="L346" s="18">
        <f>VLOOKUP(C346, '[1]India EXIM'!$B$6:$C$580, 2, FALSE)</f>
        <v>1.1747595123E-2</v>
      </c>
      <c r="M346" s="11">
        <f>VLOOKUP(C346, '[1]China EXIM'!$B$6:$D$580, 3, FALSE)</f>
        <v>0.56993954137199998</v>
      </c>
      <c r="N346" s="9" t="s">
        <v>768</v>
      </c>
      <c r="O346" s="9"/>
      <c r="P346" s="6" t="s">
        <v>769</v>
      </c>
      <c r="Q346" s="10" t="s">
        <v>24</v>
      </c>
      <c r="R346" s="9" t="s">
        <v>58</v>
      </c>
      <c r="V346" s="1" t="s">
        <v>25</v>
      </c>
    </row>
    <row r="347" spans="2:22" ht="42" hidden="1">
      <c r="B347" s="6" t="str">
        <f>VLOOKUP(C347, [1]Definition!$D$5:$K$5665, 8, FALSE)</f>
        <v>Capital Goods</v>
      </c>
      <c r="C347" s="7">
        <v>853529</v>
      </c>
      <c r="D347" s="8" t="s">
        <v>634</v>
      </c>
      <c r="E347" s="8" t="s">
        <v>34</v>
      </c>
      <c r="F347" s="17" t="s">
        <v>205</v>
      </c>
      <c r="G347" s="8" t="s">
        <v>635</v>
      </c>
      <c r="H347" s="8" t="s">
        <v>171</v>
      </c>
      <c r="I347" s="9" t="s">
        <v>30</v>
      </c>
      <c r="J347" s="9" t="s">
        <v>201</v>
      </c>
      <c r="K347" s="17" t="str">
        <f>_xlfn.IFNA(VLOOKUP(C347, '[2]Unique HS'!$B$4:$J$999, 9, FALSE), "No")</f>
        <v>No</v>
      </c>
      <c r="L347" s="22">
        <f>VLOOKUP(C347, '[1]India EXIM'!$B$6:$C$580, 2, FALSE)</f>
        <v>2.0290498439E-2</v>
      </c>
      <c r="M347" s="11">
        <f>VLOOKUP(C347, '[1]China EXIM'!$B$6:$D$580, 3, FALSE)</f>
        <v>0.84946158776799996</v>
      </c>
      <c r="N347" s="6"/>
      <c r="O347" s="6"/>
      <c r="P347" s="6"/>
      <c r="Q347" s="10" t="s">
        <v>24</v>
      </c>
      <c r="R347" s="9" t="s">
        <v>30</v>
      </c>
      <c r="T347" s="1" t="s">
        <v>33</v>
      </c>
      <c r="V347" s="1" t="s">
        <v>34</v>
      </c>
    </row>
    <row r="348" spans="2:22" ht="56.1" hidden="1">
      <c r="B348" s="6" t="str">
        <f>VLOOKUP(C348, [1]Definition!$D$5:$K$5665, 8, FALSE)</f>
        <v>Capital Goods</v>
      </c>
      <c r="C348" s="7">
        <v>901600</v>
      </c>
      <c r="D348" s="8" t="s">
        <v>468</v>
      </c>
      <c r="E348" s="8" t="s">
        <v>25</v>
      </c>
      <c r="F348" s="17" t="s">
        <v>142</v>
      </c>
      <c r="G348" s="8" t="s">
        <v>469</v>
      </c>
      <c r="H348" s="8" t="s">
        <v>470</v>
      </c>
      <c r="I348" s="9" t="s">
        <v>166</v>
      </c>
      <c r="J348" s="9" t="s">
        <v>471</v>
      </c>
      <c r="K348" s="17" t="str">
        <f>_xlfn.IFNA(VLOOKUP(C348, '[2]Unique HS'!$B$4:$J$999, 9, FALSE), "No")</f>
        <v>Yes</v>
      </c>
      <c r="L348" s="18">
        <f>VLOOKUP(C348, '[1]India EXIM'!$B$6:$C$580, 2, FALSE)</f>
        <v>3.4679655512000002E-2</v>
      </c>
      <c r="M348" s="11">
        <f>VLOOKUP(C348, '[1]China EXIM'!$B$6:$D$580, 3, FALSE)</f>
        <v>0.55667217047899997</v>
      </c>
      <c r="N348" s="6"/>
      <c r="O348" s="6"/>
      <c r="P348" s="6"/>
      <c r="Q348" s="10" t="s">
        <v>24</v>
      </c>
      <c r="R348" s="11" t="s">
        <v>168</v>
      </c>
      <c r="V348" s="1" t="s">
        <v>25</v>
      </c>
    </row>
    <row r="349" spans="2:22" ht="42" hidden="1">
      <c r="B349" s="6" t="str">
        <f>VLOOKUP(C349, [1]Definition!$D$5:$K$5665, 8, FALSE)</f>
        <v>Capital Goods</v>
      </c>
      <c r="C349" s="7">
        <v>960610</v>
      </c>
      <c r="D349" s="8" t="s">
        <v>498</v>
      </c>
      <c r="E349" s="8" t="s">
        <v>34</v>
      </c>
      <c r="F349" s="17" t="s">
        <v>27</v>
      </c>
      <c r="G349" s="8" t="s">
        <v>499</v>
      </c>
      <c r="H349" s="8" t="s">
        <v>500</v>
      </c>
      <c r="I349" s="9" t="s">
        <v>166</v>
      </c>
      <c r="J349" s="9" t="s">
        <v>201</v>
      </c>
      <c r="K349" s="17" t="str">
        <f>_xlfn.IFNA(VLOOKUP(C349, '[2]Unique HS'!$B$4:$J$999, 9, FALSE), "No")</f>
        <v>Yes</v>
      </c>
      <c r="L349" s="18">
        <f>VLOOKUP(C349, '[1]India EXIM'!$B$6:$C$580, 2, FALSE)</f>
        <v>3.2039943272999999E-2</v>
      </c>
      <c r="M349" s="11">
        <f>VLOOKUP(C349, '[1]China EXIM'!$B$6:$D$580, 3, FALSE)</f>
        <v>0.55107627081700006</v>
      </c>
      <c r="N349" s="6"/>
      <c r="O349" s="6"/>
      <c r="P349" s="6"/>
      <c r="Q349" s="10" t="s">
        <v>24</v>
      </c>
      <c r="R349" s="11" t="s">
        <v>55</v>
      </c>
      <c r="V349" s="1" t="s">
        <v>34</v>
      </c>
    </row>
    <row r="350" spans="2:22" ht="42" hidden="1">
      <c r="B350" s="6" t="str">
        <f>VLOOKUP(C350, [1]Definition!$D$5:$K$5665, 8, FALSE)</f>
        <v>Capital Goods</v>
      </c>
      <c r="C350" s="7">
        <v>901841</v>
      </c>
      <c r="D350" s="8" t="s">
        <v>990</v>
      </c>
      <c r="E350" s="8" t="s">
        <v>137</v>
      </c>
      <c r="F350" s="17" t="s">
        <v>205</v>
      </c>
      <c r="G350" s="8"/>
      <c r="H350" s="8" t="s">
        <v>991</v>
      </c>
      <c r="I350" s="9" t="s">
        <v>166</v>
      </c>
      <c r="J350" s="9" t="s">
        <v>570</v>
      </c>
      <c r="K350" s="17" t="str">
        <f>_xlfn.IFNA(VLOOKUP(C350, '[2]Unique HS'!$B$4:$J$999, 9, FALSE), "No")</f>
        <v>No</v>
      </c>
      <c r="L350" s="18">
        <f>VLOOKUP(C350, '[1]India EXIM'!$B$6:$C$580, 2, FALSE)</f>
        <v>2.416273446E-3</v>
      </c>
      <c r="M350" s="11">
        <f>VLOOKUP(C350, '[1]China EXIM'!$B$6:$D$580, 3, FALSE)</f>
        <v>0.54737630934000003</v>
      </c>
      <c r="N350" s="6"/>
      <c r="O350" s="6"/>
      <c r="P350" s="6"/>
      <c r="Q350" s="10" t="s">
        <v>24</v>
      </c>
      <c r="R350" s="11" t="s">
        <v>70</v>
      </c>
      <c r="T350" s="1" t="s">
        <v>136</v>
      </c>
      <c r="V350" s="1" t="s">
        <v>137</v>
      </c>
    </row>
    <row r="351" spans="2:22" ht="27.95" hidden="1">
      <c r="B351" s="6" t="str">
        <f>VLOOKUP(C351, [1]Definition!$D$5:$K$5665, 8, FALSE)</f>
        <v>Capital Goods</v>
      </c>
      <c r="C351" s="7">
        <v>847621</v>
      </c>
      <c r="D351" s="8" t="s">
        <v>1021</v>
      </c>
      <c r="E351" s="8" t="s">
        <v>25</v>
      </c>
      <c r="F351" s="17" t="s">
        <v>19</v>
      </c>
      <c r="G351" s="8"/>
      <c r="H351" s="8"/>
      <c r="I351" s="9" t="s">
        <v>61</v>
      </c>
      <c r="J351" s="9" t="s">
        <v>38</v>
      </c>
      <c r="K351" s="17" t="str">
        <f>_xlfn.IFNA(VLOOKUP(C351, '[2]Unique HS'!$B$4:$J$999, 9, FALSE), "No")</f>
        <v>No</v>
      </c>
      <c r="L351" s="18">
        <f>VLOOKUP(C351, '[1]India EXIM'!$B$6:$C$580, 2, FALSE)</f>
        <v>1.7461058789999999E-3</v>
      </c>
      <c r="M351" s="11">
        <f>VLOOKUP(C351, '[1]China EXIM'!$B$6:$D$580, 3, FALSE)</f>
        <v>0.5438157708689999</v>
      </c>
      <c r="N351" s="6"/>
      <c r="O351" s="6"/>
      <c r="P351" s="6"/>
      <c r="Q351" s="10" t="s">
        <v>24</v>
      </c>
      <c r="R351" s="9" t="s">
        <v>61</v>
      </c>
      <c r="V351" s="1" t="s">
        <v>25</v>
      </c>
    </row>
    <row r="352" spans="2:22" ht="27.95" hidden="1">
      <c r="B352" s="6" t="str">
        <f>VLOOKUP(C352, [1]Definition!$D$5:$K$5665, 8, FALSE)</f>
        <v>Capital Goods</v>
      </c>
      <c r="C352" s="7">
        <v>843420</v>
      </c>
      <c r="D352" s="8" t="s">
        <v>653</v>
      </c>
      <c r="E352" s="8" t="s">
        <v>25</v>
      </c>
      <c r="F352" s="17" t="s">
        <v>19</v>
      </c>
      <c r="G352" s="8"/>
      <c r="H352" s="8"/>
      <c r="I352" s="9" t="s">
        <v>61</v>
      </c>
      <c r="J352" s="9" t="s">
        <v>632</v>
      </c>
      <c r="K352" s="17" t="str">
        <f>_xlfn.IFNA(VLOOKUP(C352, '[2]Unique HS'!$B$4:$J$999, 9, FALSE), "No")</f>
        <v>No</v>
      </c>
      <c r="L352" s="18">
        <f>VLOOKUP(C352, '[1]India EXIM'!$B$6:$C$580, 2, FALSE)</f>
        <v>1.812502719E-2</v>
      </c>
      <c r="M352" s="11">
        <f>VLOOKUP(C352, '[1]China EXIM'!$B$6:$D$580, 3, FALSE)</f>
        <v>0.54070258566700002</v>
      </c>
      <c r="N352" s="6"/>
      <c r="O352" s="6"/>
      <c r="P352" s="6"/>
      <c r="Q352" s="10" t="s">
        <v>24</v>
      </c>
      <c r="R352" s="9" t="s">
        <v>61</v>
      </c>
      <c r="V352" s="1" t="s">
        <v>25</v>
      </c>
    </row>
    <row r="353" spans="2:22" ht="27.95" hidden="1">
      <c r="B353" s="6" t="str">
        <f>VLOOKUP(C353, [1]Definition!$D$5:$K$5665, 8, FALSE)</f>
        <v>Capital Goods</v>
      </c>
      <c r="C353" s="7">
        <v>844712</v>
      </c>
      <c r="D353" s="8" t="s">
        <v>338</v>
      </c>
      <c r="E353" s="8" t="s">
        <v>25</v>
      </c>
      <c r="F353" s="17" t="s">
        <v>19</v>
      </c>
      <c r="G353" s="8"/>
      <c r="H353" s="8"/>
      <c r="I353" s="9" t="s">
        <v>55</v>
      </c>
      <c r="J353" s="9" t="s">
        <v>56</v>
      </c>
      <c r="K353" s="17" t="str">
        <f>_xlfn.IFNA(VLOOKUP(C353, '[2]Unique HS'!$B$4:$J$999, 9, FALSE), "No")</f>
        <v>No</v>
      </c>
      <c r="L353" s="18">
        <f>VLOOKUP(C353, '[1]India EXIM'!$B$6:$C$580, 2, FALSE)</f>
        <v>6.2082175198000002E-2</v>
      </c>
      <c r="M353" s="11">
        <f>VLOOKUP(C353, '[1]China EXIM'!$B$6:$D$580, 3, FALSE)</f>
        <v>0.54010465475800007</v>
      </c>
      <c r="N353" s="6"/>
      <c r="O353" s="6"/>
      <c r="P353" s="6"/>
      <c r="Q353" s="10" t="s">
        <v>24</v>
      </c>
      <c r="R353" s="9" t="s">
        <v>55</v>
      </c>
      <c r="V353" s="1" t="s">
        <v>25</v>
      </c>
    </row>
    <row r="354" spans="2:22" ht="27.95" hidden="1">
      <c r="B354" s="6" t="str">
        <f>VLOOKUP(C354, [1]Definition!$D$5:$K$5665, 8, FALSE)</f>
        <v>Capital Goods</v>
      </c>
      <c r="C354" s="7">
        <v>820110</v>
      </c>
      <c r="D354" s="8" t="s">
        <v>908</v>
      </c>
      <c r="E354" s="8" t="s">
        <v>25</v>
      </c>
      <c r="F354" s="17" t="s">
        <v>19</v>
      </c>
      <c r="G354" s="8"/>
      <c r="H354" s="8"/>
      <c r="I354" s="9" t="s">
        <v>58</v>
      </c>
      <c r="J354" s="9" t="s">
        <v>909</v>
      </c>
      <c r="K354" s="17" t="str">
        <f>_xlfn.IFNA(VLOOKUP(C354, '[2]Unique HS'!$B$4:$J$999, 9, FALSE), "No")</f>
        <v>No</v>
      </c>
      <c r="L354" s="18">
        <f>VLOOKUP(C354, '[1]India EXIM'!$B$6:$C$580, 2, FALSE)</f>
        <v>5.6399013640000004E-3</v>
      </c>
      <c r="M354" s="11">
        <f>VLOOKUP(C354, '[1]China EXIM'!$B$6:$D$580, 3, FALSE)</f>
        <v>0.53924147599799999</v>
      </c>
      <c r="N354" s="6" t="s">
        <v>210</v>
      </c>
      <c r="O354" s="6"/>
      <c r="P354" s="9"/>
      <c r="Q354" s="10" t="s">
        <v>24</v>
      </c>
      <c r="R354" s="11" t="s">
        <v>210</v>
      </c>
      <c r="V354" s="1" t="s">
        <v>25</v>
      </c>
    </row>
    <row r="355" spans="2:22" ht="27.95" hidden="1">
      <c r="B355" s="6" t="str">
        <f>VLOOKUP(C355, [1]Definition!$D$5:$K$5665, 8, FALSE)</f>
        <v>Capital Goods</v>
      </c>
      <c r="C355" s="7">
        <v>850434</v>
      </c>
      <c r="D355" s="8" t="s">
        <v>513</v>
      </c>
      <c r="E355" s="8" t="s">
        <v>34</v>
      </c>
      <c r="F355" s="17" t="s">
        <v>27</v>
      </c>
      <c r="G355" s="8" t="s">
        <v>514</v>
      </c>
      <c r="H355" s="8" t="s">
        <v>515</v>
      </c>
      <c r="I355" s="9" t="s">
        <v>30</v>
      </c>
      <c r="J355" s="9" t="s">
        <v>31</v>
      </c>
      <c r="K355" s="17" t="str">
        <f>_xlfn.IFNA(VLOOKUP(C355, '[2]Unique HS'!$B$4:$J$999, 9, FALSE), "No")</f>
        <v>Yes</v>
      </c>
      <c r="L355" s="22">
        <f>VLOOKUP(C355, '[1]India EXIM'!$B$6:$C$580, 2, FALSE)</f>
        <v>2.9582884556000003E-2</v>
      </c>
      <c r="M355" s="11">
        <f>VLOOKUP(C355, '[1]China EXIM'!$B$6:$D$580, 3, FALSE)</f>
        <v>1.8455879194930001</v>
      </c>
      <c r="N355" s="6" t="s">
        <v>32</v>
      </c>
      <c r="O355" s="6"/>
      <c r="P355" s="6"/>
      <c r="Q355" s="10" t="s">
        <v>24</v>
      </c>
      <c r="R355" s="9" t="s">
        <v>30</v>
      </c>
      <c r="T355" s="1" t="s">
        <v>136</v>
      </c>
      <c r="V355" s="1" t="s">
        <v>34</v>
      </c>
    </row>
    <row r="356" spans="2:22" ht="56.1">
      <c r="B356" s="6" t="str">
        <f>VLOOKUP(C356, [1]Definition!$D$5:$K$5665, 8, FALSE)</f>
        <v>Capital Goods</v>
      </c>
      <c r="C356" s="7">
        <v>761210</v>
      </c>
      <c r="D356" s="8" t="s">
        <v>700</v>
      </c>
      <c r="E356" s="8" t="s">
        <v>34</v>
      </c>
      <c r="F356" s="17" t="s">
        <v>205</v>
      </c>
      <c r="G356" s="8" t="s">
        <v>701</v>
      </c>
      <c r="H356" s="8"/>
      <c r="I356" s="9" t="s">
        <v>22</v>
      </c>
      <c r="J356" s="9" t="s">
        <v>528</v>
      </c>
      <c r="K356" s="17" t="str">
        <f>_xlfn.IFNA(VLOOKUP(C356, '[2]Unique HS'!$B$4:$J$999, 9, FALSE), "No")</f>
        <v>No</v>
      </c>
      <c r="L356" s="18">
        <f>VLOOKUP(C356, '[1]India EXIM'!$B$6:$C$580, 2, FALSE)</f>
        <v>1.5895091016E-2</v>
      </c>
      <c r="M356" s="11">
        <f>VLOOKUP(C356, '[1]China EXIM'!$B$6:$D$580, 3, FALSE)</f>
        <v>0.534309518845</v>
      </c>
      <c r="N356" s="6" t="s">
        <v>201</v>
      </c>
      <c r="O356" s="6"/>
      <c r="P356" s="9"/>
      <c r="Q356" s="10" t="s">
        <v>24</v>
      </c>
      <c r="R356" s="9" t="s">
        <v>22</v>
      </c>
      <c r="V356" s="1" t="s">
        <v>34</v>
      </c>
    </row>
    <row r="357" spans="2:22" ht="27.95" hidden="1">
      <c r="B357" s="6" t="str">
        <f>VLOOKUP(C357, [1]Definition!$D$5:$K$5665, 8, FALSE)</f>
        <v>Capital Goods</v>
      </c>
      <c r="C357" s="7">
        <v>843039</v>
      </c>
      <c r="D357" s="8" t="s">
        <v>885</v>
      </c>
      <c r="E357" s="8" t="s">
        <v>25</v>
      </c>
      <c r="F357" s="17" t="s">
        <v>19</v>
      </c>
      <c r="G357" s="8"/>
      <c r="H357" s="8"/>
      <c r="I357" s="9" t="s">
        <v>58</v>
      </c>
      <c r="J357" s="9" t="s">
        <v>31</v>
      </c>
      <c r="K357" s="17" t="str">
        <f>_xlfn.IFNA(VLOOKUP(C357, '[2]Unique HS'!$B$4:$J$999, 9, FALSE), "No")</f>
        <v>No</v>
      </c>
      <c r="L357" s="18">
        <f>VLOOKUP(C357, '[1]India EXIM'!$B$6:$C$580, 2, FALSE)</f>
        <v>7.1597729280000006E-3</v>
      </c>
      <c r="M357" s="11">
        <f>VLOOKUP(C357, '[1]China EXIM'!$B$6:$D$580, 3, FALSE)</f>
        <v>0.53373622704099999</v>
      </c>
      <c r="N357" s="9" t="s">
        <v>117</v>
      </c>
      <c r="O357" s="9"/>
      <c r="P357" s="6"/>
      <c r="Q357" s="10" t="s">
        <v>24</v>
      </c>
      <c r="R357" s="9" t="s">
        <v>58</v>
      </c>
      <c r="V357" s="1" t="s">
        <v>25</v>
      </c>
    </row>
    <row r="358" spans="2:22" ht="56.1" hidden="1">
      <c r="B358" s="6" t="str">
        <f>VLOOKUP(C358, [1]Definition!$D$5:$K$5665, 8, FALSE)</f>
        <v>Capital Goods</v>
      </c>
      <c r="C358" s="7">
        <v>820411</v>
      </c>
      <c r="D358" s="8" t="s">
        <v>689</v>
      </c>
      <c r="E358" s="8" t="s">
        <v>25</v>
      </c>
      <c r="F358" s="17" t="s">
        <v>19</v>
      </c>
      <c r="G358" s="8"/>
      <c r="H358" s="8"/>
      <c r="I358" s="9" t="s">
        <v>65</v>
      </c>
      <c r="J358" s="9" t="s">
        <v>690</v>
      </c>
      <c r="K358" s="17" t="str">
        <f>_xlfn.IFNA(VLOOKUP(C358, '[2]Unique HS'!$B$4:$J$999, 9, FALSE), "No")</f>
        <v>Yes</v>
      </c>
      <c r="L358" s="18">
        <f>VLOOKUP(C358, '[1]India EXIM'!$B$6:$C$580, 2, FALSE)</f>
        <v>1.6606013154E-2</v>
      </c>
      <c r="M358" s="11">
        <f>VLOOKUP(C358, '[1]China EXIM'!$B$6:$D$580, 3, FALSE)</f>
        <v>1.788504010017</v>
      </c>
      <c r="N358" s="6" t="s">
        <v>210</v>
      </c>
      <c r="O358" s="6"/>
      <c r="P358" s="9"/>
      <c r="Q358" s="10" t="s">
        <v>24</v>
      </c>
      <c r="R358" s="11" t="s">
        <v>210</v>
      </c>
      <c r="V358" s="1" t="s">
        <v>25</v>
      </c>
    </row>
    <row r="359" spans="2:22" ht="42" hidden="1">
      <c r="B359" s="6" t="str">
        <f>VLOOKUP(C359, [1]Definition!$D$5:$K$5665, 8, FALSE)</f>
        <v>Capital Goods</v>
      </c>
      <c r="C359" s="7">
        <v>851420</v>
      </c>
      <c r="D359" s="8" t="s">
        <v>676</v>
      </c>
      <c r="E359" s="8" t="s">
        <v>25</v>
      </c>
      <c r="F359" s="17" t="s">
        <v>19</v>
      </c>
      <c r="G359" s="8"/>
      <c r="H359" s="8"/>
      <c r="I359" s="9" t="s">
        <v>82</v>
      </c>
      <c r="J359" s="9" t="s">
        <v>677</v>
      </c>
      <c r="K359" s="17" t="str">
        <f>_xlfn.IFNA(VLOOKUP(C359, '[2]Unique HS'!$B$4:$J$999, 9, FALSE), "No")</f>
        <v>No</v>
      </c>
      <c r="L359" s="18">
        <f>VLOOKUP(C359, '[1]India EXIM'!$B$6:$C$580, 2, FALSE)</f>
        <v>1.6811100624999999E-2</v>
      </c>
      <c r="M359" s="11">
        <f>VLOOKUP(C359, '[1]China EXIM'!$B$6:$D$580, 3, FALSE)</f>
        <v>0.52533891815199996</v>
      </c>
      <c r="N359" s="9" t="s">
        <v>439</v>
      </c>
      <c r="O359" s="9"/>
      <c r="P359" s="9" t="s">
        <v>678</v>
      </c>
      <c r="Q359" s="10" t="s">
        <v>24</v>
      </c>
      <c r="R359" s="9" t="s">
        <v>82</v>
      </c>
      <c r="V359" s="1" t="s">
        <v>25</v>
      </c>
    </row>
    <row r="360" spans="2:22" ht="42" hidden="1">
      <c r="B360" s="6" t="str">
        <f>VLOOKUP(C360, [1]Definition!$D$5:$K$5665, 8, FALSE)</f>
        <v>Capital Goods</v>
      </c>
      <c r="C360" s="7">
        <v>846593</v>
      </c>
      <c r="D360" s="8" t="s">
        <v>698</v>
      </c>
      <c r="E360" s="8" t="s">
        <v>25</v>
      </c>
      <c r="F360" s="17" t="s">
        <v>19</v>
      </c>
      <c r="G360" s="8"/>
      <c r="H360" s="8"/>
      <c r="I360" s="9" t="s">
        <v>65</v>
      </c>
      <c r="J360" s="9" t="s">
        <v>31</v>
      </c>
      <c r="K360" s="17" t="str">
        <f>_xlfn.IFNA(VLOOKUP(C360, '[2]Unique HS'!$B$4:$J$999, 9, FALSE), "No")</f>
        <v>Yes</v>
      </c>
      <c r="L360" s="18">
        <f>VLOOKUP(C360, '[1]India EXIM'!$B$6:$C$580, 2, FALSE)</f>
        <v>1.6090745842000001E-2</v>
      </c>
      <c r="M360" s="11">
        <f>VLOOKUP(C360, '[1]China EXIM'!$B$6:$D$580, 3, FALSE)</f>
        <v>0.46200377844099999</v>
      </c>
      <c r="N360" s="6"/>
      <c r="O360" s="6"/>
      <c r="P360" s="6"/>
      <c r="Q360" s="10" t="s">
        <v>24</v>
      </c>
      <c r="R360" s="9" t="s">
        <v>65</v>
      </c>
      <c r="V360" s="1" t="s">
        <v>25</v>
      </c>
    </row>
    <row r="361" spans="2:22" ht="27.95" hidden="1">
      <c r="B361" s="6" t="str">
        <f>VLOOKUP(C361, [1]Definition!$D$5:$K$5665, 8, FALSE)</f>
        <v>Capital Goods</v>
      </c>
      <c r="C361" s="7">
        <v>820420</v>
      </c>
      <c r="D361" s="8" t="s">
        <v>706</v>
      </c>
      <c r="E361" s="8" t="s">
        <v>25</v>
      </c>
      <c r="F361" s="17" t="s">
        <v>19</v>
      </c>
      <c r="G361" s="8"/>
      <c r="H361" s="8"/>
      <c r="I361" s="9" t="s">
        <v>65</v>
      </c>
      <c r="J361" s="9" t="s">
        <v>707</v>
      </c>
      <c r="K361" s="17" t="str">
        <f>_xlfn.IFNA(VLOOKUP(C361, '[2]Unique HS'!$B$4:$J$999, 9, FALSE), "No")</f>
        <v>Yes</v>
      </c>
      <c r="L361" s="18">
        <f>VLOOKUP(C361, '[1]India EXIM'!$B$6:$C$580, 2, FALSE)</f>
        <v>1.554721631E-2</v>
      </c>
      <c r="M361" s="11">
        <f>VLOOKUP(C361, '[1]China EXIM'!$B$6:$D$580, 3, FALSE)</f>
        <v>1.39476596898</v>
      </c>
      <c r="N361" s="6" t="s">
        <v>210</v>
      </c>
      <c r="O361" s="6"/>
      <c r="P361" s="9"/>
      <c r="Q361" s="10" t="s">
        <v>24</v>
      </c>
      <c r="R361" s="11" t="s">
        <v>210</v>
      </c>
      <c r="V361" s="1" t="s">
        <v>25</v>
      </c>
    </row>
    <row r="362" spans="2:22" ht="27.95" hidden="1">
      <c r="B362" s="6" t="str">
        <f>VLOOKUP(C362, [1]Definition!$D$5:$K$5665, 8, FALSE)</f>
        <v>Capital Goods</v>
      </c>
      <c r="C362" s="7">
        <v>846719</v>
      </c>
      <c r="D362" s="8" t="s">
        <v>718</v>
      </c>
      <c r="E362" s="8" t="s">
        <v>25</v>
      </c>
      <c r="F362" s="17" t="s">
        <v>19</v>
      </c>
      <c r="G362" s="8"/>
      <c r="H362" s="8"/>
      <c r="I362" s="9" t="s">
        <v>65</v>
      </c>
      <c r="J362" s="9" t="s">
        <v>31</v>
      </c>
      <c r="K362" s="17" t="str">
        <f>_xlfn.IFNA(VLOOKUP(C362, '[2]Unique HS'!$B$4:$J$999, 9, FALSE), "No")</f>
        <v>Yes</v>
      </c>
      <c r="L362" s="18">
        <f>VLOOKUP(C362, '[1]India EXIM'!$B$6:$C$580, 2, FALSE)</f>
        <v>1.4527597217000001E-2</v>
      </c>
      <c r="M362" s="11">
        <f>VLOOKUP(C362, '[1]China EXIM'!$B$6:$D$580, 3, FALSE)</f>
        <v>0.84554381550899993</v>
      </c>
      <c r="N362" s="6"/>
      <c r="O362" s="6"/>
      <c r="P362" s="6"/>
      <c r="Q362" s="10" t="s">
        <v>24</v>
      </c>
      <c r="R362" s="9" t="s">
        <v>65</v>
      </c>
      <c r="V362" s="1" t="s">
        <v>25</v>
      </c>
    </row>
    <row r="363" spans="2:22" ht="27.95" hidden="1">
      <c r="B363" s="6" t="str">
        <f>VLOOKUP(C363, [1]Definition!$D$5:$K$5665, 8, FALSE)</f>
        <v>Capital Goods</v>
      </c>
      <c r="C363" s="7">
        <v>847432</v>
      </c>
      <c r="D363" s="8" t="s">
        <v>1114</v>
      </c>
      <c r="E363" s="8" t="s">
        <v>25</v>
      </c>
      <c r="F363" s="17" t="s">
        <v>19</v>
      </c>
      <c r="G363" s="8"/>
      <c r="H363" s="8"/>
      <c r="I363" s="9" t="s">
        <v>58</v>
      </c>
      <c r="J363" s="9" t="s">
        <v>623</v>
      </c>
      <c r="K363" s="17" t="str">
        <f>_xlfn.IFNA(VLOOKUP(C363, '[2]Unique HS'!$B$4:$J$999, 9, FALSE), "No")</f>
        <v>No</v>
      </c>
      <c r="L363" s="18">
        <f>VLOOKUP(C363, '[1]India EXIM'!$B$6:$C$580, 2, FALSE)</f>
        <v>7.2724862999999998E-5</v>
      </c>
      <c r="M363" s="11">
        <f>VLOOKUP(C363, '[1]China EXIM'!$B$6:$D$580, 3, FALSE)</f>
        <v>0.50045830492999999</v>
      </c>
      <c r="N363" s="6"/>
      <c r="O363" s="6"/>
      <c r="P363" s="6"/>
      <c r="Q363" s="10" t="s">
        <v>24</v>
      </c>
      <c r="R363" s="9" t="s">
        <v>58</v>
      </c>
      <c r="V363" s="1" t="s">
        <v>25</v>
      </c>
    </row>
    <row r="364" spans="2:22" ht="69.95">
      <c r="B364" s="6" t="str">
        <f>VLOOKUP(C364, [1]Definition!$D$5:$K$5665, 8, FALSE)</f>
        <v>Capital Goods</v>
      </c>
      <c r="C364" s="7">
        <v>847960</v>
      </c>
      <c r="D364" s="8" t="s">
        <v>799</v>
      </c>
      <c r="E364" s="8" t="s">
        <v>25</v>
      </c>
      <c r="F364" s="17" t="s">
        <v>119</v>
      </c>
      <c r="G364" s="8" t="s">
        <v>800</v>
      </c>
      <c r="H364" s="8" t="s">
        <v>801</v>
      </c>
      <c r="I364" s="9" t="s">
        <v>22</v>
      </c>
      <c r="J364" s="9" t="s">
        <v>802</v>
      </c>
      <c r="K364" s="17" t="str">
        <f>_xlfn.IFNA(VLOOKUP(C364, '[2]Unique HS'!$B$4:$J$999, 9, FALSE), "No")</f>
        <v>No</v>
      </c>
      <c r="L364" s="18">
        <f>VLOOKUP(C364, '[1]India EXIM'!$B$6:$C$580, 2, FALSE)</f>
        <v>5.5642388499999992E-3</v>
      </c>
      <c r="M364" s="11">
        <f>VLOOKUP(C364, '[1]China EXIM'!$B$6:$D$580, 3, FALSE)</f>
        <v>0.49887506184800001</v>
      </c>
      <c r="N364" s="6"/>
      <c r="O364" s="6"/>
      <c r="P364" s="6"/>
      <c r="Q364" s="10" t="s">
        <v>24</v>
      </c>
      <c r="R364" s="11" t="s">
        <v>22</v>
      </c>
    </row>
    <row r="365" spans="2:22" ht="27.95" hidden="1">
      <c r="B365" s="6" t="str">
        <f>VLOOKUP(C365, [1]Definition!$D$5:$K$5665, 8, FALSE)</f>
        <v>Capital Goods</v>
      </c>
      <c r="C365" s="7">
        <v>820320</v>
      </c>
      <c r="D365" s="8" t="s">
        <v>719</v>
      </c>
      <c r="E365" s="8" t="s">
        <v>25</v>
      </c>
      <c r="F365" s="17" t="s">
        <v>19</v>
      </c>
      <c r="G365" s="8"/>
      <c r="H365" s="8"/>
      <c r="I365" s="9" t="s">
        <v>65</v>
      </c>
      <c r="J365" s="9" t="s">
        <v>209</v>
      </c>
      <c r="K365" s="17" t="str">
        <f>_xlfn.IFNA(VLOOKUP(C365, '[2]Unique HS'!$B$4:$J$999, 9, FALSE), "No")</f>
        <v>Yes</v>
      </c>
      <c r="L365" s="18">
        <f>VLOOKUP(C365, '[1]India EXIM'!$B$6:$C$580, 2, FALSE)</f>
        <v>1.4470685642999999E-2</v>
      </c>
      <c r="M365" s="11">
        <f>VLOOKUP(C365, '[1]China EXIM'!$B$6:$D$580, 3, FALSE)</f>
        <v>2.1679671587750002</v>
      </c>
      <c r="N365" s="6" t="s">
        <v>210</v>
      </c>
      <c r="O365" s="6"/>
      <c r="P365" s="9"/>
      <c r="Q365" s="10" t="s">
        <v>24</v>
      </c>
      <c r="R365" s="11" t="s">
        <v>210</v>
      </c>
      <c r="V365" s="1" t="s">
        <v>25</v>
      </c>
    </row>
    <row r="366" spans="2:22" ht="27.95" hidden="1">
      <c r="B366" s="6" t="str">
        <f>VLOOKUP(C366, [1]Definition!$D$5:$K$5665, 8, FALSE)</f>
        <v>Capital Goods</v>
      </c>
      <c r="C366" s="7">
        <v>853540</v>
      </c>
      <c r="D366" s="8" t="s">
        <v>535</v>
      </c>
      <c r="E366" s="8" t="s">
        <v>34</v>
      </c>
      <c r="F366" s="17" t="s">
        <v>27</v>
      </c>
      <c r="G366" s="8" t="s">
        <v>536</v>
      </c>
      <c r="H366" s="8" t="s">
        <v>171</v>
      </c>
      <c r="I366" s="9" t="s">
        <v>30</v>
      </c>
      <c r="J366" s="9" t="s">
        <v>172</v>
      </c>
      <c r="K366" s="17" t="str">
        <f>_xlfn.IFNA(VLOOKUP(C366, '[2]Unique HS'!$B$4:$J$999, 9, FALSE), "No")</f>
        <v>Yes</v>
      </c>
      <c r="L366" s="22">
        <f>VLOOKUP(C366, '[1]India EXIM'!$B$6:$C$580, 2, FALSE)</f>
        <v>2.7255916562E-2</v>
      </c>
      <c r="M366" s="11">
        <f>VLOOKUP(C366, '[1]China EXIM'!$B$6:$D$580, 3, FALSE)</f>
        <v>0.60129648877800002</v>
      </c>
      <c r="N366" s="6"/>
      <c r="O366" s="6"/>
      <c r="P366" s="6"/>
      <c r="Q366" s="10" t="s">
        <v>24</v>
      </c>
      <c r="R366" s="9" t="s">
        <v>30</v>
      </c>
      <c r="T366" s="1" t="s">
        <v>136</v>
      </c>
      <c r="V366" s="1" t="s">
        <v>34</v>
      </c>
    </row>
    <row r="367" spans="2:22" ht="42" hidden="1">
      <c r="B367" s="6" t="str">
        <f>VLOOKUP(C367, [1]Definition!$D$5:$K$5665, 8, FALSE)</f>
        <v>Capital Goods</v>
      </c>
      <c r="C367" s="7">
        <v>846820</v>
      </c>
      <c r="D367" s="8" t="s">
        <v>720</v>
      </c>
      <c r="E367" s="8" t="s">
        <v>25</v>
      </c>
      <c r="F367" s="17" t="s">
        <v>19</v>
      </c>
      <c r="G367" s="8"/>
      <c r="H367" s="8"/>
      <c r="I367" s="9" t="s">
        <v>65</v>
      </c>
      <c r="J367" s="9" t="s">
        <v>721</v>
      </c>
      <c r="K367" s="17" t="str">
        <f>_xlfn.IFNA(VLOOKUP(C367, '[2]Unique HS'!$B$4:$J$999, 9, FALSE), "No")</f>
        <v>Yes</v>
      </c>
      <c r="L367" s="18">
        <f>VLOOKUP(C367, '[1]India EXIM'!$B$6:$C$580, 2, FALSE)</f>
        <v>1.4462528816999999E-2</v>
      </c>
      <c r="M367" s="11">
        <f>VLOOKUP(C367, '[1]China EXIM'!$B$6:$D$580, 3, FALSE)</f>
        <v>0.15406347080000002</v>
      </c>
      <c r="N367" s="6"/>
      <c r="O367" s="6"/>
      <c r="P367" s="6"/>
      <c r="Q367" s="10" t="s">
        <v>24</v>
      </c>
      <c r="R367" s="9" t="s">
        <v>65</v>
      </c>
      <c r="V367" s="1" t="s">
        <v>25</v>
      </c>
    </row>
    <row r="368" spans="2:22" ht="56.1" hidden="1">
      <c r="B368" s="6" t="str">
        <f>VLOOKUP(C368, [1]Definition!$D$5:$K$5665, 8, FALSE)</f>
        <v>Capital Goods</v>
      </c>
      <c r="C368" s="7">
        <v>820590</v>
      </c>
      <c r="D368" s="8" t="s">
        <v>722</v>
      </c>
      <c r="E368" s="8" t="s">
        <v>25</v>
      </c>
      <c r="F368" s="17" t="s">
        <v>19</v>
      </c>
      <c r="G368" s="8"/>
      <c r="H368" s="8"/>
      <c r="I368" s="9" t="s">
        <v>65</v>
      </c>
      <c r="J368" s="9" t="s">
        <v>209</v>
      </c>
      <c r="K368" s="17" t="str">
        <f>_xlfn.IFNA(VLOOKUP(C368, '[2]Unique HS'!$B$4:$J$999, 9, FALSE), "No")</f>
        <v>Yes</v>
      </c>
      <c r="L368" s="18">
        <f>VLOOKUP(C368, '[1]India EXIM'!$B$6:$C$580, 2, FALSE)</f>
        <v>1.4341919346000001E-2</v>
      </c>
      <c r="M368" s="11">
        <f>VLOOKUP(C368, '[1]China EXIM'!$B$6:$D$580, 3, FALSE)</f>
        <v>0.48862769455900001</v>
      </c>
      <c r="N368" s="6" t="s">
        <v>210</v>
      </c>
      <c r="O368" s="6"/>
      <c r="P368" s="6" t="s">
        <v>201</v>
      </c>
      <c r="Q368" s="10" t="s">
        <v>24</v>
      </c>
      <c r="R368" s="11" t="s">
        <v>210</v>
      </c>
      <c r="V368" s="1" t="s">
        <v>25</v>
      </c>
    </row>
    <row r="369" spans="2:23" ht="27.95" hidden="1">
      <c r="B369" s="6" t="str">
        <f>VLOOKUP(C369, [1]Definition!$D$5:$K$5665, 8, FALSE)</f>
        <v>Capital Goods</v>
      </c>
      <c r="C369" s="7">
        <v>845959</v>
      </c>
      <c r="D369" s="8" t="s">
        <v>739</v>
      </c>
      <c r="E369" s="8" t="s">
        <v>25</v>
      </c>
      <c r="F369" s="17" t="s">
        <v>19</v>
      </c>
      <c r="G369" s="8"/>
      <c r="H369" s="8"/>
      <c r="I369" s="9" t="s">
        <v>65</v>
      </c>
      <c r="J369" s="9" t="s">
        <v>31</v>
      </c>
      <c r="K369" s="17" t="str">
        <f>_xlfn.IFNA(VLOOKUP(C369, '[2]Unique HS'!$B$4:$J$999, 9, FALSE), "No")</f>
        <v>No</v>
      </c>
      <c r="L369" s="18">
        <f>VLOOKUP(C369, '[1]India EXIM'!$B$6:$C$580, 2, FALSE)</f>
        <v>1.3541398991E-2</v>
      </c>
      <c r="M369" s="11">
        <f>VLOOKUP(C369, '[1]China EXIM'!$B$6:$D$580, 3, FALSE)</f>
        <v>6.7902212363999986E-2</v>
      </c>
      <c r="N369" s="6"/>
      <c r="O369" s="6"/>
      <c r="P369" s="6"/>
      <c r="Q369" s="10" t="s">
        <v>24</v>
      </c>
      <c r="R369" s="9" t="s">
        <v>65</v>
      </c>
      <c r="V369" s="1" t="s">
        <v>25</v>
      </c>
    </row>
    <row r="370" spans="2:23" ht="27.95" hidden="1">
      <c r="B370" s="6" t="str">
        <f>VLOOKUP(C370, [1]Definition!$D$5:$K$5665, 8, FALSE)</f>
        <v>Capital Goods</v>
      </c>
      <c r="C370" s="7">
        <v>841720</v>
      </c>
      <c r="D370" s="8" t="s">
        <v>725</v>
      </c>
      <c r="E370" s="8" t="s">
        <v>25</v>
      </c>
      <c r="F370" s="17" t="s">
        <v>19</v>
      </c>
      <c r="G370" s="8"/>
      <c r="H370" s="8"/>
      <c r="I370" s="9" t="s">
        <v>61</v>
      </c>
      <c r="J370" s="9" t="s">
        <v>726</v>
      </c>
      <c r="K370" s="17" t="str">
        <f>_xlfn.IFNA(VLOOKUP(C370, '[2]Unique HS'!$B$4:$J$999, 9, FALSE), "No")</f>
        <v>No</v>
      </c>
      <c r="L370" s="18">
        <f>VLOOKUP(C370, '[1]India EXIM'!$B$6:$C$580, 2, FALSE)</f>
        <v>1.4036316646E-2</v>
      </c>
      <c r="M370" s="11">
        <f>VLOOKUP(C370, '[1]China EXIM'!$B$6:$D$580, 3, FALSE)</f>
        <v>0.48045118946600002</v>
      </c>
      <c r="N370" s="6"/>
      <c r="O370" s="6"/>
      <c r="P370" s="6"/>
      <c r="Q370" s="10" t="s">
        <v>24</v>
      </c>
      <c r="R370" s="9" t="s">
        <v>61</v>
      </c>
      <c r="V370" s="1" t="s">
        <v>25</v>
      </c>
    </row>
    <row r="371" spans="2:23" ht="27.95" hidden="1">
      <c r="B371" s="6" t="str">
        <f>VLOOKUP(C371, [1]Definition!$D$5:$K$5665, 8, FALSE)</f>
        <v>Capital Goods</v>
      </c>
      <c r="C371" s="7">
        <v>843061</v>
      </c>
      <c r="D371" s="8" t="s">
        <v>1065</v>
      </c>
      <c r="E371" s="8" t="s">
        <v>25</v>
      </c>
      <c r="F371" s="17" t="s">
        <v>19</v>
      </c>
      <c r="G371" s="8"/>
      <c r="H371" s="8"/>
      <c r="I371" s="9" t="s">
        <v>58</v>
      </c>
      <c r="J371" s="9" t="s">
        <v>31</v>
      </c>
      <c r="K371" s="17" t="str">
        <f>_xlfn.IFNA(VLOOKUP(C371, '[2]Unique HS'!$B$4:$J$999, 9, FALSE), "No")</f>
        <v>No</v>
      </c>
      <c r="L371" s="18">
        <f>VLOOKUP(C371, '[1]India EXIM'!$B$6:$C$580, 2, FALSE)</f>
        <v>6.8110672499999993E-4</v>
      </c>
      <c r="M371" s="11">
        <f>VLOOKUP(C371, '[1]China EXIM'!$B$6:$D$580, 3, FALSE)</f>
        <v>0.47769965841399997</v>
      </c>
      <c r="N371" s="9" t="s">
        <v>768</v>
      </c>
      <c r="O371" s="9"/>
      <c r="P371" s="6" t="s">
        <v>1066</v>
      </c>
      <c r="Q371" s="10" t="s">
        <v>24</v>
      </c>
      <c r="R371" s="9" t="s">
        <v>58</v>
      </c>
      <c r="V371" s="1" t="s">
        <v>25</v>
      </c>
    </row>
    <row r="372" spans="2:23" ht="27.95" hidden="1">
      <c r="B372" s="6" t="str">
        <f>VLOOKUP(C372, [1]Definition!$D$5:$K$5665, 8, FALSE)</f>
        <v>Capital Goods</v>
      </c>
      <c r="C372" s="7">
        <v>843210</v>
      </c>
      <c r="D372" s="8" t="s">
        <v>840</v>
      </c>
      <c r="E372" s="8" t="s">
        <v>25</v>
      </c>
      <c r="F372" s="17" t="s">
        <v>19</v>
      </c>
      <c r="G372" s="8"/>
      <c r="H372" s="8"/>
      <c r="I372" s="9" t="s">
        <v>58</v>
      </c>
      <c r="J372" s="9" t="s">
        <v>361</v>
      </c>
      <c r="K372" s="17" t="str">
        <f>_xlfn.IFNA(VLOOKUP(C372, '[2]Unique HS'!$B$4:$J$999, 9, FALSE), "No")</f>
        <v>No</v>
      </c>
      <c r="L372" s="18">
        <f>VLOOKUP(C372, '[1]India EXIM'!$B$6:$C$580, 2, FALSE)</f>
        <v>8.8997210220000001E-3</v>
      </c>
      <c r="M372" s="11">
        <f>VLOOKUP(C372, '[1]China EXIM'!$B$6:$D$580, 3, FALSE)</f>
        <v>0.47624062479400003</v>
      </c>
      <c r="N372" s="6" t="s">
        <v>160</v>
      </c>
      <c r="O372" s="6"/>
      <c r="P372" s="6"/>
      <c r="Q372" s="10" t="s">
        <v>24</v>
      </c>
      <c r="R372" s="9" t="s">
        <v>58</v>
      </c>
      <c r="V372" s="1" t="s">
        <v>25</v>
      </c>
    </row>
    <row r="373" spans="2:23" ht="42" hidden="1">
      <c r="B373" s="6" t="str">
        <f>VLOOKUP(C373, [1]Definition!$D$5:$K$5665, 8, FALSE)</f>
        <v>Capital Goods</v>
      </c>
      <c r="C373" s="7">
        <v>846592</v>
      </c>
      <c r="D373" s="8" t="s">
        <v>743</v>
      </c>
      <c r="E373" s="8" t="s">
        <v>25</v>
      </c>
      <c r="F373" s="17" t="s">
        <v>19</v>
      </c>
      <c r="G373" s="8"/>
      <c r="H373" s="8"/>
      <c r="I373" s="9" t="s">
        <v>65</v>
      </c>
      <c r="J373" s="9" t="s">
        <v>31</v>
      </c>
      <c r="K373" s="17" t="str">
        <f>_xlfn.IFNA(VLOOKUP(C373, '[2]Unique HS'!$B$4:$J$999, 9, FALSE), "No")</f>
        <v>Yes</v>
      </c>
      <c r="L373" s="18">
        <f>VLOOKUP(C373, '[1]India EXIM'!$B$6:$C$580, 2, FALSE)</f>
        <v>1.3392149016000001E-2</v>
      </c>
      <c r="M373" s="11">
        <f>VLOOKUP(C373, '[1]China EXIM'!$B$6:$D$580, 3, FALSE)</f>
        <v>0.830239783432</v>
      </c>
      <c r="N373" s="6"/>
      <c r="O373" s="6"/>
      <c r="P373" s="6"/>
      <c r="Q373" s="10" t="s">
        <v>24</v>
      </c>
      <c r="R373" s="9" t="s">
        <v>65</v>
      </c>
      <c r="V373" s="1" t="s">
        <v>25</v>
      </c>
    </row>
    <row r="374" spans="2:23" hidden="1">
      <c r="B374" s="6" t="str">
        <f>VLOOKUP(C374, [1]Definition!$D$5:$K$5665, 8, FALSE)</f>
        <v>Capital Goods</v>
      </c>
      <c r="C374" s="7">
        <v>845130</v>
      </c>
      <c r="D374" s="8" t="s">
        <v>660</v>
      </c>
      <c r="E374" s="8" t="s">
        <v>25</v>
      </c>
      <c r="F374" s="17" t="s">
        <v>19</v>
      </c>
      <c r="G374" s="8"/>
      <c r="H374" s="8"/>
      <c r="I374" s="9" t="s">
        <v>55</v>
      </c>
      <c r="J374" s="9" t="s">
        <v>234</v>
      </c>
      <c r="K374" s="17" t="str">
        <f>_xlfn.IFNA(VLOOKUP(C374, '[2]Unique HS'!$B$4:$J$999, 9, FALSE), "No")</f>
        <v>Yes</v>
      </c>
      <c r="L374" s="18">
        <f>VLOOKUP(C374, '[1]India EXIM'!$B$6:$C$580, 2, FALSE)</f>
        <v>1.7510714486000001E-2</v>
      </c>
      <c r="M374" s="11">
        <f>VLOOKUP(C374, '[1]China EXIM'!$B$6:$D$580, 3, FALSE)</f>
        <v>0.46330159517400005</v>
      </c>
      <c r="N374" s="6"/>
      <c r="O374" s="6"/>
      <c r="P374" s="6"/>
      <c r="Q374" s="10" t="s">
        <v>24</v>
      </c>
      <c r="R374" s="9" t="s">
        <v>55</v>
      </c>
      <c r="V374" s="1" t="s">
        <v>25</v>
      </c>
    </row>
    <row r="375" spans="2:23" ht="42" hidden="1">
      <c r="B375" s="6" t="str">
        <f>VLOOKUP(C375, [1]Definition!$D$5:$K$5665, 8, FALSE)</f>
        <v>Capital Goods</v>
      </c>
      <c r="C375" s="7">
        <v>846880</v>
      </c>
      <c r="D375" s="8" t="s">
        <v>744</v>
      </c>
      <c r="E375" s="8" t="s">
        <v>25</v>
      </c>
      <c r="F375" s="17" t="s">
        <v>19</v>
      </c>
      <c r="G375" s="8"/>
      <c r="H375" s="8"/>
      <c r="I375" s="9" t="s">
        <v>65</v>
      </c>
      <c r="J375" s="9" t="s">
        <v>721</v>
      </c>
      <c r="K375" s="17" t="str">
        <f>_xlfn.IFNA(VLOOKUP(C375, '[2]Unique HS'!$B$4:$J$999, 9, FALSE), "No")</f>
        <v>Yes</v>
      </c>
      <c r="L375" s="18">
        <f>VLOOKUP(C375, '[1]India EXIM'!$B$6:$C$580, 2, FALSE)</f>
        <v>1.3335155652E-2</v>
      </c>
      <c r="M375" s="11">
        <f>VLOOKUP(C375, '[1]China EXIM'!$B$6:$D$580, 3, FALSE)</f>
        <v>0.31306515985299999</v>
      </c>
      <c r="N375" s="6"/>
      <c r="O375" s="6"/>
      <c r="P375" s="6"/>
      <c r="Q375" s="10" t="s">
        <v>24</v>
      </c>
      <c r="R375" s="9" t="s">
        <v>65</v>
      </c>
      <c r="V375" s="1" t="s">
        <v>25</v>
      </c>
    </row>
    <row r="376" spans="2:23" ht="27.95" hidden="1">
      <c r="B376" s="6" t="str">
        <f>VLOOKUP(C376, [1]Definition!$D$5:$K$5665, 8, FALSE)</f>
        <v>Capital Goods</v>
      </c>
      <c r="C376" s="7">
        <v>903220</v>
      </c>
      <c r="D376" s="8" t="s">
        <v>548</v>
      </c>
      <c r="E376" s="8" t="s">
        <v>25</v>
      </c>
      <c r="F376" s="17" t="s">
        <v>27</v>
      </c>
      <c r="G376" s="8" t="s">
        <v>549</v>
      </c>
      <c r="H376" s="8" t="s">
        <v>381</v>
      </c>
      <c r="I376" s="9" t="s">
        <v>30</v>
      </c>
      <c r="J376" s="9" t="s">
        <v>42</v>
      </c>
      <c r="K376" s="17" t="str">
        <f>_xlfn.IFNA(VLOOKUP(C376, '[2]Unique HS'!$B$4:$J$999, 9, FALSE), "No")</f>
        <v>Yes</v>
      </c>
      <c r="L376" s="22">
        <f>VLOOKUP(C376, '[1]India EXIM'!$B$6:$C$580, 2, FALSE)</f>
        <v>2.6152454889999999E-2</v>
      </c>
      <c r="M376" s="11">
        <f>VLOOKUP(C376, '[1]China EXIM'!$B$6:$D$580, 3, FALSE)</f>
        <v>0.96828691626100005</v>
      </c>
      <c r="N376" s="6"/>
      <c r="O376" s="6"/>
      <c r="P376" s="6"/>
      <c r="Q376" s="10" t="s">
        <v>24</v>
      </c>
      <c r="R376" s="9" t="s">
        <v>30</v>
      </c>
      <c r="T376" s="1" t="s">
        <v>25</v>
      </c>
      <c r="V376" s="1" t="s">
        <v>25</v>
      </c>
    </row>
    <row r="377" spans="2:23" ht="27.95">
      <c r="B377" s="6" t="str">
        <f>VLOOKUP(C377, [1]Definition!$D$5:$K$5665, 8, FALSE)</f>
        <v>Capital Goods</v>
      </c>
      <c r="C377" s="7">
        <v>843242</v>
      </c>
      <c r="D377" s="8" t="s">
        <v>821</v>
      </c>
      <c r="E377" s="8"/>
      <c r="F377" s="17" t="s">
        <v>1178</v>
      </c>
      <c r="G377" s="8"/>
      <c r="H377" s="8" t="s">
        <v>822</v>
      </c>
      <c r="I377" s="9" t="s">
        <v>22</v>
      </c>
      <c r="J377" s="9" t="s">
        <v>823</v>
      </c>
      <c r="K377" s="17" t="str">
        <f>_xlfn.IFNA(VLOOKUP(C377, '[2]Unique HS'!$B$4:$J$999, 9, FALSE), "No")</f>
        <v>No</v>
      </c>
      <c r="L377" s="18">
        <f>VLOOKUP(C377, '[1]India EXIM'!$B$6:$C$580, 2, FALSE)</f>
        <v>3.6125402399999999E-4</v>
      </c>
      <c r="M377" s="11">
        <f>VLOOKUP(C377, '[1]China EXIM'!$B$6:$D$580, 3, FALSE)</f>
        <v>0.45849022075700002</v>
      </c>
      <c r="N377" s="6" t="s">
        <v>160</v>
      </c>
      <c r="O377" s="6"/>
      <c r="P377" s="6"/>
      <c r="Q377" s="10" t="s">
        <v>24</v>
      </c>
      <c r="R377" s="11" t="s">
        <v>161</v>
      </c>
    </row>
    <row r="378" spans="2:23" ht="27.95" hidden="1">
      <c r="B378" s="6" t="str">
        <f>VLOOKUP(C378, [1]Definition!$D$5:$K$5665, 8, FALSE)</f>
        <v>Capital Goods</v>
      </c>
      <c r="C378" s="7">
        <v>901720</v>
      </c>
      <c r="D378" s="8" t="s">
        <v>824</v>
      </c>
      <c r="E378" s="8" t="s">
        <v>211</v>
      </c>
      <c r="F378" s="17" t="s">
        <v>119</v>
      </c>
      <c r="G378" s="8" t="s">
        <v>825</v>
      </c>
      <c r="H378" s="8" t="s">
        <v>826</v>
      </c>
      <c r="I378" s="9" t="s">
        <v>166</v>
      </c>
      <c r="J378" s="9" t="s">
        <v>471</v>
      </c>
      <c r="K378" s="17" t="str">
        <f>_xlfn.IFNA(VLOOKUP(C378, '[2]Unique HS'!$B$4:$J$999, 9, FALSE), "No")</f>
        <v>Yes</v>
      </c>
      <c r="L378" s="18">
        <f>VLOOKUP(C378, '[1]India EXIM'!$B$6:$C$580, 2, FALSE)</f>
        <v>1.810888068E-3</v>
      </c>
      <c r="M378" s="11">
        <f>VLOOKUP(C378, '[1]China EXIM'!$B$6:$D$580, 3, FALSE)</f>
        <v>0.45148516662900001</v>
      </c>
      <c r="N378" s="6"/>
      <c r="O378" s="6"/>
      <c r="P378" s="6"/>
      <c r="Q378" s="10" t="s">
        <v>24</v>
      </c>
      <c r="R378" s="11" t="s">
        <v>39</v>
      </c>
      <c r="V378" s="1" t="s">
        <v>211</v>
      </c>
      <c r="W378" s="1" t="s">
        <v>542</v>
      </c>
    </row>
    <row r="379" spans="2:23" ht="42" hidden="1">
      <c r="B379" s="6" t="str">
        <f>VLOOKUP(C379, [1]Definition!$D$5:$K$5665, 8, FALSE)</f>
        <v>Capital Goods</v>
      </c>
      <c r="C379" s="7">
        <v>846594</v>
      </c>
      <c r="D379" s="8" t="s">
        <v>752</v>
      </c>
      <c r="E379" s="8" t="s">
        <v>25</v>
      </c>
      <c r="F379" s="17" t="s">
        <v>19</v>
      </c>
      <c r="G379" s="8"/>
      <c r="H379" s="8"/>
      <c r="I379" s="9" t="s">
        <v>65</v>
      </c>
      <c r="J379" s="9" t="s">
        <v>31</v>
      </c>
      <c r="K379" s="17" t="str">
        <f>_xlfn.IFNA(VLOOKUP(C379, '[2]Unique HS'!$B$4:$J$999, 9, FALSE), "No")</f>
        <v>No</v>
      </c>
      <c r="L379" s="18">
        <f>VLOOKUP(C379, '[1]India EXIM'!$B$6:$C$580, 2, FALSE)</f>
        <v>1.3162167999E-2</v>
      </c>
      <c r="M379" s="11">
        <f>VLOOKUP(C379, '[1]China EXIM'!$B$6:$D$580, 3, FALSE)</f>
        <v>0.52046420449099995</v>
      </c>
      <c r="N379" s="6"/>
      <c r="O379" s="6"/>
      <c r="P379" s="6"/>
      <c r="Q379" s="10" t="s">
        <v>24</v>
      </c>
      <c r="R379" s="9" t="s">
        <v>65</v>
      </c>
      <c r="V379" s="1" t="s">
        <v>25</v>
      </c>
    </row>
    <row r="380" spans="2:23" ht="69.95" hidden="1">
      <c r="B380" s="6" t="str">
        <f>VLOOKUP(C380, [1]Definition!$D$5:$K$5665, 8, FALSE)</f>
        <v>Capital Goods</v>
      </c>
      <c r="C380" s="7">
        <v>847751</v>
      </c>
      <c r="D380" s="8" t="s">
        <v>493</v>
      </c>
      <c r="E380" s="8" t="s">
        <v>25</v>
      </c>
      <c r="F380" s="17" t="s">
        <v>19</v>
      </c>
      <c r="G380" s="8"/>
      <c r="H380" s="8"/>
      <c r="I380" s="9" t="s">
        <v>52</v>
      </c>
      <c r="J380" s="9" t="s">
        <v>494</v>
      </c>
      <c r="K380" s="17" t="str">
        <f>_xlfn.IFNA(VLOOKUP(C380, '[2]Unique HS'!$B$4:$J$999, 9, FALSE), "No")</f>
        <v>No</v>
      </c>
      <c r="L380" s="18">
        <f>VLOOKUP(C380, '[1]India EXIM'!$B$6:$C$580, 2, FALSE)</f>
        <v>3.2357283179000003E-2</v>
      </c>
      <c r="M380" s="11">
        <f>VLOOKUP(C380, '[1]China EXIM'!$B$6:$D$580, 3, FALSE)</f>
        <v>0.44286583328100004</v>
      </c>
      <c r="N380" s="6"/>
      <c r="O380" s="6"/>
      <c r="P380" s="6"/>
      <c r="Q380" s="10" t="s">
        <v>24</v>
      </c>
      <c r="R380" s="9" t="s">
        <v>52</v>
      </c>
      <c r="V380" s="1" t="s">
        <v>25</v>
      </c>
    </row>
    <row r="381" spans="2:23" ht="42" hidden="1">
      <c r="B381" s="6" t="str">
        <f>VLOOKUP(C381, [1]Definition!$D$5:$K$5665, 8, FALSE)</f>
        <v>Capital Goods</v>
      </c>
      <c r="C381" s="7">
        <v>846190</v>
      </c>
      <c r="D381" s="8" t="s">
        <v>758</v>
      </c>
      <c r="E381" s="8" t="s">
        <v>25</v>
      </c>
      <c r="F381" s="17" t="s">
        <v>19</v>
      </c>
      <c r="G381" s="8"/>
      <c r="H381" s="8"/>
      <c r="I381" s="9" t="s">
        <v>65</v>
      </c>
      <c r="J381" s="9" t="s">
        <v>31</v>
      </c>
      <c r="K381" s="17" t="str">
        <f>_xlfn.IFNA(VLOOKUP(C381, '[2]Unique HS'!$B$4:$J$999, 9, FALSE), "No")</f>
        <v>Yes</v>
      </c>
      <c r="L381" s="18">
        <f>VLOOKUP(C381, '[1]India EXIM'!$B$6:$C$580, 2, FALSE)</f>
        <v>1.2926780814E-2</v>
      </c>
      <c r="M381" s="11">
        <f>VLOOKUP(C381, '[1]China EXIM'!$B$6:$D$580, 3, FALSE)</f>
        <v>0.20224366631099999</v>
      </c>
      <c r="N381" s="6"/>
      <c r="O381" s="6"/>
      <c r="P381" s="6"/>
      <c r="Q381" s="10" t="s">
        <v>24</v>
      </c>
      <c r="R381" s="9" t="s">
        <v>65</v>
      </c>
      <c r="V381" s="1" t="s">
        <v>25</v>
      </c>
    </row>
    <row r="382" spans="2:23" ht="39" customHeight="1">
      <c r="B382" s="6" t="str">
        <f>VLOOKUP(C382, [1]Definition!$D$5:$K$5665, 8, FALSE)</f>
        <v>Capital Goods</v>
      </c>
      <c r="C382" s="7">
        <v>844120</v>
      </c>
      <c r="D382" s="8" t="s">
        <v>636</v>
      </c>
      <c r="E382" s="8" t="s">
        <v>25</v>
      </c>
      <c r="F382" s="17" t="s">
        <v>19</v>
      </c>
      <c r="G382" s="8"/>
      <c r="H382" s="8"/>
      <c r="I382" s="9" t="s">
        <v>22</v>
      </c>
      <c r="J382" s="9" t="s">
        <v>281</v>
      </c>
      <c r="K382" s="17" t="str">
        <f>_xlfn.IFNA(VLOOKUP(C382, '[2]Unique HS'!$B$4:$J$999, 9, FALSE), "No")</f>
        <v>No</v>
      </c>
      <c r="L382" s="18">
        <f>VLOOKUP(C382, '[1]India EXIM'!$B$6:$C$580, 2, FALSE)</f>
        <v>2.0258815359000003E-2</v>
      </c>
      <c r="M382" s="11">
        <f>VLOOKUP(C382, '[1]China EXIM'!$B$6:$D$580, 3, FALSE)</f>
        <v>0.43859306065699999</v>
      </c>
      <c r="N382" s="6" t="s">
        <v>253</v>
      </c>
      <c r="O382" s="6"/>
      <c r="P382" s="6"/>
      <c r="Q382" s="10" t="s">
        <v>24</v>
      </c>
      <c r="R382" s="11" t="s">
        <v>182</v>
      </c>
      <c r="V382" s="1" t="s">
        <v>25</v>
      </c>
    </row>
    <row r="383" spans="2:23" ht="56.1">
      <c r="B383" s="6" t="str">
        <f>VLOOKUP(C383, [1]Definition!$D$5:$K$5665, 8, FALSE)</f>
        <v>Capital Goods</v>
      </c>
      <c r="C383" s="7">
        <v>847689</v>
      </c>
      <c r="D383" s="8" t="s">
        <v>981</v>
      </c>
      <c r="E383" s="8" t="s">
        <v>137</v>
      </c>
      <c r="F383" s="17" t="s">
        <v>205</v>
      </c>
      <c r="G383" s="8"/>
      <c r="H383" s="8" t="s">
        <v>982</v>
      </c>
      <c r="I383" s="9" t="s">
        <v>22</v>
      </c>
      <c r="J383" s="9" t="s">
        <v>38</v>
      </c>
      <c r="K383" s="17" t="str">
        <f>_xlfn.IFNA(VLOOKUP(C383, '[2]Unique HS'!$B$4:$J$999, 9, FALSE), "No")</f>
        <v>No</v>
      </c>
      <c r="L383" s="18">
        <f>VLOOKUP(C383, '[1]India EXIM'!$B$6:$C$580, 2, FALSE)</f>
        <v>2.9574670240000004E-3</v>
      </c>
      <c r="M383" s="11">
        <f>VLOOKUP(C383, '[1]China EXIM'!$B$6:$D$580, 3, FALSE)</f>
        <v>0.43609217898400005</v>
      </c>
      <c r="N383" s="6"/>
      <c r="O383" s="6"/>
      <c r="P383" s="6"/>
      <c r="Q383" s="10" t="s">
        <v>24</v>
      </c>
      <c r="R383" s="9" t="s">
        <v>22</v>
      </c>
      <c r="V383" s="1" t="s">
        <v>137</v>
      </c>
    </row>
    <row r="384" spans="2:23" ht="37.700000000000003" customHeight="1">
      <c r="B384" s="6" t="str">
        <f>VLOOKUP(C384, [1]Definition!$D$5:$K$5665, 8, FALSE)</f>
        <v>Capital Goods</v>
      </c>
      <c r="C384" s="7">
        <v>843910</v>
      </c>
      <c r="D384" s="8" t="s">
        <v>525</v>
      </c>
      <c r="E384" s="8" t="s">
        <v>25</v>
      </c>
      <c r="F384" s="17" t="s">
        <v>19</v>
      </c>
      <c r="G384" s="8"/>
      <c r="H384" s="8"/>
      <c r="I384" s="9" t="s">
        <v>22</v>
      </c>
      <c r="J384" s="9" t="s">
        <v>252</v>
      </c>
      <c r="K384" s="17" t="str">
        <f>_xlfn.IFNA(VLOOKUP(C384, '[2]Unique HS'!$B$4:$J$999, 9, FALSE), "No")</f>
        <v>No</v>
      </c>
      <c r="L384" s="18">
        <f>VLOOKUP(C384, '[1]India EXIM'!$B$6:$C$580, 2, FALSE)</f>
        <v>2.8967591728000001E-2</v>
      </c>
      <c r="M384" s="11">
        <f>VLOOKUP(C384, '[1]China EXIM'!$B$6:$D$580, 3, FALSE)</f>
        <v>0.43554344337799999</v>
      </c>
      <c r="N384" s="6" t="s">
        <v>253</v>
      </c>
      <c r="O384" s="6"/>
      <c r="P384" s="6"/>
      <c r="Q384" s="10" t="s">
        <v>24</v>
      </c>
      <c r="R384" s="11" t="s">
        <v>182</v>
      </c>
      <c r="V384" s="1" t="s">
        <v>25</v>
      </c>
    </row>
    <row r="385" spans="2:23" ht="42" hidden="1">
      <c r="B385" s="6" t="str">
        <f>VLOOKUP(C385, [1]Definition!$D$5:$K$5665, 8, FALSE)</f>
        <v>Capital Goods</v>
      </c>
      <c r="C385" s="7">
        <v>820190</v>
      </c>
      <c r="D385" s="8" t="s">
        <v>958</v>
      </c>
      <c r="E385" s="8" t="s">
        <v>25</v>
      </c>
      <c r="F385" s="17" t="s">
        <v>19</v>
      </c>
      <c r="G385" s="8"/>
      <c r="H385" s="8"/>
      <c r="I385" s="9" t="s">
        <v>58</v>
      </c>
      <c r="J385" s="9" t="s">
        <v>909</v>
      </c>
      <c r="K385" s="17" t="str">
        <f>_xlfn.IFNA(VLOOKUP(C385, '[2]Unique HS'!$B$4:$J$999, 9, FALSE), "No")</f>
        <v>No</v>
      </c>
      <c r="L385" s="18">
        <f>VLOOKUP(C385, '[1]India EXIM'!$B$6:$C$580, 2, FALSE)</f>
        <v>3.7236850399999999E-3</v>
      </c>
      <c r="M385" s="11">
        <f>VLOOKUP(C385, '[1]China EXIM'!$B$6:$D$580, 3, FALSE)</f>
        <v>0.42888158659500003</v>
      </c>
      <c r="N385" s="9" t="s">
        <v>959</v>
      </c>
      <c r="O385" s="9"/>
      <c r="P385" s="9"/>
      <c r="Q385" s="10" t="s">
        <v>24</v>
      </c>
      <c r="R385" s="11" t="s">
        <v>210</v>
      </c>
      <c r="V385" s="1" t="s">
        <v>25</v>
      </c>
    </row>
    <row r="386" spans="2:23" ht="42">
      <c r="B386" s="6" t="str">
        <f>VLOOKUP(C386, [1]Definition!$D$5:$K$5665, 8, FALSE)</f>
        <v>Capital Goods</v>
      </c>
      <c r="C386" s="7">
        <v>830790</v>
      </c>
      <c r="D386" s="16" t="s">
        <v>845</v>
      </c>
      <c r="E386" s="16" t="s">
        <v>34</v>
      </c>
      <c r="F386" s="17" t="s">
        <v>27</v>
      </c>
      <c r="G386" s="8" t="s">
        <v>846</v>
      </c>
      <c r="H386" s="8" t="s">
        <v>847</v>
      </c>
      <c r="I386" s="9" t="s">
        <v>22</v>
      </c>
      <c r="J386" s="9" t="s">
        <v>848</v>
      </c>
      <c r="K386" s="17" t="str">
        <f>_xlfn.IFNA(VLOOKUP(C386, '[2]Unique HS'!$B$4:$J$999, 9, FALSE), "No")</f>
        <v>Yes</v>
      </c>
      <c r="L386" s="18">
        <f>VLOOKUP(C386, '[1]India EXIM'!$B$6:$C$580, 2, FALSE)</f>
        <v>8.4821992919999999E-3</v>
      </c>
      <c r="M386" s="11">
        <f>VLOOKUP(C386, '[1]China EXIM'!$B$6:$D$580, 3, FALSE)</f>
        <v>0.419475972556</v>
      </c>
      <c r="N386" s="6" t="s">
        <v>201</v>
      </c>
      <c r="O386" s="6"/>
      <c r="P386" s="6"/>
      <c r="Q386" s="10" t="s">
        <v>24</v>
      </c>
      <c r="R386" s="9" t="s">
        <v>22</v>
      </c>
      <c r="V386" s="1" t="s">
        <v>34</v>
      </c>
      <c r="W386" s="1" t="s">
        <v>837</v>
      </c>
    </row>
    <row r="387" spans="2:23" ht="42" hidden="1">
      <c r="B387" s="6" t="str">
        <f>VLOOKUP(C387, [1]Definition!$D$5:$K$5665, 8, FALSE)</f>
        <v>Capital Goods</v>
      </c>
      <c r="C387" s="7">
        <v>846233</v>
      </c>
      <c r="D387" s="8" t="s">
        <v>764</v>
      </c>
      <c r="E387" s="8" t="s">
        <v>25</v>
      </c>
      <c r="F387" s="17" t="s">
        <v>19</v>
      </c>
      <c r="G387" s="8"/>
      <c r="H387" s="8"/>
      <c r="I387" s="9" t="s">
        <v>65</v>
      </c>
      <c r="J387" s="9" t="s">
        <v>31</v>
      </c>
      <c r="K387" s="17" t="str">
        <f>_xlfn.IFNA(VLOOKUP(C387, '[2]Unique HS'!$B$4:$J$999, 9, FALSE), "No")</f>
        <v>No</v>
      </c>
      <c r="L387" s="18">
        <f>VLOOKUP(C387, '[1]India EXIM'!$B$6:$C$580, 2, FALSE)</f>
        <v>1.1885505051999999E-2</v>
      </c>
      <c r="M387" s="11">
        <f>VLOOKUP(C387, '[1]China EXIM'!$B$6:$D$580, 3, FALSE)</f>
        <v>0.14139328349399999</v>
      </c>
      <c r="N387" s="6"/>
      <c r="O387" s="6"/>
      <c r="P387" s="6"/>
      <c r="Q387" s="10" t="s">
        <v>24</v>
      </c>
      <c r="R387" s="9" t="s">
        <v>65</v>
      </c>
      <c r="V387" s="1" t="s">
        <v>25</v>
      </c>
    </row>
    <row r="388" spans="2:23" ht="27.95" hidden="1">
      <c r="B388" s="6" t="str">
        <f>VLOOKUP(C388, [1]Definition!$D$5:$K$5665, 8, FALSE)</f>
        <v>Capital Goods</v>
      </c>
      <c r="C388" s="7">
        <v>850172</v>
      </c>
      <c r="D388" s="8" t="s">
        <v>608</v>
      </c>
      <c r="E388" s="8" t="s">
        <v>34</v>
      </c>
      <c r="F388" s="17" t="s">
        <v>27</v>
      </c>
      <c r="G388" s="8" t="s">
        <v>609</v>
      </c>
      <c r="H388" s="8" t="s">
        <v>610</v>
      </c>
      <c r="I388" s="9" t="s">
        <v>30</v>
      </c>
      <c r="J388" s="9" t="s">
        <v>31</v>
      </c>
      <c r="K388" s="17" t="str">
        <f>_xlfn.IFNA(VLOOKUP(C388, '[2]Unique HS'!$B$4:$J$999, 9, FALSE), "No")</f>
        <v>Yes</v>
      </c>
      <c r="L388" s="22">
        <f>VLOOKUP(C388, '[1]India EXIM'!$B$6:$C$580, 2, FALSE)</f>
        <v>2.1581466842000002E-2</v>
      </c>
      <c r="M388" s="11">
        <f>VLOOKUP(C388, '[1]China EXIM'!$B$6:$D$580, 3, FALSE)</f>
        <v>0.32134535011400001</v>
      </c>
      <c r="N388" s="9" t="s">
        <v>129</v>
      </c>
      <c r="O388" s="9"/>
      <c r="P388" s="6"/>
      <c r="Q388" s="10" t="s">
        <v>24</v>
      </c>
      <c r="R388" s="9" t="s">
        <v>30</v>
      </c>
      <c r="T388" s="1" t="s">
        <v>362</v>
      </c>
      <c r="V388" s="1" t="s">
        <v>34</v>
      </c>
    </row>
    <row r="389" spans="2:23" ht="27.95" hidden="1">
      <c r="B389" s="6" t="str">
        <f>VLOOKUP(C389, [1]Definition!$D$5:$K$5665, 8, FALSE)</f>
        <v>Capital Goods</v>
      </c>
      <c r="C389" s="7">
        <v>840211</v>
      </c>
      <c r="D389" s="8" t="s">
        <v>783</v>
      </c>
      <c r="E389" s="8" t="s">
        <v>25</v>
      </c>
      <c r="F389" s="17" t="s">
        <v>142</v>
      </c>
      <c r="G389" s="8"/>
      <c r="H389" s="8"/>
      <c r="I389" s="9" t="s">
        <v>30</v>
      </c>
      <c r="J389" s="9" t="s">
        <v>784</v>
      </c>
      <c r="K389" s="17" t="str">
        <f>_xlfn.IFNA(VLOOKUP(C389, '[2]Unique HS'!$B$4:$J$999, 9, FALSE), "No")</f>
        <v>No</v>
      </c>
      <c r="L389" s="18">
        <f>VLOOKUP(C389, '[1]India EXIM'!$B$6:$C$580, 2, FALSE)</f>
        <v>1.0988167665E-2</v>
      </c>
      <c r="M389" s="11">
        <f>VLOOKUP(C389, '[1]China EXIM'!$B$6:$D$580, 3, FALSE)</f>
        <v>0.40087449295700001</v>
      </c>
      <c r="N389" s="9" t="s">
        <v>785</v>
      </c>
      <c r="O389" s="9"/>
      <c r="P389" s="6"/>
      <c r="Q389" s="10" t="s">
        <v>24</v>
      </c>
      <c r="R389" s="9" t="s">
        <v>30</v>
      </c>
      <c r="V389" s="1" t="s">
        <v>25</v>
      </c>
      <c r="W389" s="1" t="s">
        <v>842</v>
      </c>
    </row>
    <row r="390" spans="2:23" ht="27.95" hidden="1">
      <c r="B390" s="6" t="str">
        <f>VLOOKUP(C390, [1]Definition!$D$5:$K$5665, 8, FALSE)</f>
        <v>Capital Goods</v>
      </c>
      <c r="C390" s="7">
        <v>845921</v>
      </c>
      <c r="D390" s="8" t="s">
        <v>766</v>
      </c>
      <c r="E390" s="8" t="s">
        <v>25</v>
      </c>
      <c r="F390" s="17" t="s">
        <v>19</v>
      </c>
      <c r="G390" s="8"/>
      <c r="H390" s="8"/>
      <c r="I390" s="9" t="s">
        <v>65</v>
      </c>
      <c r="J390" s="9" t="s">
        <v>31</v>
      </c>
      <c r="K390" s="17" t="str">
        <f>_xlfn.IFNA(VLOOKUP(C390, '[2]Unique HS'!$B$4:$J$999, 9, FALSE), "No")</f>
        <v>No</v>
      </c>
      <c r="L390" s="18">
        <f>VLOOKUP(C390, '[1]India EXIM'!$B$6:$C$580, 2, FALSE)</f>
        <v>1.1754759929E-2</v>
      </c>
      <c r="M390" s="11">
        <f>VLOOKUP(C390, '[1]China EXIM'!$B$6:$D$580, 3, FALSE)</f>
        <v>0.28959708055599998</v>
      </c>
      <c r="N390" s="6"/>
      <c r="O390" s="6"/>
      <c r="P390" s="6"/>
      <c r="Q390" s="10" t="s">
        <v>24</v>
      </c>
      <c r="R390" s="9" t="s">
        <v>65</v>
      </c>
      <c r="V390" s="1" t="s">
        <v>25</v>
      </c>
    </row>
    <row r="391" spans="2:23" ht="27.95" hidden="1">
      <c r="B391" s="6" t="str">
        <f>VLOOKUP(C391, [1]Definition!$D$5:$K$5665, 8, FALSE)</f>
        <v>Capital Goods</v>
      </c>
      <c r="C391" s="7">
        <v>848510</v>
      </c>
      <c r="D391" s="8" t="s">
        <v>777</v>
      </c>
      <c r="E391" s="8" t="s">
        <v>25</v>
      </c>
      <c r="F391" s="17" t="s">
        <v>19</v>
      </c>
      <c r="G391" s="8"/>
      <c r="H391" s="8"/>
      <c r="I391" s="9" t="s">
        <v>65</v>
      </c>
      <c r="J391" s="9" t="s">
        <v>778</v>
      </c>
      <c r="K391" s="17" t="str">
        <f>_xlfn.IFNA(VLOOKUP(C391, '[2]Unique HS'!$B$4:$J$999, 9, FALSE), "No")</f>
        <v>No</v>
      </c>
      <c r="L391" s="18">
        <f>VLOOKUP(C391, '[1]India EXIM'!$B$6:$C$580, 2, FALSE)</f>
        <v>1.1317817186000001E-2</v>
      </c>
      <c r="M391" s="11">
        <f>VLOOKUP(C391, '[1]China EXIM'!$B$6:$D$580, 3, FALSE)</f>
        <v>0.39446926355099998</v>
      </c>
      <c r="N391" s="6"/>
      <c r="O391" s="6"/>
      <c r="P391" s="6"/>
      <c r="Q391" s="10" t="s">
        <v>24</v>
      </c>
      <c r="R391" s="9" t="s">
        <v>65</v>
      </c>
      <c r="V391" s="1" t="s">
        <v>25</v>
      </c>
    </row>
    <row r="392" spans="2:23" ht="27.95" hidden="1">
      <c r="B392" s="6" t="str">
        <f>VLOOKUP(C392, [1]Definition!$D$5:$K$5665, 8, FALSE)</f>
        <v>Capital Goods</v>
      </c>
      <c r="C392" s="7">
        <v>846019</v>
      </c>
      <c r="D392" s="8" t="s">
        <v>791</v>
      </c>
      <c r="E392" s="8" t="s">
        <v>25</v>
      </c>
      <c r="F392" s="17" t="s">
        <v>19</v>
      </c>
      <c r="G392" s="8"/>
      <c r="H392" s="8"/>
      <c r="I392" s="9" t="s">
        <v>65</v>
      </c>
      <c r="J392" s="9" t="s">
        <v>31</v>
      </c>
      <c r="K392" s="17" t="str">
        <f>_xlfn.IFNA(VLOOKUP(C392, '[2]Unique HS'!$B$4:$J$999, 9, FALSE), "No")</f>
        <v>No</v>
      </c>
      <c r="L392" s="18">
        <f>VLOOKUP(C392, '[1]India EXIM'!$B$6:$C$580, 2, FALSE)</f>
        <v>1.0822878317E-2</v>
      </c>
      <c r="M392" s="11">
        <f>VLOOKUP(C392, '[1]China EXIM'!$B$6:$D$580, 3, FALSE)</f>
        <v>0.179783676128</v>
      </c>
      <c r="N392" s="6"/>
      <c r="O392" s="6"/>
      <c r="P392" s="6"/>
      <c r="Q392" s="10" t="s">
        <v>24</v>
      </c>
      <c r="R392" s="9" t="s">
        <v>65</v>
      </c>
      <c r="V392" s="1" t="s">
        <v>25</v>
      </c>
    </row>
    <row r="393" spans="2:23" ht="27.95" hidden="1">
      <c r="B393" s="6" t="str">
        <f>VLOOKUP(C393, [1]Definition!$D$5:$K$5665, 8, FALSE)</f>
        <v>Capital Goods</v>
      </c>
      <c r="C393" s="7">
        <v>820130</v>
      </c>
      <c r="D393" s="8" t="s">
        <v>1062</v>
      </c>
      <c r="E393" s="8" t="s">
        <v>25</v>
      </c>
      <c r="F393" s="17" t="s">
        <v>19</v>
      </c>
      <c r="G393" s="8"/>
      <c r="H393" s="8"/>
      <c r="I393" s="9" t="s">
        <v>58</v>
      </c>
      <c r="J393" s="9" t="s">
        <v>909</v>
      </c>
      <c r="K393" s="17" t="str">
        <f>_xlfn.IFNA(VLOOKUP(C393, '[2]Unique HS'!$B$4:$J$999, 9, FALSE), "No")</f>
        <v>No</v>
      </c>
      <c r="L393" s="18">
        <f>VLOOKUP(C393, '[1]India EXIM'!$B$6:$C$580, 2, FALSE)</f>
        <v>7.3403838499999999E-4</v>
      </c>
      <c r="M393" s="11">
        <f>VLOOKUP(C393, '[1]China EXIM'!$B$6:$D$580, 3, FALSE)</f>
        <v>0.3917525013</v>
      </c>
      <c r="N393" s="6" t="s">
        <v>210</v>
      </c>
      <c r="O393" s="6"/>
      <c r="P393" s="9"/>
      <c r="Q393" s="10" t="s">
        <v>24</v>
      </c>
      <c r="R393" s="11" t="s">
        <v>210</v>
      </c>
      <c r="V393" s="1" t="s">
        <v>25</v>
      </c>
    </row>
    <row r="394" spans="2:23" ht="27.95">
      <c r="B394" s="6" t="str">
        <f>VLOOKUP(C394, [1]Definition!$D$5:$K$5665, 8, FALSE)</f>
        <v>Capital Goods</v>
      </c>
      <c r="C394" s="7">
        <v>844140</v>
      </c>
      <c r="D394" s="8" t="s">
        <v>575</v>
      </c>
      <c r="E394" s="8" t="s">
        <v>25</v>
      </c>
      <c r="F394" s="17" t="s">
        <v>19</v>
      </c>
      <c r="G394" s="8"/>
      <c r="H394" s="8"/>
      <c r="I394" s="9" t="s">
        <v>22</v>
      </c>
      <c r="J394" s="9" t="s">
        <v>262</v>
      </c>
      <c r="K394" s="17" t="str">
        <f>_xlfn.IFNA(VLOOKUP(C394, '[2]Unique HS'!$B$4:$J$999, 9, FALSE), "No")</f>
        <v>No</v>
      </c>
      <c r="L394" s="18">
        <f>VLOOKUP(C394, '[1]India EXIM'!$B$6:$C$580, 2, FALSE)</f>
        <v>2.3793220885999999E-2</v>
      </c>
      <c r="M394" s="11">
        <f>VLOOKUP(C394, '[1]China EXIM'!$B$6:$D$580, 3, FALSE)</f>
        <v>0.381606533503</v>
      </c>
      <c r="N394" s="6" t="s">
        <v>253</v>
      </c>
      <c r="O394" s="6"/>
      <c r="P394" s="6"/>
      <c r="Q394" s="10" t="s">
        <v>24</v>
      </c>
      <c r="R394" s="11" t="s">
        <v>182</v>
      </c>
      <c r="V394" s="1" t="s">
        <v>25</v>
      </c>
    </row>
    <row r="395" spans="2:23" ht="27.95" hidden="1">
      <c r="B395" s="6" t="str">
        <f>VLOOKUP(C395, [1]Definition!$D$5:$K$5665, 8, FALSE)</f>
        <v>Capital Goods</v>
      </c>
      <c r="C395" s="7">
        <v>846039</v>
      </c>
      <c r="D395" s="8" t="s">
        <v>792</v>
      </c>
      <c r="E395" s="8" t="s">
        <v>25</v>
      </c>
      <c r="F395" s="17" t="s">
        <v>19</v>
      </c>
      <c r="G395" s="8" t="s">
        <v>793</v>
      </c>
      <c r="H395" s="8"/>
      <c r="I395" s="9" t="s">
        <v>65</v>
      </c>
      <c r="J395" s="9" t="s">
        <v>31</v>
      </c>
      <c r="K395" s="17" t="str">
        <f>_xlfn.IFNA(VLOOKUP(C395, '[2]Unique HS'!$B$4:$J$999, 9, FALSE), "No")</f>
        <v>No</v>
      </c>
      <c r="L395" s="18">
        <f>VLOOKUP(C395, '[1]India EXIM'!$B$6:$C$580, 2, FALSE)</f>
        <v>1.0690990198000001E-2</v>
      </c>
      <c r="M395" s="11">
        <f>VLOOKUP(C395, '[1]China EXIM'!$B$6:$D$580, 3, FALSE)</f>
        <v>0.19471443838899999</v>
      </c>
      <c r="N395" s="6"/>
      <c r="O395" s="6"/>
      <c r="P395" s="6"/>
      <c r="Q395" s="10" t="s">
        <v>24</v>
      </c>
      <c r="R395" s="9" t="s">
        <v>65</v>
      </c>
      <c r="V395" s="1" t="s">
        <v>25</v>
      </c>
    </row>
    <row r="396" spans="2:23" ht="27.95">
      <c r="B396" s="6" t="str">
        <f>VLOOKUP(C396, [1]Definition!$D$5:$K$5665, 8, FALSE)</f>
        <v>Capital Goods</v>
      </c>
      <c r="C396" s="7">
        <v>843241</v>
      </c>
      <c r="D396" s="8" t="s">
        <v>853</v>
      </c>
      <c r="E396" s="8"/>
      <c r="F396" s="17" t="s">
        <v>1178</v>
      </c>
      <c r="G396" s="8" t="s">
        <v>854</v>
      </c>
      <c r="H396" s="8"/>
      <c r="I396" s="9" t="s">
        <v>22</v>
      </c>
      <c r="J396" s="9" t="s">
        <v>855</v>
      </c>
      <c r="K396" s="17" t="str">
        <f>_xlfn.IFNA(VLOOKUP(C396, '[2]Unique HS'!$B$4:$J$999, 9, FALSE), "No")</f>
        <v>No</v>
      </c>
      <c r="L396" s="18">
        <f>VLOOKUP(C396, '[1]India EXIM'!$B$6:$C$580, 2, FALSE)</f>
        <v>6.690839200000001E-5</v>
      </c>
      <c r="M396" s="11">
        <f>VLOOKUP(C396, '[1]China EXIM'!$B$6:$D$580, 3, FALSE)</f>
        <v>0.37922891085999999</v>
      </c>
      <c r="N396" s="6" t="s">
        <v>160</v>
      </c>
      <c r="O396" s="6"/>
      <c r="P396" s="6"/>
      <c r="Q396" s="10" t="s">
        <v>24</v>
      </c>
      <c r="R396" s="11" t="s">
        <v>161</v>
      </c>
    </row>
    <row r="397" spans="2:23" ht="27.95" hidden="1">
      <c r="B397" s="6" t="str">
        <f>VLOOKUP(C397, [1]Definition!$D$5:$K$5665, 8, FALSE)</f>
        <v>Capital Goods</v>
      </c>
      <c r="C397" s="7">
        <v>842122</v>
      </c>
      <c r="D397" s="8" t="s">
        <v>929</v>
      </c>
      <c r="E397" s="8" t="s">
        <v>25</v>
      </c>
      <c r="F397" s="17" t="s">
        <v>19</v>
      </c>
      <c r="G397" s="8"/>
      <c r="H397" s="8"/>
      <c r="I397" s="9" t="s">
        <v>61</v>
      </c>
      <c r="J397" s="9" t="s">
        <v>930</v>
      </c>
      <c r="K397" s="17" t="str">
        <f>_xlfn.IFNA(VLOOKUP(C397, '[2]Unique HS'!$B$4:$J$999, 9, FALSE), "No")</f>
        <v>No</v>
      </c>
      <c r="L397" s="18">
        <f>VLOOKUP(C397, '[1]India EXIM'!$B$6:$C$580, 2, FALSE)</f>
        <v>4.9387774819999999E-3</v>
      </c>
      <c r="M397" s="11">
        <f>VLOOKUP(C397, '[1]China EXIM'!$B$6:$D$580, 3, FALSE)</f>
        <v>0.376830092231</v>
      </c>
      <c r="N397" s="6"/>
      <c r="O397" s="6"/>
      <c r="P397" s="6"/>
      <c r="Q397" s="10" t="s">
        <v>24</v>
      </c>
      <c r="R397" s="9" t="s">
        <v>61</v>
      </c>
      <c r="V397" s="1" t="s">
        <v>25</v>
      </c>
    </row>
    <row r="398" spans="2:23" ht="42" hidden="1">
      <c r="B398" s="6" t="str">
        <f>VLOOKUP(C398, [1]Definition!$D$5:$K$5665, 8, FALSE)</f>
        <v>Capital Goods</v>
      </c>
      <c r="C398" s="7">
        <v>846596</v>
      </c>
      <c r="D398" s="8" t="s">
        <v>794</v>
      </c>
      <c r="E398" s="8" t="s">
        <v>25</v>
      </c>
      <c r="F398" s="17" t="s">
        <v>19</v>
      </c>
      <c r="G398" s="8"/>
      <c r="H398" s="8"/>
      <c r="I398" s="9" t="s">
        <v>65</v>
      </c>
      <c r="J398" s="9" t="s">
        <v>31</v>
      </c>
      <c r="K398" s="17" t="str">
        <f>_xlfn.IFNA(VLOOKUP(C398, '[2]Unique HS'!$B$4:$J$999, 9, FALSE), "No")</f>
        <v>Yes</v>
      </c>
      <c r="L398" s="18">
        <f>VLOOKUP(C398, '[1]India EXIM'!$B$6:$C$580, 2, FALSE)</f>
        <v>1.0670088027000001E-2</v>
      </c>
      <c r="M398" s="11">
        <f>VLOOKUP(C398, '[1]China EXIM'!$B$6:$D$580, 3, FALSE)</f>
        <v>0.69202842178400004</v>
      </c>
      <c r="N398" s="6"/>
      <c r="O398" s="6"/>
      <c r="P398" s="6"/>
      <c r="Q398" s="10" t="s">
        <v>24</v>
      </c>
      <c r="R398" s="9" t="s">
        <v>65</v>
      </c>
      <c r="V398" s="1" t="s">
        <v>25</v>
      </c>
    </row>
    <row r="399" spans="2:23" ht="42">
      <c r="B399" s="6" t="str">
        <f>VLOOKUP(C399, [1]Definition!$D$5:$K$5665, 8, FALSE)</f>
        <v>Capital Goods</v>
      </c>
      <c r="C399" s="7">
        <v>841935</v>
      </c>
      <c r="D399" s="8" t="s">
        <v>1036</v>
      </c>
      <c r="E399" s="8" t="s">
        <v>25</v>
      </c>
      <c r="F399" s="17" t="s">
        <v>19</v>
      </c>
      <c r="G399" s="8" t="s">
        <v>1037</v>
      </c>
      <c r="H399" s="8"/>
      <c r="I399" s="9" t="s">
        <v>22</v>
      </c>
      <c r="J399" s="9" t="s">
        <v>74</v>
      </c>
      <c r="K399" s="17" t="str">
        <f>_xlfn.IFNA(VLOOKUP(C399, '[2]Unique HS'!$B$4:$J$999, 9, FALSE), "No")</f>
        <v>No</v>
      </c>
      <c r="L399" s="18">
        <f>VLOOKUP(C399, '[1]India EXIM'!$B$6:$C$580, 2, FALSE)</f>
        <v>1.3313856259999999E-3</v>
      </c>
      <c r="M399" s="11">
        <f>VLOOKUP(C399, '[1]China EXIM'!$B$6:$D$580, 3, FALSE)</f>
        <v>0.37217928822899998</v>
      </c>
      <c r="N399" s="6" t="s">
        <v>180</v>
      </c>
      <c r="O399" s="6"/>
      <c r="P399" s="6" t="s">
        <v>1038</v>
      </c>
      <c r="Q399" s="10" t="s">
        <v>24</v>
      </c>
      <c r="R399" s="11" t="s">
        <v>182</v>
      </c>
      <c r="V399" s="1" t="s">
        <v>25</v>
      </c>
    </row>
    <row r="400" spans="2:23" ht="27.95" hidden="1">
      <c r="B400" s="6" t="str">
        <f>VLOOKUP(C400, [1]Definition!$D$5:$K$5665, 8, FALSE)</f>
        <v>Capital Goods</v>
      </c>
      <c r="C400" s="7">
        <v>843510</v>
      </c>
      <c r="D400" s="8" t="s">
        <v>949</v>
      </c>
      <c r="E400" s="8" t="s">
        <v>25</v>
      </c>
      <c r="F400" s="17" t="s">
        <v>19</v>
      </c>
      <c r="G400" s="8"/>
      <c r="H400" s="8"/>
      <c r="I400" s="9" t="s">
        <v>61</v>
      </c>
      <c r="J400" s="9" t="s">
        <v>632</v>
      </c>
      <c r="K400" s="17" t="str">
        <f>_xlfn.IFNA(VLOOKUP(C400, '[2]Unique HS'!$B$4:$J$999, 9, FALSE), "No")</f>
        <v>No</v>
      </c>
      <c r="L400" s="18">
        <f>VLOOKUP(C400, '[1]India EXIM'!$B$6:$C$580, 2, FALSE)</f>
        <v>4.1452551189999996E-3</v>
      </c>
      <c r="M400" s="11">
        <f>VLOOKUP(C400, '[1]China EXIM'!$B$6:$D$580, 3, FALSE)</f>
        <v>0.366117492682</v>
      </c>
      <c r="N400" s="6"/>
      <c r="O400" s="6"/>
      <c r="P400" s="6"/>
      <c r="Q400" s="10" t="s">
        <v>24</v>
      </c>
      <c r="R400" s="9" t="s">
        <v>61</v>
      </c>
      <c r="V400" s="1" t="s">
        <v>25</v>
      </c>
    </row>
    <row r="401" spans="2:23" ht="27.95" hidden="1">
      <c r="B401" s="6" t="str">
        <f>VLOOKUP(C401, [1]Definition!$D$5:$K$5665, 8, FALSE)</f>
        <v>Capital Goods</v>
      </c>
      <c r="C401" s="7">
        <v>840212</v>
      </c>
      <c r="D401" s="8" t="s">
        <v>1052</v>
      </c>
      <c r="E401" s="8" t="s">
        <v>25</v>
      </c>
      <c r="F401" s="17" t="s">
        <v>142</v>
      </c>
      <c r="G401" s="8"/>
      <c r="H401" s="8"/>
      <c r="I401" s="9" t="s">
        <v>30</v>
      </c>
      <c r="J401" s="9" t="s">
        <v>784</v>
      </c>
      <c r="K401" s="17" t="str">
        <f>_xlfn.IFNA(VLOOKUP(C401, '[2]Unique HS'!$B$4:$J$999, 9, FALSE), "No")</f>
        <v>No</v>
      </c>
      <c r="L401" s="18">
        <f>VLOOKUP(C401, '[1]India EXIM'!$B$6:$C$580, 2, FALSE)</f>
        <v>9.4832389700000004E-4</v>
      </c>
      <c r="M401" s="11">
        <f>VLOOKUP(C401, '[1]China EXIM'!$B$6:$D$580, 3, FALSE)</f>
        <v>0.36238825265800001</v>
      </c>
      <c r="N401" s="9" t="s">
        <v>785</v>
      </c>
      <c r="O401" s="9"/>
      <c r="P401" s="6"/>
      <c r="Q401" s="10" t="s">
        <v>24</v>
      </c>
      <c r="R401" s="9" t="s">
        <v>30</v>
      </c>
      <c r="V401" s="1" t="s">
        <v>25</v>
      </c>
      <c r="W401" s="1" t="s">
        <v>842</v>
      </c>
    </row>
    <row r="402" spans="2:23" ht="27.95" hidden="1">
      <c r="B402" s="6" t="str">
        <f>VLOOKUP(C402, [1]Definition!$D$5:$K$5665, 8, FALSE)</f>
        <v>Capital Goods</v>
      </c>
      <c r="C402" s="7">
        <v>845939</v>
      </c>
      <c r="D402" s="8" t="s">
        <v>795</v>
      </c>
      <c r="E402" s="8" t="s">
        <v>25</v>
      </c>
      <c r="F402" s="17" t="s">
        <v>19</v>
      </c>
      <c r="G402" s="8"/>
      <c r="H402" s="8"/>
      <c r="I402" s="9" t="s">
        <v>65</v>
      </c>
      <c r="J402" s="9" t="s">
        <v>31</v>
      </c>
      <c r="K402" s="17" t="str">
        <f>_xlfn.IFNA(VLOOKUP(C402, '[2]Unique HS'!$B$4:$J$999, 9, FALSE), "No")</f>
        <v>No</v>
      </c>
      <c r="L402" s="18">
        <f>VLOOKUP(C402, '[1]India EXIM'!$B$6:$C$580, 2, FALSE)</f>
        <v>1.06513435E-2</v>
      </c>
      <c r="M402" s="11">
        <f>VLOOKUP(C402, '[1]China EXIM'!$B$6:$D$580, 3, FALSE)</f>
        <v>6.4032458902999995E-2</v>
      </c>
      <c r="N402" s="6"/>
      <c r="O402" s="6"/>
      <c r="P402" s="6"/>
      <c r="Q402" s="10" t="s">
        <v>24</v>
      </c>
      <c r="R402" s="9" t="s">
        <v>65</v>
      </c>
      <c r="V402" s="1" t="s">
        <v>25</v>
      </c>
    </row>
    <row r="403" spans="2:23" ht="27.95" hidden="1">
      <c r="B403" s="6" t="str">
        <f>VLOOKUP(C403, [1]Definition!$D$5:$K$5665, 8, FALSE)</f>
        <v>Capital Goods</v>
      </c>
      <c r="C403" s="7">
        <v>820570</v>
      </c>
      <c r="D403" s="8" t="s">
        <v>796</v>
      </c>
      <c r="E403" s="8" t="s">
        <v>25</v>
      </c>
      <c r="F403" s="17" t="s">
        <v>19</v>
      </c>
      <c r="G403" s="8"/>
      <c r="H403" s="8"/>
      <c r="I403" s="9" t="s">
        <v>65</v>
      </c>
      <c r="J403" s="9" t="s">
        <v>797</v>
      </c>
      <c r="K403" s="17" t="str">
        <f>_xlfn.IFNA(VLOOKUP(C403, '[2]Unique HS'!$B$4:$J$999, 9, FALSE), "No")</f>
        <v>Yes</v>
      </c>
      <c r="L403" s="18">
        <f>VLOOKUP(C403, '[1]India EXIM'!$B$6:$C$580, 2, FALSE)</f>
        <v>1.0614685003E-2</v>
      </c>
      <c r="M403" s="11">
        <f>VLOOKUP(C403, '[1]China EXIM'!$B$6:$D$580, 3, FALSE)</f>
        <v>0.71002200190499998</v>
      </c>
      <c r="N403" s="6" t="s">
        <v>210</v>
      </c>
      <c r="O403" s="6"/>
      <c r="P403" s="9"/>
      <c r="Q403" s="10" t="s">
        <v>24</v>
      </c>
      <c r="R403" s="11" t="s">
        <v>210</v>
      </c>
      <c r="V403" s="1" t="s">
        <v>25</v>
      </c>
    </row>
    <row r="404" spans="2:23" ht="27.95" hidden="1">
      <c r="B404" s="6" t="str">
        <f>VLOOKUP(C404, [1]Definition!$D$5:$K$5665, 8, FALSE)</f>
        <v>Capital Goods</v>
      </c>
      <c r="C404" s="7">
        <v>844519</v>
      </c>
      <c r="D404" s="8" t="s">
        <v>566</v>
      </c>
      <c r="E404" s="8" t="s">
        <v>25</v>
      </c>
      <c r="F404" s="17" t="s">
        <v>19</v>
      </c>
      <c r="G404" s="8"/>
      <c r="H404" s="8"/>
      <c r="I404" s="9" t="s">
        <v>55</v>
      </c>
      <c r="J404" s="9" t="s">
        <v>56</v>
      </c>
      <c r="K404" s="17" t="str">
        <f>_xlfn.IFNA(VLOOKUP(C404, '[2]Unique HS'!$B$4:$J$999, 9, FALSE), "No")</f>
        <v>No</v>
      </c>
      <c r="L404" s="18">
        <f>VLOOKUP(C404, '[1]India EXIM'!$B$6:$C$580, 2, FALSE)</f>
        <v>2.4988518561000001E-2</v>
      </c>
      <c r="M404" s="11">
        <f>VLOOKUP(C404, '[1]China EXIM'!$B$6:$D$580, 3, FALSE)</f>
        <v>0.35633849525900002</v>
      </c>
      <c r="N404" s="6"/>
      <c r="O404" s="6"/>
      <c r="P404" s="6"/>
      <c r="Q404" s="10" t="s">
        <v>24</v>
      </c>
      <c r="R404" s="9" t="s">
        <v>55</v>
      </c>
      <c r="V404" s="1" t="s">
        <v>25</v>
      </c>
    </row>
    <row r="405" spans="2:23" ht="42" hidden="1">
      <c r="B405" s="6" t="str">
        <f>VLOOKUP(C405, [1]Definition!$D$5:$K$5665, 8, FALSE)</f>
        <v>Capital Goods</v>
      </c>
      <c r="C405" s="7">
        <v>853670</v>
      </c>
      <c r="D405" s="8" t="s">
        <v>872</v>
      </c>
      <c r="E405" s="8" t="s">
        <v>34</v>
      </c>
      <c r="F405" s="17" t="s">
        <v>119</v>
      </c>
      <c r="G405" s="8" t="s">
        <v>873</v>
      </c>
      <c r="H405" s="8" t="s">
        <v>874</v>
      </c>
      <c r="I405" s="9" t="s">
        <v>46</v>
      </c>
      <c r="J405" s="9" t="s">
        <v>875</v>
      </c>
      <c r="K405" s="17" t="str">
        <f>_xlfn.IFNA(VLOOKUP(C405, '[2]Unique HS'!$B$4:$J$999, 9, FALSE), "No")</f>
        <v>Yes</v>
      </c>
      <c r="L405" s="22">
        <f>VLOOKUP(C405, '[1]India EXIM'!$B$6:$C$580, 2, FALSE)</f>
        <v>4.5656064144000003E-2</v>
      </c>
      <c r="M405" s="11">
        <f>VLOOKUP(C405, '[1]China EXIM'!$B$6:$D$580, 3, FALSE)</f>
        <v>2.0770471989520001</v>
      </c>
      <c r="N405" s="6"/>
      <c r="O405" s="6"/>
      <c r="P405" s="6"/>
      <c r="Q405" s="10" t="s">
        <v>24</v>
      </c>
      <c r="R405" s="9" t="s">
        <v>46</v>
      </c>
      <c r="V405" s="1" t="s">
        <v>211</v>
      </c>
      <c r="W405" s="1" t="s">
        <v>600</v>
      </c>
    </row>
    <row r="406" spans="2:23" ht="27.95" hidden="1">
      <c r="B406" s="6" t="str">
        <f>VLOOKUP(C406, [1]Definition!$D$5:$K$5665, 8, FALSE)</f>
        <v>Capital Goods</v>
      </c>
      <c r="C406" s="7">
        <v>854310</v>
      </c>
      <c r="D406" s="8" t="s">
        <v>818</v>
      </c>
      <c r="E406" s="8" t="s">
        <v>25</v>
      </c>
      <c r="F406" s="17" t="s">
        <v>142</v>
      </c>
      <c r="G406" s="8" t="s">
        <v>819</v>
      </c>
      <c r="H406" s="8" t="s">
        <v>820</v>
      </c>
      <c r="I406" s="9" t="s">
        <v>30</v>
      </c>
      <c r="J406" s="9" t="s">
        <v>417</v>
      </c>
      <c r="K406" s="17" t="str">
        <f>_xlfn.IFNA(VLOOKUP(C406, '[2]Unique HS'!$B$4:$J$999, 9, FALSE), "No")</f>
        <v>Yes</v>
      </c>
      <c r="L406" s="18">
        <f>VLOOKUP(C406, '[1]India EXIM'!$B$6:$C$580, 2, FALSE)</f>
        <v>9.4955832819999999E-3</v>
      </c>
      <c r="M406" s="11">
        <f>VLOOKUP(C406, '[1]China EXIM'!$B$6:$D$580, 3, FALSE)</f>
        <v>0.23980954883199998</v>
      </c>
      <c r="N406" s="6"/>
      <c r="O406" s="6"/>
      <c r="P406" s="6"/>
      <c r="Q406" s="10" t="s">
        <v>24</v>
      </c>
      <c r="R406" s="9" t="s">
        <v>30</v>
      </c>
      <c r="V406" s="1" t="s">
        <v>25</v>
      </c>
    </row>
    <row r="407" spans="2:23" ht="42" hidden="1">
      <c r="B407" s="6" t="str">
        <f>VLOOKUP(C407, [1]Definition!$D$5:$K$5665, 8, FALSE)</f>
        <v>Capital Goods</v>
      </c>
      <c r="C407" s="7">
        <v>846224</v>
      </c>
      <c r="D407" s="8" t="s">
        <v>798</v>
      </c>
      <c r="E407" s="8" t="s">
        <v>25</v>
      </c>
      <c r="F407" s="17" t="s">
        <v>19</v>
      </c>
      <c r="G407" s="8"/>
      <c r="H407" s="8"/>
      <c r="I407" s="9" t="s">
        <v>65</v>
      </c>
      <c r="J407" s="9" t="s">
        <v>31</v>
      </c>
      <c r="K407" s="17" t="str">
        <f>_xlfn.IFNA(VLOOKUP(C407, '[2]Unique HS'!$B$4:$J$999, 9, FALSE), "No")</f>
        <v>No</v>
      </c>
      <c r="L407" s="18">
        <f>VLOOKUP(C407, '[1]India EXIM'!$B$6:$C$580, 2, FALSE)</f>
        <v>1.0568701468E-2</v>
      </c>
      <c r="M407" s="11">
        <f>VLOOKUP(C407, '[1]China EXIM'!$B$6:$D$580, 3, FALSE)</f>
        <v>0.35972161594300001</v>
      </c>
      <c r="N407" s="6"/>
      <c r="O407" s="6"/>
      <c r="P407" s="6"/>
      <c r="Q407" s="10" t="s">
        <v>24</v>
      </c>
      <c r="R407" s="9" t="s">
        <v>65</v>
      </c>
      <c r="V407" s="1" t="s">
        <v>25</v>
      </c>
    </row>
    <row r="408" spans="2:23" ht="56.1" hidden="1">
      <c r="B408" s="6" t="str">
        <f>VLOOKUP(C408, [1]Definition!$D$5:$K$5665, 8, FALSE)</f>
        <v>Capital Goods</v>
      </c>
      <c r="C408" s="7">
        <v>844230</v>
      </c>
      <c r="D408" s="8" t="s">
        <v>629</v>
      </c>
      <c r="E408" s="8" t="s">
        <v>25</v>
      </c>
      <c r="F408" s="17" t="s">
        <v>19</v>
      </c>
      <c r="G408" s="8"/>
      <c r="H408" s="8"/>
      <c r="I408" s="9" t="s">
        <v>180</v>
      </c>
      <c r="J408" s="9" t="s">
        <v>630</v>
      </c>
      <c r="K408" s="17" t="str">
        <f>_xlfn.IFNA(VLOOKUP(C408, '[2]Unique HS'!$B$4:$J$999, 9, FALSE), "No")</f>
        <v>No</v>
      </c>
      <c r="L408" s="18">
        <f>VLOOKUP(C408, '[1]India EXIM'!$B$6:$C$580, 2, FALSE)</f>
        <v>2.0441231136999999E-2</v>
      </c>
      <c r="M408" s="11">
        <f>VLOOKUP(C408, '[1]China EXIM'!$B$6:$D$580, 3, FALSE)</f>
        <v>0.35168459129599999</v>
      </c>
      <c r="N408" s="6"/>
      <c r="O408" s="6"/>
      <c r="P408" s="6"/>
      <c r="Q408" s="10" t="s">
        <v>24</v>
      </c>
      <c r="R408" s="11" t="s">
        <v>182</v>
      </c>
      <c r="V408" s="1" t="s">
        <v>25</v>
      </c>
    </row>
    <row r="409" spans="2:23" ht="27.95" hidden="1">
      <c r="B409" s="6" t="str">
        <f>VLOOKUP(C409, [1]Definition!$D$5:$K$5665, 8, FALSE)</f>
        <v>Capital Goods</v>
      </c>
      <c r="C409" s="7">
        <v>845320</v>
      </c>
      <c r="D409" s="8" t="s">
        <v>430</v>
      </c>
      <c r="E409" s="8" t="s">
        <v>25</v>
      </c>
      <c r="F409" s="17" t="s">
        <v>19</v>
      </c>
      <c r="G409" s="8"/>
      <c r="H409" s="8"/>
      <c r="I409" s="9" t="s">
        <v>55</v>
      </c>
      <c r="J409" s="9" t="s">
        <v>431</v>
      </c>
      <c r="K409" s="17" t="str">
        <f>_xlfn.IFNA(VLOOKUP(C409, '[2]Unique HS'!$B$4:$J$999, 9, FALSE), "No")</f>
        <v>No</v>
      </c>
      <c r="L409" s="18">
        <f>VLOOKUP(C409, '[1]India EXIM'!$B$6:$C$580, 2, FALSE)</f>
        <v>4.3395221333E-2</v>
      </c>
      <c r="M409" s="11">
        <f>VLOOKUP(C409, '[1]China EXIM'!$B$6:$D$580, 3, FALSE)</f>
        <v>0.34947839206699999</v>
      </c>
      <c r="N409" s="6"/>
      <c r="O409" s="6"/>
      <c r="P409" s="6"/>
      <c r="Q409" s="10" t="s">
        <v>24</v>
      </c>
      <c r="R409" s="9" t="s">
        <v>55</v>
      </c>
      <c r="V409" s="1" t="s">
        <v>25</v>
      </c>
    </row>
    <row r="410" spans="2:23" hidden="1">
      <c r="B410" s="6" t="str">
        <f>VLOOKUP(C410, [1]Definition!$D$5:$K$5665, 8, FALSE)</f>
        <v>Capital Goods</v>
      </c>
      <c r="C410" s="7">
        <v>845970</v>
      </c>
      <c r="D410" s="8" t="s">
        <v>803</v>
      </c>
      <c r="E410" s="8" t="s">
        <v>25</v>
      </c>
      <c r="F410" s="17" t="s">
        <v>19</v>
      </c>
      <c r="G410" s="8"/>
      <c r="H410" s="8"/>
      <c r="I410" s="9" t="s">
        <v>65</v>
      </c>
      <c r="J410" s="9" t="s">
        <v>31</v>
      </c>
      <c r="K410" s="17" t="str">
        <f>_xlfn.IFNA(VLOOKUP(C410, '[2]Unique HS'!$B$4:$J$999, 9, FALSE), "No")</f>
        <v>Yes</v>
      </c>
      <c r="L410" s="18">
        <f>VLOOKUP(C410, '[1]India EXIM'!$B$6:$C$580, 2, FALSE)</f>
        <v>1.0429799848999999E-2</v>
      </c>
      <c r="M410" s="11">
        <f>VLOOKUP(C410, '[1]China EXIM'!$B$6:$D$580, 3, FALSE)</f>
        <v>0.14641238812400001</v>
      </c>
      <c r="N410" s="6"/>
      <c r="O410" s="6"/>
      <c r="P410" s="6"/>
      <c r="Q410" s="10" t="s">
        <v>24</v>
      </c>
      <c r="R410" s="9" t="s">
        <v>65</v>
      </c>
      <c r="V410" s="1" t="s">
        <v>25</v>
      </c>
    </row>
    <row r="411" spans="2:23" ht="27.95" hidden="1">
      <c r="B411" s="6" t="str">
        <f>VLOOKUP(C411, [1]Definition!$D$5:$K$5665, 8, FALSE)</f>
        <v>Capital Goods</v>
      </c>
      <c r="C411" s="7">
        <v>854320</v>
      </c>
      <c r="D411" s="8" t="s">
        <v>414</v>
      </c>
      <c r="E411" s="8" t="s">
        <v>25</v>
      </c>
      <c r="F411" s="17" t="s">
        <v>142</v>
      </c>
      <c r="G411" s="8" t="s">
        <v>415</v>
      </c>
      <c r="H411" s="8" t="s">
        <v>416</v>
      </c>
      <c r="I411" s="9" t="s">
        <v>30</v>
      </c>
      <c r="J411" s="9" t="s">
        <v>417</v>
      </c>
      <c r="K411" s="17" t="str">
        <f>_xlfn.IFNA(VLOOKUP(C411, '[2]Unique HS'!$B$4:$J$999, 9, FALSE), "No")</f>
        <v>Yes</v>
      </c>
      <c r="L411" s="18">
        <f>VLOOKUP(C411, '[1]India EXIM'!$B$6:$C$580, 2, FALSE)</f>
        <v>4.4982441042000006E-2</v>
      </c>
      <c r="M411" s="11">
        <f>VLOOKUP(C411, '[1]China EXIM'!$B$6:$D$580, 3, FALSE)</f>
        <v>1.9374402628699998</v>
      </c>
      <c r="N411" s="6"/>
      <c r="O411" s="6"/>
      <c r="P411" s="6"/>
      <c r="Q411" s="10" t="s">
        <v>24</v>
      </c>
      <c r="R411" s="9" t="s">
        <v>30</v>
      </c>
      <c r="V411" s="1" t="s">
        <v>25</v>
      </c>
    </row>
    <row r="412" spans="2:23" ht="56.1" hidden="1">
      <c r="B412" s="6" t="str">
        <f>VLOOKUP(C412, [1]Definition!$D$5:$K$5665, 8, FALSE)</f>
        <v>Capital Goods</v>
      </c>
      <c r="C412" s="7">
        <v>870911</v>
      </c>
      <c r="D412" s="8" t="s">
        <v>967</v>
      </c>
      <c r="E412" s="8" t="s">
        <v>137</v>
      </c>
      <c r="F412" s="17" t="s">
        <v>205</v>
      </c>
      <c r="G412" s="8"/>
      <c r="H412" s="8" t="s">
        <v>968</v>
      </c>
      <c r="I412" s="9" t="s">
        <v>166</v>
      </c>
      <c r="J412" s="9" t="s">
        <v>201</v>
      </c>
      <c r="K412" s="17" t="str">
        <f>_xlfn.IFNA(VLOOKUP(C412, '[2]Unique HS'!$B$4:$J$999, 9, FALSE), "No")</f>
        <v>No</v>
      </c>
      <c r="L412" s="22">
        <f>VLOOKUP(C412, '[1]India EXIM'!$B$6:$C$580, 2, FALSE)</f>
        <v>3.1691896499999998E-3</v>
      </c>
      <c r="M412" s="11">
        <f>VLOOKUP(C412, '[1]China EXIM'!$B$6:$D$580, 3, FALSE)</f>
        <v>0.57699521704299994</v>
      </c>
      <c r="N412" s="6" t="s">
        <v>932</v>
      </c>
      <c r="O412" s="6"/>
      <c r="P412" s="6"/>
      <c r="Q412" s="10" t="s">
        <v>24</v>
      </c>
      <c r="R412" s="9" t="s">
        <v>932</v>
      </c>
      <c r="T412" s="1" t="s">
        <v>136</v>
      </c>
      <c r="V412" s="1" t="s">
        <v>137</v>
      </c>
    </row>
    <row r="413" spans="2:23" ht="27.95" hidden="1">
      <c r="B413" s="6" t="str">
        <f>VLOOKUP(C413, [1]Definition!$D$5:$K$5665, 8, FALSE)</f>
        <v>Capital Goods</v>
      </c>
      <c r="C413" s="7">
        <v>820240</v>
      </c>
      <c r="D413" s="8" t="s">
        <v>887</v>
      </c>
      <c r="E413" s="8" t="s">
        <v>211</v>
      </c>
      <c r="F413" s="17" t="s">
        <v>119</v>
      </c>
      <c r="G413" s="8" t="s">
        <v>1183</v>
      </c>
      <c r="H413" s="8"/>
      <c r="I413" s="9" t="s">
        <v>65</v>
      </c>
      <c r="J413" s="9" t="s">
        <v>209</v>
      </c>
      <c r="K413" s="17" t="str">
        <f>_xlfn.IFNA(VLOOKUP(C413, '[2]Unique HS'!$B$4:$J$999, 9, FALSE), "No")</f>
        <v>Yes</v>
      </c>
      <c r="L413" s="18">
        <f>VLOOKUP(C413, '[1]India EXIM'!$B$6:$C$580, 2, FALSE)</f>
        <v>1.0103856092000001E-2</v>
      </c>
      <c r="M413" s="11">
        <f>VLOOKUP(C413, '[1]China EXIM'!$B$6:$D$580, 3, FALSE)</f>
        <v>0.75877359668799993</v>
      </c>
      <c r="N413" s="6" t="s">
        <v>210</v>
      </c>
      <c r="O413" s="6"/>
      <c r="P413" s="9"/>
      <c r="Q413" s="10" t="s">
        <v>24</v>
      </c>
      <c r="R413" s="11" t="s">
        <v>210</v>
      </c>
      <c r="V413" s="1" t="s">
        <v>211</v>
      </c>
    </row>
    <row r="414" spans="2:23" ht="56.1" hidden="1">
      <c r="B414" s="6" t="str">
        <f>VLOOKUP(C414, [1]Definition!$D$5:$K$5665, 8, FALSE)</f>
        <v>Capital Goods</v>
      </c>
      <c r="C414" s="7">
        <v>870919</v>
      </c>
      <c r="D414" s="8" t="s">
        <v>946</v>
      </c>
      <c r="E414" s="8" t="s">
        <v>137</v>
      </c>
      <c r="F414" s="17" t="s">
        <v>205</v>
      </c>
      <c r="G414" s="8"/>
      <c r="H414" s="8"/>
      <c r="I414" s="9" t="s">
        <v>166</v>
      </c>
      <c r="J414" s="9" t="s">
        <v>201</v>
      </c>
      <c r="K414" s="17" t="str">
        <f>_xlfn.IFNA(VLOOKUP(C414, '[2]Unique HS'!$B$4:$J$999, 9, FALSE), "No")</f>
        <v>No</v>
      </c>
      <c r="L414" s="22">
        <f>VLOOKUP(C414, '[1]India EXIM'!$B$6:$C$580, 2, FALSE)</f>
        <v>4.511251204E-3</v>
      </c>
      <c r="M414" s="11">
        <f>VLOOKUP(C414, '[1]China EXIM'!$B$6:$D$580, 3, FALSE)</f>
        <v>0.80732309857700002</v>
      </c>
      <c r="N414" s="6" t="s">
        <v>932</v>
      </c>
      <c r="O414" s="6"/>
      <c r="P414" s="6"/>
      <c r="Q414" s="10" t="s">
        <v>24</v>
      </c>
      <c r="R414" s="9" t="s">
        <v>932</v>
      </c>
      <c r="T414" s="1" t="s">
        <v>136</v>
      </c>
      <c r="V414" s="1" t="s">
        <v>137</v>
      </c>
    </row>
    <row r="415" spans="2:23" ht="57.95">
      <c r="B415" s="6" t="str">
        <f>VLOOKUP(C415, [1]Definition!$D$5:$K$5665, 8, FALSE)</f>
        <v>Capital Goods</v>
      </c>
      <c r="C415" s="7">
        <v>841912</v>
      </c>
      <c r="D415" s="8" t="s">
        <v>1072</v>
      </c>
      <c r="E415" s="8" t="s">
        <v>25</v>
      </c>
      <c r="F415" s="17" t="s">
        <v>163</v>
      </c>
      <c r="G415" s="8" t="s">
        <v>1073</v>
      </c>
      <c r="H415" s="24" t="s">
        <v>1074</v>
      </c>
      <c r="I415" s="9" t="s">
        <v>22</v>
      </c>
      <c r="J415" s="9" t="s">
        <v>74</v>
      </c>
      <c r="K415" s="17" t="str">
        <f>_xlfn.IFNA(VLOOKUP(C415, '[2]Unique HS'!$B$4:$J$999, 9, FALSE), "No")</f>
        <v>No</v>
      </c>
      <c r="L415" s="18">
        <f>VLOOKUP(C415, '[1]India EXIM'!$B$6:$C$580, 2, FALSE)</f>
        <v>4.7837040000000002E-4</v>
      </c>
      <c r="M415" s="11">
        <f>VLOOKUP(C415, '[1]China EXIM'!$B$6:$D$580, 3, FALSE)</f>
        <v>0.32870317426200002</v>
      </c>
      <c r="N415" s="6"/>
      <c r="O415" s="6"/>
      <c r="P415" s="6"/>
      <c r="Q415" s="10" t="s">
        <v>24</v>
      </c>
      <c r="R415" s="9" t="s">
        <v>22</v>
      </c>
      <c r="V415" s="1" t="s">
        <v>25</v>
      </c>
    </row>
    <row r="416" spans="2:23" ht="27.95" hidden="1">
      <c r="B416" s="6" t="str">
        <f>VLOOKUP(C416, [1]Definition!$D$5:$K$5665, 8, FALSE)</f>
        <v>Capital Goods</v>
      </c>
      <c r="C416" s="7">
        <v>841934</v>
      </c>
      <c r="D416" s="8" t="s">
        <v>849</v>
      </c>
      <c r="E416" s="8" t="s">
        <v>25</v>
      </c>
      <c r="F416" s="17" t="s">
        <v>19</v>
      </c>
      <c r="G416" s="8"/>
      <c r="H416" s="8"/>
      <c r="I416" s="9" t="s">
        <v>61</v>
      </c>
      <c r="J416" s="9" t="s">
        <v>850</v>
      </c>
      <c r="K416" s="17" t="str">
        <f>_xlfn.IFNA(VLOOKUP(C416, '[2]Unique HS'!$B$4:$J$999, 9, FALSE), "No")</f>
        <v>No</v>
      </c>
      <c r="L416" s="18">
        <f>VLOOKUP(C416, '[1]India EXIM'!$B$6:$C$580, 2, FALSE)</f>
        <v>8.3558803799999998E-3</v>
      </c>
      <c r="M416" s="11">
        <f>VLOOKUP(C416, '[1]China EXIM'!$B$6:$D$580, 3, FALSE)</f>
        <v>0.32773246788300003</v>
      </c>
      <c r="N416" s="6" t="s">
        <v>160</v>
      </c>
      <c r="O416" s="6"/>
      <c r="P416" s="6"/>
      <c r="Q416" s="10" t="s">
        <v>24</v>
      </c>
      <c r="R416" s="9" t="s">
        <v>61</v>
      </c>
      <c r="V416" s="1" t="s">
        <v>25</v>
      </c>
    </row>
    <row r="417" spans="2:23" ht="27.95" hidden="1">
      <c r="B417" s="6" t="str">
        <f>VLOOKUP(C417, [1]Definition!$D$5:$K$5665, 8, FALSE)</f>
        <v>Capital Goods</v>
      </c>
      <c r="C417" s="7">
        <v>844311</v>
      </c>
      <c r="D417" s="8" t="s">
        <v>975</v>
      </c>
      <c r="E417" s="8" t="s">
        <v>25</v>
      </c>
      <c r="F417" s="17" t="s">
        <v>19</v>
      </c>
      <c r="G417" s="8"/>
      <c r="H417" s="8"/>
      <c r="I417" s="9" t="s">
        <v>180</v>
      </c>
      <c r="J417" s="9" t="s">
        <v>181</v>
      </c>
      <c r="K417" s="17" t="str">
        <f>_xlfn.IFNA(VLOOKUP(C417, '[2]Unique HS'!$B$4:$J$999, 9, FALSE), "No")</f>
        <v>No</v>
      </c>
      <c r="L417" s="18">
        <f>VLOOKUP(C417, '[1]India EXIM'!$B$6:$C$580, 2, FALSE)</f>
        <v>3.047254895E-3</v>
      </c>
      <c r="M417" s="11">
        <f>VLOOKUP(C417, '[1]China EXIM'!$B$6:$D$580, 3, FALSE)</f>
        <v>0.32669080397200001</v>
      </c>
      <c r="N417" s="6"/>
      <c r="O417" s="6"/>
      <c r="P417" s="6"/>
      <c r="Q417" s="10" t="s">
        <v>24</v>
      </c>
      <c r="R417" s="11" t="s">
        <v>182</v>
      </c>
      <c r="V417" s="1" t="s">
        <v>25</v>
      </c>
    </row>
    <row r="418" spans="2:23" ht="27.95" hidden="1">
      <c r="B418" s="6" t="str">
        <f>VLOOKUP(C418, [1]Definition!$D$5:$K$5665, 8, FALSE)</f>
        <v>Capital Goods</v>
      </c>
      <c r="C418" s="7">
        <v>842832</v>
      </c>
      <c r="D418" s="8" t="s">
        <v>865</v>
      </c>
      <c r="E418" s="8" t="s">
        <v>25</v>
      </c>
      <c r="F418" s="17" t="s">
        <v>163</v>
      </c>
      <c r="G418" s="8"/>
      <c r="H418" s="8"/>
      <c r="I418" s="9" t="s">
        <v>58</v>
      </c>
      <c r="J418" s="9" t="s">
        <v>31</v>
      </c>
      <c r="K418" s="17" t="str">
        <f>_xlfn.IFNA(VLOOKUP(C418, '[2]Unique HS'!$B$4:$J$999, 9, FALSE), "No")</f>
        <v>No</v>
      </c>
      <c r="L418" s="18">
        <f>VLOOKUP(C418, '[1]India EXIM'!$B$6:$C$580, 2, FALSE)</f>
        <v>7.9054458070000003E-3</v>
      </c>
      <c r="M418" s="11">
        <f>VLOOKUP(C418, '[1]China EXIM'!$B$6:$D$580, 3, FALSE)</f>
        <v>0.32305859716099999</v>
      </c>
      <c r="N418" s="9" t="s">
        <v>59</v>
      </c>
      <c r="O418" s="9"/>
      <c r="P418" s="6"/>
      <c r="Q418" s="10" t="s">
        <v>24</v>
      </c>
      <c r="R418" s="9" t="s">
        <v>58</v>
      </c>
      <c r="V418" s="1" t="s">
        <v>25</v>
      </c>
    </row>
    <row r="419" spans="2:23" ht="27.95" hidden="1">
      <c r="B419" s="6" t="str">
        <f>VLOOKUP(C419, [1]Definition!$D$5:$K$5665, 8, FALSE)</f>
        <v>Capital Goods</v>
      </c>
      <c r="C419" s="7">
        <v>890790</v>
      </c>
      <c r="D419" s="8" t="s">
        <v>931</v>
      </c>
      <c r="E419" s="8" t="s">
        <v>137</v>
      </c>
      <c r="F419" s="17" t="s">
        <v>205</v>
      </c>
      <c r="G419" s="8"/>
      <c r="H419" s="8"/>
      <c r="I419" s="9" t="s">
        <v>166</v>
      </c>
      <c r="J419" s="9" t="s">
        <v>201</v>
      </c>
      <c r="K419" s="17" t="str">
        <f>_xlfn.IFNA(VLOOKUP(C419, '[2]Unique HS'!$B$4:$J$999, 9, FALSE), "No")</f>
        <v>No</v>
      </c>
      <c r="L419" s="22">
        <f>VLOOKUP(C419, '[1]India EXIM'!$B$6:$C$580, 2, FALSE)</f>
        <v>4.928604671E-3</v>
      </c>
      <c r="M419" s="11">
        <f>VLOOKUP(C419, '[1]China EXIM'!$B$6:$D$580, 3, FALSE)</f>
        <v>0.90012255913400008</v>
      </c>
      <c r="N419" s="6" t="s">
        <v>932</v>
      </c>
      <c r="O419" s="6"/>
      <c r="P419" s="6"/>
      <c r="Q419" s="10" t="s">
        <v>24</v>
      </c>
      <c r="R419" s="9" t="s">
        <v>932</v>
      </c>
      <c r="T419" s="1" t="s">
        <v>136</v>
      </c>
      <c r="V419" s="1" t="s">
        <v>137</v>
      </c>
    </row>
    <row r="420" spans="2:23" ht="27.95" hidden="1">
      <c r="B420" s="6" t="str">
        <f>VLOOKUP(C420, [1]Definition!$D$5:$K$5665, 8, FALSE)</f>
        <v>Capital Goods</v>
      </c>
      <c r="C420" s="7">
        <v>820830</v>
      </c>
      <c r="D420" s="16" t="s">
        <v>1018</v>
      </c>
      <c r="E420" s="16" t="s">
        <v>211</v>
      </c>
      <c r="F420" s="17" t="s">
        <v>19</v>
      </c>
      <c r="G420" s="8"/>
      <c r="H420" s="8"/>
      <c r="I420" s="9" t="s">
        <v>61</v>
      </c>
      <c r="J420" s="9" t="s">
        <v>1019</v>
      </c>
      <c r="K420" s="17" t="str">
        <f>_xlfn.IFNA(VLOOKUP(C420, '[2]Unique HS'!$B$4:$J$999, 9, FALSE), "No")</f>
        <v>No</v>
      </c>
      <c r="L420" s="18">
        <f>VLOOKUP(C420, '[1]India EXIM'!$B$6:$C$580, 2, FALSE)</f>
        <v>1.8283943950000001E-3</v>
      </c>
      <c r="M420" s="11">
        <f>VLOOKUP(C420, '[1]China EXIM'!$B$6:$D$580, 3, FALSE)</f>
        <v>0.31950945043400003</v>
      </c>
      <c r="N420" s="6" t="s">
        <v>210</v>
      </c>
      <c r="O420" s="6"/>
      <c r="P420" s="6"/>
      <c r="Q420" s="10" t="s">
        <v>24</v>
      </c>
      <c r="R420" s="11" t="s">
        <v>210</v>
      </c>
      <c r="V420" s="1" t="s">
        <v>211</v>
      </c>
    </row>
    <row r="421" spans="2:23" ht="27.95" hidden="1">
      <c r="B421" s="6" t="str">
        <f>VLOOKUP(C421, [1]Definition!$D$5:$K$5665, 8, FALSE)</f>
        <v>Capital Goods</v>
      </c>
      <c r="C421" s="7">
        <v>820760</v>
      </c>
      <c r="D421" s="8" t="s">
        <v>806</v>
      </c>
      <c r="E421" s="8" t="s">
        <v>25</v>
      </c>
      <c r="F421" s="17" t="s">
        <v>19</v>
      </c>
      <c r="G421" s="8"/>
      <c r="H421" s="8"/>
      <c r="I421" s="9" t="s">
        <v>65</v>
      </c>
      <c r="J421" s="9" t="s">
        <v>807</v>
      </c>
      <c r="K421" s="17" t="str">
        <f>_xlfn.IFNA(VLOOKUP(C421, '[2]Unique HS'!$B$4:$J$999, 9, FALSE), "No")</f>
        <v>No</v>
      </c>
      <c r="L421" s="18">
        <f>VLOOKUP(C421, '[1]India EXIM'!$B$6:$C$580, 2, FALSE)</f>
        <v>1.0096554509999999E-2</v>
      </c>
      <c r="M421" s="11">
        <f>VLOOKUP(C421, '[1]China EXIM'!$B$6:$D$580, 3, FALSE)</f>
        <v>0.48196138775700004</v>
      </c>
      <c r="N421" s="6" t="s">
        <v>201</v>
      </c>
      <c r="O421" s="6"/>
      <c r="P421" s="6"/>
      <c r="Q421" s="10" t="s">
        <v>24</v>
      </c>
      <c r="R421" s="11" t="s">
        <v>202</v>
      </c>
      <c r="V421" s="1" t="s">
        <v>25</v>
      </c>
    </row>
    <row r="422" spans="2:23" ht="27.95" hidden="1">
      <c r="B422" s="6" t="str">
        <f>VLOOKUP(C422, [1]Definition!$D$5:$K$5665, 8, FALSE)</f>
        <v>Capital Goods</v>
      </c>
      <c r="C422" s="7">
        <v>845931</v>
      </c>
      <c r="D422" s="8" t="s">
        <v>810</v>
      </c>
      <c r="E422" s="8" t="s">
        <v>25</v>
      </c>
      <c r="F422" s="17" t="s">
        <v>19</v>
      </c>
      <c r="G422" s="8"/>
      <c r="H422" s="8"/>
      <c r="I422" s="9" t="s">
        <v>65</v>
      </c>
      <c r="J422" s="9" t="s">
        <v>31</v>
      </c>
      <c r="K422" s="17" t="str">
        <f>_xlfn.IFNA(VLOOKUP(C422, '[2]Unique HS'!$B$4:$J$999, 9, FALSE), "No")</f>
        <v>No</v>
      </c>
      <c r="L422" s="18">
        <f>VLOOKUP(C422, '[1]India EXIM'!$B$6:$C$580, 2, FALSE)</f>
        <v>9.8121450859999983E-3</v>
      </c>
      <c r="M422" s="11">
        <f>VLOOKUP(C422, '[1]China EXIM'!$B$6:$D$580, 3, FALSE)</f>
        <v>0.62877440420599995</v>
      </c>
      <c r="N422" s="6"/>
      <c r="O422" s="6"/>
      <c r="P422" s="6"/>
      <c r="Q422" s="10" t="s">
        <v>24</v>
      </c>
      <c r="R422" s="9" t="s">
        <v>65</v>
      </c>
      <c r="V422" s="1" t="s">
        <v>25</v>
      </c>
    </row>
    <row r="423" spans="2:23" ht="56.1" hidden="1">
      <c r="B423" s="6" t="str">
        <f>VLOOKUP(C423, [1]Definition!$D$5:$K$5665, 8, FALSE)</f>
        <v>Capital Goods</v>
      </c>
      <c r="C423" s="15">
        <v>961100</v>
      </c>
      <c r="D423" s="16" t="s">
        <v>997</v>
      </c>
      <c r="E423" s="16" t="s">
        <v>137</v>
      </c>
      <c r="F423" s="17" t="s">
        <v>163</v>
      </c>
      <c r="G423" s="8"/>
      <c r="H423" s="8"/>
      <c r="I423" s="9" t="s">
        <v>496</v>
      </c>
      <c r="J423" s="9" t="s">
        <v>781</v>
      </c>
      <c r="K423" s="17" t="str">
        <f>_xlfn.IFNA(VLOOKUP(C423, '[2]Unique HS'!$B$4:$J$999, 9, FALSE), "No")</f>
        <v>Yes</v>
      </c>
      <c r="L423" s="18">
        <f>VLOOKUP(C423, '[1]India EXIM'!$B$6:$C$580, 2, FALSE)</f>
        <v>2.3619752119999997E-3</v>
      </c>
      <c r="M423" s="11">
        <f>VLOOKUP(C423, '[1]China EXIM'!$B$6:$D$580, 3, FALSE)</f>
        <v>0.307475996315</v>
      </c>
      <c r="N423" s="6"/>
      <c r="O423" s="6"/>
      <c r="P423" s="6"/>
      <c r="Q423" s="10" t="s">
        <v>24</v>
      </c>
      <c r="R423" s="9" t="s">
        <v>496</v>
      </c>
      <c r="T423" s="1" t="s">
        <v>136</v>
      </c>
      <c r="V423" s="1" t="s">
        <v>137</v>
      </c>
      <c r="W423" s="1" t="s">
        <v>542</v>
      </c>
    </row>
    <row r="424" spans="2:23" ht="27.95" hidden="1">
      <c r="B424" s="6" t="str">
        <f>VLOOKUP(C424, [1]Definition!$D$5:$K$5665, 8, FALSE)</f>
        <v>Capital Goods</v>
      </c>
      <c r="C424" s="7">
        <v>900580</v>
      </c>
      <c r="D424" s="8" t="s">
        <v>933</v>
      </c>
      <c r="E424" s="8" t="s">
        <v>137</v>
      </c>
      <c r="F424" s="17" t="s">
        <v>205</v>
      </c>
      <c r="G424" s="8"/>
      <c r="H424" s="8"/>
      <c r="I424" s="9" t="s">
        <v>166</v>
      </c>
      <c r="J424" s="9" t="s">
        <v>201</v>
      </c>
      <c r="K424" s="17" t="str">
        <f>_xlfn.IFNA(VLOOKUP(C424, '[2]Unique HS'!$B$4:$J$999, 9, FALSE), "No")</f>
        <v>No</v>
      </c>
      <c r="L424" s="22">
        <f>VLOOKUP(C424, '[1]India EXIM'!$B$6:$C$580, 2, FALSE)</f>
        <v>4.8468406870000001E-3</v>
      </c>
      <c r="M424" s="11">
        <f>VLOOKUP(C424, '[1]China EXIM'!$B$6:$D$580, 3, FALSE)</f>
        <v>0.72744580762</v>
      </c>
      <c r="N424" s="6"/>
      <c r="O424" s="6"/>
      <c r="P424" s="6"/>
      <c r="Q424" s="10" t="s">
        <v>24</v>
      </c>
      <c r="R424" s="11" t="s">
        <v>70</v>
      </c>
      <c r="T424" s="1" t="s">
        <v>136</v>
      </c>
      <c r="V424" s="1" t="s">
        <v>137</v>
      </c>
    </row>
    <row r="425" spans="2:23" ht="27.95" hidden="1">
      <c r="B425" s="6" t="str">
        <f>VLOOKUP(C425, [1]Definition!$D$5:$K$5665, 8, FALSE)</f>
        <v>Capital Goods</v>
      </c>
      <c r="C425" s="7">
        <v>845951</v>
      </c>
      <c r="D425" s="8" t="s">
        <v>811</v>
      </c>
      <c r="E425" s="8" t="s">
        <v>25</v>
      </c>
      <c r="F425" s="17" t="s">
        <v>19</v>
      </c>
      <c r="G425" s="8"/>
      <c r="H425" s="8"/>
      <c r="I425" s="9" t="s">
        <v>65</v>
      </c>
      <c r="J425" s="9" t="s">
        <v>31</v>
      </c>
      <c r="K425" s="17" t="str">
        <f>_xlfn.IFNA(VLOOKUP(C425, '[2]Unique HS'!$B$4:$J$999, 9, FALSE), "No")</f>
        <v>No</v>
      </c>
      <c r="L425" s="18">
        <f>VLOOKUP(C425, '[1]India EXIM'!$B$6:$C$580, 2, FALSE)</f>
        <v>9.7398915349999997E-3</v>
      </c>
      <c r="M425" s="11">
        <f>VLOOKUP(C425, '[1]China EXIM'!$B$6:$D$580, 3, FALSE)</f>
        <v>5.3653980487999998E-2</v>
      </c>
      <c r="N425" s="6"/>
      <c r="O425" s="6"/>
      <c r="P425" s="6"/>
      <c r="Q425" s="10" t="s">
        <v>24</v>
      </c>
      <c r="R425" s="9" t="s">
        <v>65</v>
      </c>
      <c r="V425" s="1" t="s">
        <v>25</v>
      </c>
    </row>
    <row r="426" spans="2:23" ht="27.95" hidden="1">
      <c r="B426" s="6" t="str">
        <f>VLOOKUP(C426, [1]Definition!$D$5:$K$5665, 8, FALSE)</f>
        <v>Capital Goods</v>
      </c>
      <c r="C426" s="7">
        <v>845949</v>
      </c>
      <c r="D426" s="8" t="s">
        <v>828</v>
      </c>
      <c r="E426" s="8" t="s">
        <v>25</v>
      </c>
      <c r="F426" s="17" t="s">
        <v>19</v>
      </c>
      <c r="G426" s="8"/>
      <c r="H426" s="8"/>
      <c r="I426" s="9" t="s">
        <v>65</v>
      </c>
      <c r="J426" s="9" t="s">
        <v>31</v>
      </c>
      <c r="K426" s="17" t="str">
        <f>_xlfn.IFNA(VLOOKUP(C426, '[2]Unique HS'!$B$4:$J$999, 9, FALSE), "No")</f>
        <v>No</v>
      </c>
      <c r="L426" s="18">
        <f>VLOOKUP(C426, '[1]India EXIM'!$B$6:$C$580, 2, FALSE)</f>
        <v>9.4043554600000013E-3</v>
      </c>
      <c r="M426" s="11">
        <f>VLOOKUP(C426, '[1]China EXIM'!$B$6:$D$580, 3, FALSE)</f>
        <v>3.7659043289999999E-2</v>
      </c>
      <c r="N426" s="6"/>
      <c r="O426" s="6"/>
      <c r="P426" s="6"/>
      <c r="Q426" s="10" t="s">
        <v>24</v>
      </c>
      <c r="R426" s="9" t="s">
        <v>65</v>
      </c>
      <c r="V426" s="1" t="s">
        <v>25</v>
      </c>
    </row>
    <row r="427" spans="2:23" ht="27.95" hidden="1">
      <c r="B427" s="6" t="str">
        <f>VLOOKUP(C427, [1]Definition!$D$5:$K$5665, 8, FALSE)</f>
        <v>Capital Goods</v>
      </c>
      <c r="C427" s="7">
        <v>846320</v>
      </c>
      <c r="D427" s="8" t="s">
        <v>829</v>
      </c>
      <c r="E427" s="8" t="s">
        <v>25</v>
      </c>
      <c r="F427" s="17" t="s">
        <v>19</v>
      </c>
      <c r="G427" s="8"/>
      <c r="H427" s="8"/>
      <c r="I427" s="9" t="s">
        <v>65</v>
      </c>
      <c r="J427" s="9" t="s">
        <v>31</v>
      </c>
      <c r="K427" s="17" t="str">
        <f>_xlfn.IFNA(VLOOKUP(C427, '[2]Unique HS'!$B$4:$J$999, 9, FALSE), "No")</f>
        <v>No</v>
      </c>
      <c r="L427" s="18">
        <f>VLOOKUP(C427, '[1]India EXIM'!$B$6:$C$580, 2, FALSE)</f>
        <v>9.3504416889999987E-3</v>
      </c>
      <c r="M427" s="11">
        <f>VLOOKUP(C427, '[1]China EXIM'!$B$6:$D$580, 3, FALSE)</f>
        <v>0.111215654331</v>
      </c>
      <c r="N427" s="6"/>
      <c r="O427" s="6"/>
      <c r="P427" s="6"/>
      <c r="Q427" s="10" t="s">
        <v>24</v>
      </c>
      <c r="R427" s="9" t="s">
        <v>65</v>
      </c>
      <c r="V427" s="1" t="s">
        <v>25</v>
      </c>
    </row>
    <row r="428" spans="2:23" hidden="1">
      <c r="B428" s="6" t="str">
        <f>VLOOKUP(C428, [1]Definition!$D$5:$K$5665, 8, FALSE)</f>
        <v>Capital Goods</v>
      </c>
      <c r="C428" s="7">
        <v>846792</v>
      </c>
      <c r="D428" s="8" t="s">
        <v>830</v>
      </c>
      <c r="E428" s="8" t="s">
        <v>25</v>
      </c>
      <c r="F428" s="17" t="s">
        <v>19</v>
      </c>
      <c r="G428" s="8"/>
      <c r="H428" s="8"/>
      <c r="I428" s="9" t="s">
        <v>65</v>
      </c>
      <c r="J428" s="9" t="s">
        <v>31</v>
      </c>
      <c r="K428" s="17" t="str">
        <f>_xlfn.IFNA(VLOOKUP(C428, '[2]Unique HS'!$B$4:$J$999, 9, FALSE), "No")</f>
        <v>Yes</v>
      </c>
      <c r="L428" s="18">
        <f>VLOOKUP(C428, '[1]India EXIM'!$B$6:$C$580, 2, FALSE)</f>
        <v>9.33247517E-3</v>
      </c>
      <c r="M428" s="11">
        <f>VLOOKUP(C428, '[1]China EXIM'!$B$6:$D$580, 3, FALSE)</f>
        <v>0.57857817113999999</v>
      </c>
      <c r="N428" s="6"/>
      <c r="O428" s="6"/>
      <c r="P428" s="6"/>
      <c r="Q428" s="10" t="s">
        <v>24</v>
      </c>
      <c r="R428" s="9" t="s">
        <v>65</v>
      </c>
      <c r="V428" s="1" t="s">
        <v>25</v>
      </c>
    </row>
    <row r="429" spans="2:23" ht="27.95" hidden="1">
      <c r="B429" s="6" t="str">
        <f>VLOOKUP(C429, [1]Definition!$D$5:$K$5665, 8, FALSE)</f>
        <v>Capital Goods</v>
      </c>
      <c r="C429" s="7">
        <v>870110</v>
      </c>
      <c r="D429" s="8" t="s">
        <v>1124</v>
      </c>
      <c r="E429" s="8" t="s">
        <v>25</v>
      </c>
      <c r="F429" s="17" t="s">
        <v>19</v>
      </c>
      <c r="G429" s="8"/>
      <c r="H429" s="8"/>
      <c r="I429" s="9" t="s">
        <v>58</v>
      </c>
      <c r="J429" s="9" t="s">
        <v>31</v>
      </c>
      <c r="K429" s="17" t="str">
        <f>_xlfn.IFNA(VLOOKUP(C429, '[2]Unique HS'!$B$4:$J$999, 9, FALSE), "No")</f>
        <v>No</v>
      </c>
      <c r="L429" s="18">
        <f>VLOOKUP(C429, '[1]India EXIM'!$B$6:$C$580, 2, FALSE)</f>
        <v>2.5588682000000002E-5</v>
      </c>
      <c r="M429" s="11">
        <f>VLOOKUP(C429, '[1]China EXIM'!$B$6:$D$580, 3, FALSE)</f>
        <v>0.29246089718000001</v>
      </c>
      <c r="N429" s="6"/>
      <c r="O429" s="6"/>
      <c r="P429" s="6"/>
      <c r="Q429" s="10" t="s">
        <v>24</v>
      </c>
      <c r="R429" s="9" t="s">
        <v>58</v>
      </c>
      <c r="V429" s="1" t="s">
        <v>25</v>
      </c>
    </row>
    <row r="430" spans="2:23" ht="27.95" hidden="1">
      <c r="B430" s="6" t="str">
        <f>VLOOKUP(C430, [1]Definition!$D$5:$K$5665, 8, FALSE)</f>
        <v>Capital Goods</v>
      </c>
      <c r="C430" s="7">
        <v>845941</v>
      </c>
      <c r="D430" s="8" t="s">
        <v>832</v>
      </c>
      <c r="E430" s="8" t="s">
        <v>25</v>
      </c>
      <c r="F430" s="17" t="s">
        <v>19</v>
      </c>
      <c r="G430" s="8"/>
      <c r="H430" s="8"/>
      <c r="I430" s="9" t="s">
        <v>65</v>
      </c>
      <c r="J430" s="9" t="s">
        <v>31</v>
      </c>
      <c r="K430" s="17" t="str">
        <f>_xlfn.IFNA(VLOOKUP(C430, '[2]Unique HS'!$B$4:$J$999, 9, FALSE), "No")</f>
        <v>No</v>
      </c>
      <c r="L430" s="18">
        <f>VLOOKUP(C430, '[1]India EXIM'!$B$6:$C$580, 2, FALSE)</f>
        <v>9.1793842660000003E-3</v>
      </c>
      <c r="M430" s="11">
        <f>VLOOKUP(C430, '[1]China EXIM'!$B$6:$D$580, 3, FALSE)</f>
        <v>9.3900105080999996E-2</v>
      </c>
      <c r="N430" s="6"/>
      <c r="O430" s="6"/>
      <c r="P430" s="6"/>
      <c r="Q430" s="10" t="s">
        <v>24</v>
      </c>
      <c r="R430" s="9" t="s">
        <v>65</v>
      </c>
      <c r="V430" s="1" t="s">
        <v>25</v>
      </c>
    </row>
    <row r="431" spans="2:23" ht="56.1" hidden="1">
      <c r="B431" s="6" t="str">
        <f>VLOOKUP(C431, [1]Definition!$D$5:$K$5665, 8, FALSE)</f>
        <v>Capital Goods</v>
      </c>
      <c r="C431" s="7">
        <v>900630</v>
      </c>
      <c r="D431" s="8" t="s">
        <v>859</v>
      </c>
      <c r="E431" s="8" t="s">
        <v>137</v>
      </c>
      <c r="F431" s="17" t="s">
        <v>205</v>
      </c>
      <c r="G431" s="8"/>
      <c r="H431" s="8"/>
      <c r="I431" s="9" t="s">
        <v>166</v>
      </c>
      <c r="J431" s="9" t="s">
        <v>201</v>
      </c>
      <c r="K431" s="17" t="str">
        <f>_xlfn.IFNA(VLOOKUP(C431, '[2]Unique HS'!$B$4:$J$999, 9, FALSE), "No")</f>
        <v>No</v>
      </c>
      <c r="L431" s="22">
        <f>VLOOKUP(C431, '[1]India EXIM'!$B$6:$C$580, 2, FALSE)</f>
        <v>7.966317669E-3</v>
      </c>
      <c r="M431" s="11">
        <f>VLOOKUP(C431, '[1]China EXIM'!$B$6:$D$580, 3, FALSE)</f>
        <v>0.28973829151800001</v>
      </c>
      <c r="N431" s="6"/>
      <c r="O431" s="6"/>
      <c r="P431" s="6"/>
      <c r="Q431" s="10" t="s">
        <v>24</v>
      </c>
      <c r="R431" s="11" t="s">
        <v>70</v>
      </c>
      <c r="T431" s="1" t="s">
        <v>136</v>
      </c>
      <c r="V431" s="1" t="s">
        <v>137</v>
      </c>
    </row>
    <row r="432" spans="2:23" ht="42" hidden="1">
      <c r="B432" s="6" t="str">
        <f>VLOOKUP(C432, [1]Definition!$D$5:$K$5665, 8, FALSE)</f>
        <v>Capital Goods</v>
      </c>
      <c r="C432" s="7">
        <v>851529</v>
      </c>
      <c r="D432" s="8" t="s">
        <v>833</v>
      </c>
      <c r="E432" s="8" t="s">
        <v>25</v>
      </c>
      <c r="F432" s="17" t="s">
        <v>19</v>
      </c>
      <c r="G432" s="8"/>
      <c r="H432" s="8"/>
      <c r="I432" s="9" t="s">
        <v>65</v>
      </c>
      <c r="J432" s="9" t="s">
        <v>232</v>
      </c>
      <c r="K432" s="17" t="str">
        <f>_xlfn.IFNA(VLOOKUP(C432, '[2]Unique HS'!$B$4:$J$999, 9, FALSE), "No")</f>
        <v>Yes</v>
      </c>
      <c r="L432" s="18">
        <f>VLOOKUP(C432, '[1]India EXIM'!$B$6:$C$580, 2, FALSE)</f>
        <v>9.1409723680000009E-3</v>
      </c>
      <c r="M432" s="11">
        <f>VLOOKUP(C432, '[1]China EXIM'!$B$6:$D$580, 3, FALSE)</f>
        <v>0.23266553060100001</v>
      </c>
      <c r="N432" s="6"/>
      <c r="O432" s="6"/>
      <c r="P432" s="6"/>
      <c r="Q432" s="10" t="s">
        <v>24</v>
      </c>
      <c r="R432" s="9" t="s">
        <v>65</v>
      </c>
      <c r="V432" s="1" t="s">
        <v>25</v>
      </c>
    </row>
    <row r="433" spans="2:23" ht="27.95" hidden="1">
      <c r="B433" s="6" t="str">
        <f>VLOOKUP(C433, [1]Definition!$D$5:$K$5665, 8, FALSE)</f>
        <v>Capital Goods</v>
      </c>
      <c r="C433" s="7">
        <v>900653</v>
      </c>
      <c r="D433" s="8" t="s">
        <v>1110</v>
      </c>
      <c r="E433" s="8" t="s">
        <v>137</v>
      </c>
      <c r="F433" s="17" t="s">
        <v>205</v>
      </c>
      <c r="G433" s="8"/>
      <c r="H433" s="8"/>
      <c r="I433" s="9" t="s">
        <v>166</v>
      </c>
      <c r="J433" s="9" t="s">
        <v>201</v>
      </c>
      <c r="K433" s="17" t="str">
        <f>_xlfn.IFNA(VLOOKUP(C433, '[2]Unique HS'!$B$4:$J$999, 9, FALSE), "No")</f>
        <v>No</v>
      </c>
      <c r="L433" s="22">
        <f>VLOOKUP(C433, '[1]India EXIM'!$B$6:$C$580, 2, FALSE)</f>
        <v>1.14837536E-4</v>
      </c>
      <c r="M433" s="11">
        <f>VLOOKUP(C433, '[1]China EXIM'!$B$6:$D$580, 3, FALSE)</f>
        <v>0.13513525701199999</v>
      </c>
      <c r="N433" s="6"/>
      <c r="O433" s="6"/>
      <c r="P433" s="6"/>
      <c r="Q433" s="10" t="s">
        <v>24</v>
      </c>
      <c r="R433" s="11" t="s">
        <v>466</v>
      </c>
      <c r="T433" s="1" t="s">
        <v>136</v>
      </c>
      <c r="V433" s="1" t="s">
        <v>137</v>
      </c>
    </row>
    <row r="434" spans="2:23" ht="56.1" hidden="1">
      <c r="B434" s="6" t="str">
        <f>VLOOKUP(C434, [1]Definition!$D$5:$K$5665, 8, FALSE)</f>
        <v>Capital Goods</v>
      </c>
      <c r="C434" s="7">
        <v>820412</v>
      </c>
      <c r="D434" s="8" t="s">
        <v>841</v>
      </c>
      <c r="E434" s="8" t="s">
        <v>25</v>
      </c>
      <c r="F434" s="17" t="s">
        <v>19</v>
      </c>
      <c r="G434" s="8"/>
      <c r="H434" s="8"/>
      <c r="I434" s="9" t="s">
        <v>65</v>
      </c>
      <c r="J434" s="9" t="s">
        <v>690</v>
      </c>
      <c r="K434" s="17" t="str">
        <f>_xlfn.IFNA(VLOOKUP(C434, '[2]Unique HS'!$B$4:$J$999, 9, FALSE), "No")</f>
        <v>Yes</v>
      </c>
      <c r="L434" s="18">
        <f>VLOOKUP(C434, '[1]India EXIM'!$B$6:$C$580, 2, FALSE)</f>
        <v>8.8509458469999986E-3</v>
      </c>
      <c r="M434" s="11">
        <f>VLOOKUP(C434, '[1]China EXIM'!$B$6:$D$580, 3, FALSE)</f>
        <v>0.74652295927300005</v>
      </c>
      <c r="N434" s="6" t="s">
        <v>210</v>
      </c>
      <c r="O434" s="6"/>
      <c r="P434" s="9"/>
      <c r="Q434" s="10" t="s">
        <v>24</v>
      </c>
      <c r="R434" s="11" t="s">
        <v>210</v>
      </c>
      <c r="V434" s="1" t="s">
        <v>25</v>
      </c>
    </row>
    <row r="435" spans="2:23" ht="27.95" hidden="1">
      <c r="B435" s="6" t="str">
        <f>VLOOKUP(C435, [1]Definition!$D$5:$K$5665, 8, FALSE)</f>
        <v>Capital Goods</v>
      </c>
      <c r="C435" s="7">
        <v>901814</v>
      </c>
      <c r="D435" s="8" t="s">
        <v>617</v>
      </c>
      <c r="E435" s="8" t="s">
        <v>137</v>
      </c>
      <c r="F435" s="17" t="s">
        <v>205</v>
      </c>
      <c r="G435" s="8"/>
      <c r="H435" s="8"/>
      <c r="I435" s="9" t="s">
        <v>166</v>
      </c>
      <c r="J435" s="9" t="s">
        <v>570</v>
      </c>
      <c r="K435" s="17" t="str">
        <f>_xlfn.IFNA(VLOOKUP(C435, '[2]Unique HS'!$B$4:$J$999, 9, FALSE), "No")</f>
        <v>No</v>
      </c>
      <c r="L435" s="18">
        <f>VLOOKUP(C435, '[1]India EXIM'!$B$6:$C$580, 2, FALSE)</f>
        <v>2.1199022812E-2</v>
      </c>
      <c r="M435" s="11">
        <f>VLOOKUP(C435, '[1]China EXIM'!$B$6:$D$580, 3, FALSE)</f>
        <v>0.28272592158199999</v>
      </c>
      <c r="N435" s="6"/>
      <c r="O435" s="6"/>
      <c r="P435" s="6"/>
      <c r="Q435" s="10" t="s">
        <v>24</v>
      </c>
      <c r="R435" s="11" t="s">
        <v>70</v>
      </c>
      <c r="T435" s="1" t="s">
        <v>136</v>
      </c>
      <c r="V435" s="1" t="s">
        <v>137</v>
      </c>
    </row>
    <row r="436" spans="2:23" ht="27.95" hidden="1">
      <c r="B436" s="6" t="str">
        <f>VLOOKUP(C436, [1]Definition!$D$5:$K$5665, 8, FALSE)</f>
        <v>Capital Goods</v>
      </c>
      <c r="C436" s="7">
        <v>843621</v>
      </c>
      <c r="D436" s="16" t="s">
        <v>893</v>
      </c>
      <c r="E436" s="16" t="s">
        <v>25</v>
      </c>
      <c r="F436" s="17" t="s">
        <v>19</v>
      </c>
      <c r="G436" s="8"/>
      <c r="H436" s="8"/>
      <c r="I436" s="9" t="s">
        <v>61</v>
      </c>
      <c r="J436" s="9" t="s">
        <v>894</v>
      </c>
      <c r="K436" s="17" t="str">
        <f>_xlfn.IFNA(VLOOKUP(C436, '[2]Unique HS'!$B$4:$J$999, 9, FALSE), "No")</f>
        <v>No</v>
      </c>
      <c r="L436" s="18">
        <f>VLOOKUP(C436, '[1]India EXIM'!$B$6:$C$580, 2, FALSE)</f>
        <v>6.839239964E-3</v>
      </c>
      <c r="M436" s="11">
        <f>VLOOKUP(C436, '[1]China EXIM'!$B$6:$D$580, 3, FALSE)</f>
        <v>0.27866290154000001</v>
      </c>
      <c r="N436" s="6"/>
      <c r="O436" s="6"/>
      <c r="P436" s="6"/>
      <c r="Q436" s="10" t="s">
        <v>24</v>
      </c>
      <c r="R436" s="9" t="s">
        <v>61</v>
      </c>
      <c r="V436" s="1" t="s">
        <v>25</v>
      </c>
    </row>
    <row r="437" spans="2:23" ht="27.95" hidden="1">
      <c r="B437" s="6" t="str">
        <f>VLOOKUP(C437, [1]Definition!$D$5:$K$5665, 8, FALSE)</f>
        <v>Capital Goods</v>
      </c>
      <c r="C437" s="7">
        <v>900710</v>
      </c>
      <c r="D437" s="8" t="s">
        <v>1024</v>
      </c>
      <c r="E437" s="8" t="s">
        <v>137</v>
      </c>
      <c r="F437" s="17" t="s">
        <v>205</v>
      </c>
      <c r="G437" s="8"/>
      <c r="H437" s="8"/>
      <c r="I437" s="9" t="s">
        <v>166</v>
      </c>
      <c r="J437" s="9" t="s">
        <v>201</v>
      </c>
      <c r="K437" s="17" t="str">
        <f>_xlfn.IFNA(VLOOKUP(C437, '[2]Unique HS'!$B$4:$J$999, 9, FALSE), "No")</f>
        <v>No</v>
      </c>
      <c r="L437" s="22">
        <f>VLOOKUP(C437, '[1]India EXIM'!$B$6:$C$580, 2, FALSE)</f>
        <v>1.699321897E-3</v>
      </c>
      <c r="M437" s="11">
        <f>VLOOKUP(C437, '[1]China EXIM'!$B$6:$D$580, 3, FALSE)</f>
        <v>0.117569342324</v>
      </c>
      <c r="N437" s="6"/>
      <c r="O437" s="6"/>
      <c r="P437" s="6"/>
      <c r="Q437" s="10" t="s">
        <v>24</v>
      </c>
      <c r="R437" s="11" t="s">
        <v>466</v>
      </c>
      <c r="T437" s="1" t="s">
        <v>136</v>
      </c>
      <c r="V437" s="1" t="s">
        <v>137</v>
      </c>
    </row>
    <row r="438" spans="2:23" ht="27.95" hidden="1">
      <c r="B438" s="6" t="str">
        <f>VLOOKUP(C438, [1]Definition!$D$5:$K$5665, 8, FALSE)</f>
        <v>Capital Goods</v>
      </c>
      <c r="C438" s="7">
        <v>820140</v>
      </c>
      <c r="D438" s="8" t="s">
        <v>1100</v>
      </c>
      <c r="E438" s="8" t="s">
        <v>25</v>
      </c>
      <c r="F438" s="17" t="s">
        <v>19</v>
      </c>
      <c r="G438" s="8"/>
      <c r="H438" s="8"/>
      <c r="I438" s="9" t="s">
        <v>58</v>
      </c>
      <c r="J438" s="9" t="s">
        <v>909</v>
      </c>
      <c r="K438" s="17" t="str">
        <f>_xlfn.IFNA(VLOOKUP(C438, '[2]Unique HS'!$B$4:$J$999, 9, FALSE), "No")</f>
        <v>No</v>
      </c>
      <c r="L438" s="18">
        <f>VLOOKUP(C438, '[1]India EXIM'!$B$6:$C$580, 2, FALSE)</f>
        <v>2.4727206200000001E-4</v>
      </c>
      <c r="M438" s="11">
        <f>VLOOKUP(C438, '[1]China EXIM'!$B$6:$D$580, 3, FALSE)</f>
        <v>0.27707168058699999</v>
      </c>
      <c r="N438" s="9" t="s">
        <v>959</v>
      </c>
      <c r="O438" s="9"/>
      <c r="P438" s="9"/>
      <c r="Q438" s="10" t="s">
        <v>24</v>
      </c>
      <c r="R438" s="11" t="s">
        <v>210</v>
      </c>
      <c r="V438" s="1" t="s">
        <v>25</v>
      </c>
    </row>
    <row r="439" spans="2:23" ht="56.1">
      <c r="B439" s="6" t="str">
        <f>VLOOKUP(C439, [1]Definition!$D$5:$K$5665, 8, FALSE)</f>
        <v>Capital Goods</v>
      </c>
      <c r="C439" s="7">
        <v>761100</v>
      </c>
      <c r="D439" s="8" t="s">
        <v>694</v>
      </c>
      <c r="E439" s="8" t="s">
        <v>25</v>
      </c>
      <c r="F439" s="17" t="s">
        <v>19</v>
      </c>
      <c r="G439" s="8"/>
      <c r="H439" s="8" t="s">
        <v>695</v>
      </c>
      <c r="I439" s="9" t="s">
        <v>22</v>
      </c>
      <c r="J439" s="9" t="s">
        <v>528</v>
      </c>
      <c r="K439" s="17" t="str">
        <f>_xlfn.IFNA(VLOOKUP(C439, '[2]Unique HS'!$B$4:$J$999, 9, FALSE), "No")</f>
        <v>No</v>
      </c>
      <c r="L439" s="18">
        <f>VLOOKUP(C439, '[1]India EXIM'!$B$6:$C$580, 2, FALSE)</f>
        <v>1.6419606212999999E-2</v>
      </c>
      <c r="M439" s="11">
        <f>VLOOKUP(C439, '[1]China EXIM'!$B$6:$D$580, 3, FALSE)</f>
        <v>0.27677543251700004</v>
      </c>
      <c r="N439" s="6" t="s">
        <v>201</v>
      </c>
      <c r="O439" s="6"/>
      <c r="P439" s="9"/>
      <c r="Q439" s="10" t="s">
        <v>24</v>
      </c>
      <c r="R439" s="9" t="s">
        <v>22</v>
      </c>
      <c r="V439" s="1" t="s">
        <v>25</v>
      </c>
    </row>
    <row r="440" spans="2:23" ht="56.1">
      <c r="B440" s="6" t="str">
        <f>VLOOKUP(C440, [1]Definition!$D$5:$K$5665, 8, FALSE)</f>
        <v>Capital Goods</v>
      </c>
      <c r="C440" s="7">
        <v>841933</v>
      </c>
      <c r="D440" s="8" t="s">
        <v>860</v>
      </c>
      <c r="E440" s="8" t="s">
        <v>25</v>
      </c>
      <c r="F440" s="17" t="s">
        <v>163</v>
      </c>
      <c r="G440" s="8" t="s">
        <v>861</v>
      </c>
      <c r="H440" s="8" t="s">
        <v>862</v>
      </c>
      <c r="I440" s="9" t="s">
        <v>22</v>
      </c>
      <c r="J440" s="9" t="s">
        <v>38</v>
      </c>
      <c r="K440" s="17" t="str">
        <f>_xlfn.IFNA(VLOOKUP(C440, '[2]Unique HS'!$B$4:$J$999, 9, FALSE), "No")</f>
        <v>No</v>
      </c>
      <c r="L440" s="18">
        <f>VLOOKUP(C440, '[1]India EXIM'!$B$6:$C$580, 2, FALSE)</f>
        <v>7.9487122560000009E-3</v>
      </c>
      <c r="M440" s="11">
        <f>VLOOKUP(C440, '[1]China EXIM'!$B$6:$D$580, 3, FALSE)</f>
        <v>0.27471570207999996</v>
      </c>
      <c r="N440" s="6"/>
      <c r="O440" s="6"/>
      <c r="P440" s="6"/>
      <c r="Q440" s="10" t="s">
        <v>24</v>
      </c>
      <c r="R440" s="11" t="s">
        <v>22</v>
      </c>
      <c r="V440" s="1" t="s">
        <v>25</v>
      </c>
    </row>
    <row r="441" spans="2:23" ht="27.95" hidden="1">
      <c r="B441" s="6" t="str">
        <f>VLOOKUP(C441, [1]Definition!$D$5:$K$5665, 8, FALSE)</f>
        <v>Capital Goods</v>
      </c>
      <c r="C441" s="7">
        <v>900659</v>
      </c>
      <c r="D441" s="8" t="s">
        <v>934</v>
      </c>
      <c r="E441" s="8" t="s">
        <v>211</v>
      </c>
      <c r="F441" s="17" t="s">
        <v>119</v>
      </c>
      <c r="G441" s="8" t="s">
        <v>935</v>
      </c>
      <c r="H441" s="8"/>
      <c r="I441" s="9" t="s">
        <v>166</v>
      </c>
      <c r="J441" s="9" t="s">
        <v>201</v>
      </c>
      <c r="K441" s="17" t="str">
        <f>_xlfn.IFNA(VLOOKUP(C441, '[2]Unique HS'!$B$4:$J$999, 9, FALSE), "No")</f>
        <v>Yes</v>
      </c>
      <c r="L441" s="18">
        <f>VLOOKUP(C441, '[1]India EXIM'!$B$6:$C$580, 2, FALSE)</f>
        <v>6.5109362100000006E-4</v>
      </c>
      <c r="M441" s="11">
        <f>VLOOKUP(C441, '[1]China EXIM'!$B$6:$D$580, 3, FALSE)</f>
        <v>0.273228796163</v>
      </c>
      <c r="N441" s="6"/>
      <c r="O441" s="6"/>
      <c r="P441" s="6"/>
      <c r="Q441" s="10" t="s">
        <v>24</v>
      </c>
      <c r="R441" s="11" t="s">
        <v>466</v>
      </c>
      <c r="V441" s="1" t="s">
        <v>211</v>
      </c>
      <c r="W441" s="1" t="s">
        <v>936</v>
      </c>
    </row>
    <row r="442" spans="2:23" ht="27.95" hidden="1">
      <c r="B442" s="6" t="str">
        <f>VLOOKUP(C442, [1]Definition!$D$5:$K$5665, 8, FALSE)</f>
        <v>Capital Goods</v>
      </c>
      <c r="C442" s="7">
        <v>844317</v>
      </c>
      <c r="D442" s="8" t="s">
        <v>512</v>
      </c>
      <c r="E442" s="8" t="s">
        <v>25</v>
      </c>
      <c r="F442" s="17" t="s">
        <v>19</v>
      </c>
      <c r="G442" s="8"/>
      <c r="H442" s="8"/>
      <c r="I442" s="9" t="s">
        <v>180</v>
      </c>
      <c r="J442" s="9" t="s">
        <v>181</v>
      </c>
      <c r="K442" s="17" t="str">
        <f>_xlfn.IFNA(VLOOKUP(C442, '[2]Unique HS'!$B$4:$J$999, 9, FALSE), "No")</f>
        <v>No</v>
      </c>
      <c r="L442" s="18">
        <f>VLOOKUP(C442, '[1]India EXIM'!$B$6:$C$580, 2, FALSE)</f>
        <v>2.9865455377E-2</v>
      </c>
      <c r="M442" s="11">
        <f>VLOOKUP(C442, '[1]China EXIM'!$B$6:$D$580, 3, FALSE)</f>
        <v>0.26310089732399999</v>
      </c>
      <c r="N442" s="6"/>
      <c r="O442" s="6"/>
      <c r="P442" s="6"/>
      <c r="Q442" s="10" t="s">
        <v>24</v>
      </c>
      <c r="R442" s="11" t="s">
        <v>182</v>
      </c>
      <c r="V442" s="1" t="s">
        <v>25</v>
      </c>
    </row>
    <row r="443" spans="2:23" ht="27.95" hidden="1">
      <c r="B443" s="6" t="str">
        <f>VLOOKUP(C443, [1]Definition!$D$5:$K$5665, 8, FALSE)</f>
        <v>Capital Goods</v>
      </c>
      <c r="C443" s="7">
        <v>842919</v>
      </c>
      <c r="D443" s="8" t="s">
        <v>561</v>
      </c>
      <c r="E443" s="8" t="s">
        <v>25</v>
      </c>
      <c r="F443" s="17" t="s">
        <v>19</v>
      </c>
      <c r="G443" s="8"/>
      <c r="H443" s="8"/>
      <c r="I443" s="9" t="s">
        <v>58</v>
      </c>
      <c r="J443" s="9" t="s">
        <v>31</v>
      </c>
      <c r="K443" s="17" t="str">
        <f>_xlfn.IFNA(VLOOKUP(C443, '[2]Unique HS'!$B$4:$J$999, 9, FALSE), "No")</f>
        <v>No</v>
      </c>
      <c r="L443" s="18">
        <f>VLOOKUP(C443, '[1]India EXIM'!$B$6:$C$580, 2, FALSE)</f>
        <v>2.562460473E-2</v>
      </c>
      <c r="M443" s="11">
        <f>VLOOKUP(C443, '[1]China EXIM'!$B$6:$D$580, 3, FALSE)</f>
        <v>0.26171949981799997</v>
      </c>
      <c r="N443" s="9" t="s">
        <v>117</v>
      </c>
      <c r="O443" s="9"/>
      <c r="P443" s="6"/>
      <c r="Q443" s="10" t="s">
        <v>24</v>
      </c>
      <c r="R443" s="9" t="s">
        <v>58</v>
      </c>
      <c r="V443" s="1" t="s">
        <v>25</v>
      </c>
    </row>
    <row r="444" spans="2:23" ht="27.95" hidden="1">
      <c r="B444" s="6" t="str">
        <f>VLOOKUP(C444, [1]Definition!$D$5:$K$5665, 8, FALSE)</f>
        <v>Capital Goods</v>
      </c>
      <c r="C444" s="7">
        <v>845640</v>
      </c>
      <c r="D444" s="8" t="s">
        <v>843</v>
      </c>
      <c r="E444" s="8" t="s">
        <v>25</v>
      </c>
      <c r="F444" s="17" t="s">
        <v>19</v>
      </c>
      <c r="G444" s="8"/>
      <c r="H444" s="8"/>
      <c r="I444" s="9" t="s">
        <v>65</v>
      </c>
      <c r="J444" s="9" t="s">
        <v>31</v>
      </c>
      <c r="K444" s="17" t="str">
        <f>_xlfn.IFNA(VLOOKUP(C444, '[2]Unique HS'!$B$4:$J$999, 9, FALSE), "No")</f>
        <v>No</v>
      </c>
      <c r="L444" s="18">
        <f>VLOOKUP(C444, '[1]India EXIM'!$B$6:$C$580, 2, FALSE)</f>
        <v>8.5975756339999997E-3</v>
      </c>
      <c r="M444" s="11">
        <f>VLOOKUP(C444, '[1]China EXIM'!$B$6:$D$580, 3, FALSE)</f>
        <v>0.51588565378700002</v>
      </c>
      <c r="N444" s="6"/>
      <c r="O444" s="6"/>
      <c r="P444" s="6"/>
      <c r="Q444" s="10" t="s">
        <v>24</v>
      </c>
      <c r="R444" s="9" t="s">
        <v>65</v>
      </c>
      <c r="V444" s="1" t="s">
        <v>25</v>
      </c>
    </row>
    <row r="445" spans="2:23" ht="27.95" hidden="1">
      <c r="B445" s="6" t="str">
        <f>VLOOKUP(C445, [1]Definition!$D$5:$K$5665, 8, FALSE)</f>
        <v>Capital Goods</v>
      </c>
      <c r="C445" s="7">
        <v>900720</v>
      </c>
      <c r="D445" s="8" t="s">
        <v>1058</v>
      </c>
      <c r="E445" s="8" t="s">
        <v>137</v>
      </c>
      <c r="F445" s="17" t="s">
        <v>205</v>
      </c>
      <c r="G445" s="8"/>
      <c r="H445" s="8"/>
      <c r="I445" s="9" t="s">
        <v>166</v>
      </c>
      <c r="J445" s="9" t="s">
        <v>201</v>
      </c>
      <c r="K445" s="17" t="str">
        <f>_xlfn.IFNA(VLOOKUP(C445, '[2]Unique HS'!$B$4:$J$999, 9, FALSE), "No")</f>
        <v>No</v>
      </c>
      <c r="L445" s="22">
        <f>VLOOKUP(C445, '[1]India EXIM'!$B$6:$C$580, 2, FALSE)</f>
        <v>8.5541350899999999E-4</v>
      </c>
      <c r="M445" s="11">
        <f>VLOOKUP(C445, '[1]China EXIM'!$B$6:$D$580, 3, FALSE)</f>
        <v>0.12419294055500001</v>
      </c>
      <c r="N445" s="6"/>
      <c r="O445" s="6"/>
      <c r="P445" s="6"/>
      <c r="Q445" s="10" t="s">
        <v>24</v>
      </c>
      <c r="R445" s="11" t="s">
        <v>466</v>
      </c>
      <c r="T445" s="1" t="s">
        <v>136</v>
      </c>
      <c r="V445" s="1" t="s">
        <v>137</v>
      </c>
    </row>
    <row r="446" spans="2:23" ht="27.95" hidden="1">
      <c r="B446" s="6" t="str">
        <f>VLOOKUP(C446, [1]Definition!$D$5:$K$5665, 8, FALSE)</f>
        <v>Capital Goods</v>
      </c>
      <c r="C446" s="7">
        <v>900850</v>
      </c>
      <c r="D446" s="8" t="s">
        <v>999</v>
      </c>
      <c r="E446" s="8" t="s">
        <v>137</v>
      </c>
      <c r="F446" s="17" t="s">
        <v>205</v>
      </c>
      <c r="G446" s="8"/>
      <c r="H446" s="8"/>
      <c r="I446" s="9" t="s">
        <v>166</v>
      </c>
      <c r="J446" s="9" t="s">
        <v>201</v>
      </c>
      <c r="K446" s="17" t="str">
        <f>_xlfn.IFNA(VLOOKUP(C446, '[2]Unique HS'!$B$4:$J$999, 9, FALSE), "No")</f>
        <v>No</v>
      </c>
      <c r="L446" s="22">
        <f>VLOOKUP(C446, '[1]India EXIM'!$B$6:$C$580, 2, FALSE)</f>
        <v>2.3111819219999996E-3</v>
      </c>
      <c r="M446" s="11">
        <f>VLOOKUP(C446, '[1]China EXIM'!$B$6:$D$580, 3, FALSE)</f>
        <v>0.24282323883500001</v>
      </c>
      <c r="N446" s="6"/>
      <c r="O446" s="6"/>
      <c r="P446" s="6"/>
      <c r="Q446" s="10" t="s">
        <v>24</v>
      </c>
      <c r="R446" s="11" t="s">
        <v>466</v>
      </c>
      <c r="T446" s="1" t="s">
        <v>136</v>
      </c>
      <c r="V446" s="1" t="s">
        <v>137</v>
      </c>
    </row>
    <row r="447" spans="2:23" ht="42" hidden="1">
      <c r="B447" s="6" t="str">
        <f>VLOOKUP(C447, [1]Definition!$D$5:$K$5665, 8, FALSE)</f>
        <v>Capital Goods</v>
      </c>
      <c r="C447" s="7">
        <v>846595</v>
      </c>
      <c r="D447" s="8" t="s">
        <v>844</v>
      </c>
      <c r="E447" s="8" t="s">
        <v>25</v>
      </c>
      <c r="F447" s="17" t="s">
        <v>19</v>
      </c>
      <c r="G447" s="8"/>
      <c r="H447" s="8"/>
      <c r="I447" s="9" t="s">
        <v>65</v>
      </c>
      <c r="J447" s="9" t="s">
        <v>31</v>
      </c>
      <c r="K447" s="17" t="str">
        <f>_xlfn.IFNA(VLOOKUP(C447, '[2]Unique HS'!$B$4:$J$999, 9, FALSE), "No")</f>
        <v>No</v>
      </c>
      <c r="L447" s="18">
        <f>VLOOKUP(C447, '[1]India EXIM'!$B$6:$C$580, 2, FALSE)</f>
        <v>8.5850920129999994E-3</v>
      </c>
      <c r="M447" s="11">
        <f>VLOOKUP(C447, '[1]China EXIM'!$B$6:$D$580, 3, FALSE)</f>
        <v>0.52546282407400002</v>
      </c>
      <c r="N447" s="6"/>
      <c r="O447" s="6"/>
      <c r="P447" s="6"/>
      <c r="Q447" s="10" t="s">
        <v>24</v>
      </c>
      <c r="R447" s="9" t="s">
        <v>65</v>
      </c>
      <c r="V447" s="1" t="s">
        <v>25</v>
      </c>
    </row>
    <row r="448" spans="2:23" ht="56.1" hidden="1">
      <c r="B448" s="6" t="str">
        <f>VLOOKUP(C448, [1]Definition!$D$5:$K$5665, 8, FALSE)</f>
        <v>Capital Goods</v>
      </c>
      <c r="C448" s="7">
        <v>901010</v>
      </c>
      <c r="D448" s="8" t="s">
        <v>1077</v>
      </c>
      <c r="E448" s="8" t="s">
        <v>137</v>
      </c>
      <c r="F448" s="17" t="s">
        <v>205</v>
      </c>
      <c r="G448" s="8"/>
      <c r="H448" s="8"/>
      <c r="I448" s="9" t="s">
        <v>166</v>
      </c>
      <c r="J448" s="9" t="s">
        <v>201</v>
      </c>
      <c r="K448" s="17" t="str">
        <f>_xlfn.IFNA(VLOOKUP(C448, '[2]Unique HS'!$B$4:$J$999, 9, FALSE), "No")</f>
        <v>No</v>
      </c>
      <c r="L448" s="22">
        <f>VLOOKUP(C448, '[1]India EXIM'!$B$6:$C$580, 2, FALSE)</f>
        <v>4.3034546399999999E-4</v>
      </c>
      <c r="M448" s="11">
        <f>VLOOKUP(C448, '[1]China EXIM'!$B$6:$D$580, 3, FALSE)</f>
        <v>3.6715158312E-2</v>
      </c>
      <c r="N448" s="6"/>
      <c r="O448" s="6"/>
      <c r="P448" s="6"/>
      <c r="Q448" s="10" t="s">
        <v>24</v>
      </c>
      <c r="R448" s="11" t="s">
        <v>466</v>
      </c>
      <c r="T448" s="1" t="s">
        <v>136</v>
      </c>
      <c r="V448" s="1" t="s">
        <v>137</v>
      </c>
    </row>
    <row r="449" spans="2:23" ht="27.95" hidden="1">
      <c r="B449" s="6" t="str">
        <f>VLOOKUP(C449, [1]Definition!$D$5:$K$5665, 8, FALSE)</f>
        <v>Capital Goods</v>
      </c>
      <c r="C449" s="7">
        <v>846251</v>
      </c>
      <c r="D449" s="8" t="s">
        <v>852</v>
      </c>
      <c r="E449" s="8" t="s">
        <v>25</v>
      </c>
      <c r="F449" s="17" t="s">
        <v>19</v>
      </c>
      <c r="G449" s="8"/>
      <c r="H449" s="8"/>
      <c r="I449" s="9" t="s">
        <v>65</v>
      </c>
      <c r="J449" s="9" t="s">
        <v>31</v>
      </c>
      <c r="K449" s="17" t="str">
        <f>_xlfn.IFNA(VLOOKUP(C449, '[2]Unique HS'!$B$4:$J$999, 9, FALSE), "No")</f>
        <v>No</v>
      </c>
      <c r="L449" s="18">
        <f>VLOOKUP(C449, '[1]India EXIM'!$B$6:$C$580, 2, FALSE)</f>
        <v>8.0838840119999995E-3</v>
      </c>
      <c r="M449" s="11">
        <f>VLOOKUP(C449, '[1]China EXIM'!$B$6:$D$580, 3, FALSE)</f>
        <v>0.23315133930199999</v>
      </c>
      <c r="N449" s="6"/>
      <c r="O449" s="6"/>
      <c r="P449" s="6"/>
      <c r="Q449" s="10" t="s">
        <v>24</v>
      </c>
      <c r="R449" s="9" t="s">
        <v>65</v>
      </c>
      <c r="V449" s="1" t="s">
        <v>25</v>
      </c>
    </row>
    <row r="450" spans="2:23" ht="42" hidden="1">
      <c r="B450" s="6" t="str">
        <f>VLOOKUP(C450, [1]Definition!$D$5:$K$5665, 8, FALSE)</f>
        <v>Capital Goods</v>
      </c>
      <c r="C450" s="7">
        <v>901050</v>
      </c>
      <c r="D450" s="8" t="s">
        <v>1070</v>
      </c>
      <c r="E450" s="8" t="s">
        <v>137</v>
      </c>
      <c r="F450" s="17" t="s">
        <v>205</v>
      </c>
      <c r="G450" s="8"/>
      <c r="H450" s="8"/>
      <c r="I450" s="9" t="s">
        <v>166</v>
      </c>
      <c r="J450" s="9" t="s">
        <v>201</v>
      </c>
      <c r="K450" s="17" t="str">
        <f>_xlfn.IFNA(VLOOKUP(C450, '[2]Unique HS'!$B$4:$J$999, 9, FALSE), "No")</f>
        <v>No</v>
      </c>
      <c r="L450" s="22">
        <f>VLOOKUP(C450, '[1]India EXIM'!$B$6:$C$580, 2, FALSE)</f>
        <v>5.5093314199999995E-4</v>
      </c>
      <c r="M450" s="11">
        <f>VLOOKUP(C450, '[1]China EXIM'!$B$6:$D$580, 3, FALSE)</f>
        <v>0.30691580167999999</v>
      </c>
      <c r="N450" s="6"/>
      <c r="O450" s="6"/>
      <c r="P450" s="6"/>
      <c r="Q450" s="10" t="s">
        <v>24</v>
      </c>
      <c r="R450" s="11" t="s">
        <v>466</v>
      </c>
      <c r="T450" s="1" t="s">
        <v>136</v>
      </c>
      <c r="V450" s="1" t="s">
        <v>137</v>
      </c>
    </row>
    <row r="451" spans="2:23" ht="27.95" hidden="1">
      <c r="B451" s="6" t="str">
        <f>VLOOKUP(C451, [1]Definition!$D$5:$K$5665, 8, FALSE)</f>
        <v>Capital Goods</v>
      </c>
      <c r="C451" s="7">
        <v>845310</v>
      </c>
      <c r="D451" s="8" t="s">
        <v>789</v>
      </c>
      <c r="E451" s="8" t="s">
        <v>25</v>
      </c>
      <c r="F451" s="17" t="s">
        <v>19</v>
      </c>
      <c r="G451" s="8"/>
      <c r="H451" s="8"/>
      <c r="I451" s="9" t="s">
        <v>55</v>
      </c>
      <c r="J451" s="9" t="s">
        <v>790</v>
      </c>
      <c r="K451" s="17" t="str">
        <f>_xlfn.IFNA(VLOOKUP(C451, '[2]Unique HS'!$B$4:$J$999, 9, FALSE), "No")</f>
        <v>No</v>
      </c>
      <c r="L451" s="18">
        <f>VLOOKUP(C451, '[1]India EXIM'!$B$6:$C$580, 2, FALSE)</f>
        <v>1.0884678294E-2</v>
      </c>
      <c r="M451" s="11">
        <f>VLOOKUP(C451, '[1]China EXIM'!$B$6:$D$580, 3, FALSE)</f>
        <v>0.23774777932899999</v>
      </c>
      <c r="N451" s="6"/>
      <c r="O451" s="6"/>
      <c r="P451" s="6"/>
      <c r="Q451" s="10" t="s">
        <v>24</v>
      </c>
      <c r="R451" s="9" t="s">
        <v>55</v>
      </c>
      <c r="V451" s="1" t="s">
        <v>25</v>
      </c>
    </row>
    <row r="452" spans="2:23" ht="27.95" hidden="1">
      <c r="B452" s="6" t="str">
        <f>VLOOKUP(C452, [1]Definition!$D$5:$K$5665, 8, FALSE)</f>
        <v>Capital Goods</v>
      </c>
      <c r="C452" s="7">
        <v>848020</v>
      </c>
      <c r="D452" s="8" t="s">
        <v>952</v>
      </c>
      <c r="E452" s="8" t="s">
        <v>34</v>
      </c>
      <c r="F452" s="17" t="s">
        <v>119</v>
      </c>
      <c r="G452" s="8"/>
      <c r="H452" s="8"/>
      <c r="I452" s="9" t="s">
        <v>149</v>
      </c>
      <c r="J452" s="9" t="s">
        <v>953</v>
      </c>
      <c r="K452" s="17" t="str">
        <f>_xlfn.IFNA(VLOOKUP(C452, '[2]Unique HS'!$B$4:$J$999, 9, FALSE), "No")</f>
        <v>No</v>
      </c>
      <c r="L452" s="18">
        <f>VLOOKUP(C452, '[1]India EXIM'!$B$6:$C$580, 2, FALSE)</f>
        <v>7.7974139249999998E-3</v>
      </c>
      <c r="M452" s="11">
        <f>VLOOKUP(C452, '[1]China EXIM'!$B$6:$D$580, 3, FALSE)</f>
        <v>0.23696839887099999</v>
      </c>
      <c r="N452" s="6"/>
      <c r="O452" s="6"/>
      <c r="P452" s="6"/>
      <c r="Q452" s="10" t="s">
        <v>24</v>
      </c>
      <c r="R452" s="9" t="s">
        <v>149</v>
      </c>
      <c r="V452" s="1" t="s">
        <v>34</v>
      </c>
    </row>
    <row r="453" spans="2:23" ht="27.95" hidden="1">
      <c r="B453" s="6" t="str">
        <f>VLOOKUP(C453, [1]Definition!$D$5:$K$5665, 8, FALSE)</f>
        <v>Capital Goods</v>
      </c>
      <c r="C453" s="7">
        <v>910690</v>
      </c>
      <c r="D453" s="8" t="s">
        <v>895</v>
      </c>
      <c r="E453" s="8" t="s">
        <v>34</v>
      </c>
      <c r="F453" s="17" t="s">
        <v>19</v>
      </c>
      <c r="G453" s="8"/>
      <c r="H453" s="8"/>
      <c r="I453" s="9" t="s">
        <v>496</v>
      </c>
      <c r="J453" s="9" t="s">
        <v>781</v>
      </c>
      <c r="K453" s="17" t="str">
        <f>_xlfn.IFNA(VLOOKUP(C453, '[2]Unique HS'!$B$4:$J$999, 9, FALSE), "No")</f>
        <v>Yes</v>
      </c>
      <c r="L453" s="18">
        <f>VLOOKUP(C453, '[1]India EXIM'!$B$6:$C$580, 2, FALSE)</f>
        <v>6.804530229E-3</v>
      </c>
      <c r="M453" s="11">
        <f>VLOOKUP(C453, '[1]China EXIM'!$B$6:$D$580, 3, FALSE)</f>
        <v>0.23596275968700001</v>
      </c>
      <c r="N453" s="6"/>
      <c r="O453" s="6"/>
      <c r="P453" s="6"/>
      <c r="Q453" s="10" t="s">
        <v>24</v>
      </c>
      <c r="R453" s="9" t="s">
        <v>496</v>
      </c>
      <c r="T453" s="1" t="s">
        <v>136</v>
      </c>
      <c r="V453" s="1" t="s">
        <v>34</v>
      </c>
      <c r="W453" s="1" t="s">
        <v>600</v>
      </c>
    </row>
    <row r="454" spans="2:23" ht="69.95" hidden="1">
      <c r="B454" s="6" t="str">
        <f>VLOOKUP(C454, [1]Definition!$D$5:$K$5665, 8, FALSE)</f>
        <v>Capital Goods</v>
      </c>
      <c r="C454" s="7">
        <v>901540</v>
      </c>
      <c r="D454" s="8" t="s">
        <v>605</v>
      </c>
      <c r="E454" s="8" t="s">
        <v>25</v>
      </c>
      <c r="F454" s="17" t="s">
        <v>163</v>
      </c>
      <c r="G454" s="8" t="s">
        <v>606</v>
      </c>
      <c r="H454" s="8" t="s">
        <v>607</v>
      </c>
      <c r="I454" s="9" t="s">
        <v>166</v>
      </c>
      <c r="J454" s="9" t="s">
        <v>167</v>
      </c>
      <c r="K454" s="17" t="str">
        <f>_xlfn.IFNA(VLOOKUP(C454, '[2]Unique HS'!$B$4:$J$999, 9, FALSE), "No")</f>
        <v>Yes</v>
      </c>
      <c r="L454" s="18">
        <f>VLOOKUP(C454, '[1]India EXIM'!$B$6:$C$580, 2, FALSE)</f>
        <v>2.1685819835000002E-2</v>
      </c>
      <c r="M454" s="11">
        <f>VLOOKUP(C454, '[1]China EXIM'!$B$6:$D$580, 3, FALSE)</f>
        <v>0.235014388219</v>
      </c>
      <c r="N454" s="6"/>
      <c r="O454" s="6"/>
      <c r="P454" s="6"/>
      <c r="Q454" s="10" t="s">
        <v>24</v>
      </c>
      <c r="R454" s="11" t="s">
        <v>168</v>
      </c>
      <c r="V454" s="1" t="s">
        <v>25</v>
      </c>
      <c r="W454" s="1" t="s">
        <v>542</v>
      </c>
    </row>
    <row r="455" spans="2:23" ht="69.95">
      <c r="B455" s="6" t="str">
        <f>VLOOKUP(C455, [1]Definition!$D$5:$K$5665, 8, FALSE)</f>
        <v>Capital Goods</v>
      </c>
      <c r="C455" s="7">
        <v>841610</v>
      </c>
      <c r="D455" s="8" t="s">
        <v>919</v>
      </c>
      <c r="E455" s="8" t="s">
        <v>25</v>
      </c>
      <c r="F455" s="17" t="s">
        <v>19</v>
      </c>
      <c r="G455" s="8" t="s">
        <v>920</v>
      </c>
      <c r="H455" s="8" t="s">
        <v>921</v>
      </c>
      <c r="I455" s="9" t="s">
        <v>22</v>
      </c>
      <c r="J455" s="9" t="s">
        <v>922</v>
      </c>
      <c r="K455" s="17" t="str">
        <f>_xlfn.IFNA(VLOOKUP(C455, '[2]Unique HS'!$B$4:$J$999, 9, FALSE), "No")</f>
        <v>No</v>
      </c>
      <c r="L455" s="18">
        <f>VLOOKUP(C455, '[1]India EXIM'!$B$6:$C$580, 2, FALSE)</f>
        <v>5.1920741189999996E-3</v>
      </c>
      <c r="M455" s="11">
        <f>VLOOKUP(C455, '[1]China EXIM'!$B$6:$D$580, 3, FALSE)</f>
        <v>0.23399765947699999</v>
      </c>
      <c r="N455" s="9" t="s">
        <v>82</v>
      </c>
      <c r="O455" s="9"/>
      <c r="P455" s="6"/>
      <c r="Q455" s="10" t="s">
        <v>24</v>
      </c>
      <c r="R455" s="9" t="s">
        <v>22</v>
      </c>
      <c r="V455" s="1" t="s">
        <v>25</v>
      </c>
    </row>
    <row r="456" spans="2:23" ht="27.95" hidden="1">
      <c r="B456" s="6" t="str">
        <f>VLOOKUP(C456, [1]Definition!$D$5:$K$5665, 8, FALSE)</f>
        <v>Capital Goods</v>
      </c>
      <c r="C456" s="7">
        <v>820600</v>
      </c>
      <c r="D456" s="8" t="s">
        <v>884</v>
      </c>
      <c r="E456" s="8" t="s">
        <v>25</v>
      </c>
      <c r="F456" s="17" t="s">
        <v>19</v>
      </c>
      <c r="G456" s="8"/>
      <c r="H456" s="8"/>
      <c r="I456" s="9" t="s">
        <v>65</v>
      </c>
      <c r="J456" s="9" t="s">
        <v>209</v>
      </c>
      <c r="K456" s="17" t="str">
        <f>_xlfn.IFNA(VLOOKUP(C456, '[2]Unique HS'!$B$4:$J$999, 9, FALSE), "No")</f>
        <v>Yes</v>
      </c>
      <c r="L456" s="18">
        <f>VLOOKUP(C456, '[1]India EXIM'!$B$6:$C$580, 2, FALSE)</f>
        <v>7.2351876019999999E-3</v>
      </c>
      <c r="M456" s="11">
        <f>VLOOKUP(C456, '[1]China EXIM'!$B$6:$D$580, 3, FALSE)</f>
        <v>1.8768980583479999</v>
      </c>
      <c r="N456" s="6" t="s">
        <v>210</v>
      </c>
      <c r="O456" s="6"/>
      <c r="P456" s="6" t="s">
        <v>201</v>
      </c>
      <c r="Q456" s="10" t="s">
        <v>24</v>
      </c>
      <c r="R456" s="11" t="s">
        <v>210</v>
      </c>
      <c r="V456" s="1" t="s">
        <v>25</v>
      </c>
    </row>
    <row r="457" spans="2:23" ht="56.1" hidden="1">
      <c r="B457" s="6" t="str">
        <f>VLOOKUP(C457, [1]Definition!$D$5:$K$5665, 8, FALSE)</f>
        <v>Capital Goods</v>
      </c>
      <c r="C457" s="7">
        <v>846510</v>
      </c>
      <c r="D457" s="8" t="s">
        <v>886</v>
      </c>
      <c r="E457" s="8" t="s">
        <v>25</v>
      </c>
      <c r="F457" s="17" t="s">
        <v>19</v>
      </c>
      <c r="G457" s="8"/>
      <c r="H457" s="8"/>
      <c r="I457" s="9" t="s">
        <v>65</v>
      </c>
      <c r="J457" s="9" t="s">
        <v>31</v>
      </c>
      <c r="K457" s="17" t="str">
        <f>_xlfn.IFNA(VLOOKUP(C457, '[2]Unique HS'!$B$4:$J$999, 9, FALSE), "No")</f>
        <v>No</v>
      </c>
      <c r="L457" s="18">
        <f>VLOOKUP(C457, '[1]India EXIM'!$B$6:$C$580, 2, FALSE)</f>
        <v>7.0830125650000004E-3</v>
      </c>
      <c r="M457" s="11">
        <f>VLOOKUP(C457, '[1]China EXIM'!$B$6:$D$580, 3, FALSE)</f>
        <v>1.3173001751089999</v>
      </c>
      <c r="N457" s="6"/>
      <c r="O457" s="6"/>
      <c r="P457" s="6"/>
      <c r="Q457" s="10" t="s">
        <v>24</v>
      </c>
      <c r="R457" s="9" t="s">
        <v>65</v>
      </c>
      <c r="V457" s="1" t="s">
        <v>25</v>
      </c>
    </row>
    <row r="458" spans="2:23" ht="27.95" hidden="1">
      <c r="B458" s="6" t="str">
        <f>VLOOKUP(C458, [1]Definition!$D$5:$K$5665, 8, FALSE)</f>
        <v>Capital Goods</v>
      </c>
      <c r="C458" s="7">
        <v>845510</v>
      </c>
      <c r="D458" s="8" t="s">
        <v>248</v>
      </c>
      <c r="E458" s="8" t="s">
        <v>25</v>
      </c>
      <c r="F458" s="17" t="s">
        <v>19</v>
      </c>
      <c r="G458" s="8"/>
      <c r="H458" s="8"/>
      <c r="I458" s="9" t="s">
        <v>82</v>
      </c>
      <c r="J458" s="9" t="s">
        <v>249</v>
      </c>
      <c r="K458" s="17" t="str">
        <f>_xlfn.IFNA(VLOOKUP(C458, '[2]Unique HS'!$B$4:$J$999, 9, FALSE), "No")</f>
        <v>No</v>
      </c>
      <c r="L458" s="18">
        <f>VLOOKUP(C458, '[1]India EXIM'!$B$6:$C$580, 2, FALSE)</f>
        <v>9.7560921055999991E-2</v>
      </c>
      <c r="M458" s="11">
        <f>VLOOKUP(C458, '[1]China EXIM'!$B$6:$D$580, 3, FALSE)</f>
        <v>0.231572879791</v>
      </c>
      <c r="N458" s="6"/>
      <c r="O458" s="6"/>
      <c r="P458" s="6"/>
      <c r="Q458" s="10" t="s">
        <v>24</v>
      </c>
      <c r="R458" s="9" t="s">
        <v>82</v>
      </c>
      <c r="V458" s="1" t="s">
        <v>25</v>
      </c>
    </row>
    <row r="459" spans="2:23" ht="27.95" hidden="1">
      <c r="B459" s="6" t="str">
        <f>VLOOKUP(C459, [1]Definition!$D$5:$K$5665, 8, FALSE)</f>
        <v>Capital Goods</v>
      </c>
      <c r="C459" s="7">
        <v>844711</v>
      </c>
      <c r="D459" s="8" t="s">
        <v>702</v>
      </c>
      <c r="E459" s="8" t="s">
        <v>25</v>
      </c>
      <c r="F459" s="17" t="s">
        <v>19</v>
      </c>
      <c r="G459" s="8"/>
      <c r="H459" s="8"/>
      <c r="I459" s="9" t="s">
        <v>55</v>
      </c>
      <c r="J459" s="9" t="s">
        <v>56</v>
      </c>
      <c r="K459" s="17" t="str">
        <f>_xlfn.IFNA(VLOOKUP(C459, '[2]Unique HS'!$B$4:$J$999, 9, FALSE), "No")</f>
        <v>No</v>
      </c>
      <c r="L459" s="18">
        <f>VLOOKUP(C459, '[1]India EXIM'!$B$6:$C$580, 2, FALSE)</f>
        <v>1.5885132451000001E-2</v>
      </c>
      <c r="M459" s="11">
        <f>VLOOKUP(C459, '[1]China EXIM'!$B$6:$D$580, 3, FALSE)</f>
        <v>0.22891004633500001</v>
      </c>
      <c r="N459" s="6"/>
      <c r="O459" s="6"/>
      <c r="P459" s="6"/>
      <c r="Q459" s="10" t="s">
        <v>24</v>
      </c>
      <c r="R459" s="9" t="s">
        <v>55</v>
      </c>
      <c r="V459" s="1" t="s">
        <v>25</v>
      </c>
    </row>
    <row r="460" spans="2:23" ht="27.95" hidden="1">
      <c r="B460" s="6" t="str">
        <f>VLOOKUP(C460, [1]Definition!$D$5:$K$5665, 8, FALSE)</f>
        <v>Capital Goods</v>
      </c>
      <c r="C460" s="7">
        <v>848580</v>
      </c>
      <c r="D460" s="8" t="s">
        <v>891</v>
      </c>
      <c r="E460" s="8" t="s">
        <v>25</v>
      </c>
      <c r="F460" s="17" t="s">
        <v>19</v>
      </c>
      <c r="G460" s="8"/>
      <c r="H460" s="8"/>
      <c r="I460" s="9" t="s">
        <v>65</v>
      </c>
      <c r="J460" s="9" t="s">
        <v>892</v>
      </c>
      <c r="K460" s="17" t="str">
        <f>_xlfn.IFNA(VLOOKUP(C460, '[2]Unique HS'!$B$4:$J$999, 9, FALSE), "No")</f>
        <v>No</v>
      </c>
      <c r="L460" s="18">
        <f>VLOOKUP(C460, '[1]India EXIM'!$B$6:$C$580, 2, FALSE)</f>
        <v>6.8783455270000002E-3</v>
      </c>
      <c r="M460" s="11">
        <f>VLOOKUP(C460, '[1]China EXIM'!$B$6:$D$580, 3, FALSE)</f>
        <v>0.10475965274400001</v>
      </c>
      <c r="N460" s="6"/>
      <c r="O460" s="6"/>
      <c r="P460" s="6"/>
      <c r="Q460" s="10" t="s">
        <v>24</v>
      </c>
      <c r="R460" s="9" t="s">
        <v>65</v>
      </c>
      <c r="V460" s="1" t="s">
        <v>25</v>
      </c>
    </row>
    <row r="461" spans="2:23" ht="42">
      <c r="B461" s="6" t="str">
        <f>VLOOKUP(C461, [1]Definition!$D$5:$K$5665, 8, FALSE)</f>
        <v>Capital Goods</v>
      </c>
      <c r="C461" s="7">
        <v>842389</v>
      </c>
      <c r="D461" s="8" t="s">
        <v>867</v>
      </c>
      <c r="E461" s="8" t="s">
        <v>25</v>
      </c>
      <c r="F461" s="17" t="s">
        <v>163</v>
      </c>
      <c r="G461" s="8" t="s">
        <v>868</v>
      </c>
      <c r="H461" s="8" t="s">
        <v>869</v>
      </c>
      <c r="I461" s="9" t="s">
        <v>22</v>
      </c>
      <c r="J461" s="9" t="s">
        <v>486</v>
      </c>
      <c r="K461" s="17" t="str">
        <f>_xlfn.IFNA(VLOOKUP(C461, '[2]Unique HS'!$B$4:$J$999, 9, FALSE), "No")</f>
        <v>No</v>
      </c>
      <c r="L461" s="18">
        <f>VLOOKUP(C461, '[1]India EXIM'!$B$6:$C$580, 2, FALSE)</f>
        <v>7.6521632790000002E-3</v>
      </c>
      <c r="M461" s="11">
        <f>VLOOKUP(C461, '[1]China EXIM'!$B$6:$D$580, 3, FALSE)</f>
        <v>0.22441687813800001</v>
      </c>
      <c r="N461" s="6"/>
      <c r="O461" s="6"/>
      <c r="P461" s="6"/>
      <c r="Q461" s="10" t="s">
        <v>24</v>
      </c>
      <c r="R461" s="9" t="s">
        <v>22</v>
      </c>
      <c r="V461" s="1" t="s">
        <v>25</v>
      </c>
    </row>
    <row r="462" spans="2:23" ht="27.95">
      <c r="B462" s="6" t="str">
        <f>VLOOKUP(C462, [1]Definition!$D$5:$K$5665, 8, FALSE)</f>
        <v>Capital Goods</v>
      </c>
      <c r="C462" s="7">
        <v>843352</v>
      </c>
      <c r="D462" s="8" t="s">
        <v>969</v>
      </c>
      <c r="E462" s="8"/>
      <c r="F462" s="17" t="s">
        <v>1178</v>
      </c>
      <c r="G462" s="8" t="s">
        <v>970</v>
      </c>
      <c r="H462" s="8" t="s">
        <v>971</v>
      </c>
      <c r="I462" s="9" t="s">
        <v>22</v>
      </c>
      <c r="J462" s="9" t="s">
        <v>972</v>
      </c>
      <c r="K462" s="17" t="str">
        <f>_xlfn.IFNA(VLOOKUP(C462, '[2]Unique HS'!$B$4:$J$999, 9, FALSE), "No")</f>
        <v>No</v>
      </c>
      <c r="L462" s="18">
        <f>VLOOKUP(C462, '[1]India EXIM'!$B$6:$C$580, 2, FALSE)</f>
        <v>2.50283743E-3</v>
      </c>
      <c r="M462" s="11">
        <f>VLOOKUP(C462, '[1]China EXIM'!$B$6:$D$580, 3, FALSE)</f>
        <v>0.22262219779100001</v>
      </c>
      <c r="N462" s="6" t="s">
        <v>160</v>
      </c>
      <c r="O462" s="6"/>
      <c r="P462" s="6"/>
      <c r="Q462" s="10" t="s">
        <v>24</v>
      </c>
      <c r="R462" s="11" t="s">
        <v>161</v>
      </c>
    </row>
    <row r="463" spans="2:23" ht="27.95" hidden="1">
      <c r="B463" s="6" t="str">
        <f>VLOOKUP(C463, [1]Definition!$D$5:$K$5665, 8, FALSE)</f>
        <v>Capital Goods</v>
      </c>
      <c r="C463" s="7">
        <v>901060</v>
      </c>
      <c r="D463" s="8" t="s">
        <v>907</v>
      </c>
      <c r="E463" s="8" t="s">
        <v>137</v>
      </c>
      <c r="F463" s="17" t="s">
        <v>205</v>
      </c>
      <c r="G463" s="8"/>
      <c r="H463" s="8"/>
      <c r="I463" s="9" t="s">
        <v>166</v>
      </c>
      <c r="J463" s="9" t="s">
        <v>201</v>
      </c>
      <c r="K463" s="17" t="str">
        <f>_xlfn.IFNA(VLOOKUP(C463, '[2]Unique HS'!$B$4:$J$999, 9, FALSE), "No")</f>
        <v>No</v>
      </c>
      <c r="L463" s="22">
        <f>VLOOKUP(C463, '[1]India EXIM'!$B$6:$C$580, 2, FALSE)</f>
        <v>5.8483057359999995E-3</v>
      </c>
      <c r="M463" s="11">
        <f>VLOOKUP(C463, '[1]China EXIM'!$B$6:$D$580, 3, FALSE)</f>
        <v>0.27783130198799999</v>
      </c>
      <c r="N463" s="6"/>
      <c r="O463" s="6"/>
      <c r="P463" s="6"/>
      <c r="Q463" s="10" t="s">
        <v>24</v>
      </c>
      <c r="R463" s="11" t="s">
        <v>466</v>
      </c>
      <c r="T463" s="1" t="s">
        <v>136</v>
      </c>
      <c r="V463" s="1" t="s">
        <v>137</v>
      </c>
    </row>
    <row r="464" spans="2:23" ht="56.1" hidden="1">
      <c r="B464" s="6" t="str">
        <f>VLOOKUP(C464, [1]Definition!$D$5:$K$5665, 8, FALSE)</f>
        <v>Capital Goods</v>
      </c>
      <c r="C464" s="7">
        <v>820540</v>
      </c>
      <c r="D464" s="8" t="s">
        <v>897</v>
      </c>
      <c r="E464" s="8" t="s">
        <v>25</v>
      </c>
      <c r="F464" s="17" t="s">
        <v>19</v>
      </c>
      <c r="G464" s="8"/>
      <c r="H464" s="8"/>
      <c r="I464" s="9" t="s">
        <v>65</v>
      </c>
      <c r="J464" s="9" t="s">
        <v>690</v>
      </c>
      <c r="K464" s="17" t="str">
        <f>_xlfn.IFNA(VLOOKUP(C464, '[2]Unique HS'!$B$4:$J$999, 9, FALSE), "No")</f>
        <v>Yes</v>
      </c>
      <c r="L464" s="18">
        <f>VLOOKUP(C464, '[1]India EXIM'!$B$6:$C$580, 2, FALSE)</f>
        <v>6.3898275439999994E-3</v>
      </c>
      <c r="M464" s="11">
        <f>VLOOKUP(C464, '[1]China EXIM'!$B$6:$D$580, 3, FALSE)</f>
        <v>0.98494840515299997</v>
      </c>
      <c r="N464" s="6" t="s">
        <v>210</v>
      </c>
      <c r="O464" s="6"/>
      <c r="P464" s="9"/>
      <c r="Q464" s="10" t="s">
        <v>24</v>
      </c>
      <c r="R464" s="11" t="s">
        <v>210</v>
      </c>
      <c r="V464" s="1" t="s">
        <v>25</v>
      </c>
    </row>
    <row r="465" spans="2:22" ht="27.95" hidden="1">
      <c r="B465" s="6" t="str">
        <f>VLOOKUP(C465, [1]Definition!$D$5:$K$5665, 8, FALSE)</f>
        <v>Capital Goods</v>
      </c>
      <c r="C465" s="7">
        <v>820810</v>
      </c>
      <c r="D465" s="8" t="s">
        <v>905</v>
      </c>
      <c r="E465" s="8" t="s">
        <v>25</v>
      </c>
      <c r="F465" s="17" t="s">
        <v>19</v>
      </c>
      <c r="G465" s="8"/>
      <c r="H465" s="8"/>
      <c r="I465" s="9" t="s">
        <v>65</v>
      </c>
      <c r="J465" s="9" t="s">
        <v>906</v>
      </c>
      <c r="K465" s="17" t="str">
        <f>_xlfn.IFNA(VLOOKUP(C465, '[2]Unique HS'!$B$4:$J$999, 9, FALSE), "No")</f>
        <v>Yes</v>
      </c>
      <c r="L465" s="18">
        <f>VLOOKUP(C465, '[1]India EXIM'!$B$6:$C$580, 2, FALSE)</f>
        <v>5.9598144050000005E-3</v>
      </c>
      <c r="M465" s="11">
        <f>VLOOKUP(C465, '[1]China EXIM'!$B$6:$D$580, 3, FALSE)</f>
        <v>0.75919324810900002</v>
      </c>
      <c r="N465" s="6" t="s">
        <v>210</v>
      </c>
      <c r="O465" s="6"/>
      <c r="P465" s="6"/>
      <c r="Q465" s="10" t="s">
        <v>24</v>
      </c>
      <c r="R465" s="11" t="s">
        <v>202</v>
      </c>
      <c r="V465" s="1" t="s">
        <v>25</v>
      </c>
    </row>
    <row r="466" spans="2:22" ht="69.95" hidden="1">
      <c r="B466" s="6" t="str">
        <f>VLOOKUP(C466, [1]Definition!$D$5:$K$5665, 8, FALSE)</f>
        <v>Capital Goods</v>
      </c>
      <c r="C466" s="7">
        <v>901410</v>
      </c>
      <c r="D466" s="8" t="s">
        <v>1025</v>
      </c>
      <c r="E466" s="8" t="s">
        <v>137</v>
      </c>
      <c r="F466" s="17" t="s">
        <v>205</v>
      </c>
      <c r="G466" s="8"/>
      <c r="H466" s="8"/>
      <c r="I466" s="9" t="s">
        <v>166</v>
      </c>
      <c r="J466" s="9" t="s">
        <v>167</v>
      </c>
      <c r="K466" s="17" t="str">
        <f>_xlfn.IFNA(VLOOKUP(C466, '[2]Unique HS'!$B$4:$J$999, 9, FALSE), "No")</f>
        <v>No</v>
      </c>
      <c r="L466" s="22">
        <f>VLOOKUP(C466, '[1]India EXIM'!$B$6:$C$580, 2, FALSE)</f>
        <v>1.6829289969999999E-3</v>
      </c>
      <c r="M466" s="11">
        <f>VLOOKUP(C466, '[1]China EXIM'!$B$6:$D$580, 3, FALSE)</f>
        <v>0.25395971508300003</v>
      </c>
      <c r="N466" s="6"/>
      <c r="O466" s="6"/>
      <c r="P466" s="6"/>
      <c r="Q466" s="10" t="s">
        <v>24</v>
      </c>
      <c r="R466" s="11" t="s">
        <v>168</v>
      </c>
      <c r="T466" s="1" t="s">
        <v>136</v>
      </c>
      <c r="V466" s="1" t="s">
        <v>137</v>
      </c>
    </row>
    <row r="467" spans="2:22" ht="27.95" hidden="1">
      <c r="B467" s="6" t="str">
        <f>VLOOKUP(C467, [1]Definition!$D$5:$K$5665, 8, FALSE)</f>
        <v>Capital Goods</v>
      </c>
      <c r="C467" s="7">
        <v>848030</v>
      </c>
      <c r="D467" s="8" t="s">
        <v>979</v>
      </c>
      <c r="E467" s="8" t="s">
        <v>34</v>
      </c>
      <c r="F467" s="17" t="s">
        <v>119</v>
      </c>
      <c r="G467" s="8"/>
      <c r="H467" s="8"/>
      <c r="I467" s="9" t="s">
        <v>149</v>
      </c>
      <c r="J467" s="9" t="s">
        <v>980</v>
      </c>
      <c r="K467" s="17" t="str">
        <f>_xlfn.IFNA(VLOOKUP(C467, '[2]Unique HS'!$B$4:$J$999, 9, FALSE), "No")</f>
        <v>No</v>
      </c>
      <c r="L467" s="18">
        <f>VLOOKUP(C467, '[1]India EXIM'!$B$6:$C$580, 2, FALSE)</f>
        <v>5.9782654610000003E-3</v>
      </c>
      <c r="M467" s="11">
        <f>VLOOKUP(C467, '[1]China EXIM'!$B$6:$D$580, 3, FALSE)</f>
        <v>0.21058401174300001</v>
      </c>
      <c r="N467" s="6"/>
      <c r="O467" s="6"/>
      <c r="P467" s="6"/>
      <c r="Q467" s="10" t="s">
        <v>24</v>
      </c>
      <c r="R467" s="9" t="s">
        <v>149</v>
      </c>
      <c r="V467" s="1" t="s">
        <v>34</v>
      </c>
    </row>
    <row r="468" spans="2:22" ht="42" hidden="1">
      <c r="B468" s="6" t="str">
        <f>VLOOKUP(C468, [1]Definition!$D$5:$K$5665, 8, FALSE)</f>
        <v>Capital Goods</v>
      </c>
      <c r="C468" s="7">
        <v>846259</v>
      </c>
      <c r="D468" s="8" t="s">
        <v>912</v>
      </c>
      <c r="E468" s="8" t="s">
        <v>25</v>
      </c>
      <c r="F468" s="17" t="s">
        <v>19</v>
      </c>
      <c r="G468" s="8"/>
      <c r="H468" s="8"/>
      <c r="I468" s="9" t="s">
        <v>65</v>
      </c>
      <c r="J468" s="9" t="s">
        <v>31</v>
      </c>
      <c r="K468" s="17" t="str">
        <f>_xlfn.IFNA(VLOOKUP(C468, '[2]Unique HS'!$B$4:$J$999, 9, FALSE), "No")</f>
        <v>No</v>
      </c>
      <c r="L468" s="18">
        <f>VLOOKUP(C468, '[1]India EXIM'!$B$6:$C$580, 2, FALSE)</f>
        <v>5.3935788679999996E-3</v>
      </c>
      <c r="M468" s="11">
        <f>VLOOKUP(C468, '[1]China EXIM'!$B$6:$D$580, 3, FALSE)</f>
        <v>9.8322923110000002E-2</v>
      </c>
      <c r="N468" s="6"/>
      <c r="O468" s="6"/>
      <c r="P468" s="6"/>
      <c r="Q468" s="10" t="s">
        <v>24</v>
      </c>
      <c r="R468" s="9" t="s">
        <v>65</v>
      </c>
      <c r="V468" s="1" t="s">
        <v>25</v>
      </c>
    </row>
    <row r="469" spans="2:22" ht="56.1">
      <c r="B469" s="6" t="str">
        <f>VLOOKUP(C469, [1]Definition!$D$5:$K$5665, 8, FALSE)</f>
        <v>Capital Goods</v>
      </c>
      <c r="C469" s="7">
        <v>847681</v>
      </c>
      <c r="D469" s="8" t="s">
        <v>1111</v>
      </c>
      <c r="E469" s="8" t="s">
        <v>137</v>
      </c>
      <c r="F469" s="17" t="s">
        <v>27</v>
      </c>
      <c r="G469" s="8"/>
      <c r="H469" s="8"/>
      <c r="I469" s="9" t="s">
        <v>22</v>
      </c>
      <c r="J469" s="9" t="s">
        <v>38</v>
      </c>
      <c r="K469" s="17" t="str">
        <f>_xlfn.IFNA(VLOOKUP(C469, '[2]Unique HS'!$B$4:$J$999, 9, FALSE), "No")</f>
        <v>No</v>
      </c>
      <c r="L469" s="18">
        <f>VLOOKUP(C469, '[1]India EXIM'!$B$6:$C$580, 2, FALSE)</f>
        <v>1.13296169E-4</v>
      </c>
      <c r="M469" s="11">
        <f>VLOOKUP(C469, '[1]China EXIM'!$B$6:$D$580, 3, FALSE)</f>
        <v>0.206310731627</v>
      </c>
      <c r="N469" s="6"/>
      <c r="O469" s="6"/>
      <c r="P469" s="6"/>
      <c r="Q469" s="10" t="s">
        <v>24</v>
      </c>
      <c r="R469" s="9" t="s">
        <v>22</v>
      </c>
      <c r="V469" s="1" t="s">
        <v>137</v>
      </c>
    </row>
    <row r="470" spans="2:22" ht="27.95" hidden="1">
      <c r="B470" s="6" t="str">
        <f>VLOOKUP(C470, [1]Definition!$D$5:$K$5665, 8, FALSE)</f>
        <v>Capital Goods</v>
      </c>
      <c r="C470" s="7">
        <v>820820</v>
      </c>
      <c r="D470" s="8" t="s">
        <v>917</v>
      </c>
      <c r="E470" s="8" t="s">
        <v>25</v>
      </c>
      <c r="F470" s="17" t="s">
        <v>19</v>
      </c>
      <c r="G470" s="8"/>
      <c r="H470" s="8"/>
      <c r="I470" s="9" t="s">
        <v>65</v>
      </c>
      <c r="J470" s="9" t="s">
        <v>918</v>
      </c>
      <c r="K470" s="17" t="str">
        <f>_xlfn.IFNA(VLOOKUP(C470, '[2]Unique HS'!$B$4:$J$999, 9, FALSE), "No")</f>
        <v>Yes</v>
      </c>
      <c r="L470" s="18">
        <f>VLOOKUP(C470, '[1]India EXIM'!$B$6:$C$580, 2, FALSE)</f>
        <v>5.2303163430000004E-3</v>
      </c>
      <c r="M470" s="11">
        <f>VLOOKUP(C470, '[1]China EXIM'!$B$6:$D$580, 3, FALSE)</f>
        <v>0.41519456610900002</v>
      </c>
      <c r="N470" s="6" t="s">
        <v>210</v>
      </c>
      <c r="O470" s="6"/>
      <c r="P470" s="6"/>
      <c r="Q470" s="10" t="s">
        <v>24</v>
      </c>
      <c r="R470" s="11" t="s">
        <v>202</v>
      </c>
      <c r="V470" s="1" t="s">
        <v>25</v>
      </c>
    </row>
    <row r="471" spans="2:22" ht="69.95" hidden="1">
      <c r="B471" s="6" t="str">
        <f>VLOOKUP(C471, [1]Definition!$D$5:$K$5665, 8, FALSE)</f>
        <v>Capital Goods</v>
      </c>
      <c r="C471" s="7">
        <v>901510</v>
      </c>
      <c r="D471" s="8" t="s">
        <v>779</v>
      </c>
      <c r="E471" s="8" t="s">
        <v>137</v>
      </c>
      <c r="F471" s="17" t="s">
        <v>205</v>
      </c>
      <c r="G471" s="8"/>
      <c r="H471" s="8"/>
      <c r="I471" s="9" t="s">
        <v>166</v>
      </c>
      <c r="J471" s="9" t="s">
        <v>167</v>
      </c>
      <c r="K471" s="17" t="str">
        <f>_xlfn.IFNA(VLOOKUP(C471, '[2]Unique HS'!$B$4:$J$999, 9, FALSE), "No")</f>
        <v>No</v>
      </c>
      <c r="L471" s="22">
        <f>VLOOKUP(C471, '[1]India EXIM'!$B$6:$C$580, 2, FALSE)</f>
        <v>1.1099123467E-2</v>
      </c>
      <c r="M471" s="11">
        <f>VLOOKUP(C471, '[1]China EXIM'!$B$6:$D$580, 3, FALSE)</f>
        <v>1.1931809578450001</v>
      </c>
      <c r="N471" s="6"/>
      <c r="O471" s="6"/>
      <c r="P471" s="6"/>
      <c r="Q471" s="10" t="s">
        <v>24</v>
      </c>
      <c r="R471" s="11" t="s">
        <v>168</v>
      </c>
      <c r="T471" s="1" t="s">
        <v>136</v>
      </c>
      <c r="V471" s="1" t="s">
        <v>137</v>
      </c>
    </row>
    <row r="472" spans="2:22" hidden="1">
      <c r="B472" s="6" t="str">
        <f>VLOOKUP(C472, [1]Definition!$D$5:$K$5665, 8, FALSE)</f>
        <v>Capital Goods</v>
      </c>
      <c r="C472" s="7">
        <v>844511</v>
      </c>
      <c r="D472" s="8" t="s">
        <v>773</v>
      </c>
      <c r="E472" s="8" t="s">
        <v>25</v>
      </c>
      <c r="F472" s="17" t="s">
        <v>19</v>
      </c>
      <c r="G472" s="8"/>
      <c r="H472" s="8"/>
      <c r="I472" s="9" t="s">
        <v>55</v>
      </c>
      <c r="J472" s="9" t="s">
        <v>56</v>
      </c>
      <c r="K472" s="17" t="str">
        <f>_xlfn.IFNA(VLOOKUP(C472, '[2]Unique HS'!$B$4:$J$999, 9, FALSE), "No")</f>
        <v>No</v>
      </c>
      <c r="L472" s="18">
        <f>VLOOKUP(C472, '[1]India EXIM'!$B$6:$C$580, 2, FALSE)</f>
        <v>1.1493970186000001E-2</v>
      </c>
      <c r="M472" s="11">
        <f>VLOOKUP(C472, '[1]China EXIM'!$B$6:$D$580, 3, FALSE)</f>
        <v>0.20230513088400001</v>
      </c>
      <c r="N472" s="6"/>
      <c r="O472" s="6"/>
      <c r="P472" s="6"/>
      <c r="Q472" s="10" t="s">
        <v>24</v>
      </c>
      <c r="R472" s="9" t="s">
        <v>55</v>
      </c>
      <c r="V472" s="1" t="s">
        <v>25</v>
      </c>
    </row>
    <row r="473" spans="2:22" ht="42" hidden="1">
      <c r="B473" s="6" t="str">
        <f>VLOOKUP(C473, [1]Definition!$D$5:$K$5665, 8, FALSE)</f>
        <v>Capital Goods</v>
      </c>
      <c r="C473" s="7">
        <v>821193</v>
      </c>
      <c r="D473" s="8" t="s">
        <v>923</v>
      </c>
      <c r="E473" s="8" t="s">
        <v>25</v>
      </c>
      <c r="F473" s="17" t="s">
        <v>19</v>
      </c>
      <c r="G473" s="8"/>
      <c r="H473" s="8"/>
      <c r="I473" s="9" t="s">
        <v>65</v>
      </c>
      <c r="J473" s="9" t="s">
        <v>924</v>
      </c>
      <c r="K473" s="17" t="str">
        <f>_xlfn.IFNA(VLOOKUP(C473, '[2]Unique HS'!$B$4:$J$999, 9, FALSE), "No")</f>
        <v>Yes</v>
      </c>
      <c r="L473" s="18">
        <f>VLOOKUP(C473, '[1]India EXIM'!$B$6:$C$580, 2, FALSE)</f>
        <v>5.1773559139999996E-3</v>
      </c>
      <c r="M473" s="11">
        <f>VLOOKUP(C473, '[1]China EXIM'!$B$6:$D$580, 3, FALSE)</f>
        <v>0.72264639154099997</v>
      </c>
      <c r="N473" s="6" t="s">
        <v>210</v>
      </c>
      <c r="O473" s="6"/>
      <c r="P473" s="6" t="s">
        <v>925</v>
      </c>
      <c r="Q473" s="10" t="s">
        <v>24</v>
      </c>
      <c r="R473" s="11" t="s">
        <v>210</v>
      </c>
      <c r="V473" s="1" t="s">
        <v>25</v>
      </c>
    </row>
    <row r="474" spans="2:22" ht="69.95" hidden="1">
      <c r="B474" s="6" t="str">
        <f>VLOOKUP(C474, [1]Definition!$D$5:$K$5665, 8, FALSE)</f>
        <v>Capital Goods</v>
      </c>
      <c r="C474" s="7">
        <v>901520</v>
      </c>
      <c r="D474" s="8" t="s">
        <v>679</v>
      </c>
      <c r="E474" s="8" t="s">
        <v>25</v>
      </c>
      <c r="F474" s="17" t="s">
        <v>163</v>
      </c>
      <c r="G474" s="8" t="s">
        <v>680</v>
      </c>
      <c r="H474" s="8" t="s">
        <v>607</v>
      </c>
      <c r="I474" s="9" t="s">
        <v>166</v>
      </c>
      <c r="J474" s="9" t="s">
        <v>167</v>
      </c>
      <c r="K474" s="17" t="str">
        <f>_xlfn.IFNA(VLOOKUP(C474, '[2]Unique HS'!$B$4:$J$999, 9, FALSE), "No")</f>
        <v>No</v>
      </c>
      <c r="L474" s="22">
        <f>VLOOKUP(C474, '[1]India EXIM'!$B$6:$C$580, 2, FALSE)</f>
        <v>1.6802813107000002E-2</v>
      </c>
      <c r="M474" s="11">
        <f>VLOOKUP(C474, '[1]China EXIM'!$B$6:$D$580, 3, FALSE)</f>
        <v>0.87679933888299999</v>
      </c>
      <c r="N474" s="6"/>
      <c r="O474" s="6"/>
      <c r="P474" s="6"/>
      <c r="Q474" s="10" t="s">
        <v>24</v>
      </c>
      <c r="R474" s="11" t="s">
        <v>168</v>
      </c>
      <c r="V474" s="1" t="s">
        <v>25</v>
      </c>
    </row>
    <row r="475" spans="2:22" ht="27.95" hidden="1">
      <c r="B475" s="6" t="str">
        <f>VLOOKUP(C475, [1]Definition!$D$5:$K$5665, 8, FALSE)</f>
        <v>Capital Goods</v>
      </c>
      <c r="C475" s="7">
        <v>846130</v>
      </c>
      <c r="D475" s="8" t="s">
        <v>937</v>
      </c>
      <c r="E475" s="8" t="s">
        <v>25</v>
      </c>
      <c r="F475" s="17" t="s">
        <v>19</v>
      </c>
      <c r="G475" s="8"/>
      <c r="H475" s="8"/>
      <c r="I475" s="9" t="s">
        <v>65</v>
      </c>
      <c r="J475" s="9" t="s">
        <v>31</v>
      </c>
      <c r="K475" s="17" t="str">
        <f>_xlfn.IFNA(VLOOKUP(C475, '[2]Unique HS'!$B$4:$J$999, 9, FALSE), "No")</f>
        <v>No</v>
      </c>
      <c r="L475" s="18">
        <f>VLOOKUP(C475, '[1]India EXIM'!$B$6:$C$580, 2, FALSE)</f>
        <v>4.8071338970000002E-3</v>
      </c>
      <c r="M475" s="11">
        <f>VLOOKUP(C475, '[1]China EXIM'!$B$6:$D$580, 3, FALSE)</f>
        <v>7.268036863699999E-2</v>
      </c>
      <c r="N475" s="6"/>
      <c r="O475" s="6"/>
      <c r="P475" s="6"/>
      <c r="Q475" s="10" t="s">
        <v>24</v>
      </c>
      <c r="R475" s="9" t="s">
        <v>65</v>
      </c>
      <c r="V475" s="1" t="s">
        <v>25</v>
      </c>
    </row>
    <row r="476" spans="2:22" ht="27.95" hidden="1">
      <c r="B476" s="6" t="str">
        <f>VLOOKUP(C476, [1]Definition!$D$5:$K$5665, 8, FALSE)</f>
        <v>Capital Goods</v>
      </c>
      <c r="C476" s="7">
        <v>846120</v>
      </c>
      <c r="D476" s="8" t="s">
        <v>940</v>
      </c>
      <c r="E476" s="8" t="s">
        <v>25</v>
      </c>
      <c r="F476" s="17" t="s">
        <v>19</v>
      </c>
      <c r="G476" s="8"/>
      <c r="H476" s="8"/>
      <c r="I476" s="9" t="s">
        <v>65</v>
      </c>
      <c r="J476" s="9" t="s">
        <v>31</v>
      </c>
      <c r="K476" s="17" t="str">
        <f>_xlfn.IFNA(VLOOKUP(C476, '[2]Unique HS'!$B$4:$J$999, 9, FALSE), "No")</f>
        <v>No</v>
      </c>
      <c r="L476" s="18">
        <f>VLOOKUP(C476, '[1]India EXIM'!$B$6:$C$580, 2, FALSE)</f>
        <v>4.7003518880000001E-3</v>
      </c>
      <c r="M476" s="11">
        <f>VLOOKUP(C476, '[1]China EXIM'!$B$6:$D$580, 3, FALSE)</f>
        <v>5.2598386744999996E-2</v>
      </c>
      <c r="N476" s="6"/>
      <c r="O476" s="6"/>
      <c r="P476" s="6"/>
      <c r="Q476" s="10" t="s">
        <v>24</v>
      </c>
      <c r="R476" s="9" t="s">
        <v>65</v>
      </c>
      <c r="V476" s="1" t="s">
        <v>25</v>
      </c>
    </row>
    <row r="477" spans="2:22" ht="42" hidden="1">
      <c r="B477" s="6" t="str">
        <f>VLOOKUP(C477, [1]Definition!$D$5:$K$5665, 8, FALSE)</f>
        <v>Capital Goods</v>
      </c>
      <c r="C477" s="7">
        <v>902213</v>
      </c>
      <c r="D477" s="8" t="s">
        <v>708</v>
      </c>
      <c r="E477" s="8" t="s">
        <v>137</v>
      </c>
      <c r="F477" s="17" t="s">
        <v>205</v>
      </c>
      <c r="G477" s="8"/>
      <c r="H477" s="8"/>
      <c r="I477" s="9" t="s">
        <v>166</v>
      </c>
      <c r="J477" s="9" t="s">
        <v>570</v>
      </c>
      <c r="K477" s="17" t="str">
        <f>_xlfn.IFNA(VLOOKUP(C477, '[2]Unique HS'!$B$4:$J$999, 9, FALSE), "No")</f>
        <v>No</v>
      </c>
      <c r="L477" s="22">
        <f>VLOOKUP(C477, '[1]India EXIM'!$B$6:$C$580, 2, FALSE)</f>
        <v>1.5046939024E-2</v>
      </c>
      <c r="M477" s="11">
        <f>VLOOKUP(C477, '[1]China EXIM'!$B$6:$D$580, 3, FALSE)</f>
        <v>0.78194236452699994</v>
      </c>
      <c r="N477" s="6"/>
      <c r="O477" s="6"/>
      <c r="P477" s="6"/>
      <c r="Q477" s="10" t="s">
        <v>24</v>
      </c>
      <c r="R477" s="11" t="s">
        <v>70</v>
      </c>
      <c r="T477" s="1" t="s">
        <v>136</v>
      </c>
      <c r="V477" s="1" t="s">
        <v>137</v>
      </c>
    </row>
    <row r="478" spans="2:22" ht="42" hidden="1">
      <c r="B478" s="6" t="str">
        <f>VLOOKUP(C478, [1]Definition!$D$5:$K$5665, 8, FALSE)</f>
        <v>Capital Goods</v>
      </c>
      <c r="C478" s="7">
        <v>902221</v>
      </c>
      <c r="D478" s="8" t="s">
        <v>734</v>
      </c>
      <c r="E478" s="8" t="s">
        <v>137</v>
      </c>
      <c r="F478" s="17" t="s">
        <v>205</v>
      </c>
      <c r="G478" s="8"/>
      <c r="H478" s="8"/>
      <c r="I478" s="9" t="s">
        <v>166</v>
      </c>
      <c r="J478" s="9" t="s">
        <v>570</v>
      </c>
      <c r="K478" s="17" t="str">
        <f>_xlfn.IFNA(VLOOKUP(C478, '[2]Unique HS'!$B$4:$J$999, 9, FALSE), "No")</f>
        <v>No</v>
      </c>
      <c r="L478" s="22">
        <f>VLOOKUP(C478, '[1]India EXIM'!$B$6:$C$580, 2, FALSE)</f>
        <v>1.3593771761E-2</v>
      </c>
      <c r="M478" s="11">
        <f>VLOOKUP(C478, '[1]China EXIM'!$B$6:$D$580, 3, FALSE)</f>
        <v>0.23878099554100002</v>
      </c>
      <c r="N478" s="6"/>
      <c r="O478" s="6"/>
      <c r="P478" s="6"/>
      <c r="Q478" s="10" t="s">
        <v>24</v>
      </c>
      <c r="R478" s="11" t="s">
        <v>70</v>
      </c>
      <c r="T478" s="1" t="s">
        <v>136</v>
      </c>
      <c r="V478" s="1" t="s">
        <v>137</v>
      </c>
    </row>
    <row r="479" spans="2:22" ht="27.95" hidden="1">
      <c r="B479" s="6" t="str">
        <f>VLOOKUP(C479, [1]Definition!$D$5:$K$5665, 8, FALSE)</f>
        <v>Capital Goods</v>
      </c>
      <c r="C479" s="7">
        <v>820551</v>
      </c>
      <c r="D479" s="8" t="s">
        <v>941</v>
      </c>
      <c r="E479" s="8" t="s">
        <v>25</v>
      </c>
      <c r="F479" s="17" t="s">
        <v>19</v>
      </c>
      <c r="G479" s="8"/>
      <c r="H479" s="8"/>
      <c r="I479" s="9" t="s">
        <v>65</v>
      </c>
      <c r="J479" s="9" t="s">
        <v>209</v>
      </c>
      <c r="K479" s="17" t="str">
        <f>_xlfn.IFNA(VLOOKUP(C479, '[2]Unique HS'!$B$4:$J$999, 9, FALSE), "No")</f>
        <v>Yes</v>
      </c>
      <c r="L479" s="18">
        <f>VLOOKUP(C479, '[1]India EXIM'!$B$6:$C$580, 2, FALSE)</f>
        <v>4.672591278E-3</v>
      </c>
      <c r="M479" s="11">
        <f>VLOOKUP(C479, '[1]China EXIM'!$B$6:$D$580, 3, FALSE)</f>
        <v>2.0490730426370001</v>
      </c>
      <c r="N479" s="6" t="s">
        <v>210</v>
      </c>
      <c r="O479" s="6"/>
      <c r="P479" s="9"/>
      <c r="Q479" s="10" t="s">
        <v>24</v>
      </c>
      <c r="R479" s="11" t="s">
        <v>210</v>
      </c>
      <c r="V479" s="1" t="s">
        <v>25</v>
      </c>
    </row>
    <row r="480" spans="2:22" ht="27.95">
      <c r="B480" s="6" t="str">
        <f>VLOOKUP(C480, [1]Definition!$D$5:$K$5665, 8, FALSE)</f>
        <v>Capital Goods</v>
      </c>
      <c r="C480" s="7">
        <v>842320</v>
      </c>
      <c r="D480" s="8" t="s">
        <v>947</v>
      </c>
      <c r="E480" s="8" t="s">
        <v>25</v>
      </c>
      <c r="F480" s="17" t="s">
        <v>163</v>
      </c>
      <c r="G480" s="8" t="s">
        <v>948</v>
      </c>
      <c r="H480" s="8"/>
      <c r="I480" s="9" t="s">
        <v>22</v>
      </c>
      <c r="J480" s="9" t="s">
        <v>486</v>
      </c>
      <c r="K480" s="17" t="str">
        <f>_xlfn.IFNA(VLOOKUP(C480, '[2]Unique HS'!$B$4:$J$999, 9, FALSE), "No")</f>
        <v>No</v>
      </c>
      <c r="L480" s="18">
        <f>VLOOKUP(C480, '[1]India EXIM'!$B$6:$C$580, 2, FALSE)</f>
        <v>4.4414912569999999E-3</v>
      </c>
      <c r="M480" s="11">
        <f>VLOOKUP(C480, '[1]China EXIM'!$B$6:$D$580, 3, FALSE)</f>
        <v>0.18378948881999999</v>
      </c>
      <c r="N480" s="6"/>
      <c r="O480" s="6"/>
      <c r="P480" s="6"/>
      <c r="Q480" s="10" t="s">
        <v>24</v>
      </c>
      <c r="R480" s="9" t="s">
        <v>22</v>
      </c>
      <c r="V480" s="1" t="s">
        <v>25</v>
      </c>
    </row>
    <row r="481" spans="2:23" ht="27.95" hidden="1">
      <c r="B481" s="6" t="str">
        <f>VLOOKUP(C481, [1]Definition!$D$5:$K$5665, 8, FALSE)</f>
        <v>Capital Goods</v>
      </c>
      <c r="C481" s="7">
        <v>845650</v>
      </c>
      <c r="D481" s="8" t="s">
        <v>942</v>
      </c>
      <c r="E481" s="8" t="s">
        <v>25</v>
      </c>
      <c r="F481" s="17" t="s">
        <v>19</v>
      </c>
      <c r="G481" s="8"/>
      <c r="H481" s="8"/>
      <c r="I481" s="9" t="s">
        <v>65</v>
      </c>
      <c r="J481" s="9" t="s">
        <v>31</v>
      </c>
      <c r="K481" s="17" t="str">
        <f>_xlfn.IFNA(VLOOKUP(C481, '[2]Unique HS'!$B$4:$J$999, 9, FALSE), "No")</f>
        <v>No</v>
      </c>
      <c r="L481" s="18">
        <f>VLOOKUP(C481, '[1]India EXIM'!$B$6:$C$580, 2, FALSE)</f>
        <v>4.5695161619999994E-3</v>
      </c>
      <c r="M481" s="11">
        <f>VLOOKUP(C481, '[1]China EXIM'!$B$6:$D$580, 3, FALSE)</f>
        <v>0.22500944265299999</v>
      </c>
      <c r="N481" s="6"/>
      <c r="O481" s="6"/>
      <c r="P481" s="6"/>
      <c r="Q481" s="10" t="s">
        <v>24</v>
      </c>
      <c r="R481" s="9" t="s">
        <v>65</v>
      </c>
      <c r="V481" s="1" t="s">
        <v>25</v>
      </c>
    </row>
    <row r="482" spans="2:23" ht="42" hidden="1">
      <c r="B482" s="6" t="str">
        <f>VLOOKUP(C482, [1]Definition!$D$5:$K$5665, 8, FALSE)</f>
        <v>Capital Goods</v>
      </c>
      <c r="C482" s="7">
        <v>901120</v>
      </c>
      <c r="D482" s="8" t="s">
        <v>1010</v>
      </c>
      <c r="E482" s="8" t="s">
        <v>25</v>
      </c>
      <c r="F482" s="17" t="s">
        <v>19</v>
      </c>
      <c r="G482" s="8" t="s">
        <v>1011</v>
      </c>
      <c r="H482" s="8" t="s">
        <v>1012</v>
      </c>
      <c r="I482" s="9" t="s">
        <v>166</v>
      </c>
      <c r="J482" s="9" t="s">
        <v>201</v>
      </c>
      <c r="K482" s="17" t="str">
        <f>_xlfn.IFNA(VLOOKUP(C482, '[2]Unique HS'!$B$4:$J$999, 9, FALSE), "No")</f>
        <v>Yes</v>
      </c>
      <c r="L482" s="18">
        <f>VLOOKUP(C482, '[1]India EXIM'!$B$6:$C$580, 2, FALSE)</f>
        <v>1.9596942779999999E-3</v>
      </c>
      <c r="M482" s="11">
        <f>VLOOKUP(C482, '[1]China EXIM'!$B$6:$D$580, 3, FALSE)</f>
        <v>0.18004843889399999</v>
      </c>
      <c r="N482" s="6"/>
      <c r="O482" s="6"/>
      <c r="P482" s="6"/>
      <c r="Q482" s="10" t="s">
        <v>24</v>
      </c>
      <c r="R482" s="11" t="s">
        <v>70</v>
      </c>
      <c r="V482" s="1" t="s">
        <v>25</v>
      </c>
    </row>
    <row r="483" spans="2:23" ht="27.95" hidden="1">
      <c r="B483" s="6" t="str">
        <f>VLOOKUP(C483, [1]Definition!$D$5:$K$5665, 8, FALSE)</f>
        <v>Capital Goods</v>
      </c>
      <c r="C483" s="7">
        <v>821194</v>
      </c>
      <c r="D483" s="8" t="s">
        <v>1002</v>
      </c>
      <c r="E483" s="8" t="s">
        <v>211</v>
      </c>
      <c r="F483" s="17" t="s">
        <v>119</v>
      </c>
      <c r="G483" s="8" t="s">
        <v>1184</v>
      </c>
      <c r="H483" s="8" t="s">
        <v>1185</v>
      </c>
      <c r="I483" s="9" t="s">
        <v>65</v>
      </c>
      <c r="J483" s="9" t="s">
        <v>924</v>
      </c>
      <c r="K483" s="17" t="str">
        <f>_xlfn.IFNA(VLOOKUP(C483, '[2]Unique HS'!$B$4:$J$999, 9, FALSE), "No")</f>
        <v>Yes</v>
      </c>
      <c r="L483" s="18">
        <f>VLOOKUP(C483, '[1]India EXIM'!$B$6:$C$580, 2, FALSE)</f>
        <v>4.1866588420000003E-3</v>
      </c>
      <c r="M483" s="11">
        <f>VLOOKUP(C483, '[1]China EXIM'!$B$6:$D$580, 3, FALSE)</f>
        <v>0.21612750982600001</v>
      </c>
      <c r="N483" s="6" t="s">
        <v>201</v>
      </c>
      <c r="O483" s="6"/>
      <c r="P483" s="6"/>
      <c r="Q483" s="10" t="s">
        <v>24</v>
      </c>
      <c r="R483" s="11" t="s">
        <v>202</v>
      </c>
      <c r="V483" s="1" t="s">
        <v>211</v>
      </c>
    </row>
    <row r="484" spans="2:23" ht="27.95" hidden="1">
      <c r="B484" s="6" t="str">
        <f>VLOOKUP(C484, [1]Definition!$D$5:$K$5665, 8, FALSE)</f>
        <v>Capital Goods</v>
      </c>
      <c r="C484" s="7">
        <v>842930</v>
      </c>
      <c r="D484" s="8" t="s">
        <v>664</v>
      </c>
      <c r="E484" s="8" t="s">
        <v>25</v>
      </c>
      <c r="F484" s="17" t="s">
        <v>19</v>
      </c>
      <c r="G484" s="8"/>
      <c r="H484" s="8"/>
      <c r="I484" s="9" t="s">
        <v>58</v>
      </c>
      <c r="J484" s="9" t="s">
        <v>31</v>
      </c>
      <c r="K484" s="17" t="str">
        <f>_xlfn.IFNA(VLOOKUP(C484, '[2]Unique HS'!$B$4:$J$999, 9, FALSE), "No")</f>
        <v>No</v>
      </c>
      <c r="L484" s="18">
        <f>VLOOKUP(C484, '[1]India EXIM'!$B$6:$C$580, 2, FALSE)</f>
        <v>1.7137022530999999E-2</v>
      </c>
      <c r="M484" s="11">
        <f>VLOOKUP(C484, '[1]China EXIM'!$B$6:$D$580, 3, FALSE)</f>
        <v>0.17903210250999999</v>
      </c>
      <c r="N484" s="9" t="s">
        <v>117</v>
      </c>
      <c r="O484" s="9"/>
      <c r="P484" s="6" t="s">
        <v>665</v>
      </c>
      <c r="Q484" s="10" t="s">
        <v>24</v>
      </c>
      <c r="R484" s="9" t="s">
        <v>58</v>
      </c>
      <c r="V484" s="1" t="s">
        <v>25</v>
      </c>
    </row>
    <row r="485" spans="2:23" ht="27.95" hidden="1">
      <c r="B485" s="6" t="str">
        <f>VLOOKUP(C485, [1]Definition!$D$5:$K$5665, 8, FALSE)</f>
        <v>Capital Goods</v>
      </c>
      <c r="C485" s="7">
        <v>844590</v>
      </c>
      <c r="D485" s="8" t="s">
        <v>458</v>
      </c>
      <c r="E485" s="8" t="s">
        <v>25</v>
      </c>
      <c r="F485" s="17" t="s">
        <v>19</v>
      </c>
      <c r="G485" s="8"/>
      <c r="H485" s="8"/>
      <c r="I485" s="9" t="s">
        <v>55</v>
      </c>
      <c r="J485" s="9" t="s">
        <v>56</v>
      </c>
      <c r="K485" s="17" t="str">
        <f>_xlfn.IFNA(VLOOKUP(C485, '[2]Unique HS'!$B$4:$J$999, 9, FALSE), "No")</f>
        <v>No</v>
      </c>
      <c r="L485" s="18">
        <f>VLOOKUP(C485, '[1]India EXIM'!$B$6:$C$580, 2, FALSE)</f>
        <v>3.7215073660999999E-2</v>
      </c>
      <c r="M485" s="11">
        <f>VLOOKUP(C485, '[1]China EXIM'!$B$6:$D$580, 3, FALSE)</f>
        <v>0.17238647058500001</v>
      </c>
      <c r="N485" s="6"/>
      <c r="O485" s="6"/>
      <c r="P485" s="6"/>
      <c r="Q485" s="10" t="s">
        <v>24</v>
      </c>
      <c r="R485" s="9" t="s">
        <v>55</v>
      </c>
      <c r="V485" s="1" t="s">
        <v>25</v>
      </c>
    </row>
    <row r="486" spans="2:23" ht="27.95" hidden="1">
      <c r="B486" s="6" t="str">
        <f>VLOOKUP(C486, [1]Definition!$D$5:$K$5665, 8, FALSE)</f>
        <v>Capital Goods</v>
      </c>
      <c r="C486" s="7">
        <v>840420</v>
      </c>
      <c r="D486" s="8" t="s">
        <v>808</v>
      </c>
      <c r="E486" s="8" t="s">
        <v>25</v>
      </c>
      <c r="F486" s="17" t="s">
        <v>142</v>
      </c>
      <c r="G486" s="8"/>
      <c r="H486" s="8"/>
      <c r="I486" s="9" t="s">
        <v>30</v>
      </c>
      <c r="J486" s="9" t="s">
        <v>784</v>
      </c>
      <c r="K486" s="17" t="str">
        <f>_xlfn.IFNA(VLOOKUP(C486, '[2]Unique HS'!$B$4:$J$999, 9, FALSE), "No")</f>
        <v>No</v>
      </c>
      <c r="L486" s="18">
        <f>VLOOKUP(C486, '[1]India EXIM'!$B$6:$C$580, 2, FALSE)</f>
        <v>1.0091391779999999E-2</v>
      </c>
      <c r="M486" s="11">
        <f>VLOOKUP(C486, '[1]China EXIM'!$B$6:$D$580, 3, FALSE)</f>
        <v>0.17124725090599999</v>
      </c>
      <c r="N486" s="9" t="s">
        <v>785</v>
      </c>
      <c r="O486" s="9"/>
      <c r="P486" s="6"/>
      <c r="Q486" s="10" t="s">
        <v>24</v>
      </c>
      <c r="R486" s="9" t="s">
        <v>30</v>
      </c>
      <c r="V486" s="1" t="s">
        <v>25</v>
      </c>
      <c r="W486" s="1" t="s">
        <v>842</v>
      </c>
    </row>
    <row r="487" spans="2:23" ht="27.95" hidden="1">
      <c r="B487" s="6" t="str">
        <f>VLOOKUP(C487, [1]Definition!$D$5:$K$5665, 8, FALSE)</f>
        <v>Capital Goods</v>
      </c>
      <c r="C487" s="7">
        <v>841630</v>
      </c>
      <c r="D487" s="8" t="s">
        <v>1101</v>
      </c>
      <c r="E487" s="8" t="s">
        <v>25</v>
      </c>
      <c r="F487" s="17" t="s">
        <v>19</v>
      </c>
      <c r="G487" s="8"/>
      <c r="H487" s="8"/>
      <c r="I487" s="9" t="s">
        <v>82</v>
      </c>
      <c r="J487" s="9" t="s">
        <v>1102</v>
      </c>
      <c r="K487" s="17" t="str">
        <f>_xlfn.IFNA(VLOOKUP(C487, '[2]Unique HS'!$B$4:$J$999, 9, FALSE), "No")</f>
        <v>No</v>
      </c>
      <c r="L487" s="18">
        <f>VLOOKUP(C487, '[1]India EXIM'!$B$6:$C$580, 2, FALSE)</f>
        <v>2.3559994899999999E-4</v>
      </c>
      <c r="M487" s="11">
        <f>VLOOKUP(C487, '[1]China EXIM'!$B$6:$D$580, 3, FALSE)</f>
        <v>0.16675596526</v>
      </c>
      <c r="N487" s="9"/>
      <c r="O487" s="9"/>
      <c r="P487" s="6"/>
      <c r="Q487" s="10" t="s">
        <v>24</v>
      </c>
      <c r="R487" s="9" t="s">
        <v>82</v>
      </c>
      <c r="V487" s="1" t="s">
        <v>25</v>
      </c>
    </row>
    <row r="488" spans="2:23" hidden="1">
      <c r="B488" s="6" t="str">
        <f>VLOOKUP(C488, [1]Definition!$D$5:$K$5665, 8, FALSE)</f>
        <v>Capital Goods</v>
      </c>
      <c r="C488" s="7">
        <v>844530</v>
      </c>
      <c r="D488" s="8" t="s">
        <v>896</v>
      </c>
      <c r="E488" s="8" t="s">
        <v>25</v>
      </c>
      <c r="F488" s="17" t="s">
        <v>19</v>
      </c>
      <c r="G488" s="8"/>
      <c r="H488" s="8"/>
      <c r="I488" s="9" t="s">
        <v>55</v>
      </c>
      <c r="J488" s="9" t="s">
        <v>56</v>
      </c>
      <c r="K488" s="17" t="str">
        <f>_xlfn.IFNA(VLOOKUP(C488, '[2]Unique HS'!$B$4:$J$999, 9, FALSE), "No")</f>
        <v>No</v>
      </c>
      <c r="L488" s="18">
        <f>VLOOKUP(C488, '[1]India EXIM'!$B$6:$C$580, 2, FALSE)</f>
        <v>6.6320594960000007E-3</v>
      </c>
      <c r="M488" s="11">
        <f>VLOOKUP(C488, '[1]China EXIM'!$B$6:$D$580, 3, FALSE)</f>
        <v>0.161341095159</v>
      </c>
      <c r="N488" s="6"/>
      <c r="O488" s="6"/>
      <c r="P488" s="6"/>
      <c r="Q488" s="10" t="s">
        <v>24</v>
      </c>
      <c r="R488" s="9" t="s">
        <v>55</v>
      </c>
      <c r="V488" s="1" t="s">
        <v>25</v>
      </c>
    </row>
    <row r="489" spans="2:23" ht="56.1">
      <c r="B489" s="6" t="str">
        <f>VLOOKUP(C489, [1]Definition!$D$5:$K$5665, 8, FALSE)</f>
        <v>Capital Goods</v>
      </c>
      <c r="C489" s="7">
        <v>902810</v>
      </c>
      <c r="D489" s="8" t="s">
        <v>709</v>
      </c>
      <c r="E489" s="8" t="s">
        <v>25</v>
      </c>
      <c r="F489" s="17" t="s">
        <v>205</v>
      </c>
      <c r="G489" s="8"/>
      <c r="H489" s="8" t="s">
        <v>710</v>
      </c>
      <c r="I489" s="9" t="s">
        <v>22</v>
      </c>
      <c r="J489" s="9" t="s">
        <v>711</v>
      </c>
      <c r="K489" s="17" t="str">
        <f>_xlfn.IFNA(VLOOKUP(C489, '[2]Unique HS'!$B$4:$J$999, 9, FALSE), "No")</f>
        <v>No</v>
      </c>
      <c r="L489" s="22">
        <f>VLOOKUP(C489, '[1]India EXIM'!$B$6:$C$580, 2, FALSE)</f>
        <v>1.5000717320000001E-2</v>
      </c>
      <c r="M489" s="11">
        <f>VLOOKUP(C489, '[1]China EXIM'!$B$6:$D$580, 3, FALSE)</f>
        <v>0.86118053160300001</v>
      </c>
      <c r="N489" s="6"/>
      <c r="O489" s="6"/>
      <c r="P489" s="6"/>
      <c r="Q489" s="10" t="s">
        <v>24</v>
      </c>
      <c r="R489" s="11" t="s">
        <v>22</v>
      </c>
      <c r="V489" s="1" t="s">
        <v>25</v>
      </c>
    </row>
    <row r="490" spans="2:23" ht="27.95" hidden="1">
      <c r="B490" s="6" t="str">
        <f>VLOOKUP(C490, [1]Definition!$D$5:$K$5665, 8, FALSE)</f>
        <v>Capital Goods</v>
      </c>
      <c r="C490" s="7">
        <v>820340</v>
      </c>
      <c r="D490" s="8" t="s">
        <v>963</v>
      </c>
      <c r="E490" s="8" t="s">
        <v>25</v>
      </c>
      <c r="F490" s="17" t="s">
        <v>19</v>
      </c>
      <c r="G490" s="8"/>
      <c r="H490" s="8"/>
      <c r="I490" s="9" t="s">
        <v>65</v>
      </c>
      <c r="J490" s="9" t="s">
        <v>209</v>
      </c>
      <c r="K490" s="17" t="str">
        <f>_xlfn.IFNA(VLOOKUP(C490, '[2]Unique HS'!$B$4:$J$999, 9, FALSE), "No")</f>
        <v>Yes</v>
      </c>
      <c r="L490" s="18">
        <f>VLOOKUP(C490, '[1]India EXIM'!$B$6:$C$580, 2, FALSE)</f>
        <v>3.4194521129999999E-3</v>
      </c>
      <c r="M490" s="11">
        <f>VLOOKUP(C490, '[1]China EXIM'!$B$6:$D$580, 3, FALSE)</f>
        <v>0.23898831548800001</v>
      </c>
      <c r="N490" s="6" t="s">
        <v>210</v>
      </c>
      <c r="O490" s="6"/>
      <c r="P490" s="9"/>
      <c r="Q490" s="10" t="s">
        <v>24</v>
      </c>
      <c r="R490" s="11" t="s">
        <v>210</v>
      </c>
      <c r="V490" s="1" t="s">
        <v>25</v>
      </c>
    </row>
    <row r="491" spans="2:23" ht="27.95" hidden="1">
      <c r="B491" s="6" t="str">
        <f>VLOOKUP(C491, [1]Definition!$D$5:$K$5665, 8, FALSE)</f>
        <v>Capital Goods</v>
      </c>
      <c r="C491" s="7">
        <v>844513</v>
      </c>
      <c r="D491" s="8" t="s">
        <v>987</v>
      </c>
      <c r="E491" s="8" t="s">
        <v>25</v>
      </c>
      <c r="F491" s="17" t="s">
        <v>19</v>
      </c>
      <c r="G491" s="8"/>
      <c r="H491" s="8"/>
      <c r="I491" s="9" t="s">
        <v>55</v>
      </c>
      <c r="J491" s="9" t="s">
        <v>56</v>
      </c>
      <c r="K491" s="17" t="str">
        <f>_xlfn.IFNA(VLOOKUP(C491, '[2]Unique HS'!$B$4:$J$999, 9, FALSE), "No")</f>
        <v>No</v>
      </c>
      <c r="L491" s="18">
        <f>VLOOKUP(C491, '[1]India EXIM'!$B$6:$C$580, 2, FALSE)</f>
        <v>2.523491573E-3</v>
      </c>
      <c r="M491" s="11">
        <f>VLOOKUP(C491, '[1]China EXIM'!$B$6:$D$580, 3, FALSE)</f>
        <v>0.15427294245100001</v>
      </c>
      <c r="N491" s="6"/>
      <c r="O491" s="6"/>
      <c r="P491" s="6"/>
      <c r="Q491" s="10" t="s">
        <v>24</v>
      </c>
      <c r="R491" s="9" t="s">
        <v>55</v>
      </c>
      <c r="V491" s="1" t="s">
        <v>25</v>
      </c>
    </row>
    <row r="492" spans="2:23" ht="42" hidden="1">
      <c r="B492" s="6" t="str">
        <f>VLOOKUP(C492, [1]Definition!$D$5:$K$5665, 8, FALSE)</f>
        <v>Capital Goods</v>
      </c>
      <c r="C492" s="7">
        <v>821192</v>
      </c>
      <c r="D492" s="8" t="s">
        <v>964</v>
      </c>
      <c r="E492" s="8" t="s">
        <v>25</v>
      </c>
      <c r="F492" s="17" t="s">
        <v>19</v>
      </c>
      <c r="G492" s="8"/>
      <c r="H492" s="8"/>
      <c r="I492" s="9" t="s">
        <v>65</v>
      </c>
      <c r="J492" s="9" t="s">
        <v>965</v>
      </c>
      <c r="K492" s="17" t="str">
        <f>_xlfn.IFNA(VLOOKUP(C492, '[2]Unique HS'!$B$4:$J$999, 9, FALSE), "No")</f>
        <v>Yes</v>
      </c>
      <c r="L492" s="18">
        <f>VLOOKUP(C492, '[1]India EXIM'!$B$6:$C$580, 2, FALSE)</f>
        <v>3.22617153E-3</v>
      </c>
      <c r="M492" s="11">
        <f>VLOOKUP(C492, '[1]China EXIM'!$B$6:$D$580, 3, FALSE)</f>
        <v>1.246791502667</v>
      </c>
      <c r="N492" s="6" t="s">
        <v>210</v>
      </c>
      <c r="O492" s="6"/>
      <c r="P492" s="6" t="s">
        <v>925</v>
      </c>
      <c r="Q492" s="10" t="s">
        <v>24</v>
      </c>
      <c r="R492" s="11" t="s">
        <v>210</v>
      </c>
      <c r="V492" s="1" t="s">
        <v>25</v>
      </c>
    </row>
    <row r="493" spans="2:23" ht="56.1">
      <c r="B493" s="6" t="str">
        <f>VLOOKUP(C493, [1]Definition!$D$5:$K$5665, 8, FALSE)</f>
        <v>Capital Goods</v>
      </c>
      <c r="C493" s="7">
        <v>902229</v>
      </c>
      <c r="D493" s="8" t="s">
        <v>753</v>
      </c>
      <c r="E493" s="8" t="s">
        <v>25</v>
      </c>
      <c r="F493" s="17" t="s">
        <v>205</v>
      </c>
      <c r="G493" s="8" t="s">
        <v>754</v>
      </c>
      <c r="H493" s="8"/>
      <c r="I493" s="9" t="s">
        <v>22</v>
      </c>
      <c r="J493" s="9" t="s">
        <v>214</v>
      </c>
      <c r="K493" s="17" t="str">
        <f>_xlfn.IFNA(VLOOKUP(C493, '[2]Unique HS'!$B$4:$J$999, 9, FALSE), "No")</f>
        <v>No</v>
      </c>
      <c r="L493" s="22">
        <f>VLOOKUP(C493, '[1]India EXIM'!$B$6:$C$580, 2, FALSE)</f>
        <v>1.3157796492000001E-2</v>
      </c>
      <c r="M493" s="11">
        <f>VLOOKUP(C493, '[1]China EXIM'!$B$6:$D$580, 3, FALSE)</f>
        <v>0.28884891755000003</v>
      </c>
      <c r="N493" s="6"/>
      <c r="O493" s="6"/>
      <c r="P493" s="6"/>
      <c r="Q493" s="10" t="s">
        <v>24</v>
      </c>
      <c r="R493" s="11" t="s">
        <v>22</v>
      </c>
      <c r="V493" s="1" t="s">
        <v>25</v>
      </c>
    </row>
    <row r="494" spans="2:23" ht="27.95" hidden="1">
      <c r="B494" s="6" t="str">
        <f>VLOOKUP(C494, [1]Definition!$D$5:$K$5665, 8, FALSE)</f>
        <v>Capital Goods</v>
      </c>
      <c r="C494" s="7">
        <v>846520</v>
      </c>
      <c r="D494" s="8" t="s">
        <v>974</v>
      </c>
      <c r="E494" s="8" t="s">
        <v>25</v>
      </c>
      <c r="F494" s="17" t="s">
        <v>19</v>
      </c>
      <c r="G494" s="8"/>
      <c r="H494" s="8"/>
      <c r="I494" s="9" t="s">
        <v>65</v>
      </c>
      <c r="J494" s="9" t="s">
        <v>31</v>
      </c>
      <c r="K494" s="17" t="str">
        <f>_xlfn.IFNA(VLOOKUP(C494, '[2]Unique HS'!$B$4:$J$999, 9, FALSE), "No")</f>
        <v>No</v>
      </c>
      <c r="L494" s="18">
        <f>VLOOKUP(C494, '[1]India EXIM'!$B$6:$C$580, 2, FALSE)</f>
        <v>3.1069388349999998E-3</v>
      </c>
      <c r="M494" s="11">
        <f>VLOOKUP(C494, '[1]China EXIM'!$B$6:$D$580, 3, FALSE)</f>
        <v>0.74216435900800004</v>
      </c>
      <c r="N494" s="6"/>
      <c r="O494" s="6"/>
      <c r="P494" s="6"/>
      <c r="Q494" s="10" t="s">
        <v>24</v>
      </c>
      <c r="R494" s="9" t="s">
        <v>65</v>
      </c>
      <c r="V494" s="1" t="s">
        <v>25</v>
      </c>
    </row>
    <row r="495" spans="2:23" ht="27.95" hidden="1">
      <c r="B495" s="6" t="str">
        <f>VLOOKUP(C495, [1]Definition!$D$5:$K$5665, 8, FALSE)</f>
        <v>Capital Goods</v>
      </c>
      <c r="C495" s="7">
        <v>850161</v>
      </c>
      <c r="D495" s="8" t="s">
        <v>611</v>
      </c>
      <c r="E495" s="8" t="s">
        <v>34</v>
      </c>
      <c r="F495" s="17" t="s">
        <v>27</v>
      </c>
      <c r="G495" s="8" t="s">
        <v>612</v>
      </c>
      <c r="H495" s="8" t="s">
        <v>613</v>
      </c>
      <c r="I495" s="9" t="s">
        <v>30</v>
      </c>
      <c r="J495" s="9" t="s">
        <v>31</v>
      </c>
      <c r="K495" s="17" t="str">
        <f>_xlfn.IFNA(VLOOKUP(C495, '[2]Unique HS'!$B$4:$J$999, 9, FALSE), "No")</f>
        <v>Yes</v>
      </c>
      <c r="L495" s="22">
        <f>VLOOKUP(C495, '[1]India EXIM'!$B$6:$C$580, 2, FALSE)</f>
        <v>2.1354297857E-2</v>
      </c>
      <c r="M495" s="11">
        <f>VLOOKUP(C495, '[1]China EXIM'!$B$6:$D$580, 3, FALSE)</f>
        <v>1.0933227636240002</v>
      </c>
      <c r="N495" s="9" t="s">
        <v>129</v>
      </c>
      <c r="O495" s="9"/>
      <c r="P495" s="6"/>
      <c r="Q495" s="10" t="s">
        <v>24</v>
      </c>
      <c r="R495" s="9" t="s">
        <v>30</v>
      </c>
      <c r="T495" s="1" t="s">
        <v>136</v>
      </c>
      <c r="V495" s="1" t="s">
        <v>34</v>
      </c>
    </row>
    <row r="496" spans="2:23" ht="27.95" hidden="1">
      <c r="B496" s="6" t="str">
        <f>VLOOKUP(C496, [1]Definition!$D$5:$K$5665, 8, FALSE)</f>
        <v>Capital Goods</v>
      </c>
      <c r="C496" s="7">
        <v>848010</v>
      </c>
      <c r="D496" s="8" t="s">
        <v>723</v>
      </c>
      <c r="E496" s="8" t="s">
        <v>25</v>
      </c>
      <c r="F496" s="17" t="s">
        <v>19</v>
      </c>
      <c r="G496" s="8"/>
      <c r="H496" s="8"/>
      <c r="I496" s="9" t="s">
        <v>82</v>
      </c>
      <c r="J496" s="9" t="s">
        <v>724</v>
      </c>
      <c r="K496" s="17" t="str">
        <f>_xlfn.IFNA(VLOOKUP(C496, '[2]Unique HS'!$B$4:$J$999, 9, FALSE), "No")</f>
        <v>No</v>
      </c>
      <c r="L496" s="18">
        <f>VLOOKUP(C496, '[1]India EXIM'!$B$6:$C$580, 2, FALSE)</f>
        <v>1.4120798823E-2</v>
      </c>
      <c r="M496" s="11">
        <f>VLOOKUP(C496, '[1]China EXIM'!$B$6:$D$580, 3, FALSE)</f>
        <v>0.14399084233000001</v>
      </c>
      <c r="N496" s="6"/>
      <c r="O496" s="6"/>
      <c r="P496" s="6"/>
      <c r="Q496" s="10" t="s">
        <v>24</v>
      </c>
      <c r="R496" s="9" t="s">
        <v>82</v>
      </c>
      <c r="V496" s="1" t="s">
        <v>25</v>
      </c>
    </row>
    <row r="497" spans="2:24" ht="56.1" hidden="1">
      <c r="B497" s="6" t="str">
        <f>VLOOKUP(C497, [1]Definition!$D$5:$K$5665, 8, FALSE)</f>
        <v>Capital Goods</v>
      </c>
      <c r="C497" s="7">
        <v>847979</v>
      </c>
      <c r="D497" s="8" t="s">
        <v>834</v>
      </c>
      <c r="E497" s="8" t="s">
        <v>137</v>
      </c>
      <c r="F497" s="17" t="s">
        <v>27</v>
      </c>
      <c r="G497" s="8" t="s">
        <v>835</v>
      </c>
      <c r="H497" s="8"/>
      <c r="I497" s="9" t="s">
        <v>166</v>
      </c>
      <c r="J497" s="9" t="s">
        <v>836</v>
      </c>
      <c r="K497" s="17" t="str">
        <f>_xlfn.IFNA(VLOOKUP(C497, '[2]Unique HS'!$B$4:$J$999, 9, FALSE), "No")</f>
        <v>Yes</v>
      </c>
      <c r="L497" s="18">
        <f>VLOOKUP(C497, '[1]India EXIM'!$B$6:$C$580, 2, FALSE)</f>
        <v>8.9969498149999987E-3</v>
      </c>
      <c r="M497" s="11">
        <f>VLOOKUP(C497, '[1]China EXIM'!$B$6:$D$580, 3, FALSE)</f>
        <v>0.14272605113999998</v>
      </c>
      <c r="N497" s="6" t="s">
        <v>389</v>
      </c>
      <c r="O497" s="6"/>
      <c r="P497" s="6"/>
      <c r="Q497" s="10" t="s">
        <v>24</v>
      </c>
      <c r="R497" s="9" t="s">
        <v>389</v>
      </c>
      <c r="T497" s="1" t="s">
        <v>136</v>
      </c>
      <c r="V497" s="1" t="s">
        <v>137</v>
      </c>
    </row>
    <row r="498" spans="2:24" ht="27.95" hidden="1">
      <c r="B498" s="6" t="str">
        <f>VLOOKUP(C498, [1]Definition!$D$5:$K$5665, 8, FALSE)</f>
        <v>Capital Goods</v>
      </c>
      <c r="C498" s="7">
        <v>820840</v>
      </c>
      <c r="D498" s="8" t="s">
        <v>976</v>
      </c>
      <c r="E498" s="8" t="s">
        <v>25</v>
      </c>
      <c r="F498" s="17" t="s">
        <v>19</v>
      </c>
      <c r="G498" s="8"/>
      <c r="H498" s="8"/>
      <c r="I498" s="9" t="s">
        <v>65</v>
      </c>
      <c r="J498" s="9" t="s">
        <v>977</v>
      </c>
      <c r="K498" s="17" t="str">
        <f>_xlfn.IFNA(VLOOKUP(C498, '[2]Unique HS'!$B$4:$J$999, 9, FALSE), "No")</f>
        <v>No</v>
      </c>
      <c r="L498" s="18">
        <f>VLOOKUP(C498, '[1]India EXIM'!$B$6:$C$580, 2, FALSE)</f>
        <v>2.9674902930000003E-3</v>
      </c>
      <c r="M498" s="11">
        <f>VLOOKUP(C498, '[1]China EXIM'!$B$6:$D$580, 3, FALSE)</f>
        <v>0.63863003637299998</v>
      </c>
      <c r="N498" s="6" t="s">
        <v>210</v>
      </c>
      <c r="O498" s="6"/>
      <c r="P498" s="9" t="s">
        <v>978</v>
      </c>
      <c r="Q498" s="10" t="s">
        <v>24</v>
      </c>
      <c r="R498" s="11" t="s">
        <v>210</v>
      </c>
      <c r="V498" s="1" t="s">
        <v>25</v>
      </c>
    </row>
    <row r="499" spans="2:24" ht="27.95">
      <c r="B499" s="6" t="str">
        <f>VLOOKUP(C499, [1]Definition!$D$5:$K$5665, 8, FALSE)</f>
        <v>Capital Goods</v>
      </c>
      <c r="C499" s="7">
        <v>841382</v>
      </c>
      <c r="D499" s="8" t="s">
        <v>1040</v>
      </c>
      <c r="E499" s="8" t="s">
        <v>25</v>
      </c>
      <c r="F499" s="17" t="s">
        <v>19</v>
      </c>
      <c r="G499" s="8" t="s">
        <v>1041</v>
      </c>
      <c r="H499" s="8"/>
      <c r="I499" s="9" t="s">
        <v>22</v>
      </c>
      <c r="J499" s="9" t="s">
        <v>1042</v>
      </c>
      <c r="K499" s="17" t="str">
        <f>_xlfn.IFNA(VLOOKUP(C499, '[2]Unique HS'!$B$4:$J$999, 9, FALSE), "No")</f>
        <v>Yes</v>
      </c>
      <c r="L499" s="18">
        <f>VLOOKUP(C499, '[1]India EXIM'!$B$6:$C$580, 2, FALSE)</f>
        <v>1.232805015E-3</v>
      </c>
      <c r="M499" s="11">
        <f>VLOOKUP(C499, '[1]China EXIM'!$B$6:$D$580, 3, FALSE)</f>
        <v>0.13941234777600001</v>
      </c>
      <c r="N499" s="6"/>
      <c r="O499" s="6"/>
      <c r="P499" s="6"/>
      <c r="Q499" s="10" t="s">
        <v>24</v>
      </c>
      <c r="R499" s="9" t="s">
        <v>22</v>
      </c>
      <c r="V499" s="1" t="s">
        <v>25</v>
      </c>
    </row>
    <row r="500" spans="2:24" ht="56.1" hidden="1">
      <c r="B500" s="6" t="str">
        <f>VLOOKUP(C500, [1]Definition!$D$5:$K$5665, 8, FALSE)</f>
        <v>Capital Goods</v>
      </c>
      <c r="C500" s="7">
        <v>903031</v>
      </c>
      <c r="D500" s="8" t="s">
        <v>572</v>
      </c>
      <c r="E500" s="8" t="s">
        <v>25</v>
      </c>
      <c r="F500" s="17" t="s">
        <v>163</v>
      </c>
      <c r="G500" s="8" t="s">
        <v>573</v>
      </c>
      <c r="H500" s="8" t="s">
        <v>574</v>
      </c>
      <c r="I500" s="9" t="s">
        <v>30</v>
      </c>
      <c r="J500" s="9" t="s">
        <v>225</v>
      </c>
      <c r="K500" s="17" t="str">
        <f>_xlfn.IFNA(VLOOKUP(C500, '[2]Unique HS'!$B$4:$J$999, 9, FALSE), "No")</f>
        <v>Yes</v>
      </c>
      <c r="L500" s="18">
        <f>VLOOKUP(C500, '[1]India EXIM'!$B$6:$C$580, 2, FALSE)</f>
        <v>2.3806969264E-2</v>
      </c>
      <c r="M500" s="11">
        <f>VLOOKUP(C500, '[1]China EXIM'!$B$6:$D$580, 3, FALSE)</f>
        <v>0.91721026553499996</v>
      </c>
      <c r="N500" s="6"/>
      <c r="O500" s="6"/>
      <c r="P500" s="6"/>
      <c r="Q500" s="10" t="s">
        <v>24</v>
      </c>
      <c r="R500" s="9" t="s">
        <v>30</v>
      </c>
      <c r="V500" s="1" t="s">
        <v>25</v>
      </c>
    </row>
    <row r="501" spans="2:24" ht="27.95">
      <c r="B501" s="6" t="str">
        <f>VLOOKUP(C501, [1]Definition!$D$5:$K$5665, 8, FALSE)</f>
        <v>Capital Goods</v>
      </c>
      <c r="C501" s="7">
        <v>902511</v>
      </c>
      <c r="D501" s="8" t="s">
        <v>961</v>
      </c>
      <c r="E501" s="8" t="s">
        <v>25</v>
      </c>
      <c r="F501" s="17" t="s">
        <v>19</v>
      </c>
      <c r="G501" s="8" t="s">
        <v>962</v>
      </c>
      <c r="H501" s="8"/>
      <c r="I501" s="9" t="s">
        <v>22</v>
      </c>
      <c r="J501" s="9" t="s">
        <v>140</v>
      </c>
      <c r="K501" s="17" t="str">
        <f>_xlfn.IFNA(VLOOKUP(C501, '[2]Unique HS'!$B$4:$J$999, 9, FALSE), "No")</f>
        <v>Yes</v>
      </c>
      <c r="L501" s="18">
        <f>VLOOKUP(C501, '[1]India EXIM'!$B$6:$C$580, 2, FALSE)</f>
        <v>3.5479142190000001E-3</v>
      </c>
      <c r="M501" s="11">
        <f>VLOOKUP(C501, '[1]China EXIM'!$B$6:$D$580, 3, FALSE)</f>
        <v>0.13176210341399999</v>
      </c>
      <c r="N501" s="6"/>
      <c r="O501" s="6"/>
      <c r="P501" s="6"/>
      <c r="Q501" s="10" t="s">
        <v>24</v>
      </c>
      <c r="R501" s="9" t="s">
        <v>70</v>
      </c>
      <c r="V501" s="1" t="s">
        <v>25</v>
      </c>
    </row>
    <row r="502" spans="2:24" ht="27.95" hidden="1">
      <c r="B502" s="6" t="str">
        <f>VLOOKUP(C502, [1]Definition!$D$5:$K$5665, 8, FALSE)</f>
        <v>Capital Goods</v>
      </c>
      <c r="C502" s="7">
        <v>843830</v>
      </c>
      <c r="D502" s="8" t="s">
        <v>989</v>
      </c>
      <c r="E502" s="8" t="s">
        <v>25</v>
      </c>
      <c r="F502" s="17" t="s">
        <v>19</v>
      </c>
      <c r="G502" s="8"/>
      <c r="H502" s="8"/>
      <c r="I502" s="9" t="s">
        <v>61</v>
      </c>
      <c r="J502" s="9" t="s">
        <v>247</v>
      </c>
      <c r="K502" s="17" t="str">
        <f>_xlfn.IFNA(VLOOKUP(C502, '[2]Unique HS'!$B$4:$J$999, 9, FALSE), "No")</f>
        <v>No</v>
      </c>
      <c r="L502" s="18">
        <f>VLOOKUP(C502, '[1]India EXIM'!$B$6:$C$580, 2, FALSE)</f>
        <v>2.4267727209999999E-3</v>
      </c>
      <c r="M502" s="11">
        <f>VLOOKUP(C502, '[1]China EXIM'!$B$6:$D$580, 3, FALSE)</f>
        <v>0.131279999343</v>
      </c>
      <c r="N502" s="6"/>
      <c r="O502" s="6"/>
      <c r="P502" s="6"/>
      <c r="Q502" s="10" t="s">
        <v>24</v>
      </c>
      <c r="R502" s="9" t="s">
        <v>61</v>
      </c>
      <c r="V502" s="1" t="s">
        <v>25</v>
      </c>
    </row>
    <row r="503" spans="2:24" ht="42" hidden="1">
      <c r="B503" s="6" t="str">
        <f>VLOOKUP(C503, [1]Definition!$D$5:$K$5665, 8, FALSE)</f>
        <v>Capital Goods</v>
      </c>
      <c r="C503" s="7">
        <v>903032</v>
      </c>
      <c r="D503" s="8" t="s">
        <v>879</v>
      </c>
      <c r="E503" s="8" t="s">
        <v>25</v>
      </c>
      <c r="F503" s="17" t="s">
        <v>163</v>
      </c>
      <c r="G503" s="8" t="s">
        <v>880</v>
      </c>
      <c r="H503" s="8" t="s">
        <v>574</v>
      </c>
      <c r="I503" s="9" t="s">
        <v>30</v>
      </c>
      <c r="J503" s="9" t="s">
        <v>225</v>
      </c>
      <c r="K503" s="17" t="str">
        <f>_xlfn.IFNA(VLOOKUP(C503, '[2]Unique HS'!$B$4:$J$999, 9, FALSE), "No")</f>
        <v>Yes</v>
      </c>
      <c r="L503" s="18">
        <f>VLOOKUP(C503, '[1]India EXIM'!$B$6:$C$580, 2, FALSE)</f>
        <v>7.5312118709999999E-3</v>
      </c>
      <c r="M503" s="11">
        <f>VLOOKUP(C503, '[1]China EXIM'!$B$6:$D$580, 3, FALSE)</f>
        <v>0.606064966318</v>
      </c>
      <c r="N503" s="6"/>
      <c r="O503" s="6"/>
      <c r="P503" s="6"/>
      <c r="Q503" s="10" t="s">
        <v>24</v>
      </c>
      <c r="R503" s="9" t="s">
        <v>30</v>
      </c>
      <c r="V503" s="1" t="s">
        <v>25</v>
      </c>
    </row>
    <row r="504" spans="2:24" ht="27.95" hidden="1">
      <c r="B504" s="6" t="str">
        <f>VLOOKUP(C504, [1]Definition!$D$5:$K$5665, 8, FALSE)</f>
        <v>Capital Goods</v>
      </c>
      <c r="C504" s="7">
        <v>840220</v>
      </c>
      <c r="D504" s="8" t="s">
        <v>973</v>
      </c>
      <c r="E504" s="8" t="s">
        <v>25</v>
      </c>
      <c r="F504" s="17" t="s">
        <v>142</v>
      </c>
      <c r="G504" s="8"/>
      <c r="H504" s="8"/>
      <c r="I504" s="9" t="s">
        <v>30</v>
      </c>
      <c r="J504" s="9" t="s">
        <v>784</v>
      </c>
      <c r="K504" s="17" t="str">
        <f>_xlfn.IFNA(VLOOKUP(C504, '[2]Unique HS'!$B$4:$J$999, 9, FALSE), "No")</f>
        <v>No</v>
      </c>
      <c r="L504" s="18">
        <f>VLOOKUP(C504, '[1]India EXIM'!$B$6:$C$580, 2, FALSE)</f>
        <v>3.1633205589999998E-3</v>
      </c>
      <c r="M504" s="11">
        <f>VLOOKUP(C504, '[1]China EXIM'!$B$6:$D$580, 3, FALSE)</f>
        <v>0.120342515947</v>
      </c>
      <c r="N504" s="9" t="s">
        <v>785</v>
      </c>
      <c r="O504" s="9"/>
      <c r="P504" s="6"/>
      <c r="Q504" s="10" t="s">
        <v>24</v>
      </c>
      <c r="R504" s="9" t="s">
        <v>30</v>
      </c>
      <c r="V504" s="1" t="s">
        <v>25</v>
      </c>
    </row>
    <row r="505" spans="2:24" ht="27.95" hidden="1">
      <c r="B505" s="6" t="str">
        <f>VLOOKUP(C505, [1]Definition!$D$5:$K$5665, 8, FALSE)</f>
        <v>Capital Goods</v>
      </c>
      <c r="C505" s="7">
        <v>853530</v>
      </c>
      <c r="D505" s="8" t="s">
        <v>641</v>
      </c>
      <c r="E505" s="8" t="s">
        <v>34</v>
      </c>
      <c r="F505" s="17" t="s">
        <v>27</v>
      </c>
      <c r="G505" s="8" t="s">
        <v>642</v>
      </c>
      <c r="H505" s="8" t="s">
        <v>171</v>
      </c>
      <c r="I505" s="3" t="s">
        <v>30</v>
      </c>
      <c r="J505" s="9" t="s">
        <v>172</v>
      </c>
      <c r="K505" s="17" t="str">
        <f>_xlfn.IFNA(VLOOKUP(C505, '[2]Unique HS'!$B$4:$J$999, 9, FALSE), "No")</f>
        <v>Yes</v>
      </c>
      <c r="L505" s="22">
        <f>VLOOKUP(C505, '[1]India EXIM'!$B$6:$C$580, 2, FALSE)</f>
        <v>1.8822590954999999E-2</v>
      </c>
      <c r="M505" s="11">
        <f>VLOOKUP(C505, '[1]China EXIM'!$B$6:$D$580, 3, FALSE)</f>
        <v>2.5505714633839998</v>
      </c>
      <c r="N505" s="6"/>
      <c r="O505" s="6"/>
      <c r="P505" s="6"/>
      <c r="Q505" s="10" t="s">
        <v>24</v>
      </c>
      <c r="R505" s="9" t="s">
        <v>30</v>
      </c>
      <c r="T505" s="1" t="s">
        <v>33</v>
      </c>
      <c r="V505" s="1" t="s">
        <v>34</v>
      </c>
      <c r="X505" s="1" t="s">
        <v>113</v>
      </c>
    </row>
    <row r="506" spans="2:24" ht="56.1" hidden="1">
      <c r="B506" s="6" t="str">
        <f>VLOOKUP(C506, [1]Definition!$D$5:$K$5665, 8, FALSE)</f>
        <v>Capital Goods</v>
      </c>
      <c r="C506" s="7">
        <v>910700</v>
      </c>
      <c r="D506" s="8" t="s">
        <v>727</v>
      </c>
      <c r="E506" s="8" t="s">
        <v>34</v>
      </c>
      <c r="F506" s="17" t="s">
        <v>27</v>
      </c>
      <c r="G506" s="8" t="s">
        <v>728</v>
      </c>
      <c r="H506" s="8"/>
      <c r="I506" s="9" t="s">
        <v>30</v>
      </c>
      <c r="J506" s="9" t="s">
        <v>729</v>
      </c>
      <c r="K506" s="17" t="str">
        <f>_xlfn.IFNA(VLOOKUP(C506, '[2]Unique HS'!$B$4:$J$999, 9, FALSE), "No")</f>
        <v>Yes</v>
      </c>
      <c r="L506" s="22">
        <f>VLOOKUP(C506, '[1]India EXIM'!$B$6:$C$580, 2, FALSE)</f>
        <v>1.394198411E-2</v>
      </c>
      <c r="M506" s="11">
        <f>VLOOKUP(C506, '[1]China EXIM'!$B$6:$D$580, 3, FALSE)</f>
        <v>0.403731029874</v>
      </c>
      <c r="N506" s="6"/>
      <c r="O506" s="6"/>
      <c r="P506" s="6"/>
      <c r="Q506" s="10" t="s">
        <v>24</v>
      </c>
      <c r="R506" s="9" t="s">
        <v>30</v>
      </c>
      <c r="T506" s="1" t="s">
        <v>33</v>
      </c>
      <c r="V506" s="1" t="s">
        <v>34</v>
      </c>
      <c r="X506" s="1" t="s">
        <v>113</v>
      </c>
    </row>
    <row r="507" spans="2:24" ht="27.95" hidden="1">
      <c r="B507" s="6" t="str">
        <f>VLOOKUP(C507, [1]Definition!$D$5:$K$5665, 8, FALSE)</f>
        <v>Capital Goods</v>
      </c>
      <c r="C507" s="7">
        <v>845620</v>
      </c>
      <c r="D507" s="8" t="s">
        <v>986</v>
      </c>
      <c r="E507" s="8" t="s">
        <v>25</v>
      </c>
      <c r="F507" s="17" t="s">
        <v>19</v>
      </c>
      <c r="G507" s="8"/>
      <c r="H507" s="8"/>
      <c r="I507" s="9" t="s">
        <v>65</v>
      </c>
      <c r="J507" s="9" t="s">
        <v>31</v>
      </c>
      <c r="K507" s="17" t="str">
        <f>_xlfn.IFNA(VLOOKUP(C507, '[2]Unique HS'!$B$4:$J$999, 9, FALSE), "No")</f>
        <v>No</v>
      </c>
      <c r="L507" s="18">
        <f>VLOOKUP(C507, '[1]India EXIM'!$B$6:$C$580, 2, FALSE)</f>
        <v>2.5361403369999996E-3</v>
      </c>
      <c r="M507" s="11">
        <f>VLOOKUP(C507, '[1]China EXIM'!$B$6:$D$580, 3, FALSE)</f>
        <v>8.2337257578000006E-2</v>
      </c>
      <c r="N507" s="6"/>
      <c r="O507" s="6"/>
      <c r="P507" s="6"/>
      <c r="Q507" s="10" t="s">
        <v>24</v>
      </c>
      <c r="R507" s="9" t="s">
        <v>65</v>
      </c>
      <c r="V507" s="1" t="s">
        <v>25</v>
      </c>
    </row>
    <row r="508" spans="2:24" ht="27.95">
      <c r="B508" s="6" t="str">
        <f>VLOOKUP(C508, [1]Definition!$D$5:$K$5665, 8, FALSE)</f>
        <v>Capital Goods</v>
      </c>
      <c r="C508" s="7">
        <v>851633</v>
      </c>
      <c r="D508" s="8" t="s">
        <v>956</v>
      </c>
      <c r="E508" s="8" t="s">
        <v>137</v>
      </c>
      <c r="F508" s="17" t="s">
        <v>205</v>
      </c>
      <c r="G508" s="8" t="s">
        <v>957</v>
      </c>
      <c r="H508" s="8"/>
      <c r="I508" s="9" t="s">
        <v>22</v>
      </c>
      <c r="J508" s="9" t="s">
        <v>587</v>
      </c>
      <c r="K508" s="17" t="str">
        <f>_xlfn.IFNA(VLOOKUP(C508, '[2]Unique HS'!$B$4:$J$999, 9, FALSE), "No")</f>
        <v>No</v>
      </c>
      <c r="L508" s="22">
        <f>VLOOKUP(C508, '[1]India EXIM'!$B$6:$C$580, 2, FALSE)</f>
        <v>3.7529523519999998E-3</v>
      </c>
      <c r="M508" s="11">
        <f>VLOOKUP(C508, '[1]China EXIM'!$B$6:$D$580, 3, FALSE)</f>
        <v>0.117209923748</v>
      </c>
      <c r="N508" s="6"/>
      <c r="O508" s="6"/>
      <c r="P508" s="6"/>
      <c r="Q508" s="10" t="s">
        <v>24</v>
      </c>
      <c r="R508" s="11" t="s">
        <v>22</v>
      </c>
      <c r="V508" s="1" t="s">
        <v>137</v>
      </c>
    </row>
    <row r="509" spans="2:24" ht="27.95" hidden="1">
      <c r="B509" s="6" t="str">
        <f>VLOOKUP(C509, [1]Definition!$D$5:$K$5665, 8, FALSE)</f>
        <v>Capital Goods</v>
      </c>
      <c r="C509" s="7">
        <v>851511</v>
      </c>
      <c r="D509" s="8" t="s">
        <v>988</v>
      </c>
      <c r="E509" s="8" t="s">
        <v>25</v>
      </c>
      <c r="F509" s="17" t="s">
        <v>19</v>
      </c>
      <c r="G509" s="8"/>
      <c r="H509" s="8"/>
      <c r="I509" s="9" t="s">
        <v>65</v>
      </c>
      <c r="J509" s="9" t="s">
        <v>590</v>
      </c>
      <c r="K509" s="17" t="str">
        <f>_xlfn.IFNA(VLOOKUP(C509, '[2]Unique HS'!$B$4:$J$999, 9, FALSE), "No")</f>
        <v>Yes</v>
      </c>
      <c r="L509" s="18">
        <f>VLOOKUP(C509, '[1]India EXIM'!$B$6:$C$580, 2, FALSE)</f>
        <v>2.5070605610000001E-3</v>
      </c>
      <c r="M509" s="11">
        <f>VLOOKUP(C509, '[1]China EXIM'!$B$6:$D$580, 3, FALSE)</f>
        <v>0.29740653620499996</v>
      </c>
      <c r="N509" s="6"/>
      <c r="O509" s="6"/>
      <c r="P509" s="6"/>
      <c r="Q509" s="10" t="s">
        <v>24</v>
      </c>
      <c r="R509" s="9" t="s">
        <v>65</v>
      </c>
      <c r="V509" s="1" t="s">
        <v>25</v>
      </c>
    </row>
    <row r="510" spans="2:24" ht="27.95" hidden="1">
      <c r="B510" s="6" t="str">
        <f>VLOOKUP(C510, [1]Definition!$D$5:$K$5665, 8, FALSE)</f>
        <v>Capital Goods</v>
      </c>
      <c r="C510" s="7">
        <v>850421</v>
      </c>
      <c r="D510" s="8" t="s">
        <v>774</v>
      </c>
      <c r="E510" s="8" t="s">
        <v>34</v>
      </c>
      <c r="F510" s="17" t="s">
        <v>27</v>
      </c>
      <c r="G510" s="8" t="s">
        <v>775</v>
      </c>
      <c r="H510" s="8" t="s">
        <v>776</v>
      </c>
      <c r="I510" s="9" t="s">
        <v>30</v>
      </c>
      <c r="J510" s="9" t="s">
        <v>31</v>
      </c>
      <c r="K510" s="17" t="str">
        <f>_xlfn.IFNA(VLOOKUP(C510, '[2]Unique HS'!$B$4:$J$999, 9, FALSE), "No")</f>
        <v>Yes</v>
      </c>
      <c r="L510" s="22">
        <f>VLOOKUP(C510, '[1]India EXIM'!$B$6:$C$580, 2, FALSE)</f>
        <v>1.1319657554999999E-2</v>
      </c>
      <c r="M510" s="11">
        <f>VLOOKUP(C510, '[1]China EXIM'!$B$6:$D$580, 3, FALSE)</f>
        <v>3.309885401296</v>
      </c>
      <c r="N510" s="6" t="s">
        <v>32</v>
      </c>
      <c r="O510" s="6"/>
      <c r="P510" s="6"/>
      <c r="Q510" s="10" t="s">
        <v>24</v>
      </c>
      <c r="R510" s="9" t="s">
        <v>30</v>
      </c>
      <c r="T510" s="1" t="s">
        <v>136</v>
      </c>
      <c r="V510" s="1" t="s">
        <v>34</v>
      </c>
      <c r="X510" s="1" t="s">
        <v>542</v>
      </c>
    </row>
    <row r="511" spans="2:24" ht="27.95" hidden="1">
      <c r="B511" s="6" t="str">
        <f>VLOOKUP(C511, [1]Definition!$D$5:$K$5665, 8, FALSE)</f>
        <v>Capital Goods</v>
      </c>
      <c r="C511" s="7">
        <v>820310</v>
      </c>
      <c r="D511" s="8" t="s">
        <v>1000</v>
      </c>
      <c r="E511" s="8" t="s">
        <v>25</v>
      </c>
      <c r="F511" s="17" t="s">
        <v>19</v>
      </c>
      <c r="G511" s="8"/>
      <c r="H511" s="8"/>
      <c r="I511" s="9" t="s">
        <v>65</v>
      </c>
      <c r="J511" s="9" t="s">
        <v>1001</v>
      </c>
      <c r="K511" s="17" t="str">
        <f>_xlfn.IFNA(VLOOKUP(C511, '[2]Unique HS'!$B$4:$J$999, 9, FALSE), "No")</f>
        <v>Yes</v>
      </c>
      <c r="L511" s="18">
        <f>VLOOKUP(C511, '[1]India EXIM'!$B$6:$C$580, 2, FALSE)</f>
        <v>2.2157337110000003E-3</v>
      </c>
      <c r="M511" s="11">
        <f>VLOOKUP(C511, '[1]China EXIM'!$B$6:$D$580, 3, FALSE)</f>
        <v>0.31033747891500002</v>
      </c>
      <c r="N511" s="6" t="s">
        <v>210</v>
      </c>
      <c r="O511" s="6"/>
      <c r="P511" s="9"/>
      <c r="Q511" s="10" t="s">
        <v>24</v>
      </c>
      <c r="R511" s="11" t="s">
        <v>210</v>
      </c>
      <c r="V511" s="1" t="s">
        <v>25</v>
      </c>
    </row>
    <row r="512" spans="2:24" ht="42" hidden="1">
      <c r="B512" s="6" t="str">
        <f>VLOOKUP(C512, [1]Definition!$D$5:$K$5665, 8, FALSE)</f>
        <v>Capital Goods</v>
      </c>
      <c r="C512" s="7">
        <v>846225</v>
      </c>
      <c r="D512" s="8" t="s">
        <v>1006</v>
      </c>
      <c r="E512" s="8" t="s">
        <v>25</v>
      </c>
      <c r="F512" s="17" t="s">
        <v>19</v>
      </c>
      <c r="G512" s="8"/>
      <c r="H512" s="8"/>
      <c r="I512" s="9" t="s">
        <v>65</v>
      </c>
      <c r="J512" s="9" t="s">
        <v>31</v>
      </c>
      <c r="K512" s="17" t="str">
        <f>_xlfn.IFNA(VLOOKUP(C512, '[2]Unique HS'!$B$4:$J$999, 9, FALSE), "No")</f>
        <v>No</v>
      </c>
      <c r="L512" s="18">
        <f>VLOOKUP(C512, '[1]India EXIM'!$B$6:$C$580, 2, FALSE)</f>
        <v>2.0115704139999999E-3</v>
      </c>
      <c r="M512" s="11">
        <f>VLOOKUP(C512, '[1]China EXIM'!$B$6:$D$580, 3, FALSE)</f>
        <v>8.5691921983000005E-2</v>
      </c>
      <c r="N512" s="6"/>
      <c r="O512" s="6"/>
      <c r="P512" s="6"/>
      <c r="Q512" s="10" t="s">
        <v>24</v>
      </c>
      <c r="R512" s="9" t="s">
        <v>65</v>
      </c>
      <c r="V512" s="1" t="s">
        <v>25</v>
      </c>
    </row>
    <row r="513" spans="2:24" ht="27.95" hidden="1">
      <c r="B513" s="6" t="str">
        <f>VLOOKUP(C513, [1]Definition!$D$5:$K$5665, 8, FALSE)</f>
        <v>Capital Goods</v>
      </c>
      <c r="C513" s="7">
        <v>845380</v>
      </c>
      <c r="D513" s="8" t="s">
        <v>851</v>
      </c>
      <c r="E513" s="8" t="s">
        <v>25</v>
      </c>
      <c r="F513" s="17" t="s">
        <v>19</v>
      </c>
      <c r="G513" s="8"/>
      <c r="H513" s="8"/>
      <c r="I513" s="9" t="s">
        <v>55</v>
      </c>
      <c r="J513" s="9" t="s">
        <v>431</v>
      </c>
      <c r="K513" s="17" t="str">
        <f>_xlfn.IFNA(VLOOKUP(C513, '[2]Unique HS'!$B$4:$J$999, 9, FALSE), "No")</f>
        <v>No</v>
      </c>
      <c r="L513" s="18">
        <f>VLOOKUP(C513, '[1]India EXIM'!$B$6:$C$580, 2, FALSE)</f>
        <v>8.2228574660000008E-3</v>
      </c>
      <c r="M513" s="11">
        <f>VLOOKUP(C513, '[1]China EXIM'!$B$6:$D$580, 3, FALSE)</f>
        <v>9.9836082310000004E-2</v>
      </c>
      <c r="N513" s="6"/>
      <c r="O513" s="6"/>
      <c r="P513" s="6"/>
      <c r="Q513" s="10" t="s">
        <v>24</v>
      </c>
      <c r="R513" s="9" t="s">
        <v>55</v>
      </c>
      <c r="V513" s="1" t="s">
        <v>25</v>
      </c>
    </row>
    <row r="514" spans="2:24" ht="56.1" hidden="1">
      <c r="B514" s="6" t="str">
        <f>VLOOKUP(C514, [1]Definition!$D$5:$K$5665, 8, FALSE)</f>
        <v>Capital Goods</v>
      </c>
      <c r="C514" s="7">
        <v>902830</v>
      </c>
      <c r="D514" s="8" t="s">
        <v>812</v>
      </c>
      <c r="E514" s="8" t="s">
        <v>34</v>
      </c>
      <c r="F514" s="17" t="s">
        <v>27</v>
      </c>
      <c r="G514" s="8" t="s">
        <v>813</v>
      </c>
      <c r="H514" s="8"/>
      <c r="I514" s="9" t="s">
        <v>30</v>
      </c>
      <c r="J514" s="9" t="s">
        <v>814</v>
      </c>
      <c r="K514" s="17" t="str">
        <f>_xlfn.IFNA(VLOOKUP(C514, '[2]Unique HS'!$B$4:$J$999, 9, FALSE), "No")</f>
        <v>Yes</v>
      </c>
      <c r="L514" s="22">
        <f>VLOOKUP(C514, '[1]India EXIM'!$B$6:$C$580, 2, FALSE)</f>
        <v>9.6717872309999998E-3</v>
      </c>
      <c r="M514" s="11">
        <f>VLOOKUP(C514, '[1]China EXIM'!$B$6:$D$580, 3, FALSE)</f>
        <v>4.5150932140920004</v>
      </c>
      <c r="N514" s="6"/>
      <c r="O514" s="6"/>
      <c r="P514" s="6"/>
      <c r="Q514" s="10" t="s">
        <v>24</v>
      </c>
      <c r="R514" s="11" t="s">
        <v>30</v>
      </c>
      <c r="T514" s="1" t="s">
        <v>33</v>
      </c>
      <c r="V514" s="1" t="s">
        <v>34</v>
      </c>
    </row>
    <row r="515" spans="2:24" ht="42" hidden="1">
      <c r="B515" s="6" t="str">
        <f>VLOOKUP(C515, [1]Definition!$D$5:$K$5665, 8, FALSE)</f>
        <v>Capital Goods</v>
      </c>
      <c r="C515" s="7">
        <v>846810</v>
      </c>
      <c r="D515" s="8" t="s">
        <v>1009</v>
      </c>
      <c r="E515" s="8" t="s">
        <v>25</v>
      </c>
      <c r="F515" s="17" t="s">
        <v>19</v>
      </c>
      <c r="G515" s="8"/>
      <c r="H515" s="8"/>
      <c r="I515" s="9" t="s">
        <v>65</v>
      </c>
      <c r="J515" s="9" t="s">
        <v>721</v>
      </c>
      <c r="K515" s="17" t="str">
        <f>_xlfn.IFNA(VLOOKUP(C515, '[2]Unique HS'!$B$4:$J$999, 9, FALSE), "No")</f>
        <v>No</v>
      </c>
      <c r="L515" s="18">
        <f>VLOOKUP(C515, '[1]India EXIM'!$B$6:$C$580, 2, FALSE)</f>
        <v>1.9794627009999998E-3</v>
      </c>
      <c r="M515" s="11">
        <f>VLOOKUP(C515, '[1]China EXIM'!$B$6:$D$580, 3, FALSE)</f>
        <v>0.19493323899000001</v>
      </c>
      <c r="N515" s="6"/>
      <c r="O515" s="6"/>
      <c r="P515" s="6"/>
      <c r="Q515" s="10" t="s">
        <v>24</v>
      </c>
      <c r="R515" s="9" t="s">
        <v>65</v>
      </c>
      <c r="V515" s="1" t="s">
        <v>25</v>
      </c>
    </row>
    <row r="516" spans="2:24" ht="27.95" hidden="1">
      <c r="B516" s="6" t="str">
        <f>VLOOKUP(C516, [1]Definition!$D$5:$K$5665, 8, FALSE)</f>
        <v>Capital Goods</v>
      </c>
      <c r="C516" s="7">
        <v>820510</v>
      </c>
      <c r="D516" s="8" t="s">
        <v>1013</v>
      </c>
      <c r="E516" s="8" t="s">
        <v>25</v>
      </c>
      <c r="F516" s="17" t="s">
        <v>19</v>
      </c>
      <c r="G516" s="8"/>
      <c r="H516" s="8"/>
      <c r="I516" s="9" t="s">
        <v>65</v>
      </c>
      <c r="J516" s="9" t="s">
        <v>1014</v>
      </c>
      <c r="K516" s="17" t="str">
        <f>_xlfn.IFNA(VLOOKUP(C516, '[2]Unique HS'!$B$4:$J$999, 9, FALSE), "No")</f>
        <v>Yes</v>
      </c>
      <c r="L516" s="18">
        <f>VLOOKUP(C516, '[1]India EXIM'!$B$6:$C$580, 2, FALSE)</f>
        <v>1.9382935209999999E-3</v>
      </c>
      <c r="M516" s="11">
        <f>VLOOKUP(C516, '[1]China EXIM'!$B$6:$D$580, 3, FALSE)</f>
        <v>0.208936921345</v>
      </c>
      <c r="N516" s="6" t="s">
        <v>210</v>
      </c>
      <c r="O516" s="6"/>
      <c r="P516" s="9"/>
      <c r="Q516" s="10" t="s">
        <v>24</v>
      </c>
      <c r="R516" s="11" t="s">
        <v>210</v>
      </c>
      <c r="V516" s="1" t="s">
        <v>25</v>
      </c>
    </row>
    <row r="517" spans="2:24" ht="27.95" hidden="1">
      <c r="B517" s="6" t="str">
        <f>VLOOKUP(C517, [1]Definition!$D$5:$K$5665, 8, FALSE)</f>
        <v>Capital Goods</v>
      </c>
      <c r="C517" s="7">
        <v>851411</v>
      </c>
      <c r="D517" s="8" t="s">
        <v>966</v>
      </c>
      <c r="E517" s="8" t="s">
        <v>25</v>
      </c>
      <c r="F517" s="17" t="s">
        <v>19</v>
      </c>
      <c r="G517" s="8"/>
      <c r="H517" s="8"/>
      <c r="I517" s="9" t="s">
        <v>82</v>
      </c>
      <c r="J517" s="9" t="s">
        <v>677</v>
      </c>
      <c r="K517" s="17" t="str">
        <f>_xlfn.IFNA(VLOOKUP(C517, '[2]Unique HS'!$B$4:$J$999, 9, FALSE), "No")</f>
        <v>No</v>
      </c>
      <c r="L517" s="18">
        <f>VLOOKUP(C517, '[1]India EXIM'!$B$6:$C$580, 2, FALSE)</f>
        <v>3.1763435610000002E-3</v>
      </c>
      <c r="M517" s="11">
        <f>VLOOKUP(C517, '[1]China EXIM'!$B$6:$D$580, 3, FALSE)</f>
        <v>9.3482277823999996E-2</v>
      </c>
      <c r="N517" s="6"/>
      <c r="O517" s="6"/>
      <c r="P517" s="6"/>
      <c r="Q517" s="10" t="s">
        <v>24</v>
      </c>
      <c r="R517" s="9" t="s">
        <v>82</v>
      </c>
      <c r="V517" s="1" t="s">
        <v>25</v>
      </c>
    </row>
    <row r="518" spans="2:24" ht="27.95" hidden="1">
      <c r="B518" s="6" t="str">
        <f>VLOOKUP(C518, [1]Definition!$D$5:$K$5665, 8, FALSE)</f>
        <v>Capital Goods</v>
      </c>
      <c r="C518" s="7">
        <v>844621</v>
      </c>
      <c r="D518" s="8" t="s">
        <v>992</v>
      </c>
      <c r="E518" s="8" t="s">
        <v>25</v>
      </c>
      <c r="F518" s="17" t="s">
        <v>19</v>
      </c>
      <c r="G518" s="8"/>
      <c r="H518" s="8"/>
      <c r="I518" s="9" t="s">
        <v>55</v>
      </c>
      <c r="J518" s="9" t="s">
        <v>56</v>
      </c>
      <c r="K518" s="17" t="str">
        <f>_xlfn.IFNA(VLOOKUP(C518, '[2]Unique HS'!$B$4:$J$999, 9, FALSE), "No")</f>
        <v>No</v>
      </c>
      <c r="L518" s="18">
        <f>VLOOKUP(C518, '[1]India EXIM'!$B$6:$C$580, 2, FALSE)</f>
        <v>2.3842027499999998E-3</v>
      </c>
      <c r="M518" s="11">
        <f>VLOOKUP(C518, '[1]China EXIM'!$B$6:$D$580, 3, FALSE)</f>
        <v>8.9094064187999991E-2</v>
      </c>
      <c r="N518" s="6"/>
      <c r="O518" s="6"/>
      <c r="P518" s="6"/>
      <c r="Q518" s="10" t="s">
        <v>24</v>
      </c>
      <c r="R518" s="9" t="s">
        <v>55</v>
      </c>
      <c r="V518" s="1" t="s">
        <v>25</v>
      </c>
    </row>
    <row r="519" spans="2:24" ht="27.95" hidden="1">
      <c r="B519" s="6" t="str">
        <f>VLOOKUP(C519, [1]Definition!$D$5:$K$5665, 8, FALSE)</f>
        <v>Capital Goods</v>
      </c>
      <c r="C519" s="7">
        <v>844610</v>
      </c>
      <c r="D519" s="8" t="s">
        <v>866</v>
      </c>
      <c r="E519" s="8" t="s">
        <v>25</v>
      </c>
      <c r="F519" s="17" t="s">
        <v>19</v>
      </c>
      <c r="G519" s="8"/>
      <c r="H519" s="8"/>
      <c r="I519" s="9" t="s">
        <v>55</v>
      </c>
      <c r="J519" s="9" t="s">
        <v>56</v>
      </c>
      <c r="K519" s="17" t="str">
        <f>_xlfn.IFNA(VLOOKUP(C519, '[2]Unique HS'!$B$4:$J$999, 9, FALSE), "No")</f>
        <v>No</v>
      </c>
      <c r="L519" s="18">
        <f>VLOOKUP(C519, '[1]India EXIM'!$B$6:$C$580, 2, FALSE)</f>
        <v>7.6721218969999999E-3</v>
      </c>
      <c r="M519" s="11">
        <f>VLOOKUP(C519, '[1]China EXIM'!$B$6:$D$580, 3, FALSE)</f>
        <v>8.8625011005999996E-2</v>
      </c>
      <c r="N519" s="6"/>
      <c r="O519" s="6"/>
      <c r="P519" s="6"/>
      <c r="Q519" s="10" t="s">
        <v>24</v>
      </c>
      <c r="R519" s="9" t="s">
        <v>55</v>
      </c>
      <c r="V519" s="1" t="s">
        <v>25</v>
      </c>
    </row>
    <row r="520" spans="2:24" ht="56.1">
      <c r="B520" s="6" t="str">
        <f>VLOOKUP(C520, [1]Definition!$D$5:$K$5665, 8, FALSE)</f>
        <v>Capital Goods</v>
      </c>
      <c r="C520" s="7">
        <v>847521</v>
      </c>
      <c r="D520" s="8" t="s">
        <v>550</v>
      </c>
      <c r="E520" s="8" t="s">
        <v>25</v>
      </c>
      <c r="F520" s="17" t="s">
        <v>19</v>
      </c>
      <c r="G520" s="8"/>
      <c r="H520" s="8"/>
      <c r="I520" s="9" t="s">
        <v>22</v>
      </c>
      <c r="J520" s="9" t="s">
        <v>294</v>
      </c>
      <c r="K520" s="17" t="str">
        <f>_xlfn.IFNA(VLOOKUP(C520, '[2]Unique HS'!$B$4:$J$999, 9, FALSE), "No")</f>
        <v>No</v>
      </c>
      <c r="L520" s="18">
        <f>VLOOKUP(C520, '[1]India EXIM'!$B$6:$C$580, 2, FALSE)</f>
        <v>2.6140251361999999E-2</v>
      </c>
      <c r="M520" s="11">
        <f>VLOOKUP(C520, '[1]China EXIM'!$B$6:$D$580, 3, FALSE)</f>
        <v>8.8111445949E-2</v>
      </c>
      <c r="N520" s="6"/>
      <c r="O520" s="6"/>
      <c r="P520" s="6"/>
      <c r="Q520" s="10" t="s">
        <v>24</v>
      </c>
      <c r="R520" s="9" t="s">
        <v>22</v>
      </c>
      <c r="V520" s="1" t="s">
        <v>25</v>
      </c>
    </row>
    <row r="521" spans="2:24" ht="27.95" hidden="1">
      <c r="B521" s="6" t="str">
        <f>VLOOKUP(C521, [1]Definition!$D$5:$K$5665, 8, FALSE)</f>
        <v>Capital Goods</v>
      </c>
      <c r="C521" s="7">
        <v>845410</v>
      </c>
      <c r="D521" s="8" t="s">
        <v>715</v>
      </c>
      <c r="E521" s="8" t="s">
        <v>25</v>
      </c>
      <c r="F521" s="17" t="s">
        <v>19</v>
      </c>
      <c r="G521" s="8"/>
      <c r="H521" s="8"/>
      <c r="I521" s="9" t="s">
        <v>82</v>
      </c>
      <c r="J521" s="9" t="s">
        <v>716</v>
      </c>
      <c r="K521" s="17" t="str">
        <f>_xlfn.IFNA(VLOOKUP(C521, '[2]Unique HS'!$B$4:$J$999, 9, FALSE), "No")</f>
        <v>No</v>
      </c>
      <c r="L521" s="18">
        <f>VLOOKUP(C521, '[1]India EXIM'!$B$6:$C$580, 2, FALSE)</f>
        <v>1.4883507964999999E-2</v>
      </c>
      <c r="M521" s="11">
        <f>VLOOKUP(C521, '[1]China EXIM'!$B$6:$D$580, 3, FALSE)</f>
        <v>8.6213125506999999E-2</v>
      </c>
      <c r="N521" s="6"/>
      <c r="O521" s="6"/>
      <c r="P521" s="6"/>
      <c r="Q521" s="10" t="s">
        <v>24</v>
      </c>
      <c r="R521" s="9" t="s">
        <v>82</v>
      </c>
      <c r="V521" s="1" t="s">
        <v>25</v>
      </c>
    </row>
    <row r="522" spans="2:24" ht="42" hidden="1">
      <c r="B522" s="6" t="str">
        <f>VLOOKUP(C522, [1]Definition!$D$5:$K$5665, 8, FALSE)</f>
        <v>Capital Goods</v>
      </c>
      <c r="C522" s="7">
        <v>842831</v>
      </c>
      <c r="D522" s="8" t="s">
        <v>914</v>
      </c>
      <c r="E522" s="8" t="s">
        <v>25</v>
      </c>
      <c r="F522" s="17" t="s">
        <v>19</v>
      </c>
      <c r="G522" s="8"/>
      <c r="H522" s="8"/>
      <c r="I522" s="9" t="s">
        <v>58</v>
      </c>
      <c r="J522" s="9" t="s">
        <v>31</v>
      </c>
      <c r="K522" s="17" t="str">
        <f>_xlfn.IFNA(VLOOKUP(C522, '[2]Unique HS'!$B$4:$J$999, 9, FALSE), "No")</f>
        <v>No</v>
      </c>
      <c r="L522" s="18">
        <f>VLOOKUP(C522, '[1]India EXIM'!$B$6:$C$580, 2, FALSE)</f>
        <v>5.3905385760000006E-3</v>
      </c>
      <c r="M522" s="11">
        <f>VLOOKUP(C522, '[1]China EXIM'!$B$6:$D$580, 3, FALSE)</f>
        <v>8.6136436755999995E-2</v>
      </c>
      <c r="N522" s="9" t="s">
        <v>59</v>
      </c>
      <c r="O522" s="9"/>
      <c r="P522" s="6"/>
      <c r="Q522" s="10" t="s">
        <v>24</v>
      </c>
      <c r="R522" s="9" t="s">
        <v>58</v>
      </c>
      <c r="V522" s="1" t="s">
        <v>25</v>
      </c>
    </row>
    <row r="523" spans="2:24" ht="27.95" hidden="1">
      <c r="B523" s="6" t="str">
        <f>VLOOKUP(C523, [1]Definition!$D$5:$K$5665, 8, FALSE)</f>
        <v>Capital Goods</v>
      </c>
      <c r="C523" s="7">
        <v>820210</v>
      </c>
      <c r="D523" s="8" t="s">
        <v>1015</v>
      </c>
      <c r="E523" s="8" t="s">
        <v>25</v>
      </c>
      <c r="F523" s="17" t="s">
        <v>19</v>
      </c>
      <c r="G523" s="8"/>
      <c r="H523" s="8"/>
      <c r="I523" s="9" t="s">
        <v>65</v>
      </c>
      <c r="J523" s="9" t="s">
        <v>209</v>
      </c>
      <c r="K523" s="17" t="str">
        <f>_xlfn.IFNA(VLOOKUP(C523, '[2]Unique HS'!$B$4:$J$999, 9, FALSE), "No")</f>
        <v>Yes</v>
      </c>
      <c r="L523" s="18">
        <f>VLOOKUP(C523, '[1]India EXIM'!$B$6:$C$580, 2, FALSE)</f>
        <v>1.882845925E-3</v>
      </c>
      <c r="M523" s="11">
        <f>VLOOKUP(C523, '[1]China EXIM'!$B$6:$D$580, 3, FALSE)</f>
        <v>0.35258873735699997</v>
      </c>
      <c r="N523" s="6" t="s">
        <v>210</v>
      </c>
      <c r="O523" s="6"/>
      <c r="P523" s="9"/>
      <c r="Q523" s="10" t="s">
        <v>24</v>
      </c>
      <c r="R523" s="11" t="s">
        <v>210</v>
      </c>
      <c r="V523" s="1" t="s">
        <v>25</v>
      </c>
    </row>
    <row r="524" spans="2:24" ht="27.95" hidden="1">
      <c r="B524" s="6" t="str">
        <f>VLOOKUP(C524, [1]Definition!$D$5:$K$5665, 8, FALSE)</f>
        <v>Capital Goods</v>
      </c>
      <c r="C524" s="7">
        <v>844512</v>
      </c>
      <c r="D524" s="8" t="s">
        <v>805</v>
      </c>
      <c r="E524" s="8" t="s">
        <v>25</v>
      </c>
      <c r="F524" s="17" t="s">
        <v>19</v>
      </c>
      <c r="G524" s="8"/>
      <c r="H524" s="8"/>
      <c r="I524" s="9" t="s">
        <v>55</v>
      </c>
      <c r="J524" s="9" t="s">
        <v>56</v>
      </c>
      <c r="K524" s="17" t="str">
        <f>_xlfn.IFNA(VLOOKUP(C524, '[2]Unique HS'!$B$4:$J$999, 9, FALSE), "No")</f>
        <v>No</v>
      </c>
      <c r="L524" s="18">
        <f>VLOOKUP(C524, '[1]India EXIM'!$B$6:$C$580, 2, FALSE)</f>
        <v>1.0156202186000001E-2</v>
      </c>
      <c r="M524" s="11">
        <f>VLOOKUP(C524, '[1]China EXIM'!$B$6:$D$580, 3, FALSE)</f>
        <v>8.4837781619000005E-2</v>
      </c>
      <c r="N524" s="6"/>
      <c r="O524" s="6"/>
      <c r="P524" s="6"/>
      <c r="Q524" s="10" t="s">
        <v>24</v>
      </c>
      <c r="R524" s="9" t="s">
        <v>55</v>
      </c>
      <c r="V524" s="1" t="s">
        <v>25</v>
      </c>
    </row>
    <row r="525" spans="2:24" ht="27.95" hidden="1">
      <c r="B525" s="6" t="str">
        <f>VLOOKUP(C525, [1]Definition!$D$5:$K$5665, 8, FALSE)</f>
        <v>Capital Goods</v>
      </c>
      <c r="C525" s="7">
        <v>840610</v>
      </c>
      <c r="D525" s="8" t="s">
        <v>1046</v>
      </c>
      <c r="E525" s="8" t="s">
        <v>137</v>
      </c>
      <c r="F525" s="17" t="s">
        <v>205</v>
      </c>
      <c r="G525" s="8" t="s">
        <v>1047</v>
      </c>
      <c r="H525" s="8"/>
      <c r="I525" s="9" t="s">
        <v>30</v>
      </c>
      <c r="J525" s="9" t="s">
        <v>733</v>
      </c>
      <c r="K525" s="17" t="str">
        <f>_xlfn.IFNA(VLOOKUP(C525, '[2]Unique HS'!$B$4:$J$999, 9, FALSE), "No")</f>
        <v>No</v>
      </c>
      <c r="L525" s="18">
        <f>VLOOKUP(C525, '[1]India EXIM'!$B$6:$C$580, 2, FALSE)</f>
        <v>1.030290349E-3</v>
      </c>
      <c r="M525" s="11">
        <f>VLOOKUP(C525, '[1]China EXIM'!$B$6:$D$580, 3, FALSE)</f>
        <v>8.2808922759999987E-2</v>
      </c>
      <c r="N525" s="6" t="s">
        <v>733</v>
      </c>
      <c r="O525" s="6"/>
      <c r="P525" s="6"/>
      <c r="Q525" s="10" t="s">
        <v>24</v>
      </c>
      <c r="R525" s="9" t="s">
        <v>30</v>
      </c>
      <c r="V525" s="1" t="s">
        <v>137</v>
      </c>
    </row>
    <row r="526" spans="2:24" ht="27.95" hidden="1">
      <c r="B526" s="6" t="str">
        <f>VLOOKUP(C526, [1]Definition!$D$5:$K$5665, 8, FALSE)</f>
        <v>Capital Goods</v>
      </c>
      <c r="C526" s="7">
        <v>820520</v>
      </c>
      <c r="D526" s="8" t="s">
        <v>1016</v>
      </c>
      <c r="E526" s="8" t="s">
        <v>25</v>
      </c>
      <c r="F526" s="17" t="s">
        <v>19</v>
      </c>
      <c r="G526" s="8"/>
      <c r="H526" s="8"/>
      <c r="I526" s="9" t="s">
        <v>65</v>
      </c>
      <c r="J526" s="9" t="s">
        <v>1017</v>
      </c>
      <c r="K526" s="17" t="str">
        <f>_xlfn.IFNA(VLOOKUP(C526, '[2]Unique HS'!$B$4:$J$999, 9, FALSE), "No")</f>
        <v>Yes</v>
      </c>
      <c r="L526" s="18">
        <f>VLOOKUP(C526, '[1]India EXIM'!$B$6:$C$580, 2, FALSE)</f>
        <v>1.862382566E-3</v>
      </c>
      <c r="M526" s="11">
        <f>VLOOKUP(C526, '[1]China EXIM'!$B$6:$D$580, 3, FALSE)</f>
        <v>0.51860673902100007</v>
      </c>
      <c r="N526" s="6" t="s">
        <v>210</v>
      </c>
      <c r="O526" s="6"/>
      <c r="P526" s="9"/>
      <c r="Q526" s="10" t="s">
        <v>24</v>
      </c>
      <c r="R526" s="11" t="s">
        <v>210</v>
      </c>
      <c r="V526" s="1" t="s">
        <v>25</v>
      </c>
    </row>
    <row r="527" spans="2:24" ht="42">
      <c r="B527" s="6" t="str">
        <f>VLOOKUP(C527, [1]Definition!$D$5:$K$5665, 8, FALSE)</f>
        <v>Capital Goods</v>
      </c>
      <c r="C527" s="7">
        <v>840120</v>
      </c>
      <c r="D527" s="8" t="s">
        <v>1131</v>
      </c>
      <c r="E527" s="8" t="s">
        <v>25</v>
      </c>
      <c r="F527" s="17" t="s">
        <v>163</v>
      </c>
      <c r="G527" s="8" t="s">
        <v>1132</v>
      </c>
      <c r="H527" s="8"/>
      <c r="I527" s="9" t="s">
        <v>22</v>
      </c>
      <c r="J527" s="9" t="s">
        <v>1133</v>
      </c>
      <c r="K527" s="17" t="str">
        <f>_xlfn.IFNA(VLOOKUP(C527, '[2]Unique HS'!$B$4:$J$999, 9, FALSE), "No")</f>
        <v>No</v>
      </c>
      <c r="L527" s="18">
        <f>VLOOKUP(C527, '[1]India EXIM'!$B$6:$C$580, 2, FALSE)</f>
        <v>2.9796600000000001E-7</v>
      </c>
      <c r="M527" s="11">
        <f>VLOOKUP(C527, '[1]China EXIM'!$B$6:$D$580, 3, FALSE)</f>
        <v>7.8387131832999987E-2</v>
      </c>
      <c r="N527" s="6" t="s">
        <v>201</v>
      </c>
      <c r="O527" s="6"/>
      <c r="P527" s="6"/>
      <c r="Q527" s="10" t="s">
        <v>24</v>
      </c>
      <c r="R527" s="9" t="s">
        <v>22</v>
      </c>
      <c r="V527" s="1" t="s">
        <v>25</v>
      </c>
    </row>
    <row r="528" spans="2:24" ht="27.95" hidden="1">
      <c r="B528" s="6" t="str">
        <f>VLOOKUP(C528, [1]Definition!$D$5:$K$5665, 8, FALSE)</f>
        <v>Capital Goods</v>
      </c>
      <c r="C528" s="7">
        <v>850171</v>
      </c>
      <c r="D528" s="8" t="s">
        <v>1087</v>
      </c>
      <c r="E528" s="8" t="s">
        <v>34</v>
      </c>
      <c r="F528" s="17" t="s">
        <v>27</v>
      </c>
      <c r="G528" s="8" t="s">
        <v>1088</v>
      </c>
      <c r="H528" s="8" t="s">
        <v>1089</v>
      </c>
      <c r="I528" s="9" t="s">
        <v>30</v>
      </c>
      <c r="J528" s="9" t="s">
        <v>31</v>
      </c>
      <c r="K528" s="17" t="str">
        <f>_xlfn.IFNA(VLOOKUP(C528, '[2]Unique HS'!$B$4:$J$999, 9, FALSE), "No")</f>
        <v>Yes</v>
      </c>
      <c r="L528" s="22">
        <f>VLOOKUP(C528, '[1]India EXIM'!$B$6:$C$580, 2, FALSE)</f>
        <v>3.2973400600000001E-4</v>
      </c>
      <c r="M528" s="11">
        <f>VLOOKUP(C528, '[1]China EXIM'!$B$6:$D$580, 3, FALSE)</f>
        <v>4.4804079109999999E-2</v>
      </c>
      <c r="N528" s="9" t="s">
        <v>129</v>
      </c>
      <c r="O528" s="9"/>
      <c r="P528" s="6"/>
      <c r="Q528" s="10" t="s">
        <v>24</v>
      </c>
      <c r="R528" s="9" t="s">
        <v>30</v>
      </c>
      <c r="T528" s="1" t="s">
        <v>33</v>
      </c>
      <c r="V528" s="1" t="s">
        <v>34</v>
      </c>
      <c r="X528" s="1" t="s">
        <v>113</v>
      </c>
    </row>
    <row r="529" spans="2:24" ht="27.95" hidden="1">
      <c r="B529" s="6" t="str">
        <f>VLOOKUP(C529, [1]Definition!$D$5:$K$5665, 8, FALSE)</f>
        <v>Capital Goods</v>
      </c>
      <c r="C529" s="7">
        <v>910610</v>
      </c>
      <c r="D529" s="8" t="s">
        <v>1105</v>
      </c>
      <c r="E529" s="8" t="s">
        <v>34</v>
      </c>
      <c r="F529" s="17" t="s">
        <v>205</v>
      </c>
      <c r="G529" s="8"/>
      <c r="H529" s="8"/>
      <c r="I529" s="9" t="s">
        <v>496</v>
      </c>
      <c r="J529" s="9" t="s">
        <v>781</v>
      </c>
      <c r="K529" s="17" t="str">
        <f>_xlfn.IFNA(VLOOKUP(C529, '[2]Unique HS'!$B$4:$J$999, 9, FALSE), "No")</f>
        <v>No</v>
      </c>
      <c r="L529" s="22">
        <f>VLOOKUP(C529, '[1]India EXIM'!$B$6:$C$580, 2, FALSE)</f>
        <v>1.6944624400000002E-4</v>
      </c>
      <c r="M529" s="11">
        <f>VLOOKUP(C529, '[1]China EXIM'!$B$6:$D$580, 3, FALSE)</f>
        <v>0.15907361693900002</v>
      </c>
      <c r="N529" s="6"/>
      <c r="O529" s="6"/>
      <c r="P529" s="6"/>
      <c r="Q529" s="10" t="s">
        <v>24</v>
      </c>
      <c r="R529" s="9" t="s">
        <v>496</v>
      </c>
      <c r="T529" s="1" t="s">
        <v>136</v>
      </c>
      <c r="V529" s="1" t="s">
        <v>34</v>
      </c>
      <c r="W529" s="1" t="s">
        <v>1071</v>
      </c>
    </row>
    <row r="530" spans="2:24" ht="42" hidden="1">
      <c r="B530" s="6" t="str">
        <f>VLOOKUP(C530, [1]Definition!$D$5:$K$5665, 8, FALSE)</f>
        <v>Capital Goods</v>
      </c>
      <c r="C530" s="7">
        <v>845910</v>
      </c>
      <c r="D530" s="8" t="s">
        <v>1020</v>
      </c>
      <c r="E530" s="8" t="s">
        <v>25</v>
      </c>
      <c r="F530" s="17" t="s">
        <v>19</v>
      </c>
      <c r="G530" s="8"/>
      <c r="H530" s="8"/>
      <c r="I530" s="9" t="s">
        <v>65</v>
      </c>
      <c r="J530" s="9" t="s">
        <v>31</v>
      </c>
      <c r="K530" s="17" t="str">
        <f>_xlfn.IFNA(VLOOKUP(C530, '[2]Unique HS'!$B$4:$J$999, 9, FALSE), "No")</f>
        <v>No</v>
      </c>
      <c r="L530" s="18">
        <f>VLOOKUP(C530, '[1]India EXIM'!$B$6:$C$580, 2, FALSE)</f>
        <v>1.8202856950000001E-3</v>
      </c>
      <c r="M530" s="11">
        <f>VLOOKUP(C530, '[1]China EXIM'!$B$6:$D$580, 3, FALSE)</f>
        <v>4.8341103938E-2</v>
      </c>
      <c r="N530" s="6"/>
      <c r="O530" s="6"/>
      <c r="P530" s="6"/>
      <c r="Q530" s="10" t="s">
        <v>24</v>
      </c>
      <c r="R530" s="9" t="s">
        <v>65</v>
      </c>
      <c r="V530" s="1" t="s">
        <v>25</v>
      </c>
    </row>
    <row r="531" spans="2:24" ht="27.95" hidden="1">
      <c r="B531" s="6" t="str">
        <f>VLOOKUP(C531, [1]Definition!$D$5:$K$5665, 8, FALSE)</f>
        <v>Capital Goods</v>
      </c>
      <c r="C531" s="7">
        <v>850180</v>
      </c>
      <c r="D531" s="8" t="s">
        <v>1090</v>
      </c>
      <c r="E531" s="8" t="s">
        <v>34</v>
      </c>
      <c r="F531" s="17" t="s">
        <v>27</v>
      </c>
      <c r="G531" s="8" t="s">
        <v>1091</v>
      </c>
      <c r="H531" s="8" t="s">
        <v>1092</v>
      </c>
      <c r="I531" s="9" t="s">
        <v>30</v>
      </c>
      <c r="J531" s="9" t="s">
        <v>31</v>
      </c>
      <c r="K531" s="17" t="str">
        <f>_xlfn.IFNA(VLOOKUP(C531, '[2]Unique HS'!$B$4:$J$999, 9, FALSE), "No")</f>
        <v>Yes</v>
      </c>
      <c r="L531" s="22">
        <f>VLOOKUP(C531, '[1]India EXIM'!$B$6:$C$580, 2, FALSE)</f>
        <v>3.1704173999999997E-4</v>
      </c>
      <c r="M531" s="11">
        <f>VLOOKUP(C531, '[1]China EXIM'!$B$6:$D$580, 3, FALSE)</f>
        <v>0.14538443700799999</v>
      </c>
      <c r="N531" s="9" t="s">
        <v>129</v>
      </c>
      <c r="O531" s="9"/>
      <c r="P531" s="6"/>
      <c r="Q531" s="10" t="s">
        <v>24</v>
      </c>
      <c r="R531" s="9" t="s">
        <v>30</v>
      </c>
      <c r="T531" s="1" t="s">
        <v>33</v>
      </c>
      <c r="V531" s="1" t="s">
        <v>34</v>
      </c>
      <c r="X531" s="1" t="s">
        <v>113</v>
      </c>
    </row>
    <row r="532" spans="2:24" ht="27.95" hidden="1">
      <c r="B532" s="6" t="str">
        <f>VLOOKUP(C532, [1]Definition!$D$5:$K$5665, 8, FALSE)</f>
        <v>Capital Goods</v>
      </c>
      <c r="C532" s="7">
        <v>844314</v>
      </c>
      <c r="D532" s="8" t="s">
        <v>985</v>
      </c>
      <c r="E532" s="8" t="s">
        <v>25</v>
      </c>
      <c r="F532" s="17" t="s">
        <v>19</v>
      </c>
      <c r="G532" s="8"/>
      <c r="H532" s="8"/>
      <c r="I532" s="9" t="s">
        <v>180</v>
      </c>
      <c r="J532" s="9" t="s">
        <v>181</v>
      </c>
      <c r="K532" s="17" t="str">
        <f>_xlfn.IFNA(VLOOKUP(C532, '[2]Unique HS'!$B$4:$J$999, 9, FALSE), "No")</f>
        <v>No</v>
      </c>
      <c r="L532" s="18">
        <f>VLOOKUP(C532, '[1]India EXIM'!$B$6:$C$580, 2, FALSE)</f>
        <v>2.7522083489999998E-3</v>
      </c>
      <c r="M532" s="11">
        <f>VLOOKUP(C532, '[1]China EXIM'!$B$6:$D$580, 3, FALSE)</f>
        <v>6.9663280073000003E-2</v>
      </c>
      <c r="N532" s="6"/>
      <c r="O532" s="6"/>
      <c r="P532" s="6"/>
      <c r="Q532" s="10" t="s">
        <v>24</v>
      </c>
      <c r="R532" s="11" t="s">
        <v>182</v>
      </c>
      <c r="V532" s="1" t="s">
        <v>25</v>
      </c>
    </row>
    <row r="533" spans="2:24" ht="27.95" hidden="1">
      <c r="B533" s="6" t="str">
        <f>VLOOKUP(C533, [1]Definition!$D$5:$K$5665, 8, FALSE)</f>
        <v>Capital Goods</v>
      </c>
      <c r="C533" s="13">
        <v>820291</v>
      </c>
      <c r="D533" s="14" t="s">
        <v>1022</v>
      </c>
      <c r="E533" s="14" t="s">
        <v>25</v>
      </c>
      <c r="F533" s="17" t="s">
        <v>19</v>
      </c>
      <c r="G533" s="8"/>
      <c r="H533" s="8"/>
      <c r="I533" s="9" t="s">
        <v>65</v>
      </c>
      <c r="J533" s="9" t="s">
        <v>209</v>
      </c>
      <c r="K533" s="17" t="str">
        <f>_xlfn.IFNA(VLOOKUP(C533, '[2]Unique HS'!$B$4:$J$999, 9, FALSE), "No")</f>
        <v>No</v>
      </c>
      <c r="L533" s="18">
        <f>VLOOKUP(C533, '[1]India EXIM'!$B$6:$C$580, 2, FALSE)</f>
        <v>1.7341076080000001E-3</v>
      </c>
      <c r="M533" s="11">
        <f>VLOOKUP(C533, '[1]China EXIM'!$B$6:$D$580, 3, FALSE)</f>
        <v>0.19740255071200002</v>
      </c>
      <c r="N533" s="6" t="s">
        <v>210</v>
      </c>
      <c r="O533" s="6"/>
      <c r="P533" s="9"/>
      <c r="Q533" s="10" t="s">
        <v>24</v>
      </c>
      <c r="R533" s="11" t="s">
        <v>210</v>
      </c>
      <c r="V533" s="1" t="s">
        <v>25</v>
      </c>
    </row>
    <row r="534" spans="2:24" ht="42" hidden="1">
      <c r="B534" s="6" t="str">
        <f>VLOOKUP(C534, [1]Definition!$D$5:$K$5665, 8, FALSE)</f>
        <v>Capital Goods</v>
      </c>
      <c r="C534" s="7">
        <v>940131</v>
      </c>
      <c r="D534" s="8" t="s">
        <v>1080</v>
      </c>
      <c r="E534" s="8" t="s">
        <v>137</v>
      </c>
      <c r="F534" s="17" t="s">
        <v>205</v>
      </c>
      <c r="G534" s="8"/>
      <c r="H534" s="8"/>
      <c r="I534" s="9" t="s">
        <v>496</v>
      </c>
      <c r="J534" s="9" t="s">
        <v>781</v>
      </c>
      <c r="K534" s="17" t="str">
        <f>_xlfn.IFNA(VLOOKUP(C534, '[2]Unique HS'!$B$4:$J$999, 9, FALSE), "No")</f>
        <v>No</v>
      </c>
      <c r="L534" s="22">
        <f>VLOOKUP(C534, '[1]India EXIM'!$B$6:$C$580, 2, FALSE)</f>
        <v>3.8730263900000001E-4</v>
      </c>
      <c r="M534" s="11">
        <f>VLOOKUP(C534, '[1]China EXIM'!$B$6:$D$580, 3, FALSE)</f>
        <v>0.21753106409200001</v>
      </c>
      <c r="N534" s="6"/>
      <c r="O534" s="6"/>
      <c r="P534" s="6"/>
      <c r="Q534" s="10" t="s">
        <v>24</v>
      </c>
      <c r="R534" s="9" t="s">
        <v>496</v>
      </c>
      <c r="T534" s="1" t="s">
        <v>136</v>
      </c>
      <c r="V534" s="1" t="s">
        <v>137</v>
      </c>
    </row>
    <row r="535" spans="2:24" ht="69.95" hidden="1">
      <c r="B535" s="6" t="str">
        <f>VLOOKUP(C535, [1]Definition!$D$5:$K$5665, 8, FALSE)</f>
        <v>Capital Goods</v>
      </c>
      <c r="C535" s="7">
        <v>847983</v>
      </c>
      <c r="D535" s="8" t="s">
        <v>1063</v>
      </c>
      <c r="E535" s="8" t="s">
        <v>25</v>
      </c>
      <c r="F535" s="17" t="s">
        <v>19</v>
      </c>
      <c r="G535" s="8"/>
      <c r="H535" s="8"/>
      <c r="I535" s="9" t="s">
        <v>82</v>
      </c>
      <c r="J535" s="9" t="s">
        <v>1064</v>
      </c>
      <c r="K535" s="17" t="str">
        <f>_xlfn.IFNA(VLOOKUP(C535, '[2]Unique HS'!$B$4:$J$999, 9, FALSE), "No")</f>
        <v>No</v>
      </c>
      <c r="L535" s="18">
        <f>VLOOKUP(C535, '[1]India EXIM'!$B$6:$C$580, 2, FALSE)</f>
        <v>7.1420767000000005E-4</v>
      </c>
      <c r="M535" s="11">
        <f>VLOOKUP(C535, '[1]China EXIM'!$B$6:$D$580, 3, FALSE)</f>
        <v>6.5195440292000001E-2</v>
      </c>
      <c r="N535" s="6"/>
      <c r="O535" s="6"/>
      <c r="P535" s="6"/>
      <c r="Q535" s="10" t="s">
        <v>24</v>
      </c>
      <c r="R535" s="9" t="s">
        <v>82</v>
      </c>
      <c r="V535" s="1" t="s">
        <v>25</v>
      </c>
    </row>
    <row r="536" spans="2:24" ht="27.95" hidden="1">
      <c r="B536" s="6" t="str">
        <f>VLOOKUP(C536, [1]Definition!$D$5:$K$5665, 8, FALSE)</f>
        <v>Capital Goods</v>
      </c>
      <c r="C536" s="7">
        <v>820530</v>
      </c>
      <c r="D536" s="8" t="s">
        <v>1023</v>
      </c>
      <c r="E536" s="8" t="s">
        <v>25</v>
      </c>
      <c r="F536" s="17" t="s">
        <v>19</v>
      </c>
      <c r="G536" s="8"/>
      <c r="H536" s="8"/>
      <c r="I536" s="9" t="s">
        <v>65</v>
      </c>
      <c r="J536" s="9" t="s">
        <v>209</v>
      </c>
      <c r="K536" s="17" t="str">
        <f>_xlfn.IFNA(VLOOKUP(C536, '[2]Unique HS'!$B$4:$J$999, 9, FALSE), "No")</f>
        <v>No</v>
      </c>
      <c r="L536" s="18">
        <f>VLOOKUP(C536, '[1]India EXIM'!$B$6:$C$580, 2, FALSE)</f>
        <v>1.733496039E-3</v>
      </c>
      <c r="M536" s="11">
        <f>VLOOKUP(C536, '[1]China EXIM'!$B$6:$D$580, 3, FALSE)</f>
        <v>0.18135374604400001</v>
      </c>
      <c r="N536" s="6" t="s">
        <v>210</v>
      </c>
      <c r="O536" s="6"/>
      <c r="P536" s="9"/>
      <c r="Q536" s="10" t="s">
        <v>24</v>
      </c>
      <c r="R536" s="11" t="s">
        <v>210</v>
      </c>
      <c r="V536" s="1" t="s">
        <v>25</v>
      </c>
    </row>
    <row r="537" spans="2:24" ht="27.95" hidden="1">
      <c r="B537" s="6" t="str">
        <f>VLOOKUP(C537, [1]Definition!$D$5:$K$5665, 8, FALSE)</f>
        <v>Capital Goods</v>
      </c>
      <c r="C537" s="7">
        <v>820160</v>
      </c>
      <c r="D537" s="8" t="s">
        <v>1026</v>
      </c>
      <c r="E537" s="8" t="s">
        <v>25</v>
      </c>
      <c r="F537" s="17" t="s">
        <v>19</v>
      </c>
      <c r="G537" s="8"/>
      <c r="H537" s="8"/>
      <c r="I537" s="9" t="s">
        <v>65</v>
      </c>
      <c r="J537" s="9" t="s">
        <v>209</v>
      </c>
      <c r="K537" s="17" t="str">
        <f>_xlfn.IFNA(VLOOKUP(C537, '[2]Unique HS'!$B$4:$J$999, 9, FALSE), "No")</f>
        <v>No</v>
      </c>
      <c r="L537" s="18">
        <f>VLOOKUP(C537, '[1]India EXIM'!$B$6:$C$580, 2, FALSE)</f>
        <v>1.653390934E-3</v>
      </c>
      <c r="M537" s="11">
        <f>VLOOKUP(C537, '[1]China EXIM'!$B$6:$D$580, 3, FALSE)</f>
        <v>0.203385461584</v>
      </c>
      <c r="N537" s="9" t="s">
        <v>210</v>
      </c>
      <c r="O537" s="9"/>
      <c r="P537" s="9"/>
      <c r="Q537" s="10" t="s">
        <v>24</v>
      </c>
      <c r="R537" s="11" t="s">
        <v>210</v>
      </c>
      <c r="V537" s="1" t="s">
        <v>25</v>
      </c>
    </row>
    <row r="538" spans="2:24" ht="27.95" hidden="1">
      <c r="B538" s="6" t="str">
        <f>VLOOKUP(C538, [1]Definition!$D$5:$K$5665, 8, FALSE)</f>
        <v>Capital Goods</v>
      </c>
      <c r="C538" s="7">
        <v>842112</v>
      </c>
      <c r="D538" s="8" t="s">
        <v>1108</v>
      </c>
      <c r="E538" s="8" t="s">
        <v>25</v>
      </c>
      <c r="F538" s="17" t="s">
        <v>19</v>
      </c>
      <c r="G538" s="8"/>
      <c r="H538" s="8"/>
      <c r="I538" s="9" t="s">
        <v>55</v>
      </c>
      <c r="J538" s="9" t="s">
        <v>1109</v>
      </c>
      <c r="K538" s="17" t="str">
        <f>_xlfn.IFNA(VLOOKUP(C538, '[2]Unique HS'!$B$4:$J$999, 9, FALSE), "No")</f>
        <v>Yes</v>
      </c>
      <c r="L538" s="18">
        <f>VLOOKUP(C538, '[1]India EXIM'!$B$6:$C$580, 2, FALSE)</f>
        <v>1.35634878E-4</v>
      </c>
      <c r="M538" s="11">
        <f>VLOOKUP(C538, '[1]China EXIM'!$B$6:$D$580, 3, FALSE)</f>
        <v>5.7354655440999998E-2</v>
      </c>
      <c r="N538" s="6"/>
      <c r="O538" s="6"/>
      <c r="P538" s="6"/>
      <c r="Q538" s="10" t="s">
        <v>24</v>
      </c>
      <c r="R538" s="9" t="s">
        <v>55</v>
      </c>
      <c r="V538" s="1" t="s">
        <v>25</v>
      </c>
    </row>
    <row r="539" spans="2:24" ht="27.95" hidden="1">
      <c r="B539" s="6" t="str">
        <f>VLOOKUP(C539, [1]Definition!$D$5:$K$5665, 8, FALSE)</f>
        <v>Capital Goods</v>
      </c>
      <c r="C539" s="7">
        <v>820150</v>
      </c>
      <c r="D539" s="8" t="s">
        <v>1028</v>
      </c>
      <c r="E539" s="8" t="s">
        <v>25</v>
      </c>
      <c r="F539" s="17" t="s">
        <v>19</v>
      </c>
      <c r="G539" s="8"/>
      <c r="H539" s="8"/>
      <c r="I539" s="9" t="s">
        <v>65</v>
      </c>
      <c r="J539" s="9" t="s">
        <v>209</v>
      </c>
      <c r="K539" s="17" t="str">
        <f>_xlfn.IFNA(VLOOKUP(C539, '[2]Unique HS'!$B$4:$J$999, 9, FALSE), "No")</f>
        <v>No</v>
      </c>
      <c r="L539" s="18">
        <f>VLOOKUP(C539, '[1]India EXIM'!$B$6:$C$580, 2, FALSE)</f>
        <v>1.6390526610000002E-3</v>
      </c>
      <c r="M539" s="11">
        <f>VLOOKUP(C539, '[1]China EXIM'!$B$6:$D$580, 3, FALSE)</f>
        <v>0.34182840103600004</v>
      </c>
      <c r="N539" s="9" t="s">
        <v>959</v>
      </c>
      <c r="O539" s="9"/>
      <c r="P539" s="9"/>
      <c r="Q539" s="10" t="s">
        <v>24</v>
      </c>
      <c r="R539" s="11" t="s">
        <v>210</v>
      </c>
      <c r="V539" s="1" t="s">
        <v>25</v>
      </c>
    </row>
    <row r="540" spans="2:24" ht="27.95" hidden="1">
      <c r="B540" s="6" t="str">
        <f>VLOOKUP(C540, [1]Definition!$D$5:$K$5665, 8, FALSE)</f>
        <v>Capital Goods</v>
      </c>
      <c r="C540" s="7">
        <v>842111</v>
      </c>
      <c r="D540" s="8" t="s">
        <v>870</v>
      </c>
      <c r="E540" s="8" t="s">
        <v>25</v>
      </c>
      <c r="F540" s="17" t="s">
        <v>19</v>
      </c>
      <c r="G540" s="8"/>
      <c r="H540" s="8"/>
      <c r="I540" s="9" t="s">
        <v>61</v>
      </c>
      <c r="J540" s="9" t="s">
        <v>871</v>
      </c>
      <c r="K540" s="17" t="str">
        <f>_xlfn.IFNA(VLOOKUP(C540, '[2]Unique HS'!$B$4:$J$999, 9, FALSE), "No")</f>
        <v>Yes</v>
      </c>
      <c r="L540" s="18">
        <f>VLOOKUP(C540, '[1]India EXIM'!$B$6:$C$580, 2, FALSE)</f>
        <v>7.5978792000000002E-3</v>
      </c>
      <c r="M540" s="11">
        <f>VLOOKUP(C540, '[1]China EXIM'!$B$6:$D$580, 3, FALSE)</f>
        <v>5.3507848977999997E-2</v>
      </c>
      <c r="N540" s="9"/>
      <c r="O540" s="9"/>
      <c r="P540" s="6"/>
      <c r="Q540" s="10" t="s">
        <v>24</v>
      </c>
      <c r="R540" s="9" t="s">
        <v>61</v>
      </c>
      <c r="V540" s="1" t="s">
        <v>25</v>
      </c>
    </row>
    <row r="541" spans="2:24" hidden="1">
      <c r="B541" s="6" t="str">
        <f>VLOOKUP(C541, [1]Definition!$D$5:$K$5665, 8, FALSE)</f>
        <v>Capital Goods</v>
      </c>
      <c r="C541" s="7">
        <v>845110</v>
      </c>
      <c r="D541" s="8" t="s">
        <v>993</v>
      </c>
      <c r="E541" s="8" t="s">
        <v>25</v>
      </c>
      <c r="F541" s="17" t="s">
        <v>19</v>
      </c>
      <c r="G541" s="8"/>
      <c r="H541" s="8"/>
      <c r="I541" s="9" t="s">
        <v>55</v>
      </c>
      <c r="J541" s="9" t="s">
        <v>234</v>
      </c>
      <c r="K541" s="17" t="str">
        <f>_xlfn.IFNA(VLOOKUP(C541, '[2]Unique HS'!$B$4:$J$999, 9, FALSE), "No")</f>
        <v>No</v>
      </c>
      <c r="L541" s="18">
        <f>VLOOKUP(C541, '[1]India EXIM'!$B$6:$C$580, 2, FALSE)</f>
        <v>2.3807487680000002E-3</v>
      </c>
      <c r="M541" s="11">
        <f>VLOOKUP(C541, '[1]China EXIM'!$B$6:$D$580, 3, FALSE)</f>
        <v>5.2732955996000003E-2</v>
      </c>
      <c r="N541" s="6"/>
      <c r="O541" s="6"/>
      <c r="P541" s="6"/>
      <c r="Q541" s="10" t="s">
        <v>24</v>
      </c>
      <c r="R541" s="9" t="s">
        <v>55</v>
      </c>
      <c r="V541" s="1" t="s">
        <v>25</v>
      </c>
    </row>
    <row r="542" spans="2:24" ht="27.95" hidden="1">
      <c r="B542" s="6" t="str">
        <f>VLOOKUP(C542, [1]Definition!$D$5:$K$5665, 8, FALSE)</f>
        <v>Capital Goods</v>
      </c>
      <c r="C542" s="7">
        <v>820330</v>
      </c>
      <c r="D542" s="8" t="s">
        <v>1039</v>
      </c>
      <c r="E542" s="8" t="s">
        <v>25</v>
      </c>
      <c r="F542" s="17" t="s">
        <v>19</v>
      </c>
      <c r="G542" s="8"/>
      <c r="H542" s="8"/>
      <c r="I542" s="9" t="s">
        <v>65</v>
      </c>
      <c r="J542" s="9" t="s">
        <v>209</v>
      </c>
      <c r="K542" s="17" t="str">
        <f>_xlfn.IFNA(VLOOKUP(C542, '[2]Unique HS'!$B$4:$J$999, 9, FALSE), "No")</f>
        <v>Yes</v>
      </c>
      <c r="L542" s="18">
        <f>VLOOKUP(C542, '[1]India EXIM'!$B$6:$C$580, 2, FALSE)</f>
        <v>1.268057743E-3</v>
      </c>
      <c r="M542" s="11">
        <f>VLOOKUP(C542, '[1]China EXIM'!$B$6:$D$580, 3, FALSE)</f>
        <v>0.18804970043399999</v>
      </c>
      <c r="N542" s="6" t="s">
        <v>210</v>
      </c>
      <c r="O542" s="6"/>
      <c r="P542" s="9"/>
      <c r="Q542" s="10" t="s">
        <v>24</v>
      </c>
      <c r="R542" s="11" t="s">
        <v>210</v>
      </c>
      <c r="V542" s="1" t="s">
        <v>25</v>
      </c>
    </row>
    <row r="543" spans="2:24" ht="42" hidden="1">
      <c r="B543" s="6" t="str">
        <f>VLOOKUP(C543, [1]Definition!$D$5:$K$5665, 8, FALSE)</f>
        <v>Capital Goods</v>
      </c>
      <c r="C543" s="7">
        <v>847510</v>
      </c>
      <c r="D543" s="8" t="s">
        <v>1004</v>
      </c>
      <c r="E543" s="8" t="s">
        <v>25</v>
      </c>
      <c r="F543" s="17" t="s">
        <v>19</v>
      </c>
      <c r="G543" s="8"/>
      <c r="H543" s="8"/>
      <c r="I543" s="9" t="s">
        <v>46</v>
      </c>
      <c r="J543" s="9" t="s">
        <v>1005</v>
      </c>
      <c r="K543" s="17" t="str">
        <f>_xlfn.IFNA(VLOOKUP(C543, '[2]Unique HS'!$B$4:$J$999, 9, FALSE), "No")</f>
        <v>No</v>
      </c>
      <c r="L543" s="18">
        <f>VLOOKUP(C543, '[1]India EXIM'!$B$6:$C$580, 2, FALSE)</f>
        <v>2.0772048240000002E-3</v>
      </c>
      <c r="M543" s="11">
        <f>VLOOKUP(C543, '[1]China EXIM'!$B$6:$D$580, 3, FALSE)</f>
        <v>5.2568090975000002E-2</v>
      </c>
      <c r="N543" s="6"/>
      <c r="O543" s="6"/>
      <c r="P543" s="6"/>
      <c r="Q543" s="10" t="s">
        <v>24</v>
      </c>
      <c r="R543" s="9" t="s">
        <v>46</v>
      </c>
      <c r="V543" s="1" t="s">
        <v>25</v>
      </c>
    </row>
    <row r="544" spans="2:24" ht="42" hidden="1">
      <c r="B544" s="6" t="str">
        <f>VLOOKUP(C544, [1]Definition!$D$5:$K$5665, 8, FALSE)</f>
        <v>Capital Goods</v>
      </c>
      <c r="C544" s="7">
        <v>851432</v>
      </c>
      <c r="D544" s="8" t="s">
        <v>1115</v>
      </c>
      <c r="E544" s="8" t="s">
        <v>25</v>
      </c>
      <c r="F544" s="17" t="s">
        <v>19</v>
      </c>
      <c r="G544" s="8"/>
      <c r="H544" s="8"/>
      <c r="I544" s="9" t="s">
        <v>82</v>
      </c>
      <c r="J544" s="9" t="s">
        <v>1116</v>
      </c>
      <c r="K544" s="17" t="str">
        <f>_xlfn.IFNA(VLOOKUP(C544, '[2]Unique HS'!$B$4:$J$999, 9, FALSE), "No")</f>
        <v>No</v>
      </c>
      <c r="L544" s="18">
        <f>VLOOKUP(C544, '[1]India EXIM'!$B$6:$C$580, 2, FALSE)</f>
        <v>6.7075490000000011E-5</v>
      </c>
      <c r="M544" s="11">
        <f>VLOOKUP(C544, '[1]China EXIM'!$B$6:$D$580, 3, FALSE)</f>
        <v>4.9590998007000002E-2</v>
      </c>
      <c r="N544" s="9" t="s">
        <v>439</v>
      </c>
      <c r="O544" s="9"/>
      <c r="P544" s="9" t="s">
        <v>1117</v>
      </c>
      <c r="Q544" s="10" t="s">
        <v>24</v>
      </c>
      <c r="R544" s="9" t="s">
        <v>82</v>
      </c>
      <c r="V544" s="1" t="s">
        <v>25</v>
      </c>
    </row>
    <row r="545" spans="2:22" ht="42" hidden="1">
      <c r="B545" s="6" t="str">
        <f>VLOOKUP(C545, [1]Definition!$D$5:$K$5665, 8, FALSE)</f>
        <v>Capital Goods</v>
      </c>
      <c r="C545" s="7">
        <v>821110</v>
      </c>
      <c r="D545" s="8" t="s">
        <v>1048</v>
      </c>
      <c r="E545" s="8" t="s">
        <v>25</v>
      </c>
      <c r="F545" s="17" t="s">
        <v>19</v>
      </c>
      <c r="G545" s="8"/>
      <c r="H545" s="8"/>
      <c r="I545" s="9" t="s">
        <v>65</v>
      </c>
      <c r="J545" s="9" t="s">
        <v>924</v>
      </c>
      <c r="K545" s="17" t="str">
        <f>_xlfn.IFNA(VLOOKUP(C545, '[2]Unique HS'!$B$4:$J$999, 9, FALSE), "No")</f>
        <v>Yes</v>
      </c>
      <c r="L545" s="18">
        <f>VLOOKUP(C545, '[1]India EXIM'!$B$6:$C$580, 2, FALSE)</f>
        <v>1.001217315E-3</v>
      </c>
      <c r="M545" s="11">
        <f>VLOOKUP(C545, '[1]China EXIM'!$B$6:$D$580, 3, FALSE)</f>
        <v>0.62011874147399992</v>
      </c>
      <c r="N545" s="6" t="s">
        <v>210</v>
      </c>
      <c r="O545" s="6"/>
      <c r="P545" s="6" t="s">
        <v>1049</v>
      </c>
      <c r="Q545" s="10" t="s">
        <v>24</v>
      </c>
      <c r="R545" s="11" t="s">
        <v>210</v>
      </c>
      <c r="V545" s="1" t="s">
        <v>25</v>
      </c>
    </row>
    <row r="546" spans="2:22" ht="42" hidden="1">
      <c r="B546" s="6" t="str">
        <f>VLOOKUP(C546, [1]Definition!$D$5:$K$5665, 8, FALSE)</f>
        <v>Capital Goods</v>
      </c>
      <c r="C546" s="7">
        <v>851431</v>
      </c>
      <c r="D546" s="8" t="s">
        <v>1093</v>
      </c>
      <c r="E546" s="8" t="s">
        <v>25</v>
      </c>
      <c r="F546" s="17" t="s">
        <v>19</v>
      </c>
      <c r="G546" s="8"/>
      <c r="H546" s="8"/>
      <c r="I546" s="9" t="s">
        <v>82</v>
      </c>
      <c r="J546" s="9" t="s">
        <v>1094</v>
      </c>
      <c r="K546" s="17" t="str">
        <f>_xlfn.IFNA(VLOOKUP(C546, '[2]Unique HS'!$B$4:$J$999, 9, FALSE), "No")</f>
        <v>No</v>
      </c>
      <c r="L546" s="18">
        <f>VLOOKUP(C546, '[1]India EXIM'!$B$6:$C$580, 2, FALSE)</f>
        <v>3.08138288E-4</v>
      </c>
      <c r="M546" s="11">
        <f>VLOOKUP(C546, '[1]China EXIM'!$B$6:$D$580, 3, FALSE)</f>
        <v>4.7764497395000001E-2</v>
      </c>
      <c r="N546" s="9" t="s">
        <v>439</v>
      </c>
      <c r="O546" s="9"/>
      <c r="P546" s="9" t="s">
        <v>1095</v>
      </c>
      <c r="Q546" s="10" t="s">
        <v>24</v>
      </c>
      <c r="R546" s="9" t="s">
        <v>82</v>
      </c>
      <c r="V546" s="1" t="s">
        <v>25</v>
      </c>
    </row>
    <row r="547" spans="2:22" ht="27.95" hidden="1">
      <c r="B547" s="6" t="str">
        <f>VLOOKUP(C547, [1]Definition!$D$5:$K$5665, 8, FALSE)</f>
        <v>Capital Goods</v>
      </c>
      <c r="C547" s="7">
        <v>950821</v>
      </c>
      <c r="D547" s="8" t="s">
        <v>1035</v>
      </c>
      <c r="E547" s="8" t="s">
        <v>137</v>
      </c>
      <c r="F547" s="17" t="s">
        <v>205</v>
      </c>
      <c r="G547" s="8"/>
      <c r="H547" s="8"/>
      <c r="I547" s="9" t="s">
        <v>166</v>
      </c>
      <c r="J547" s="9" t="s">
        <v>201</v>
      </c>
      <c r="K547" s="17" t="str">
        <f>_xlfn.IFNA(VLOOKUP(C547, '[2]Unique HS'!$B$4:$J$999, 9, FALSE), "No")</f>
        <v>No</v>
      </c>
      <c r="L547" s="22">
        <f>VLOOKUP(C547, '[1]India EXIM'!$B$6:$C$580, 2, FALSE)</f>
        <v>1.3379190130000001E-3</v>
      </c>
      <c r="M547" s="11">
        <f>VLOOKUP(C547, '[1]China EXIM'!$B$6:$D$580, 3, FALSE)</f>
        <v>0.35480053761199998</v>
      </c>
      <c r="N547" s="6"/>
      <c r="O547" s="6"/>
      <c r="P547" s="6"/>
      <c r="Q547" s="10" t="s">
        <v>24</v>
      </c>
      <c r="R547" s="11" t="s">
        <v>864</v>
      </c>
      <c r="T547" s="1" t="s">
        <v>136</v>
      </c>
      <c r="V547" s="1" t="s">
        <v>137</v>
      </c>
    </row>
    <row r="548" spans="2:22" ht="27.95" hidden="1">
      <c r="B548" s="6" t="str">
        <f>VLOOKUP(C548, [1]Definition!$D$5:$K$5665, 8, FALSE)</f>
        <v>Capital Goods</v>
      </c>
      <c r="C548" s="7">
        <v>950822</v>
      </c>
      <c r="D548" s="8" t="s">
        <v>1003</v>
      </c>
      <c r="E548" s="8" t="s">
        <v>137</v>
      </c>
      <c r="F548" s="17" t="s">
        <v>205</v>
      </c>
      <c r="G548" s="8"/>
      <c r="H548" s="8"/>
      <c r="I548" s="9" t="s">
        <v>166</v>
      </c>
      <c r="J548" s="9" t="s">
        <v>201</v>
      </c>
      <c r="K548" s="17" t="str">
        <f>_xlfn.IFNA(VLOOKUP(C548, '[2]Unique HS'!$B$4:$J$999, 9, FALSE), "No")</f>
        <v>No</v>
      </c>
      <c r="L548" s="22">
        <f>VLOOKUP(C548, '[1]India EXIM'!$B$6:$C$580, 2, FALSE)</f>
        <v>2.1255219249999998E-3</v>
      </c>
      <c r="M548" s="11">
        <f>VLOOKUP(C548, '[1]China EXIM'!$B$6:$D$580, 3, FALSE)</f>
        <v>0.19059210803400001</v>
      </c>
      <c r="N548" s="6"/>
      <c r="O548" s="6"/>
      <c r="P548" s="6"/>
      <c r="Q548" s="10" t="s">
        <v>24</v>
      </c>
      <c r="R548" s="11" t="s">
        <v>864</v>
      </c>
      <c r="T548" s="1" t="s">
        <v>136</v>
      </c>
      <c r="V548" s="1" t="s">
        <v>137</v>
      </c>
    </row>
    <row r="549" spans="2:22" ht="27.95" hidden="1">
      <c r="B549" s="6" t="str">
        <f>VLOOKUP(C549, [1]Definition!$D$5:$K$5665, 8, FALSE)</f>
        <v>Capital Goods</v>
      </c>
      <c r="C549" s="7">
        <v>950823</v>
      </c>
      <c r="D549" s="8" t="s">
        <v>1079</v>
      </c>
      <c r="E549" s="8" t="s">
        <v>137</v>
      </c>
      <c r="F549" s="17" t="s">
        <v>205</v>
      </c>
      <c r="G549" s="8"/>
      <c r="H549" s="8"/>
      <c r="I549" s="9" t="s">
        <v>166</v>
      </c>
      <c r="J549" s="9" t="s">
        <v>201</v>
      </c>
      <c r="K549" s="17" t="str">
        <f>_xlfn.IFNA(VLOOKUP(C549, '[2]Unique HS'!$B$4:$J$999, 9, FALSE), "No")</f>
        <v>No</v>
      </c>
      <c r="L549" s="22">
        <f>VLOOKUP(C549, '[1]India EXIM'!$B$6:$C$580, 2, FALSE)</f>
        <v>4.0198882799999999E-4</v>
      </c>
      <c r="M549" s="11">
        <f>VLOOKUP(C549, '[1]China EXIM'!$B$6:$D$580, 3, FALSE)</f>
        <v>3.4102415303999996E-2</v>
      </c>
      <c r="N549" s="6"/>
      <c r="O549" s="6"/>
      <c r="P549" s="6"/>
      <c r="Q549" s="10" t="s">
        <v>24</v>
      </c>
      <c r="R549" s="11" t="s">
        <v>864</v>
      </c>
      <c r="T549" s="1" t="s">
        <v>136</v>
      </c>
      <c r="V549" s="1" t="s">
        <v>137</v>
      </c>
    </row>
    <row r="550" spans="2:22" ht="27.95" hidden="1">
      <c r="B550" s="6" t="str">
        <f>VLOOKUP(C550, [1]Definition!$D$5:$K$5665, 8, FALSE)</f>
        <v>Capital Goods</v>
      </c>
      <c r="C550" s="7">
        <v>844629</v>
      </c>
      <c r="D550" s="8" t="s">
        <v>1076</v>
      </c>
      <c r="E550" s="8" t="s">
        <v>25</v>
      </c>
      <c r="F550" s="17" t="s">
        <v>19</v>
      </c>
      <c r="G550" s="8"/>
      <c r="H550" s="8"/>
      <c r="I550" s="9" t="s">
        <v>55</v>
      </c>
      <c r="J550" s="9" t="s">
        <v>56</v>
      </c>
      <c r="K550" s="17" t="str">
        <f>_xlfn.IFNA(VLOOKUP(C550, '[2]Unique HS'!$B$4:$J$999, 9, FALSE), "No")</f>
        <v>No</v>
      </c>
      <c r="L550" s="18">
        <f>VLOOKUP(C550, '[1]India EXIM'!$B$6:$C$580, 2, FALSE)</f>
        <v>4.3982872799999998E-4</v>
      </c>
      <c r="M550" s="11">
        <f>VLOOKUP(C550, '[1]China EXIM'!$B$6:$D$580, 3, FALSE)</f>
        <v>4.0450776711999994E-2</v>
      </c>
      <c r="N550" s="6"/>
      <c r="O550" s="6"/>
      <c r="P550" s="6"/>
      <c r="Q550" s="10" t="s">
        <v>24</v>
      </c>
      <c r="R550" s="9" t="s">
        <v>55</v>
      </c>
      <c r="V550" s="1" t="s">
        <v>25</v>
      </c>
    </row>
    <row r="551" spans="2:22" ht="27.95" hidden="1">
      <c r="B551" s="6" t="str">
        <f>VLOOKUP(C551, [1]Definition!$D$5:$K$5665, 8, FALSE)</f>
        <v>Capital Goods</v>
      </c>
      <c r="C551" s="7">
        <v>844315</v>
      </c>
      <c r="D551" s="8" t="s">
        <v>1034</v>
      </c>
      <c r="E551" s="8" t="s">
        <v>25</v>
      </c>
      <c r="F551" s="17" t="s">
        <v>19</v>
      </c>
      <c r="G551" s="8"/>
      <c r="H551" s="8"/>
      <c r="I551" s="9" t="s">
        <v>180</v>
      </c>
      <c r="J551" s="9" t="s">
        <v>181</v>
      </c>
      <c r="K551" s="17" t="str">
        <f>_xlfn.IFNA(VLOOKUP(C551, '[2]Unique HS'!$B$4:$J$999, 9, FALSE), "No")</f>
        <v>No</v>
      </c>
      <c r="L551" s="18">
        <f>VLOOKUP(C551, '[1]India EXIM'!$B$6:$C$580, 2, FALSE)</f>
        <v>1.399163465E-3</v>
      </c>
      <c r="M551" s="11">
        <f>VLOOKUP(C551, '[1]China EXIM'!$B$6:$D$580, 3, FALSE)</f>
        <v>4.0080895928000002E-2</v>
      </c>
      <c r="N551" s="6"/>
      <c r="O551" s="6"/>
      <c r="P551" s="6"/>
      <c r="Q551" s="10" t="s">
        <v>24</v>
      </c>
      <c r="R551" s="11" t="s">
        <v>182</v>
      </c>
      <c r="V551" s="1" t="s">
        <v>25</v>
      </c>
    </row>
    <row r="552" spans="2:22" hidden="1">
      <c r="B552" s="6" t="str">
        <f>VLOOKUP(C552, [1]Definition!$D$5:$K$5665, 8, FALSE)</f>
        <v>Capital Goods</v>
      </c>
      <c r="C552" s="7">
        <v>821195</v>
      </c>
      <c r="D552" s="8" t="s">
        <v>1050</v>
      </c>
      <c r="E552" s="8" t="s">
        <v>25</v>
      </c>
      <c r="F552" s="17" t="s">
        <v>19</v>
      </c>
      <c r="G552" s="8"/>
      <c r="H552" s="8"/>
      <c r="I552" s="9" t="s">
        <v>65</v>
      </c>
      <c r="J552" s="9" t="s">
        <v>924</v>
      </c>
      <c r="K552" s="17" t="str">
        <f>_xlfn.IFNA(VLOOKUP(C552, '[2]Unique HS'!$B$4:$J$999, 9, FALSE), "No")</f>
        <v>No</v>
      </c>
      <c r="L552" s="18">
        <f>VLOOKUP(C552, '[1]India EXIM'!$B$6:$C$580, 2, FALSE)</f>
        <v>9.8645208999999993E-4</v>
      </c>
      <c r="M552" s="11">
        <f>VLOOKUP(C552, '[1]China EXIM'!$B$6:$D$580, 3, FALSE)</f>
        <v>2.097410584E-2</v>
      </c>
      <c r="N552" s="6" t="s">
        <v>210</v>
      </c>
      <c r="O552" s="6"/>
      <c r="P552" s="6" t="s">
        <v>1051</v>
      </c>
      <c r="Q552" s="10" t="s">
        <v>24</v>
      </c>
      <c r="R552" s="11" t="s">
        <v>210</v>
      </c>
      <c r="V552" s="1" t="s">
        <v>25</v>
      </c>
    </row>
    <row r="553" spans="2:22" ht="42" hidden="1">
      <c r="B553" s="6" t="str">
        <f>VLOOKUP(C553, [1]Definition!$D$5:$K$5665, 8, FALSE)</f>
        <v>Capital Goods</v>
      </c>
      <c r="C553" s="7">
        <v>845612</v>
      </c>
      <c r="D553" s="8" t="s">
        <v>1075</v>
      </c>
      <c r="E553" s="8" t="s">
        <v>25</v>
      </c>
      <c r="F553" s="17" t="s">
        <v>19</v>
      </c>
      <c r="G553" s="8"/>
      <c r="H553" s="8"/>
      <c r="I553" s="9" t="s">
        <v>65</v>
      </c>
      <c r="J553" s="9" t="s">
        <v>31</v>
      </c>
      <c r="K553" s="17" t="str">
        <f>_xlfn.IFNA(VLOOKUP(C553, '[2]Unique HS'!$B$4:$J$999, 9, FALSE), "No")</f>
        <v>No</v>
      </c>
      <c r="L553" s="18">
        <f>VLOOKUP(C553, '[1]India EXIM'!$B$6:$C$580, 2, FALSE)</f>
        <v>4.4698665100000002E-4</v>
      </c>
      <c r="M553" s="11">
        <f>VLOOKUP(C553, '[1]China EXIM'!$B$6:$D$580, 3, FALSE)</f>
        <v>3.9558874250000001E-2</v>
      </c>
      <c r="N553" s="6"/>
      <c r="O553" s="6"/>
      <c r="P553" s="6"/>
      <c r="Q553" s="10" t="s">
        <v>24</v>
      </c>
      <c r="R553" s="9" t="s">
        <v>65</v>
      </c>
      <c r="V553" s="1" t="s">
        <v>25</v>
      </c>
    </row>
    <row r="554" spans="2:22" ht="27.95" hidden="1">
      <c r="B554" s="6" t="str">
        <f>VLOOKUP(C554, [1]Definition!$D$5:$K$5665, 8, FALSE)</f>
        <v>Capital Goods</v>
      </c>
      <c r="C554" s="7">
        <v>950824</v>
      </c>
      <c r="D554" s="8" t="s">
        <v>1057</v>
      </c>
      <c r="E554" s="8" t="s">
        <v>137</v>
      </c>
      <c r="F554" s="17" t="s">
        <v>205</v>
      </c>
      <c r="G554" s="8"/>
      <c r="H554" s="8"/>
      <c r="I554" s="9" t="s">
        <v>166</v>
      </c>
      <c r="J554" s="9" t="s">
        <v>201</v>
      </c>
      <c r="K554" s="17" t="str">
        <f>_xlfn.IFNA(VLOOKUP(C554, '[2]Unique HS'!$B$4:$J$999, 9, FALSE), "No")</f>
        <v>No</v>
      </c>
      <c r="L554" s="22">
        <f>VLOOKUP(C554, '[1]India EXIM'!$B$6:$C$580, 2, FALSE)</f>
        <v>8.6228190199999998E-4</v>
      </c>
      <c r="M554" s="11">
        <f>VLOOKUP(C554, '[1]China EXIM'!$B$6:$D$580, 3, FALSE)</f>
        <v>7.5103638846999998E-2</v>
      </c>
      <c r="N554" s="6"/>
      <c r="O554" s="6"/>
      <c r="P554" s="6"/>
      <c r="Q554" s="10" t="s">
        <v>24</v>
      </c>
      <c r="R554" s="11" t="s">
        <v>864</v>
      </c>
      <c r="T554" s="1" t="s">
        <v>136</v>
      </c>
      <c r="V554" s="1" t="s">
        <v>137</v>
      </c>
    </row>
    <row r="555" spans="2:22" ht="27.95" hidden="1">
      <c r="B555" s="6" t="str">
        <f>VLOOKUP(C555, [1]Definition!$D$5:$K$5665, 8, FALSE)</f>
        <v>Capital Goods</v>
      </c>
      <c r="C555" s="7">
        <v>950825</v>
      </c>
      <c r="D555" s="8" t="s">
        <v>1141</v>
      </c>
      <c r="E555" s="8" t="s">
        <v>137</v>
      </c>
      <c r="F555" s="17" t="s">
        <v>205</v>
      </c>
      <c r="G555" s="8"/>
      <c r="H555" s="8"/>
      <c r="I555" s="9" t="s">
        <v>166</v>
      </c>
      <c r="J555" s="9" t="s">
        <v>201</v>
      </c>
      <c r="K555" s="17" t="str">
        <f>_xlfn.IFNA(VLOOKUP(C555, '[2]Unique HS'!$B$4:$J$999, 9, FALSE), "No")</f>
        <v>No</v>
      </c>
      <c r="L555" s="22">
        <f>VLOOKUP(C555, '[1]India EXIM'!$B$6:$C$580, 2, FALSE)</f>
        <v>0</v>
      </c>
      <c r="M555" s="11">
        <f>VLOOKUP(C555, '[1]China EXIM'!$B$6:$D$580, 3, FALSE)</f>
        <v>2.4464203064E-2</v>
      </c>
      <c r="N555" s="6"/>
      <c r="O555" s="6"/>
      <c r="P555" s="6"/>
      <c r="Q555" s="10" t="s">
        <v>24</v>
      </c>
      <c r="R555" s="11" t="s">
        <v>864</v>
      </c>
      <c r="T555" s="1" t="s">
        <v>136</v>
      </c>
      <c r="V555" s="1" t="s">
        <v>137</v>
      </c>
    </row>
    <row r="556" spans="2:22" ht="27.95" hidden="1">
      <c r="B556" s="6" t="str">
        <f>VLOOKUP(C556, [1]Definition!$D$5:$K$5665, 8, FALSE)</f>
        <v>Capital Goods</v>
      </c>
      <c r="C556" s="7">
        <v>870120</v>
      </c>
      <c r="D556" s="8" t="s">
        <v>1142</v>
      </c>
      <c r="E556" s="8" t="s">
        <v>25</v>
      </c>
      <c r="F556" s="17" t="s">
        <v>19</v>
      </c>
      <c r="G556" s="8"/>
      <c r="H556" s="8"/>
      <c r="I556" s="9" t="s">
        <v>58</v>
      </c>
      <c r="J556" s="9" t="s">
        <v>31</v>
      </c>
      <c r="K556" s="17" t="str">
        <f>_xlfn.IFNA(VLOOKUP(C556, '[2]Unique HS'!$B$4:$J$999, 9, FALSE), "No")</f>
        <v>No</v>
      </c>
      <c r="L556" s="18">
        <f>VLOOKUP(C556, '[1]India EXIM'!$B$6:$C$580, 2, FALSE)</f>
        <v>0</v>
      </c>
      <c r="M556" s="11">
        <f>VLOOKUP(C556, '[1]China EXIM'!$B$6:$D$580, 3, FALSE)</f>
        <v>3.5834470433000011E-2</v>
      </c>
      <c r="N556" s="6"/>
      <c r="O556" s="6"/>
      <c r="P556" s="6"/>
      <c r="Q556" s="10" t="s">
        <v>1140</v>
      </c>
      <c r="R556" s="9" t="s">
        <v>58</v>
      </c>
      <c r="V556" s="1" t="s">
        <v>25</v>
      </c>
    </row>
    <row r="557" spans="2:22" ht="42" hidden="1">
      <c r="B557" s="6" t="str">
        <f>VLOOKUP(C557, [1]Definition!$D$5:$K$5665, 8, FALSE)</f>
        <v>Capital Goods</v>
      </c>
      <c r="C557" s="7">
        <v>901710</v>
      </c>
      <c r="D557" s="8" t="s">
        <v>1113</v>
      </c>
      <c r="E557" s="8" t="s">
        <v>137</v>
      </c>
      <c r="F557" s="17" t="s">
        <v>205</v>
      </c>
      <c r="G557" s="8"/>
      <c r="H557" s="8"/>
      <c r="I557" s="9" t="s">
        <v>166</v>
      </c>
      <c r="J557" s="9" t="s">
        <v>471</v>
      </c>
      <c r="K557" s="17" t="str">
        <f>_xlfn.IFNA(VLOOKUP(C557, '[2]Unique HS'!$B$4:$J$999, 9, FALSE), "No")</f>
        <v>No</v>
      </c>
      <c r="L557" s="18">
        <f>VLOOKUP(C557, '[1]India EXIM'!$B$6:$C$580, 2, FALSE)</f>
        <v>1.01218944E-4</v>
      </c>
      <c r="M557" s="11">
        <f>VLOOKUP(C557, '[1]China EXIM'!$B$6:$D$580, 3, FALSE)</f>
        <v>3.4621261260000001E-2</v>
      </c>
      <c r="N557" s="6"/>
      <c r="O557" s="6"/>
      <c r="P557" s="6"/>
      <c r="Q557" s="10" t="s">
        <v>24</v>
      </c>
      <c r="R557" s="11" t="s">
        <v>168</v>
      </c>
      <c r="T557" s="1" t="s">
        <v>136</v>
      </c>
      <c r="V557" s="1" t="s">
        <v>137</v>
      </c>
    </row>
    <row r="558" spans="2:22" ht="27.95" hidden="1">
      <c r="B558" s="6" t="str">
        <f>VLOOKUP(C558, [1]Definition!$D$5:$K$5665, 8, FALSE)</f>
        <v>Capital Goods</v>
      </c>
      <c r="C558" s="7">
        <v>950826</v>
      </c>
      <c r="D558" s="8" t="s">
        <v>1099</v>
      </c>
      <c r="E558" s="8" t="s">
        <v>137</v>
      </c>
      <c r="F558" s="17" t="s">
        <v>205</v>
      </c>
      <c r="G558" s="8"/>
      <c r="H558" s="8"/>
      <c r="I558" s="9" t="s">
        <v>166</v>
      </c>
      <c r="J558" s="9" t="s">
        <v>201</v>
      </c>
      <c r="K558" s="17" t="str">
        <f>_xlfn.IFNA(VLOOKUP(C558, '[2]Unique HS'!$B$4:$J$999, 9, FALSE), "No")</f>
        <v>No</v>
      </c>
      <c r="L558" s="22">
        <f>VLOOKUP(C558, '[1]India EXIM'!$B$6:$C$580, 2, FALSE)</f>
        <v>2.7123306800000001E-4</v>
      </c>
      <c r="M558" s="11">
        <f>VLOOKUP(C558, '[1]China EXIM'!$B$6:$D$580, 3, FALSE)</f>
        <v>9.8795373760999991E-2</v>
      </c>
      <c r="N558" s="6"/>
      <c r="O558" s="6"/>
      <c r="P558" s="6"/>
      <c r="Q558" s="10" t="s">
        <v>24</v>
      </c>
      <c r="R558" s="11" t="s">
        <v>864</v>
      </c>
      <c r="T558" s="1" t="s">
        <v>136</v>
      </c>
      <c r="V558" s="1" t="s">
        <v>137</v>
      </c>
    </row>
    <row r="559" spans="2:22" ht="27.95" hidden="1">
      <c r="B559" s="6" t="str">
        <f>VLOOKUP(C559, [1]Definition!$D$5:$K$5665, 8, FALSE)</f>
        <v>Capital Goods</v>
      </c>
      <c r="C559" s="7">
        <v>847629</v>
      </c>
      <c r="D559" s="8" t="s">
        <v>1045</v>
      </c>
      <c r="E559" s="8" t="s">
        <v>25</v>
      </c>
      <c r="F559" s="17" t="s">
        <v>19</v>
      </c>
      <c r="G559" s="8"/>
      <c r="H559" s="8"/>
      <c r="I559" s="9" t="s">
        <v>61</v>
      </c>
      <c r="J559" s="9" t="s">
        <v>38</v>
      </c>
      <c r="K559" s="17" t="str">
        <f>_xlfn.IFNA(VLOOKUP(C559, '[2]Unique HS'!$B$4:$J$999, 9, FALSE), "No")</f>
        <v>No</v>
      </c>
      <c r="L559" s="18">
        <f>VLOOKUP(C559, '[1]India EXIM'!$B$6:$C$580, 2, FALSE)</f>
        <v>1.0737469929999999E-3</v>
      </c>
      <c r="M559" s="11">
        <f>VLOOKUP(C559, '[1]China EXIM'!$B$6:$D$580, 3, FALSE)</f>
        <v>3.0897769349000001E-2</v>
      </c>
      <c r="N559" s="6"/>
      <c r="O559" s="6"/>
      <c r="P559" s="6"/>
      <c r="Q559" s="10" t="s">
        <v>24</v>
      </c>
      <c r="R559" s="9" t="s">
        <v>61</v>
      </c>
      <c r="V559" s="1" t="s">
        <v>25</v>
      </c>
    </row>
    <row r="560" spans="2:22" ht="56.1" hidden="1">
      <c r="B560" s="6" t="str">
        <f>VLOOKUP(C560, [1]Definition!$D$5:$K$5665, 8, FALSE)</f>
        <v>Capital Goods</v>
      </c>
      <c r="C560" s="7">
        <v>950829</v>
      </c>
      <c r="D560" s="8" t="s">
        <v>863</v>
      </c>
      <c r="E560" s="8" t="s">
        <v>137</v>
      </c>
      <c r="F560" s="17" t="s">
        <v>205</v>
      </c>
      <c r="G560" s="8"/>
      <c r="H560" s="8"/>
      <c r="I560" s="9" t="s">
        <v>166</v>
      </c>
      <c r="J560" s="9" t="s">
        <v>201</v>
      </c>
      <c r="K560" s="17" t="str">
        <f>_xlfn.IFNA(VLOOKUP(C560, '[2]Unique HS'!$B$4:$J$999, 9, FALSE), "No")</f>
        <v>No</v>
      </c>
      <c r="L560" s="22">
        <f>VLOOKUP(C560, '[1]India EXIM'!$B$6:$C$580, 2, FALSE)</f>
        <v>7.9431392830000003E-3</v>
      </c>
      <c r="M560" s="11">
        <f>VLOOKUP(C560, '[1]China EXIM'!$B$6:$D$580, 3, FALSE)</f>
        <v>0.33739343674699995</v>
      </c>
      <c r="N560" s="6"/>
      <c r="O560" s="6"/>
      <c r="P560" s="6"/>
      <c r="Q560" s="10" t="s">
        <v>24</v>
      </c>
      <c r="R560" s="11" t="s">
        <v>864</v>
      </c>
      <c r="T560" s="1" t="s">
        <v>136</v>
      </c>
      <c r="V560" s="1" t="s">
        <v>137</v>
      </c>
    </row>
    <row r="561" spans="2:23" ht="27.95" hidden="1">
      <c r="B561" s="6" t="str">
        <f>VLOOKUP(C561, [1]Definition!$D$5:$K$5665, 8, FALSE)</f>
        <v>Capital Goods</v>
      </c>
      <c r="C561" s="7">
        <v>950830</v>
      </c>
      <c r="D561" s="8" t="s">
        <v>1043</v>
      </c>
      <c r="E561" s="8" t="s">
        <v>137</v>
      </c>
      <c r="F561" s="17" t="s">
        <v>205</v>
      </c>
      <c r="G561" s="8"/>
      <c r="H561" s="8"/>
      <c r="I561" s="9" t="s">
        <v>166</v>
      </c>
      <c r="J561" s="9" t="s">
        <v>201</v>
      </c>
      <c r="K561" s="17" t="str">
        <f>_xlfn.IFNA(VLOOKUP(C561, '[2]Unique HS'!$B$4:$J$999, 9, FALSE), "No")</f>
        <v>No</v>
      </c>
      <c r="L561" s="22">
        <f>VLOOKUP(C561, '[1]India EXIM'!$B$6:$C$580, 2, FALSE)</f>
        <v>1.1622381250000001E-3</v>
      </c>
      <c r="M561" s="11">
        <f>VLOOKUP(C561, '[1]China EXIM'!$B$6:$D$580, 3, FALSE)</f>
        <v>0.212319265506</v>
      </c>
      <c r="N561" s="6"/>
      <c r="O561" s="6"/>
      <c r="P561" s="6"/>
      <c r="Q561" s="10" t="s">
        <v>24</v>
      </c>
      <c r="R561" s="11" t="s">
        <v>864</v>
      </c>
      <c r="T561" s="1" t="s">
        <v>136</v>
      </c>
      <c r="V561" s="1" t="s">
        <v>137</v>
      </c>
    </row>
    <row r="562" spans="2:23" ht="27.95" hidden="1">
      <c r="B562" s="6" t="str">
        <f>VLOOKUP(C562, [1]Definition!$D$5:$K$5665, 8, FALSE)</f>
        <v>Capital Goods</v>
      </c>
      <c r="C562" s="7">
        <v>844312</v>
      </c>
      <c r="D562" s="8" t="s">
        <v>960</v>
      </c>
      <c r="E562" s="8" t="s">
        <v>25</v>
      </c>
      <c r="F562" s="17" t="s">
        <v>19</v>
      </c>
      <c r="G562" s="8"/>
      <c r="H562" s="8"/>
      <c r="I562" s="9" t="s">
        <v>180</v>
      </c>
      <c r="J562" s="9" t="s">
        <v>181</v>
      </c>
      <c r="K562" s="17" t="str">
        <f>_xlfn.IFNA(VLOOKUP(C562, '[2]Unique HS'!$B$4:$J$999, 9, FALSE), "No")</f>
        <v>No</v>
      </c>
      <c r="L562" s="18">
        <f>VLOOKUP(C562, '[1]India EXIM'!$B$6:$C$580, 2, FALSE)</f>
        <v>3.6054036400000001E-3</v>
      </c>
      <c r="M562" s="11">
        <f>VLOOKUP(C562, '[1]China EXIM'!$B$6:$D$580, 3, FALSE)</f>
        <v>2.2212821681E-2</v>
      </c>
      <c r="N562" s="6"/>
      <c r="O562" s="6"/>
      <c r="P562" s="6"/>
      <c r="Q562" s="10" t="s">
        <v>24</v>
      </c>
      <c r="R562" s="11" t="s">
        <v>182</v>
      </c>
      <c r="V562" s="1" t="s">
        <v>25</v>
      </c>
    </row>
    <row r="563" spans="2:23" ht="27.95" hidden="1">
      <c r="B563" s="6" t="str">
        <f>VLOOKUP(C563, [1]Definition!$D$5:$K$5665, 8, FALSE)</f>
        <v>Capital Goods</v>
      </c>
      <c r="C563" s="7">
        <v>820560</v>
      </c>
      <c r="D563" s="8" t="s">
        <v>1122</v>
      </c>
      <c r="E563" s="8" t="s">
        <v>25</v>
      </c>
      <c r="F563" s="17" t="s">
        <v>19</v>
      </c>
      <c r="G563" s="8"/>
      <c r="H563" s="8"/>
      <c r="I563" s="9" t="s">
        <v>65</v>
      </c>
      <c r="J563" s="9" t="s">
        <v>1123</v>
      </c>
      <c r="K563" s="17" t="str">
        <f>_xlfn.IFNA(VLOOKUP(C563, '[2]Unique HS'!$B$4:$J$999, 9, FALSE), "No")</f>
        <v>No</v>
      </c>
      <c r="L563" s="18">
        <f>VLOOKUP(C563, '[1]India EXIM'!$B$6:$C$580, 2, FALSE)</f>
        <v>2.9486206999999998E-5</v>
      </c>
      <c r="M563" s="11">
        <f>VLOOKUP(C563, '[1]China EXIM'!$B$6:$D$580, 3, FALSE)</f>
        <v>0.10281466376700001</v>
      </c>
      <c r="N563" s="6" t="s">
        <v>210</v>
      </c>
      <c r="O563" s="6"/>
      <c r="P563" s="9"/>
      <c r="Q563" s="10" t="s">
        <v>24</v>
      </c>
      <c r="R563" s="11" t="s">
        <v>210</v>
      </c>
      <c r="V563" s="1" t="s">
        <v>25</v>
      </c>
    </row>
    <row r="564" spans="2:23" ht="252">
      <c r="B564" s="6" t="str">
        <f>VLOOKUP(C564, [1]Definition!$D$5:$K$5665, 8, FALSE)</f>
        <v>Capital Goods</v>
      </c>
      <c r="C564" s="7">
        <v>902780</v>
      </c>
      <c r="D564" s="8" t="s">
        <v>1143</v>
      </c>
      <c r="E564" s="8" t="s">
        <v>25</v>
      </c>
      <c r="F564" s="17" t="s">
        <v>19</v>
      </c>
      <c r="G564" s="8" t="s">
        <v>1144</v>
      </c>
      <c r="H564" s="8" t="s">
        <v>1145</v>
      </c>
      <c r="I564" s="9" t="s">
        <v>22</v>
      </c>
      <c r="J564" s="9" t="s">
        <v>1146</v>
      </c>
      <c r="K564" s="17" t="str">
        <f>_xlfn.IFNA(VLOOKUP(C564, '[2]Unique HS'!$B$4:$J$999, 9, FALSE), "No")</f>
        <v>Yes</v>
      </c>
      <c r="L564" s="18">
        <f>VLOOKUP(C564, '[1]India EXIM'!$B$6:$C$580, 2, FALSE)</f>
        <v>0</v>
      </c>
      <c r="M564" s="11">
        <f>VLOOKUP(C564, '[1]China EXIM'!$B$6:$D$580, 3, FALSE)</f>
        <v>2.0384769191000001E-2</v>
      </c>
      <c r="N564" s="6"/>
      <c r="O564" s="6"/>
      <c r="P564" s="6"/>
      <c r="Q564" s="10" t="s">
        <v>1140</v>
      </c>
      <c r="R564" s="11" t="s">
        <v>39</v>
      </c>
      <c r="V564" s="1" t="s">
        <v>25</v>
      </c>
    </row>
    <row r="565" spans="2:23" ht="27.95">
      <c r="B565" s="6" t="str">
        <f>VLOOKUP(C565, [1]Definition!$D$5:$K$5665, 8, FALSE)</f>
        <v>Capital Goods</v>
      </c>
      <c r="C565" s="7">
        <v>848530</v>
      </c>
      <c r="D565" s="8" t="s">
        <v>1118</v>
      </c>
      <c r="E565" s="8" t="s">
        <v>25</v>
      </c>
      <c r="F565" s="17" t="s">
        <v>19</v>
      </c>
      <c r="G565" s="8"/>
      <c r="H565" s="8" t="s">
        <v>1119</v>
      </c>
      <c r="I565" s="9" t="s">
        <v>22</v>
      </c>
      <c r="J565" s="9" t="s">
        <v>1120</v>
      </c>
      <c r="K565" s="17" t="str">
        <f>_xlfn.IFNA(VLOOKUP(C565, '[2]Unique HS'!$B$4:$J$999, 9, FALSE), "No")</f>
        <v>No</v>
      </c>
      <c r="L565" s="18">
        <f>VLOOKUP(C565, '[1]India EXIM'!$B$6:$C$580, 2, FALSE)</f>
        <v>4.2259061999999999E-5</v>
      </c>
      <c r="M565" s="11">
        <f>VLOOKUP(C565, '[1]China EXIM'!$B$6:$D$580, 3, FALSE)</f>
        <v>1.5198732721999999E-2</v>
      </c>
      <c r="N565" s="6"/>
      <c r="O565" s="6"/>
      <c r="P565" s="6"/>
      <c r="Q565" s="10" t="s">
        <v>24</v>
      </c>
      <c r="R565" s="9" t="s">
        <v>22</v>
      </c>
      <c r="V565" s="1" t="s">
        <v>25</v>
      </c>
    </row>
    <row r="566" spans="2:23" ht="27.95" hidden="1">
      <c r="B566" s="6" t="str">
        <f>VLOOKUP(C566, [1]Definition!$D$5:$K$5665, 8, FALSE)</f>
        <v>Capital Goods</v>
      </c>
      <c r="C566" s="7">
        <v>870190</v>
      </c>
      <c r="D566" s="8" t="s">
        <v>1150</v>
      </c>
      <c r="E566" s="8" t="s">
        <v>25</v>
      </c>
      <c r="F566" s="17" t="s">
        <v>19</v>
      </c>
      <c r="G566" s="8"/>
      <c r="H566" s="8"/>
      <c r="I566" s="9" t="s">
        <v>58</v>
      </c>
      <c r="J566" s="9" t="s">
        <v>31</v>
      </c>
      <c r="K566" s="17" t="str">
        <f>_xlfn.IFNA(VLOOKUP(C566, '[2]Unique HS'!$B$4:$J$999, 9, FALSE), "No")</f>
        <v>No</v>
      </c>
      <c r="L566" s="18">
        <f>VLOOKUP(C566, '[1]India EXIM'!$B$6:$C$580, 2, FALSE)</f>
        <v>0</v>
      </c>
      <c r="M566" s="11">
        <f>VLOOKUP(C566, '[1]China EXIM'!$B$6:$D$580, 3, FALSE)</f>
        <v>8.1980968579999994E-3</v>
      </c>
      <c r="N566" s="6"/>
      <c r="O566" s="6"/>
      <c r="P566" s="6"/>
      <c r="Q566" s="10" t="s">
        <v>1140</v>
      </c>
      <c r="R566" s="9" t="s">
        <v>58</v>
      </c>
      <c r="V566" s="1" t="s">
        <v>25</v>
      </c>
    </row>
    <row r="567" spans="2:23" ht="27.95" hidden="1">
      <c r="B567" s="6" t="str">
        <f>VLOOKUP(C567, [1]Definition!$D$5:$K$5665, 8, FALSE)</f>
        <v>Capital Goods</v>
      </c>
      <c r="C567" s="7">
        <v>950840</v>
      </c>
      <c r="D567" s="8" t="s">
        <v>1069</v>
      </c>
      <c r="E567" s="8" t="s">
        <v>137</v>
      </c>
      <c r="F567" s="17" t="s">
        <v>205</v>
      </c>
      <c r="G567" s="8"/>
      <c r="H567" s="8"/>
      <c r="I567" s="9" t="s">
        <v>166</v>
      </c>
      <c r="J567" s="9" t="s">
        <v>201</v>
      </c>
      <c r="K567" s="17" t="str">
        <f>_xlfn.IFNA(VLOOKUP(C567, '[2]Unique HS'!$B$4:$J$999, 9, FALSE), "No")</f>
        <v>No</v>
      </c>
      <c r="L567" s="22">
        <f>VLOOKUP(C567, '[1]India EXIM'!$B$6:$C$580, 2, FALSE)</f>
        <v>5.5853476100000007E-4</v>
      </c>
      <c r="M567" s="11">
        <f>VLOOKUP(C567, '[1]China EXIM'!$B$6:$D$580, 3, FALSE)</f>
        <v>0.14664033491</v>
      </c>
      <c r="N567" s="6"/>
      <c r="O567" s="6"/>
      <c r="P567" s="6"/>
      <c r="Q567" s="10" t="s">
        <v>24</v>
      </c>
      <c r="R567" s="11" t="s">
        <v>864</v>
      </c>
      <c r="T567" s="1" t="s">
        <v>136</v>
      </c>
      <c r="V567" s="1" t="s">
        <v>137</v>
      </c>
    </row>
    <row r="568" spans="2:23" ht="27.95" hidden="1">
      <c r="B568" s="6" t="str">
        <f>VLOOKUP(C568, [1]Definition!$D$5:$K$5665, 8, FALSE)</f>
        <v>Capital Goods</v>
      </c>
      <c r="C568" s="7">
        <v>841931</v>
      </c>
      <c r="D568" s="8" t="s">
        <v>1147</v>
      </c>
      <c r="E568" s="8"/>
      <c r="F568" s="17" t="s">
        <v>119</v>
      </c>
      <c r="G568" s="8"/>
      <c r="H568" s="8"/>
      <c r="I568" s="9" t="s">
        <v>61</v>
      </c>
      <c r="J568" s="9" t="s">
        <v>1148</v>
      </c>
      <c r="K568" s="17" t="str">
        <f>_xlfn.IFNA(VLOOKUP(C568, '[2]Unique HS'!$B$4:$J$999, 9, FALSE), "No")</f>
        <v>No</v>
      </c>
      <c r="L568" s="18">
        <f>VLOOKUP(C568, '[1]India EXIM'!$B$6:$C$580, 2, FALSE)</f>
        <v>0</v>
      </c>
      <c r="M568" s="11">
        <f>VLOOKUP(C568, '[1]China EXIM'!$B$6:$D$580, 3, FALSE)</f>
        <v>1.4534151259999999E-3</v>
      </c>
      <c r="N568" s="6" t="s">
        <v>160</v>
      </c>
      <c r="O568" s="6"/>
      <c r="P568" s="6" t="s">
        <v>1149</v>
      </c>
      <c r="Q568" s="10" t="s">
        <v>1140</v>
      </c>
      <c r="R568" s="9" t="s">
        <v>61</v>
      </c>
    </row>
    <row r="569" spans="2:23" ht="237.95" hidden="1">
      <c r="B569" s="6" t="str">
        <f>VLOOKUP(C569, [1]Definition!$D$5:$K$5665, 8, FALSE)</f>
        <v>Capital Goods</v>
      </c>
      <c r="C569" s="7">
        <v>846299</v>
      </c>
      <c r="D569" s="8" t="s">
        <v>1151</v>
      </c>
      <c r="E569" s="8" t="s">
        <v>25</v>
      </c>
      <c r="F569" s="17" t="s">
        <v>19</v>
      </c>
      <c r="G569" s="8"/>
      <c r="H569" s="8"/>
      <c r="I569" s="9" t="s">
        <v>65</v>
      </c>
      <c r="J569" s="9" t="s">
        <v>31</v>
      </c>
      <c r="K569" s="17" t="str">
        <f>_xlfn.IFNA(VLOOKUP(C569, '[2]Unique HS'!$B$4:$J$999, 9, FALSE), "No")</f>
        <v>Yes</v>
      </c>
      <c r="L569" s="18">
        <f>VLOOKUP(C569, '[1]India EXIM'!$B$6:$C$580, 2, FALSE)</f>
        <v>0</v>
      </c>
      <c r="M569" s="11">
        <f>VLOOKUP(C569, '[1]China EXIM'!$B$6:$D$580, 3, FALSE)</f>
        <v>6.1895092000000007E-4</v>
      </c>
      <c r="N569" s="6"/>
      <c r="O569" s="6"/>
      <c r="P569" s="6"/>
      <c r="Q569" s="10" t="s">
        <v>1140</v>
      </c>
      <c r="R569" s="9" t="s">
        <v>65</v>
      </c>
      <c r="V569" s="1" t="s">
        <v>25</v>
      </c>
    </row>
    <row r="570" spans="2:23" ht="237.95" hidden="1">
      <c r="B570" s="6" t="str">
        <f>VLOOKUP(C570, [1]Definition!$D$5:$K$5665, 8, FALSE)</f>
        <v>Capital Goods</v>
      </c>
      <c r="C570" s="7">
        <v>846291</v>
      </c>
      <c r="D570" s="8" t="s">
        <v>1152</v>
      </c>
      <c r="E570" s="8" t="s">
        <v>25</v>
      </c>
      <c r="F570" s="17" t="s">
        <v>19</v>
      </c>
      <c r="G570" s="8"/>
      <c r="H570" s="8"/>
      <c r="I570" s="9" t="s">
        <v>65</v>
      </c>
      <c r="J570" s="9" t="s">
        <v>31</v>
      </c>
      <c r="K570" s="17" t="str">
        <f>_xlfn.IFNA(VLOOKUP(C570, '[2]Unique HS'!$B$4:$J$999, 9, FALSE), "No")</f>
        <v>No</v>
      </c>
      <c r="L570" s="18">
        <f>VLOOKUP(C570, '[1]India EXIM'!$B$6:$C$580, 2, FALSE)</f>
        <v>0</v>
      </c>
      <c r="M570" s="11">
        <f>VLOOKUP(C570, '[1]China EXIM'!$B$6:$D$580, 3, FALSE)</f>
        <v>2.4221716599999999E-4</v>
      </c>
      <c r="N570" s="6"/>
      <c r="O570" s="6"/>
      <c r="P570" s="6"/>
      <c r="Q570" s="10" t="s">
        <v>1140</v>
      </c>
      <c r="R570" s="9" t="s">
        <v>65</v>
      </c>
      <c r="V570" s="1" t="s">
        <v>25</v>
      </c>
    </row>
    <row r="571" spans="2:23" ht="69.95" hidden="1">
      <c r="B571" s="6" t="str">
        <f>VLOOKUP(C571, [1]Definition!$D$5:$K$5665, 8, FALSE)</f>
        <v>Capital Goods</v>
      </c>
      <c r="C571" s="7">
        <v>851410</v>
      </c>
      <c r="D571" s="8" t="s">
        <v>1153</v>
      </c>
      <c r="E571" s="8" t="s">
        <v>25</v>
      </c>
      <c r="F571" s="17" t="s">
        <v>19</v>
      </c>
      <c r="G571" s="8" t="s">
        <v>1154</v>
      </c>
      <c r="H571" s="8" t="s">
        <v>1155</v>
      </c>
      <c r="I571" s="9" t="s">
        <v>30</v>
      </c>
      <c r="J571" s="9" t="s">
        <v>38</v>
      </c>
      <c r="K571" s="17" t="str">
        <f>_xlfn.IFNA(VLOOKUP(C571, '[2]Unique HS'!$B$4:$J$999, 9, FALSE), "No")</f>
        <v>Yes</v>
      </c>
      <c r="L571" s="18">
        <f>VLOOKUP(C571, '[1]India EXIM'!$B$6:$C$580, 2, FALSE)</f>
        <v>0</v>
      </c>
      <c r="M571" s="11">
        <f>VLOOKUP(C571, '[1]China EXIM'!$B$6:$D$580, 3, FALSE)</f>
        <v>2.1857658600000002E-4</v>
      </c>
      <c r="N571" s="6"/>
      <c r="O571" s="6"/>
      <c r="P571" s="6"/>
      <c r="Q571" s="10" t="s">
        <v>1140</v>
      </c>
      <c r="R571" s="11" t="s">
        <v>30</v>
      </c>
      <c r="V571" s="1" t="s">
        <v>25</v>
      </c>
    </row>
    <row r="572" spans="2:23" ht="42">
      <c r="B572" s="6" t="str">
        <f>VLOOKUP(C572, [1]Definition!$D$5:$K$5665, 8, FALSE)</f>
        <v>Capital Goods</v>
      </c>
      <c r="C572" s="7">
        <v>842481</v>
      </c>
      <c r="D572" s="8" t="s">
        <v>1156</v>
      </c>
      <c r="E572" s="8" t="s">
        <v>137</v>
      </c>
      <c r="F572" s="17" t="s">
        <v>205</v>
      </c>
      <c r="G572" s="8"/>
      <c r="H572" s="8"/>
      <c r="I572" s="9" t="s">
        <v>22</v>
      </c>
      <c r="J572" s="9" t="s">
        <v>486</v>
      </c>
      <c r="K572" s="17" t="str">
        <f>_xlfn.IFNA(VLOOKUP(C572, '[2]Unique HS'!$B$4:$J$999, 9, FALSE), "No")</f>
        <v>No</v>
      </c>
      <c r="L572" s="18">
        <f>VLOOKUP(C572, '[1]India EXIM'!$B$6:$C$580, 2, FALSE)</f>
        <v>0</v>
      </c>
      <c r="M572" s="11">
        <f>VLOOKUP(C572, '[1]China EXIM'!$B$6:$D$580, 3, FALSE)</f>
        <v>2.16799941E-4</v>
      </c>
      <c r="N572" s="6"/>
      <c r="O572" s="6"/>
      <c r="P572" s="6"/>
      <c r="Q572" s="10" t="s">
        <v>1140</v>
      </c>
      <c r="R572" s="9" t="s">
        <v>22</v>
      </c>
      <c r="V572" s="1" t="s">
        <v>137</v>
      </c>
      <c r="W572" s="1" t="s">
        <v>456</v>
      </c>
    </row>
    <row r="573" spans="2:23" ht="27.95" hidden="1">
      <c r="B573" s="6" t="str">
        <f>VLOOKUP(C573, [1]Definition!$D$5:$K$5665, 8, FALSE)</f>
        <v>Capital Goods</v>
      </c>
      <c r="C573" s="7">
        <v>961800</v>
      </c>
      <c r="D573" s="8" t="s">
        <v>950</v>
      </c>
      <c r="E573" s="8" t="s">
        <v>137</v>
      </c>
      <c r="F573" s="17" t="s">
        <v>205</v>
      </c>
      <c r="G573" s="8"/>
      <c r="H573" s="8"/>
      <c r="I573" s="9" t="s">
        <v>55</v>
      </c>
      <c r="J573" s="9" t="s">
        <v>951</v>
      </c>
      <c r="K573" s="17" t="str">
        <f>_xlfn.IFNA(VLOOKUP(C573, '[2]Unique HS'!$B$4:$J$999, 9, FALSE), "No")</f>
        <v>No</v>
      </c>
      <c r="L573" s="22">
        <f>VLOOKUP(C573, '[1]India EXIM'!$B$6:$C$580, 2, FALSE)</f>
        <v>3.8578365839999997E-3</v>
      </c>
      <c r="M573" s="11">
        <f>VLOOKUP(C573, '[1]China EXIM'!$B$6:$D$580, 3, FALSE)</f>
        <v>0.61238112499699993</v>
      </c>
      <c r="N573" s="6"/>
      <c r="O573" s="6"/>
      <c r="P573" s="6"/>
      <c r="Q573" s="10" t="s">
        <v>24</v>
      </c>
      <c r="R573" s="9" t="s">
        <v>55</v>
      </c>
      <c r="V573" s="1" t="s">
        <v>137</v>
      </c>
    </row>
    <row r="574" spans="2:23" ht="27.95">
      <c r="B574" s="6" t="str">
        <f>VLOOKUP(C574, [1]Definition!$D$5:$K$5665, 8, FALSE)</f>
        <v>Capital Goods</v>
      </c>
      <c r="C574" s="7">
        <v>843230</v>
      </c>
      <c r="D574" s="8" t="s">
        <v>1157</v>
      </c>
      <c r="E574" s="8" t="s">
        <v>137</v>
      </c>
      <c r="F574" s="17" t="s">
        <v>1178</v>
      </c>
      <c r="G574" s="8"/>
      <c r="H574" s="8" t="s">
        <v>322</v>
      </c>
      <c r="I574" s="9" t="s">
        <v>22</v>
      </c>
      <c r="J574" s="9" t="s">
        <v>38</v>
      </c>
      <c r="K574" s="17" t="str">
        <f>_xlfn.IFNA(VLOOKUP(C574, '[2]Unique HS'!$B$4:$J$999, 9, FALSE), "No")</f>
        <v>No</v>
      </c>
      <c r="L574" s="18">
        <f>VLOOKUP(C574, '[1]India EXIM'!$B$6:$C$580, 2, FALSE)</f>
        <v>0</v>
      </c>
      <c r="M574" s="11">
        <f>VLOOKUP(C574, '[1]China EXIM'!$B$6:$D$580, 3, FALSE)</f>
        <v>6.3942747000000002E-5</v>
      </c>
      <c r="N574" s="6" t="s">
        <v>160</v>
      </c>
      <c r="O574" s="6"/>
      <c r="P574" s="6"/>
      <c r="Q574" s="10" t="s">
        <v>24</v>
      </c>
      <c r="R574" s="11" t="s">
        <v>161</v>
      </c>
      <c r="V574" s="1" t="s">
        <v>137</v>
      </c>
      <c r="W574" s="1" t="s">
        <v>456</v>
      </c>
    </row>
    <row r="575" spans="2:23" ht="27.95" hidden="1">
      <c r="B575" s="6" t="str">
        <f>VLOOKUP(C575, [1]Definition!$D$5:$K$5665, 8, FALSE)</f>
        <v>Capital Goods</v>
      </c>
      <c r="C575" s="7">
        <v>820120</v>
      </c>
      <c r="D575" s="8" t="s">
        <v>1158</v>
      </c>
      <c r="E575" s="8" t="s">
        <v>25</v>
      </c>
      <c r="F575" s="17" t="s">
        <v>19</v>
      </c>
      <c r="G575" s="8"/>
      <c r="H575" s="8"/>
      <c r="I575" s="9" t="s">
        <v>58</v>
      </c>
      <c r="J575" s="9" t="s">
        <v>909</v>
      </c>
      <c r="K575" s="17" t="str">
        <f>_xlfn.IFNA(VLOOKUP(C575, '[2]Unique HS'!$B$4:$J$999, 9, FALSE), "No")</f>
        <v>No</v>
      </c>
      <c r="L575" s="18">
        <f>VLOOKUP(C575, '[1]India EXIM'!$B$6:$C$580, 2, FALSE)</f>
        <v>0</v>
      </c>
      <c r="M575" s="11">
        <f>VLOOKUP(C575, '[1]China EXIM'!$B$6:$D$580, 3, FALSE)</f>
        <v>0</v>
      </c>
      <c r="N575" s="6" t="s">
        <v>210</v>
      </c>
      <c r="O575" s="6"/>
      <c r="P575" s="9"/>
      <c r="Q575" s="10" t="s">
        <v>1140</v>
      </c>
      <c r="R575" s="11" t="s">
        <v>210</v>
      </c>
      <c r="V575" s="1" t="s">
        <v>25</v>
      </c>
    </row>
    <row r="576" spans="2:23" ht="27.95" hidden="1">
      <c r="B576" s="6" t="str">
        <f>VLOOKUP(C576, [1]Definition!$D$5:$K$5665, 8, FALSE)</f>
        <v>Capital Goods</v>
      </c>
      <c r="C576" s="7">
        <v>820580</v>
      </c>
      <c r="D576" s="8" t="s">
        <v>1159</v>
      </c>
      <c r="E576" s="8" t="s">
        <v>25</v>
      </c>
      <c r="F576" s="17" t="s">
        <v>19</v>
      </c>
      <c r="G576" s="8"/>
      <c r="H576" s="8"/>
      <c r="I576" s="9" t="s">
        <v>65</v>
      </c>
      <c r="J576" s="9" t="s">
        <v>209</v>
      </c>
      <c r="K576" s="17" t="str">
        <f>_xlfn.IFNA(VLOOKUP(C576, '[2]Unique HS'!$B$4:$J$999, 9, FALSE), "No")</f>
        <v>No</v>
      </c>
      <c r="L576" s="18">
        <f>VLOOKUP(C576, '[1]India EXIM'!$B$6:$C$580, 2, FALSE)</f>
        <v>0</v>
      </c>
      <c r="M576" s="11">
        <f>VLOOKUP(C576, '[1]China EXIM'!$B$6:$D$580, 3, FALSE)</f>
        <v>0</v>
      </c>
      <c r="N576" s="6" t="s">
        <v>210</v>
      </c>
      <c r="O576" s="6"/>
      <c r="P576" s="9" t="s">
        <v>201</v>
      </c>
      <c r="Q576" s="10" t="s">
        <v>1140</v>
      </c>
      <c r="R576" s="11" t="s">
        <v>210</v>
      </c>
      <c r="V576" s="1" t="s">
        <v>25</v>
      </c>
    </row>
    <row r="577" spans="2:22" ht="56.1">
      <c r="B577" s="6" t="str">
        <f>VLOOKUP(C577, [1]Definition!$D$5:$K$5665, 8, FALSE)</f>
        <v>Capital Goods</v>
      </c>
      <c r="C577" s="7">
        <v>841932</v>
      </c>
      <c r="D577" s="8" t="s">
        <v>1160</v>
      </c>
      <c r="E577" s="8" t="s">
        <v>25</v>
      </c>
      <c r="F577" s="17" t="s">
        <v>19</v>
      </c>
      <c r="G577" s="8" t="s">
        <v>1161</v>
      </c>
      <c r="H577" s="8"/>
      <c r="I577" s="9" t="s">
        <v>22</v>
      </c>
      <c r="J577" s="9" t="s">
        <v>38</v>
      </c>
      <c r="K577" s="17" t="str">
        <f>_xlfn.IFNA(VLOOKUP(C577, '[2]Unique HS'!$B$4:$J$999, 9, FALSE), "No")</f>
        <v>No</v>
      </c>
      <c r="L577" s="18">
        <f>VLOOKUP(C577, '[1]India EXIM'!$B$6:$C$580, 2, FALSE)</f>
        <v>0</v>
      </c>
      <c r="M577" s="11">
        <f>VLOOKUP(C577, '[1]China EXIM'!$B$6:$D$580, 3, FALSE)</f>
        <v>0</v>
      </c>
      <c r="N577" s="6" t="s">
        <v>253</v>
      </c>
      <c r="O577" s="6"/>
      <c r="P577" s="6" t="s">
        <v>1038</v>
      </c>
      <c r="Q577" s="10" t="s">
        <v>1140</v>
      </c>
      <c r="R577" s="11" t="s">
        <v>182</v>
      </c>
      <c r="V577" s="1" t="s">
        <v>25</v>
      </c>
    </row>
    <row r="578" spans="2:22" ht="27.95">
      <c r="B578" s="6" t="str">
        <f>VLOOKUP(C578, [1]Definition!$D$5:$K$5665, 8, FALSE)</f>
        <v>Capital Goods</v>
      </c>
      <c r="C578" s="7">
        <v>843240</v>
      </c>
      <c r="D578" s="8" t="s">
        <v>1162</v>
      </c>
      <c r="E578" s="8"/>
      <c r="F578" s="17" t="s">
        <v>1178</v>
      </c>
      <c r="G578" s="8"/>
      <c r="H578" s="8" t="s">
        <v>322</v>
      </c>
      <c r="I578" s="9" t="s">
        <v>22</v>
      </c>
      <c r="J578" s="9" t="s">
        <v>38</v>
      </c>
      <c r="K578" s="17" t="str">
        <f>_xlfn.IFNA(VLOOKUP(C578, '[2]Unique HS'!$B$4:$J$999, 9, FALSE), "No")</f>
        <v>No</v>
      </c>
      <c r="L578" s="18">
        <f>VLOOKUP(C578, '[1]India EXIM'!$B$6:$C$580, 2, FALSE)</f>
        <v>0</v>
      </c>
      <c r="M578" s="11">
        <f>VLOOKUP(C578, '[1]China EXIM'!$B$6:$D$580, 3, FALSE)</f>
        <v>0</v>
      </c>
      <c r="N578" s="6" t="s">
        <v>160</v>
      </c>
      <c r="O578" s="6"/>
      <c r="P578" s="6"/>
      <c r="Q578" s="10" t="s">
        <v>24</v>
      </c>
      <c r="R578" s="11" t="s">
        <v>161</v>
      </c>
    </row>
    <row r="579" spans="2:22" ht="252" hidden="1">
      <c r="B579" s="6" t="str">
        <f>VLOOKUP(C579, [1]Definition!$D$5:$K$5665, 8, FALSE)</f>
        <v>Capital Goods</v>
      </c>
      <c r="C579" s="7">
        <v>846241</v>
      </c>
      <c r="D579" s="8" t="s">
        <v>1163</v>
      </c>
      <c r="E579" s="8" t="s">
        <v>25</v>
      </c>
      <c r="F579" s="17" t="s">
        <v>19</v>
      </c>
      <c r="G579" s="8"/>
      <c r="H579" s="8"/>
      <c r="I579" s="9" t="s">
        <v>65</v>
      </c>
      <c r="J579" s="9" t="s">
        <v>31</v>
      </c>
      <c r="K579" s="17" t="str">
        <f>_xlfn.IFNA(VLOOKUP(C579, '[2]Unique HS'!$B$4:$J$999, 9, FALSE), "No")</f>
        <v>Yes</v>
      </c>
      <c r="L579" s="18">
        <f>VLOOKUP(C579, '[1]India EXIM'!$B$6:$C$580, 2, FALSE)</f>
        <v>0</v>
      </c>
      <c r="M579" s="11">
        <f>VLOOKUP(C579, '[1]China EXIM'!$B$6:$D$580, 3, FALSE)</f>
        <v>0</v>
      </c>
      <c r="N579" s="6"/>
      <c r="O579" s="6"/>
      <c r="P579" s="6"/>
      <c r="Q579" s="10" t="s">
        <v>1140</v>
      </c>
      <c r="R579" s="9" t="s">
        <v>65</v>
      </c>
      <c r="V579" s="1" t="s">
        <v>25</v>
      </c>
    </row>
  </sheetData>
  <autoFilter ref="B4:R579" xr:uid="{AAF6B34C-1026-46E8-942B-E003C60A9A92}">
    <filterColumn colId="7">
      <filters>
        <filter val="Process Plant Machinery"/>
      </filters>
    </filterColumn>
    <sortState xmlns:xlrd2="http://schemas.microsoft.com/office/spreadsheetml/2017/richdata2" ref="B5:R579">
      <sortCondition descending="1" ref="L4:L579"/>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ad99c62-4d08-486e-a79b-61df7dcdea4b">
      <Terms xmlns="http://schemas.microsoft.com/office/infopath/2007/PartnerControls"/>
    </lcf76f155ced4ddcb4097134ff3c332f>
    <Desc xmlns="0ad99c62-4d08-486e-a79b-61df7dcdea4b" xsi:nil="true"/>
    <Desc2 xmlns="0ad99c62-4d08-486e-a79b-61df7dcdea4b" xsi:nil="true"/>
    <TaxCatchAll xmlns="40531b67-d43b-44b2-8a85-b5d649c1956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04C866DC076B49BFC0418193BB9586" ma:contentTypeVersion="17" ma:contentTypeDescription="Create a new document." ma:contentTypeScope="" ma:versionID="2bd408ab8fc462e4e6c3d68ca5989319">
  <xsd:schema xmlns:xsd="http://www.w3.org/2001/XMLSchema" xmlns:xs="http://www.w3.org/2001/XMLSchema" xmlns:p="http://schemas.microsoft.com/office/2006/metadata/properties" xmlns:ns2="0ad99c62-4d08-486e-a79b-61df7dcdea4b" xmlns:ns3="40531b67-d43b-44b2-8a85-b5d649c1956e" targetNamespace="http://schemas.microsoft.com/office/2006/metadata/properties" ma:root="true" ma:fieldsID="dd516ec74d744ed048d4ccf35ded5c27" ns2:_="" ns3:_="">
    <xsd:import namespace="0ad99c62-4d08-486e-a79b-61df7dcdea4b"/>
    <xsd:import namespace="40531b67-d43b-44b2-8a85-b5d649c1956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Location" minOccurs="0"/>
                <xsd:element ref="ns2:MediaServiceSearchProperties" minOccurs="0"/>
                <xsd:element ref="ns2:Desc" minOccurs="0"/>
                <xsd:element ref="ns2:Desc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d99c62-4d08-486e-a79b-61df7dcdea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f9128ac3-94cc-4356-9a33-983a879b9acd"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Desc" ma:index="23" nillable="true" ma:displayName="Desc" ma:description="Slide 1 data up till 2022" ma:format="Dropdown" ma:internalName="Desc">
      <xsd:simpleType>
        <xsd:restriction base="dms:Text">
          <xsd:maxLength value="255"/>
        </xsd:restriction>
      </xsd:simpleType>
    </xsd:element>
    <xsd:element name="Desc2" ma:index="24" nillable="true" ma:displayName="Desc2" ma:description="Slide 1 (data till 2022)" ma:format="Dropdown" ma:internalName="Desc2">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0531b67-d43b-44b2-8a85-b5d649c1956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da000b8-5594-4c7e-842b-c7db6c304ba6}" ma:internalName="TaxCatchAll" ma:showField="CatchAllData" ma:web="40531b67-d43b-44b2-8a85-b5d649c1956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F1D64F-B401-4027-ACB3-144A511709F7}"/>
</file>

<file path=customXml/itemProps2.xml><?xml version="1.0" encoding="utf-8"?>
<ds:datastoreItem xmlns:ds="http://schemas.openxmlformats.org/officeDocument/2006/customXml" ds:itemID="{8F983693-E319-4455-889B-8838CED0B7B0}"/>
</file>

<file path=customXml/itemProps3.xml><?xml version="1.0" encoding="utf-8"?>
<ds:datastoreItem xmlns:ds="http://schemas.openxmlformats.org/officeDocument/2006/customXml" ds:itemID="{DBB66186-BD4F-4013-A6C5-C747E702F93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Vaishnavi Gaur</dc:creator>
  <cp:keywords/>
  <dc:description/>
  <cp:lastModifiedBy/>
  <cp:revision/>
  <dcterms:created xsi:type="dcterms:W3CDTF">2025-10-14T08:44:21Z</dcterms:created>
  <dcterms:modified xsi:type="dcterms:W3CDTF">2026-08-25T06:53:51Z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0x0101009C04C866DC076B49BFC0418193BB9586</vt:lpwstr>
  </property>
  <property fmtid="{D5CDD505-2E9C-101B-9397-08002B2CF9AE}" pid="3" name="MediaServiceImageTags">
    <vt:lpwstr/>
  </property>
</Properties>
</file>