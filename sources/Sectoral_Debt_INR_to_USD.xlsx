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manmishra/Downloads/"/>
    </mc:Choice>
  </mc:AlternateContent>
  <xr:revisionPtr revIDLastSave="0" documentId="13_ncr:1_{EEB8B89D-1A5B-614E-B187-8D9F4F7E3AFF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Sectoral Debt (INR to US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2" i="1" l="1"/>
  <c r="G22" i="1"/>
  <c r="F22" i="1"/>
  <c r="E22" i="1"/>
  <c r="D22" i="1"/>
  <c r="C22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</calcChain>
</file>

<file path=xl/sharedStrings.xml><?xml version="1.0" encoding="utf-8"?>
<sst xmlns="http://schemas.openxmlformats.org/spreadsheetml/2006/main" count="35" uniqueCount="18">
  <si>
    <t>Sectoral Debt: INR Trillion vs USD Billion</t>
  </si>
  <si>
    <t>Table 1: Debt (INR Trillion)</t>
  </si>
  <si>
    <t>Sector</t>
  </si>
  <si>
    <t>FY14</t>
  </si>
  <si>
    <t>FY16</t>
  </si>
  <si>
    <t>FY18</t>
  </si>
  <si>
    <t>FY20</t>
  </si>
  <si>
    <t>FY22</t>
  </si>
  <si>
    <t>FY24</t>
  </si>
  <si>
    <t>Private Non-Financial</t>
  </si>
  <si>
    <t>Government</t>
  </si>
  <si>
    <t>Financial sector</t>
  </si>
  <si>
    <t>Household</t>
  </si>
  <si>
    <t>Table 2: Average Exchange Rate Used (INR per USD)</t>
  </si>
  <si>
    <t>Metric</t>
  </si>
  <si>
    <t>Avg. USD/INR Rate</t>
  </si>
  <si>
    <t>Source: Economic Survey Statistical Appendix, Table 5.4 (indiabudget.gov.in) — RBI annual average reference rate</t>
  </si>
  <si>
    <t>Table 3: Debt (USD Billion) = INR Trillion x 1000 / Avg. 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</si>
</sst>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0" borderId="0" xfId="0" applyFont="1"/>
    <xf numFmtId="165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tabSelected="1" topLeftCell="A3" zoomScale="241" zoomScaleNormal="100" workbookViewId="0">
      <selection activeCell="B15" sqref="B15"/>
    </sheetView>
  </sheetViews>
  <sheetFormatPr baseColWidth="10" defaultColWidth="8.6640625" defaultRowHeight="15" x14ac:dyDescent="0.2"/>
  <cols>
    <col min="1" max="1" width="2" customWidth="1"/>
    <col min="2" max="2" width="26" customWidth="1"/>
    <col min="3" max="8" width="12" customWidth="1"/>
  </cols>
  <sheetData>
    <row r="2" spans="2:8" ht="18" x14ac:dyDescent="0.2">
      <c r="B2" s="1" t="s">
        <v>0</v>
      </c>
    </row>
    <row r="4" spans="2:8" x14ac:dyDescent="0.2">
      <c r="B4" s="2" t="s">
        <v>1</v>
      </c>
    </row>
    <row r="5" spans="2:8" x14ac:dyDescent="0.2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2:8" x14ac:dyDescent="0.2">
      <c r="B6" s="4" t="s">
        <v>9</v>
      </c>
      <c r="C6" s="5">
        <v>12.1</v>
      </c>
      <c r="D6" s="5">
        <v>14</v>
      </c>
      <c r="E6" s="5">
        <v>14.6</v>
      </c>
      <c r="F6" s="5">
        <v>17</v>
      </c>
      <c r="G6" s="5">
        <v>18.100000000000001</v>
      </c>
      <c r="H6" s="5">
        <v>19.899999999999999</v>
      </c>
    </row>
    <row r="7" spans="2:8" x14ac:dyDescent="0.2">
      <c r="B7" s="4" t="s">
        <v>10</v>
      </c>
      <c r="C7" s="5">
        <v>7</v>
      </c>
      <c r="D7" s="5">
        <v>9</v>
      </c>
      <c r="E7" s="5">
        <v>9.5</v>
      </c>
      <c r="F7" s="5">
        <v>10.3</v>
      </c>
      <c r="G7" s="5">
        <v>10.8</v>
      </c>
      <c r="H7" s="5">
        <v>14.7</v>
      </c>
    </row>
    <row r="8" spans="2:8" x14ac:dyDescent="0.2">
      <c r="B8" s="4" t="s">
        <v>11</v>
      </c>
      <c r="C8" s="5">
        <v>0.37</v>
      </c>
      <c r="D8" s="5">
        <v>0.47</v>
      </c>
      <c r="E8" s="5">
        <v>0.31</v>
      </c>
      <c r="F8" s="5">
        <v>0.45</v>
      </c>
      <c r="G8" s="5">
        <v>0.43</v>
      </c>
      <c r="H8" s="5">
        <v>0.6</v>
      </c>
    </row>
    <row r="9" spans="2:8" x14ac:dyDescent="0.2">
      <c r="B9" s="4" t="s">
        <v>12</v>
      </c>
      <c r="C9" s="5">
        <v>12.3</v>
      </c>
      <c r="D9" s="5">
        <v>11.4</v>
      </c>
      <c r="E9" s="5">
        <v>16.399999999999999</v>
      </c>
      <c r="F9" s="5">
        <v>18.100000000000001</v>
      </c>
      <c r="G9" s="5">
        <v>20.7</v>
      </c>
      <c r="H9" s="5">
        <v>23.9</v>
      </c>
    </row>
    <row r="12" spans="2:8" x14ac:dyDescent="0.2">
      <c r="B12" s="2" t="s">
        <v>13</v>
      </c>
    </row>
    <row r="13" spans="2:8" x14ac:dyDescent="0.2">
      <c r="B13" s="3" t="s">
        <v>14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  <c r="H13" s="3" t="s">
        <v>8</v>
      </c>
    </row>
    <row r="14" spans="2:8" x14ac:dyDescent="0.2">
      <c r="B14" s="4" t="s">
        <v>15</v>
      </c>
      <c r="C14" s="6">
        <v>60.502000000000002</v>
      </c>
      <c r="D14" s="6">
        <v>65.468000000000004</v>
      </c>
      <c r="E14" s="6">
        <v>64.454999999999998</v>
      </c>
      <c r="F14" s="6">
        <v>70.897000000000006</v>
      </c>
      <c r="G14" s="6">
        <v>74.504000000000005</v>
      </c>
      <c r="H14" s="6">
        <v>82.79</v>
      </c>
    </row>
    <row r="15" spans="2:8" x14ac:dyDescent="0.2">
      <c r="B15" s="7" t="s">
        <v>16</v>
      </c>
    </row>
    <row r="17" spans="2:8" x14ac:dyDescent="0.2">
      <c r="B17" s="2" t="s">
        <v>17</v>
      </c>
    </row>
    <row r="18" spans="2:8" x14ac:dyDescent="0.2">
      <c r="B18" s="3" t="s">
        <v>2</v>
      </c>
      <c r="C18" s="3" t="s">
        <v>3</v>
      </c>
      <c r="D18" s="3" t="s">
        <v>4</v>
      </c>
      <c r="E18" s="3" t="s">
        <v>5</v>
      </c>
      <c r="F18" s="3" t="s">
        <v>6</v>
      </c>
      <c r="G18" s="3" t="s">
        <v>7</v>
      </c>
      <c r="H18" s="3" t="s">
        <v>8</v>
      </c>
    </row>
    <row r="19" spans="2:8" x14ac:dyDescent="0.2">
      <c r="B19" s="4" t="s">
        <v>9</v>
      </c>
      <c r="C19" s="8">
        <f t="shared" ref="C19:H19" si="0">C6*1000/C14</f>
        <v>199.99338864830915</v>
      </c>
      <c r="D19" s="8">
        <f t="shared" si="0"/>
        <v>213.84493187511455</v>
      </c>
      <c r="E19" s="8">
        <f t="shared" si="0"/>
        <v>226.51462260491817</v>
      </c>
      <c r="F19" s="8">
        <f t="shared" si="0"/>
        <v>239.78447607091977</v>
      </c>
      <c r="G19" s="8">
        <f t="shared" si="0"/>
        <v>242.93997637710726</v>
      </c>
      <c r="H19" s="8">
        <f t="shared" si="0"/>
        <v>240.36719410556827</v>
      </c>
    </row>
    <row r="20" spans="2:8" x14ac:dyDescent="0.2">
      <c r="B20" s="4" t="s">
        <v>10</v>
      </c>
      <c r="C20" s="8">
        <f t="shared" ref="C20:H20" si="1">C7*1000/C14</f>
        <v>115.69865458993091</v>
      </c>
      <c r="D20" s="8">
        <f t="shared" si="1"/>
        <v>137.47174191971649</v>
      </c>
      <c r="E20" s="8">
        <f t="shared" si="1"/>
        <v>147.38965169498101</v>
      </c>
      <c r="F20" s="8">
        <f t="shared" si="1"/>
        <v>145.28118256061609</v>
      </c>
      <c r="G20" s="8">
        <f t="shared" si="1"/>
        <v>144.95865993772145</v>
      </c>
      <c r="H20" s="8">
        <f t="shared" si="1"/>
        <v>177.55767604783185</v>
      </c>
    </row>
    <row r="21" spans="2:8" x14ac:dyDescent="0.2">
      <c r="B21" s="4" t="s">
        <v>11</v>
      </c>
      <c r="C21" s="8">
        <f t="shared" ref="C21:H21" si="2">C8*1000/C14</f>
        <v>6.1155003140392052</v>
      </c>
      <c r="D21" s="8">
        <f t="shared" si="2"/>
        <v>7.1790798558074167</v>
      </c>
      <c r="E21" s="8">
        <f t="shared" si="2"/>
        <v>4.8095570553099058</v>
      </c>
      <c r="F21" s="8">
        <f t="shared" si="2"/>
        <v>6.3472361312890531</v>
      </c>
      <c r="G21" s="8">
        <f t="shared" si="2"/>
        <v>5.7715022012240951</v>
      </c>
      <c r="H21" s="8">
        <f t="shared" si="2"/>
        <v>7.2472520835849732</v>
      </c>
    </row>
    <row r="22" spans="2:8" x14ac:dyDescent="0.2">
      <c r="B22" s="4" t="s">
        <v>12</v>
      </c>
      <c r="C22" s="8">
        <f t="shared" ref="C22:H22" si="3">C9*1000/C14</f>
        <v>203.29906449373573</v>
      </c>
      <c r="D22" s="8">
        <f t="shared" si="3"/>
        <v>174.13087309830757</v>
      </c>
      <c r="E22" s="8">
        <f t="shared" si="3"/>
        <v>254.44108292607245</v>
      </c>
      <c r="F22" s="8">
        <f t="shared" si="3"/>
        <v>255.29994216962635</v>
      </c>
      <c r="G22" s="8">
        <f t="shared" si="3"/>
        <v>277.83743154729945</v>
      </c>
      <c r="H22" s="8">
        <f t="shared" si="3"/>
        <v>288.68220799613476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Sectoral Debt (INR to USD)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Mishra11,A (pgt)</cp:lastModifiedBy>
  <cp:revision>0</cp:revision>
  <dcterms:created xsi:type="dcterms:W3CDTF">2026-08-20T13:47:28Z</dcterms:created>
  <dcterms:modified xsi:type="dcterms:W3CDTF">2026-08-20T19:58:41Z</dcterms:modified>
  <dc:language>en-US</dc:language>
</cp:coreProperties>
</file>