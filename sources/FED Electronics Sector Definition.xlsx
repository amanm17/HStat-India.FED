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fedevorganisation.sharepoint.com/sites/FoundationforEconomicDevelopment/Shared Documents/General/02. Non-State specific/Electronics/Admin/Data/"/>
    </mc:Choice>
  </mc:AlternateContent>
  <xr:revisionPtr revIDLastSave="0" documentId="8_{A3CA2FF7-FC32-4049-B04D-9F675A99B1F6}" xr6:coauthVersionLast="47" xr6:coauthVersionMax="47" xr10:uidLastSave="{00000000-0000-0000-0000-000000000000}"/>
  <bookViews>
    <workbookView xWindow="0" yWindow="0" windowWidth="38400" windowHeight="21600" xr2:uid="{9FD90BBC-C448-4E05-B7B6-C39304BA241D}"/>
  </bookViews>
  <sheets>
    <sheet name="Sector Definition" sheetId="1" r:id="rId1"/>
    <sheet name="WIP Definition_Ishita" sheetId="3" state="hidden" r:id="rId2"/>
    <sheet name="Missing HSN Codes_WIP" sheetId="4" state="hidden" r:id="rId3"/>
    <sheet name="Sector Definition - vs" sheetId="2" state="hidden" r:id="rId4"/>
  </sheets>
  <externalReferences>
    <externalReference r:id="rId5"/>
  </externalReferences>
  <definedNames>
    <definedName name="_xlnm._FilterDatabase" localSheetId="2" hidden="1">'Missing HSN Codes_WIP'!$B$2:$J$82</definedName>
    <definedName name="_xlnm._FilterDatabase" localSheetId="0" hidden="1">'Sector Definition'!$B$2:$Q$425</definedName>
    <definedName name="_xlnm._FilterDatabase" localSheetId="3" hidden="1">'Sector Definition - vs'!$B$2:$Q$425</definedName>
    <definedName name="_xlnm._FilterDatabase" localSheetId="1" hidden="1">'WIP Definition_Ishita'!$B$3:$P$426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25" i="1" l="1"/>
  <c r="P424" i="1"/>
  <c r="P422" i="1"/>
  <c r="P421" i="1"/>
  <c r="P418" i="1"/>
  <c r="P417" i="1"/>
  <c r="P419" i="1"/>
  <c r="P420" i="1"/>
  <c r="P423" i="1"/>
  <c r="P413" i="1"/>
  <c r="P415" i="1"/>
  <c r="P416" i="1"/>
  <c r="P414" i="1"/>
  <c r="P412" i="1"/>
  <c r="P411" i="1"/>
  <c r="P410" i="1"/>
  <c r="P408" i="1"/>
  <c r="P406" i="1"/>
  <c r="P407" i="1"/>
  <c r="P405" i="1"/>
  <c r="P403" i="1"/>
  <c r="P404" i="1"/>
  <c r="P401" i="1"/>
  <c r="P399" i="1"/>
  <c r="P402" i="1"/>
  <c r="P397" i="1"/>
  <c r="P378" i="1"/>
  <c r="P396" i="1"/>
  <c r="P409" i="1"/>
  <c r="P398" i="1"/>
  <c r="P394" i="1"/>
  <c r="P395" i="1"/>
  <c r="P400" i="1"/>
  <c r="P392" i="1"/>
  <c r="P384" i="1"/>
  <c r="P385" i="1"/>
  <c r="P389" i="1"/>
  <c r="P393" i="1"/>
  <c r="P388" i="1"/>
  <c r="P391" i="1"/>
  <c r="P386" i="1"/>
  <c r="P390" i="1"/>
  <c r="P387" i="1"/>
  <c r="P375" i="1"/>
  <c r="P379" i="1"/>
  <c r="P381" i="1"/>
  <c r="P383" i="1"/>
  <c r="P377" i="1"/>
  <c r="P382" i="1"/>
  <c r="P376" i="1"/>
  <c r="P332" i="1"/>
  <c r="P373" i="1"/>
  <c r="P372" i="1"/>
  <c r="P350" i="1"/>
  <c r="P371" i="1"/>
  <c r="P349" i="1"/>
  <c r="P374" i="1"/>
  <c r="P361" i="1"/>
  <c r="P263" i="1"/>
  <c r="P368" i="1"/>
  <c r="P365" i="1"/>
  <c r="P364" i="1"/>
  <c r="P369" i="1"/>
  <c r="P362" i="1"/>
  <c r="P363" i="1"/>
  <c r="P359" i="1"/>
  <c r="P343" i="1"/>
  <c r="P366" i="1"/>
  <c r="P346" i="1"/>
  <c r="P370" i="1"/>
  <c r="P336" i="1"/>
  <c r="P353" i="1"/>
  <c r="P333" i="1"/>
  <c r="P345" i="1"/>
  <c r="P337" i="1"/>
  <c r="P338" i="1"/>
  <c r="P341" i="1"/>
  <c r="P344" i="1"/>
  <c r="P335" i="1"/>
  <c r="P367" i="1"/>
  <c r="P331" i="1"/>
  <c r="P324" i="1"/>
  <c r="P360" i="1"/>
  <c r="P318" i="1"/>
  <c r="P329" i="1"/>
  <c r="P328" i="1"/>
  <c r="P323" i="1"/>
  <c r="P327" i="1"/>
  <c r="P320" i="1"/>
  <c r="P330" i="1"/>
  <c r="P326" i="1"/>
  <c r="P322" i="1"/>
  <c r="P321" i="1"/>
  <c r="P317" i="1"/>
  <c r="P316" i="1"/>
  <c r="P325" i="1"/>
  <c r="P314" i="1"/>
  <c r="P307" i="1"/>
  <c r="P315" i="1"/>
  <c r="P311" i="1"/>
  <c r="P303" i="1"/>
  <c r="P312" i="1"/>
  <c r="P319" i="1"/>
  <c r="P310" i="1"/>
  <c r="P301" i="1"/>
  <c r="P308" i="1"/>
  <c r="P291" i="1"/>
  <c r="P380" i="1"/>
  <c r="P306" i="1"/>
  <c r="P287" i="1"/>
  <c r="P279" i="1"/>
  <c r="P296" i="1"/>
  <c r="P304" i="1"/>
  <c r="P271" i="1"/>
  <c r="P309" i="1"/>
  <c r="P290" i="1"/>
  <c r="P288" i="1"/>
  <c r="P285" i="1"/>
  <c r="P270" i="1"/>
  <c r="P283" i="1"/>
  <c r="P282" i="1"/>
  <c r="P269" i="1"/>
  <c r="P281" i="1"/>
  <c r="P264" i="1"/>
  <c r="P313" i="1"/>
  <c r="P289" i="1"/>
  <c r="P259" i="1"/>
  <c r="P9" i="1"/>
  <c r="P267" i="1"/>
  <c r="P266" i="1"/>
  <c r="P265" i="1"/>
  <c r="P246" i="1"/>
  <c r="P254" i="1"/>
  <c r="P258" i="1"/>
  <c r="P261" i="1"/>
  <c r="P278" i="1"/>
  <c r="P268" i="1"/>
  <c r="P238" i="1"/>
  <c r="P257" i="1"/>
  <c r="P260" i="1"/>
  <c r="P255" i="1"/>
  <c r="P242" i="1"/>
  <c r="P253" i="1"/>
  <c r="P252" i="1"/>
  <c r="P251" i="1"/>
  <c r="P247" i="1"/>
  <c r="P244" i="1"/>
  <c r="P256" i="1"/>
  <c r="P241" i="1"/>
  <c r="P245" i="1"/>
  <c r="P262" i="1"/>
  <c r="P224" i="1"/>
  <c r="P240" i="1"/>
  <c r="P234" i="1"/>
  <c r="P214" i="1"/>
  <c r="P237" i="1"/>
  <c r="P236" i="1"/>
  <c r="P235" i="1"/>
  <c r="P243" i="1"/>
  <c r="P233" i="1"/>
  <c r="P239" i="1"/>
  <c r="P231" i="1"/>
  <c r="P226" i="1"/>
  <c r="P229" i="1"/>
  <c r="P228" i="1"/>
  <c r="P221" i="1"/>
  <c r="P210" i="1"/>
  <c r="P225" i="1"/>
  <c r="P230" i="1"/>
  <c r="P223" i="1"/>
  <c r="P222" i="1"/>
  <c r="P220" i="1"/>
  <c r="P232" i="1"/>
  <c r="P204" i="1"/>
  <c r="P218" i="1"/>
  <c r="P217" i="1"/>
  <c r="P206" i="1"/>
  <c r="P216" i="1"/>
  <c r="P195" i="1"/>
  <c r="P209" i="1"/>
  <c r="P219" i="1"/>
  <c r="P201" i="1"/>
  <c r="P227" i="1"/>
  <c r="P197" i="1"/>
  <c r="P211" i="1"/>
  <c r="P207" i="1"/>
  <c r="P203" i="1"/>
  <c r="P215" i="1"/>
  <c r="P208" i="1"/>
  <c r="P205" i="1"/>
  <c r="P202" i="1"/>
  <c r="P213" i="1"/>
  <c r="P200" i="1"/>
  <c r="P199" i="1"/>
  <c r="P198" i="1"/>
  <c r="P187" i="1"/>
  <c r="P196" i="1"/>
  <c r="P193" i="1"/>
  <c r="P194" i="1"/>
  <c r="P191" i="1"/>
  <c r="P192" i="1"/>
  <c r="P174" i="1"/>
  <c r="P190" i="1"/>
  <c r="P189" i="1"/>
  <c r="P188" i="1"/>
  <c r="P182" i="1"/>
  <c r="P172" i="1"/>
  <c r="P185" i="1"/>
  <c r="P170" i="1"/>
  <c r="P183" i="1"/>
  <c r="P178" i="1"/>
  <c r="P186" i="1"/>
  <c r="P180" i="1"/>
  <c r="P179" i="1"/>
  <c r="P212" i="1"/>
  <c r="P177" i="1"/>
  <c r="P184" i="1"/>
  <c r="P134" i="1"/>
  <c r="P171" i="1"/>
  <c r="P144" i="1"/>
  <c r="P138" i="1"/>
  <c r="P155" i="1"/>
  <c r="P132" i="1"/>
  <c r="P143" i="1"/>
  <c r="P140" i="1"/>
  <c r="P141" i="1"/>
  <c r="P181" i="1"/>
  <c r="P149" i="1"/>
  <c r="P139" i="1"/>
  <c r="P142" i="1"/>
  <c r="P136" i="1"/>
  <c r="P131" i="1"/>
  <c r="P137" i="1"/>
  <c r="P133" i="1"/>
  <c r="P125" i="1"/>
  <c r="P122" i="1"/>
  <c r="P135" i="1"/>
  <c r="P129" i="1"/>
  <c r="P126" i="1"/>
  <c r="P98" i="1"/>
  <c r="P102" i="1"/>
  <c r="P123" i="1"/>
  <c r="P124" i="1"/>
  <c r="P118" i="1"/>
  <c r="P130" i="1"/>
  <c r="P116" i="1"/>
  <c r="P119" i="1"/>
  <c r="P113" i="1"/>
  <c r="P115" i="1"/>
  <c r="P106" i="1"/>
  <c r="P105" i="1"/>
  <c r="P104" i="1"/>
  <c r="P107" i="1"/>
  <c r="P101" i="1"/>
  <c r="P100" i="1"/>
  <c r="P99" i="1"/>
  <c r="P93" i="1"/>
  <c r="P97" i="1"/>
  <c r="P96" i="1"/>
  <c r="P25" i="1"/>
  <c r="P94" i="1"/>
  <c r="P334" i="1"/>
  <c r="P92" i="1"/>
  <c r="P91" i="1"/>
  <c r="P90" i="1"/>
  <c r="P75" i="1"/>
  <c r="P88" i="1"/>
  <c r="P89" i="1"/>
  <c r="P74" i="1"/>
  <c r="P73" i="1"/>
  <c r="P50" i="1"/>
  <c r="P71" i="1"/>
  <c r="P70" i="1"/>
  <c r="P52" i="1"/>
  <c r="P72" i="1"/>
  <c r="P45" i="1"/>
  <c r="P44" i="1"/>
  <c r="P35" i="1"/>
  <c r="P36" i="1"/>
  <c r="P40" i="1"/>
  <c r="P34" i="1"/>
  <c r="P33" i="1"/>
  <c r="P32" i="1"/>
  <c r="P31" i="1"/>
  <c r="P30" i="1"/>
  <c r="P29" i="1"/>
  <c r="P28" i="1"/>
  <c r="P95" i="1"/>
  <c r="P26" i="1"/>
  <c r="P16" i="1"/>
  <c r="P24" i="1"/>
  <c r="P23" i="1"/>
  <c r="P22" i="1"/>
  <c r="P21" i="1"/>
  <c r="P20" i="1"/>
  <c r="P19" i="1"/>
  <c r="P18" i="1"/>
  <c r="P17" i="1"/>
  <c r="P27" i="1"/>
  <c r="P15" i="1"/>
  <c r="P14" i="1"/>
  <c r="P13" i="1"/>
  <c r="P12" i="1"/>
  <c r="P11" i="1"/>
  <c r="P10" i="1"/>
  <c r="P305" i="1"/>
  <c r="P8" i="1"/>
  <c r="P7" i="1"/>
  <c r="P6" i="1"/>
  <c r="P5" i="1"/>
  <c r="P4" i="1"/>
  <c r="P3" i="1"/>
  <c r="P4" i="3"/>
  <c r="P87" i="3"/>
  <c r="P104" i="3"/>
  <c r="P199" i="3"/>
  <c r="P140" i="3"/>
  <c r="P305" i="3"/>
  <c r="P131" i="3"/>
  <c r="P358" i="3"/>
  <c r="P421" i="3"/>
  <c r="P230" i="3"/>
  <c r="P304" i="3"/>
  <c r="P308" i="3"/>
  <c r="P302" i="3"/>
  <c r="P92" i="3"/>
  <c r="P422" i="3"/>
  <c r="P307" i="3"/>
  <c r="P414" i="3"/>
  <c r="P66" i="3"/>
  <c r="P111" i="3"/>
  <c r="P197" i="3"/>
  <c r="P423" i="3"/>
  <c r="P313" i="3"/>
  <c r="P269" i="3"/>
  <c r="P413" i="3"/>
  <c r="P81" i="3"/>
  <c r="P204" i="3"/>
  <c r="P91" i="3"/>
  <c r="P163" i="3"/>
  <c r="P238" i="3"/>
  <c r="P268" i="3"/>
  <c r="P90" i="3"/>
  <c r="P169" i="3"/>
  <c r="P165" i="3"/>
  <c r="P311" i="3"/>
  <c r="P246" i="3"/>
  <c r="P314" i="3"/>
  <c r="P78" i="3"/>
  <c r="P216" i="3"/>
  <c r="P418" i="3"/>
  <c r="P410" i="3"/>
  <c r="P224" i="3"/>
  <c r="P417" i="3"/>
  <c r="P59" i="3"/>
  <c r="P112" i="3"/>
  <c r="P156" i="3"/>
  <c r="P352" i="3"/>
  <c r="P236" i="3"/>
  <c r="P179" i="3"/>
  <c r="P69" i="3"/>
  <c r="P63" i="3"/>
  <c r="P312" i="3"/>
  <c r="P206" i="3"/>
  <c r="P419" i="3"/>
  <c r="P65" i="3"/>
  <c r="P52" i="3"/>
  <c r="P147" i="3"/>
  <c r="P239" i="3"/>
  <c r="P132" i="3"/>
  <c r="P324" i="3"/>
  <c r="P334" i="3"/>
  <c r="P310" i="3"/>
  <c r="P384" i="3"/>
  <c r="P309" i="3"/>
  <c r="P385" i="3"/>
  <c r="P374" i="3"/>
  <c r="P198" i="3"/>
  <c r="P55" i="3"/>
  <c r="P134" i="3"/>
  <c r="P295" i="3"/>
  <c r="P359" i="3"/>
  <c r="P263" i="3"/>
  <c r="P299" i="3"/>
  <c r="P415" i="3"/>
  <c r="P219" i="3"/>
  <c r="P113" i="3"/>
  <c r="P202" i="3"/>
  <c r="P110" i="3"/>
  <c r="P271" i="3"/>
  <c r="P84" i="3"/>
  <c r="P298" i="3"/>
  <c r="P396" i="3"/>
  <c r="P370" i="3"/>
  <c r="P306" i="3"/>
  <c r="P208" i="3"/>
  <c r="P369" i="3"/>
  <c r="P105" i="3"/>
  <c r="P232" i="3"/>
  <c r="P231" i="3"/>
  <c r="P157" i="3"/>
  <c r="P285" i="3"/>
  <c r="P259" i="3"/>
  <c r="P426" i="3"/>
  <c r="P36" i="3"/>
  <c r="P277" i="3"/>
  <c r="P351" i="3"/>
  <c r="P273" i="3"/>
  <c r="P135" i="3"/>
  <c r="P77" i="3"/>
  <c r="P136" i="3"/>
  <c r="P420" i="3"/>
  <c r="P249" i="3"/>
  <c r="P60" i="3"/>
  <c r="P300" i="3"/>
  <c r="P154" i="3"/>
  <c r="P350" i="3"/>
  <c r="P265" i="3"/>
  <c r="P296" i="3"/>
  <c r="P303" i="3"/>
  <c r="P376" i="3"/>
  <c r="P62" i="3"/>
  <c r="P256" i="3"/>
  <c r="P353" i="3"/>
  <c r="P85" i="3"/>
  <c r="P139" i="3"/>
  <c r="P115" i="3"/>
  <c r="P275" i="3"/>
  <c r="P416" i="3"/>
  <c r="P143" i="3"/>
  <c r="P355" i="3"/>
  <c r="P61" i="3"/>
  <c r="P120" i="3"/>
  <c r="P109" i="3"/>
  <c r="P89" i="3"/>
  <c r="P251" i="3"/>
  <c r="P293" i="3"/>
  <c r="P237" i="3"/>
  <c r="P325" i="3"/>
  <c r="P381" i="3"/>
  <c r="P395" i="3"/>
  <c r="P155" i="3"/>
  <c r="P394" i="3"/>
  <c r="P297" i="3"/>
  <c r="P88" i="3"/>
  <c r="P234" i="3"/>
  <c r="P160" i="3"/>
  <c r="P5" i="3"/>
  <c r="P405" i="3"/>
  <c r="P361" i="3"/>
  <c r="P64" i="3"/>
  <c r="P274" i="3"/>
  <c r="P250" i="3"/>
  <c r="P57" i="3"/>
  <c r="P128" i="3"/>
  <c r="P267" i="3"/>
  <c r="P195" i="3"/>
  <c r="P94" i="3"/>
  <c r="P341" i="3"/>
  <c r="P35" i="3"/>
  <c r="P201" i="3"/>
  <c r="P412" i="3"/>
  <c r="P68" i="3"/>
  <c r="P212" i="3"/>
  <c r="P371" i="3"/>
  <c r="P121" i="3"/>
  <c r="P174" i="3"/>
  <c r="P159" i="3"/>
  <c r="P264" i="3"/>
  <c r="P58" i="3"/>
  <c r="P34" i="3"/>
  <c r="P336" i="3"/>
  <c r="P294" i="3"/>
  <c r="P301" i="3"/>
  <c r="P23" i="3"/>
  <c r="P225" i="3"/>
  <c r="P357" i="3"/>
  <c r="P220" i="3"/>
  <c r="P354" i="3"/>
  <c r="P127" i="3"/>
  <c r="P223" i="3"/>
  <c r="P401" i="3"/>
  <c r="P222" i="3"/>
  <c r="P146" i="3"/>
  <c r="P148" i="3"/>
  <c r="P213" i="3"/>
  <c r="P122" i="3"/>
  <c r="P425" i="3"/>
  <c r="P73" i="3"/>
  <c r="P86" i="3"/>
  <c r="P106" i="3"/>
  <c r="P398" i="3"/>
  <c r="P151" i="3"/>
  <c r="P318" i="3"/>
  <c r="P70" i="3"/>
  <c r="P205" i="3"/>
  <c r="P80" i="3"/>
  <c r="P54" i="3"/>
  <c r="P393" i="3"/>
  <c r="P178" i="3"/>
  <c r="P200" i="3"/>
  <c r="P48" i="3"/>
  <c r="P170" i="3"/>
  <c r="P152" i="3"/>
  <c r="P6" i="3"/>
  <c r="P83" i="3"/>
  <c r="P335" i="3"/>
  <c r="P402" i="3"/>
  <c r="P386" i="3"/>
  <c r="P116" i="3"/>
  <c r="P366" i="3"/>
  <c r="P276" i="3"/>
  <c r="P153" i="3"/>
  <c r="P141" i="3"/>
  <c r="P49" i="3"/>
  <c r="P221" i="3"/>
  <c r="P167" i="3"/>
  <c r="P108" i="3"/>
  <c r="P287" i="3"/>
  <c r="P243" i="3"/>
  <c r="P368" i="3"/>
  <c r="P74" i="3"/>
  <c r="P262" i="3"/>
  <c r="P261" i="3"/>
  <c r="P242" i="3"/>
  <c r="P40" i="3"/>
  <c r="P67" i="3"/>
  <c r="P360" i="3"/>
  <c r="P397" i="3"/>
  <c r="P406" i="3"/>
  <c r="P32" i="3"/>
  <c r="P257" i="3"/>
  <c r="P235" i="3"/>
  <c r="P117" i="3"/>
  <c r="P319" i="3"/>
  <c r="P326" i="3"/>
  <c r="P44" i="3"/>
  <c r="P365" i="3"/>
  <c r="P82" i="3"/>
  <c r="P383" i="3"/>
  <c r="P168" i="3"/>
  <c r="P186" i="3"/>
  <c r="P27" i="3"/>
  <c r="P42" i="3"/>
  <c r="P31" i="3"/>
  <c r="P279" i="3"/>
  <c r="P129" i="3"/>
  <c r="P133" i="3"/>
  <c r="P348" i="3"/>
  <c r="P390" i="3"/>
  <c r="P349" i="3"/>
  <c r="P164" i="3"/>
  <c r="P409" i="3"/>
  <c r="P79" i="3"/>
  <c r="P364" i="3"/>
  <c r="P182" i="3"/>
  <c r="P194" i="3"/>
  <c r="P203" i="3"/>
  <c r="P130" i="3"/>
  <c r="P254" i="3"/>
  <c r="P278" i="3"/>
  <c r="P183" i="3"/>
  <c r="P162" i="3"/>
  <c r="P189" i="3"/>
  <c r="P26" i="3"/>
  <c r="P207" i="3"/>
  <c r="P229" i="3"/>
  <c r="P103" i="3"/>
  <c r="P19" i="3"/>
  <c r="P47" i="3"/>
  <c r="P118" i="3"/>
  <c r="P388" i="3"/>
  <c r="P22" i="3"/>
  <c r="P244" i="3"/>
  <c r="P356" i="3"/>
  <c r="P166" i="3"/>
  <c r="P255" i="3"/>
  <c r="P391" i="3"/>
  <c r="P337" i="3"/>
  <c r="P399" i="3"/>
  <c r="P291" i="3"/>
  <c r="P9" i="3"/>
  <c r="P404" i="3"/>
  <c r="P93" i="3"/>
  <c r="P367" i="3"/>
  <c r="P7" i="3"/>
  <c r="P196" i="3"/>
  <c r="P380" i="3"/>
  <c r="P233" i="3"/>
  <c r="P177" i="3"/>
  <c r="P378" i="3"/>
  <c r="P247" i="3"/>
  <c r="P281" i="3"/>
  <c r="P171" i="3"/>
  <c r="P377" i="3"/>
  <c r="P187" i="3"/>
  <c r="P373" i="3"/>
  <c r="P282" i="3"/>
  <c r="P192" i="3"/>
  <c r="P283" i="3"/>
  <c r="P190" i="3"/>
  <c r="P253" i="3"/>
  <c r="P252" i="3"/>
  <c r="P50" i="3"/>
  <c r="P176" i="3"/>
  <c r="P270" i="3"/>
  <c r="P372" i="3"/>
  <c r="P119" i="3"/>
  <c r="P144" i="3"/>
  <c r="P316" i="3"/>
  <c r="P43" i="3"/>
  <c r="P382" i="3"/>
  <c r="P56" i="3"/>
  <c r="P211" i="3"/>
  <c r="P379" i="3"/>
  <c r="P408" i="3"/>
  <c r="P342" i="3"/>
  <c r="P290" i="3"/>
  <c r="P321" i="3"/>
  <c r="P24" i="3"/>
  <c r="P126" i="3"/>
  <c r="P149" i="3"/>
  <c r="P258" i="3"/>
  <c r="P227" i="3"/>
  <c r="P340" i="3"/>
  <c r="P389" i="3"/>
  <c r="P38" i="3"/>
  <c r="P13" i="3"/>
  <c r="P387" i="3"/>
  <c r="P12" i="3"/>
  <c r="P175" i="3"/>
  <c r="P400" i="3"/>
  <c r="P29" i="3"/>
  <c r="P327" i="3"/>
  <c r="P363" i="3"/>
  <c r="P10" i="3"/>
  <c r="P214" i="3"/>
  <c r="P102" i="3"/>
  <c r="P266" i="3"/>
  <c r="P53" i="3"/>
  <c r="P76" i="3"/>
  <c r="P173" i="3"/>
  <c r="P228" i="3"/>
  <c r="P185" i="3"/>
  <c r="P411" i="3"/>
  <c r="P191" i="3"/>
  <c r="P362" i="3"/>
  <c r="P161" i="3"/>
  <c r="P138" i="3"/>
  <c r="P328" i="3"/>
  <c r="P209" i="3"/>
  <c r="P346" i="3"/>
  <c r="P323" i="3"/>
  <c r="P14" i="3"/>
  <c r="P150" i="3"/>
  <c r="P280" i="3"/>
  <c r="P347" i="3"/>
  <c r="P15" i="3"/>
  <c r="P21" i="3"/>
  <c r="P51" i="3"/>
  <c r="P145" i="3"/>
  <c r="P20" i="3"/>
  <c r="P403" i="3"/>
  <c r="P392" i="3"/>
  <c r="P137" i="3"/>
  <c r="P8" i="3"/>
  <c r="P72" i="3"/>
  <c r="P17" i="3"/>
  <c r="P241" i="3"/>
  <c r="P181" i="3"/>
  <c r="P25" i="3"/>
  <c r="P339" i="3"/>
  <c r="P320" i="3"/>
  <c r="P124" i="3"/>
  <c r="P114" i="3"/>
  <c r="P125" i="3"/>
  <c r="P96" i="3"/>
  <c r="P193" i="3"/>
  <c r="P315" i="3"/>
  <c r="P99" i="3"/>
  <c r="P18" i="3"/>
  <c r="P215" i="3"/>
  <c r="P39" i="3"/>
  <c r="P71" i="3"/>
  <c r="P37" i="3"/>
  <c r="P375" i="3"/>
  <c r="P218" i="3"/>
  <c r="P172" i="3"/>
  <c r="P46" i="3"/>
  <c r="P11" i="3"/>
  <c r="P260" i="3"/>
  <c r="P41" i="3"/>
  <c r="P284" i="3"/>
  <c r="P33" i="3"/>
  <c r="P407" i="3"/>
  <c r="P97" i="3"/>
  <c r="P28" i="3"/>
  <c r="P286" i="3"/>
  <c r="P158" i="3"/>
  <c r="P333" i="3"/>
  <c r="P331" i="3"/>
  <c r="P240" i="3"/>
  <c r="P45" i="3"/>
  <c r="P424" i="3"/>
  <c r="P226" i="3"/>
  <c r="P217" i="3"/>
  <c r="P317" i="3"/>
  <c r="P292" i="3"/>
  <c r="P343" i="3"/>
  <c r="P345" i="3"/>
  <c r="P101" i="3"/>
  <c r="P344" i="3"/>
  <c r="P75" i="3"/>
  <c r="P338" i="3"/>
  <c r="P288" i="3"/>
  <c r="P245" i="3"/>
  <c r="P248" i="3"/>
  <c r="P210" i="3"/>
  <c r="P322" i="3"/>
  <c r="P30" i="3"/>
  <c r="P272" i="3"/>
  <c r="P100" i="3"/>
  <c r="P188" i="3"/>
  <c r="P289" i="3"/>
  <c r="P16" i="3"/>
  <c r="P123" i="3"/>
  <c r="P98" i="3"/>
  <c r="P142" i="3"/>
  <c r="P107" i="3"/>
  <c r="P95" i="3"/>
  <c r="P184" i="3"/>
  <c r="P330" i="3"/>
  <c r="P180" i="3"/>
  <c r="P329" i="3"/>
  <c r="P332" i="3"/>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357" i="1" l="1"/>
  <c r="Q418" i="1"/>
  <c r="Q417" i="1"/>
  <c r="Q419" i="1"/>
  <c r="Q420" i="1"/>
  <c r="Q423" i="1"/>
  <c r="Q80" i="1"/>
  <c r="Q77" i="1"/>
  <c r="Q68" i="1"/>
  <c r="Q390" i="1"/>
  <c r="Q376" i="1"/>
  <c r="Q361" i="1"/>
  <c r="Q359" i="1"/>
  <c r="Q336" i="1"/>
  <c r="Q415" i="1"/>
  <c r="Q384" i="1"/>
  <c r="Q112" i="1"/>
  <c r="Q343" i="1"/>
  <c r="Q366" i="1"/>
  <c r="Q398" i="1"/>
  <c r="Q109" i="1"/>
  <c r="Q422" i="1"/>
  <c r="Q64" i="1"/>
  <c r="Q284" i="1"/>
  <c r="Q401" i="1"/>
  <c r="Q392" i="1"/>
  <c r="Q298" i="1"/>
  <c r="Q302" i="1"/>
  <c r="Q86" i="1"/>
  <c r="Q413" i="1"/>
  <c r="Q407" i="1"/>
  <c r="Q378" i="1"/>
  <c r="Q62" i="1"/>
  <c r="Q387" i="1"/>
  <c r="Q332" i="1"/>
  <c r="Q263" i="1"/>
  <c r="Q76" i="1"/>
  <c r="Q61" i="1"/>
  <c r="Q405" i="1"/>
  <c r="Q396" i="1"/>
  <c r="Q375" i="1"/>
  <c r="Q368" i="1"/>
  <c r="Q353" i="1"/>
  <c r="Q352" i="1"/>
  <c r="Q403" i="1"/>
  <c r="Q381" i="1"/>
  <c r="Q248" i="1"/>
  <c r="Q65" i="1"/>
  <c r="Q394" i="1"/>
  <c r="Q372" i="1"/>
  <c r="Q110" i="1"/>
  <c r="Q58" i="1"/>
  <c r="Q54" i="1"/>
  <c r="Q364" i="1"/>
  <c r="Q412" i="1"/>
  <c r="Q168" i="1"/>
  <c r="Q146" i="1"/>
  <c r="Q297" i="1"/>
  <c r="Q153" i="1"/>
  <c r="Q411" i="1"/>
  <c r="Q395" i="1"/>
  <c r="Q294" i="1"/>
  <c r="Q362" i="1"/>
  <c r="Q410" i="1"/>
  <c r="Q399" i="1"/>
  <c r="Q388" i="1"/>
  <c r="Q358" i="1"/>
  <c r="Q370" i="1"/>
  <c r="Q408" i="1"/>
  <c r="Q400" i="1"/>
  <c r="Q391" i="1"/>
  <c r="Q382" i="1"/>
  <c r="Q363" i="1"/>
  <c r="Q397" i="1"/>
  <c r="Q386" i="1"/>
  <c r="Q272" i="1"/>
  <c r="Q103" i="1"/>
  <c r="Q425" i="1"/>
  <c r="Q416" i="1"/>
  <c r="Q162" i="1"/>
  <c r="Q409" i="1"/>
  <c r="Q385" i="1"/>
  <c r="Q379" i="1"/>
  <c r="Q373" i="1"/>
  <c r="Q365" i="1"/>
  <c r="Q414" i="1"/>
  <c r="Q389" i="1"/>
  <c r="Q156" i="1"/>
  <c r="Q404" i="1"/>
  <c r="Q383" i="1"/>
  <c r="Q59" i="1"/>
  <c r="Q421" i="1"/>
  <c r="Q51" i="1"/>
  <c r="Q83" i="1"/>
  <c r="Q299" i="1"/>
  <c r="Q111" i="1"/>
  <c r="Q377" i="1"/>
  <c r="Q369" i="1"/>
  <c r="Q164" i="1"/>
  <c r="Q393" i="1"/>
  <c r="Q350" i="1"/>
  <c r="Q346" i="1"/>
  <c r="Q351" i="1"/>
  <c r="Q371" i="1"/>
  <c r="Q276" i="1"/>
  <c r="Q402" i="1"/>
  <c r="Q349" i="1"/>
  <c r="Q295" i="1"/>
  <c r="Q406" i="1"/>
  <c r="Q374" i="1"/>
  <c r="Q4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tc={0A54C6F5-C61C-4622-AAA5-FB0A4BA067FE}</author>
    <author>tc={0CAB57BB-6C42-408F-861B-91674569C8DE}</author>
    <author>tc={40EDEB94-5454-4890-9539-6BF60730F190}</author>
    <author>tc={D3F0BE13-3A7C-4314-A23E-56E1AAB5F099}</author>
    <author>tc={84D79E34-C62A-4B6E-8649-0EFAF3AB0081}</author>
    <author>tc={C8E4238F-9D53-451B-A6F9-EBEFEE6D893D}</author>
    <author>tc={6BA68F9E-D41D-4EBF-8743-D8AB91436A18}</author>
    <author>tc={A9DEEDFB-7E04-4A0C-B76E-924096BD1E5B}</author>
    <author>tc={50BD2144-85D6-4B84-BCEC-1C14EA5EAB6E}</author>
    <author>tc={3B8A34F7-853F-47F8-95D9-B73EB599D46A}</author>
    <author>tc={D8E64420-3A89-4074-9804-F803D5E33CC6}</author>
    <author>tc={7E8D9318-CC30-42F9-ABA0-7338468729D1}</author>
    <author>tc={F8AB146C-5D63-4137-821B-452D616CE94D}</author>
    <author>tc={C7A09637-902C-48E7-AA40-E2E06759FA11}</author>
    <author>tc={313C0B9C-586A-4CAA-BCFC-BECAB932161C}</author>
    <author>tc={19FC3578-1C82-4A20-B1CA-5AAAABF6AC21}</author>
    <author>tc={A55A4347-A62E-44D0-9A5C-F76A82D89B81}</author>
    <author>tc={5C70AE99-5D33-4CEC-964D-B447C093AF83}</author>
    <author>tc={EA683B10-60E9-4C63-82E8-D8E4749C3D82}</author>
  </authors>
  <commentList>
    <comment ref="B19" authorId="0" shapeId="0" xr:uid="{0A54C6F5-C61C-4622-AAA5-FB0A4BA067FE}">
      <text>
        <t>[Threaded comment]
Your version of Excel allows you to read this threaded comment; however, any edits to it will get removed if the file is opened in a newer version of Excel. Learn more: https://go.microsoft.com/fwlink/?linkid=870924
Comment:
    Ronak's comment: Seems like solar panels - can exclude it
Reply:
    Vinay says kep it</t>
      </text>
    </comment>
    <comment ref="B21" authorId="1" shapeId="0" xr:uid="{0CAB57BB-6C42-408F-861B-91674569C8DE}">
      <text>
        <t>[Threaded comment]
Your version of Excel allows you to read this threaded comment; however, any edits to it will get removed if the file is opened in a newer version of Excel. Learn more: https://go.microsoft.com/fwlink/?linkid=870924
Comment:
    DGCIS classification is consumer electronics, but this code is included in the priority sector of ICEA mobile phone codes. Comtrade and Tradestat have different definitions for this code</t>
      </text>
    </comment>
    <comment ref="B31" authorId="2" shapeId="0" xr:uid="{40EDEB94-5454-4890-9539-6BF60730F190}">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32" authorId="3" shapeId="0" xr:uid="{D3F0BE13-3A7C-4314-A23E-56E1AAB5F099}">
      <text>
        <t>[Threaded comment]
Your version of Excel allows you to read this threaded comment; however, any edits to it will get removed if the file is opened in a newer version of Excel. Learn more: https://go.microsoft.com/fwlink/?linkid=870924
Comment:
    Comtrade and tradestat define this as television camera, and DGCIS has classified it as consumer electronics. However, ICEA has included it in priority sector for mobile phones</t>
      </text>
    </comment>
    <comment ref="B38" authorId="4" shapeId="0" xr:uid="{84D79E34-C62A-4B6E-8649-0EFAF3AB0081}">
      <text>
        <t xml:space="preserve">[Threaded comment]
Your version of Excel allows you to read this threaded comment; however, any edits to it will get removed if the file is opened in a newer version of Excel. Learn more: https://go.microsoft.com/fwlink/?linkid=870924
Comment:
    Ronak's comments: Maybe we remove all commercial stuff </t>
      </text>
    </comment>
    <comment ref="B75" authorId="5" shapeId="0" xr:uid="{C8E4238F-9D53-451B-A6F9-EBEFEE6D893D}">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130" authorId="6" shapeId="0" xr:uid="{6BA68F9E-D41D-4EBF-8743-D8AB91436A18}">
      <text>
        <t>[Threaded comment]
Your version of Excel allows you to read this threaded comment; however, any edits to it will get removed if the file is opened in a newer version of Excel. Learn more: https://go.microsoft.com/fwlink/?linkid=870924
Comment:
    While this is used in mobiles, it can be used for other consumer electronics also, so should it be tagged in consumer durables instead?</t>
      </text>
    </comment>
    <comment ref="B137" authorId="7" shapeId="0" xr:uid="{A9DEEDFB-7E04-4A0C-B76E-924096BD1E5B}">
      <text>
        <t>[Threaded comment]
Your version of Excel allows you to read this threaded comment; however, any edits to it will get removed if the file is opened in a newer version of Excel. Learn more: https://go.microsoft.com/fwlink/?linkid=870924
Comment:
    Ronak's comment: Review tagging</t>
      </text>
    </comment>
    <comment ref="B149" authorId="8" shapeId="0" xr:uid="{50BD2144-85D6-4B84-BCEC-1C14EA5EAB6E}">
      <text>
        <t>[Threaded comment]
Your version of Excel allows you to read this threaded comment; however, any edits to it will get removed if the file is opened in a newer version of Excel. Learn more: https://go.microsoft.com/fwlink/?linkid=870924
Comment:
    While this is used in mobiles, it can be used for other consumer electronics also, so should it be tagged in consumer durables instead?</t>
      </text>
    </comment>
    <comment ref="B157" authorId="9" shapeId="0" xr:uid="{3B8A34F7-853F-47F8-95D9-B73EB599D46A}">
      <text>
        <t>[Threaded comment]
Your version of Excel allows you to read this threaded comment; however, any edits to it will get removed if the file is opened in a newer version of Excel. Learn more: https://go.microsoft.com/fwlink/?linkid=870924
Comment:
    Ronak's comment: Can be removed from here and included in auto comp</t>
      </text>
    </comment>
    <comment ref="B160" authorId="10" shapeId="0" xr:uid="{D8E64420-3A89-4074-9804-F803D5E33CC6}">
      <text>
        <t>[Threaded comment]
Your version of Excel allows you to read this threaded comment; however, any edits to it will get removed if the file is opened in a newer version of Excel. Learn more: https://go.microsoft.com/fwlink/?linkid=870924
Comment:
    Can be added in auto comp, should it be included in electronics?</t>
      </text>
    </comment>
    <comment ref="B182" authorId="11" shapeId="0" xr:uid="{7E8D9318-CC30-42F9-ABA0-7338468729D1}">
      <text>
        <t>[Threaded comment]
Your version of Excel allows you to read this threaded comment; however, any edits to it will get removed if the file is opened in a newer version of Excel. Learn more: https://go.microsoft.com/fwlink/?linkid=870924
Comment:
    Should this be added in consumer durables?</t>
      </text>
    </comment>
    <comment ref="B184" authorId="12" shapeId="0" xr:uid="{F8AB146C-5D63-4137-821B-452D616CE94D}">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09" authorId="13" shapeId="0" xr:uid="{C7A09637-902C-48E7-AA40-E2E06759FA11}">
      <text>
        <t>[Threaded comment]
Your version of Excel allows you to read this threaded comment; however, any edits to it will get removed if the file is opened in a newer version of Excel. Learn more: https://go.microsoft.com/fwlink/?linkid=870924
Comment:
    DGCIS classification is consumer electronics, but this code is included in the priority sector of ICEA mobile phone codes. Comtrade and Tradestat have different definitions for this code</t>
      </text>
    </comment>
    <comment ref="B234" authorId="14" shapeId="0" xr:uid="{313C0B9C-586A-4CAA-BCFC-BECAB932161C}">
      <text>
        <t>[Threaded comment]
Your version of Excel allows you to read this threaded comment; however, any edits to it will get removed if the file is opened in a newer version of Excel. Learn more: https://go.microsoft.com/fwlink/?linkid=870924
Comment:
    Should we have a separate category for batteries like DGCIS where we also include the codes tagged to mobile and telephone?</t>
      </text>
    </comment>
    <comment ref="B332" authorId="15" shapeId="0" xr:uid="{19FC3578-1C82-4A20-B1CA-5AAAABF6AC21}">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334" authorId="16" shapeId="0" xr:uid="{A55A4347-A62E-44D0-9A5C-F76A82D89B81}">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342" authorId="17" shapeId="0" xr:uid="{5C70AE99-5D33-4CEC-964D-B447C093AF83}">
      <text>
        <t>[Threaded comment]
Your version of Excel allows you to read this threaded comment; however, any edits to it will get removed if the file is opened in a newer version of Excel. Learn more: https://go.microsoft.com/fwlink/?linkid=870924
Comment:
    Ronak's comment: Can be removed from here and included in auto comp</t>
      </text>
    </comment>
    <comment ref="B378" authorId="18" shapeId="0" xr:uid="{EA683B10-60E9-4C63-82E8-D8E4749C3D82}">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tc={1871C147-689D-4ACB-BF8D-9AC3144D1729}</author>
    <author>tc={1341C5C1-5242-4C15-9D34-783DE85FCA9F}</author>
    <author>tc={EEA038FE-3868-4F6C-B454-27419D531214}</author>
    <author>tc={D24CDAD2-7006-4D76-9097-F6F8F242F825}</author>
    <author>tc={BCA56D83-30A9-45F6-96BA-30AA2DCB42EA}</author>
    <author>tc={65344D6B-D772-4417-BBFD-F153D4515DDE}</author>
    <author>tc={A395F19D-9763-4A00-A531-D1F23ECE8AA8}</author>
    <author>tc={772A43F0-0CBE-4003-9967-AD7ECFAD5313}</author>
    <author>tc={BA6E9E54-D3C5-42EF-8CCE-1BD146AD9DB8}</author>
    <author>tc={D1D996A1-0CB3-4588-B992-34F9BBEBE210}</author>
    <author>tc={885849CA-A1C3-4F17-9257-DF64B310C96D}</author>
    <author>tc={FC888E2F-58D1-46A2-9241-B430ED071FC3}</author>
    <author>tc={E13A01F0-9A4A-4E0A-A381-F7DBE8252ED0}</author>
    <author>tc={038D63A3-B262-4568-B31E-6380DA5547BD}</author>
    <author>tc={E29C8E3A-B030-4448-95E8-3C8F16E4C80D}</author>
    <author>tc={963AABB9-9FB3-444B-969C-9886F6CB0924}</author>
    <author>tc={BAE8FE0B-F03D-47FF-9528-D3B394F5D33D}</author>
    <author>tc={CABFE5A4-8F9B-4DD3-AB92-0C0D5DBA0E17}</author>
    <author>tc={46938F60-52ED-4792-A463-238BA1EBE77E}</author>
  </authors>
  <commentList>
    <comment ref="B39" authorId="0" shapeId="0" xr:uid="{1871C147-689D-4ACB-BF8D-9AC3144D1729}">
      <text>
        <t xml:space="preserve">[Threaded comment]
Your version of Excel allows you to read this threaded comment; however, any edits to it will get removed if the file is opened in a newer version of Excel. Learn more: https://go.microsoft.com/fwlink/?linkid=870924
Comment:
    Ronak's comments: Maybe we remove all commercial stuff </t>
      </text>
    </comment>
    <comment ref="B130" authorId="1" shapeId="0" xr:uid="{1341C5C1-5242-4C15-9D34-783DE85FCA9F}">
      <text>
        <t>[Threaded comment]
Your version of Excel allows you to read this threaded comment; however, any edits to it will get removed if the file is opened in a newer version of Excel. Learn more: https://go.microsoft.com/fwlink/?linkid=870924
Comment:
    Should we have a separate category for batteries like DGCIS where we also include the codes tagged to mobile and telephone?</t>
      </text>
    </comment>
    <comment ref="B137" authorId="2" shapeId="0" xr:uid="{EEA038FE-3868-4F6C-B454-27419D531214}">
      <text>
        <t>[Threaded comment]
Your version of Excel allows you to read this threaded comment; however, any edits to it will get removed if the file is opened in a newer version of Excel. Learn more: https://go.microsoft.com/fwlink/?linkid=870924
Comment:
    While this is used in mobiles, it can be used for other consumer electronics also, so should it be tagged in consumer durables instead?</t>
      </text>
    </comment>
    <comment ref="B138" authorId="3" shapeId="0" xr:uid="{D24CDAD2-7006-4D76-9097-F6F8F242F825}">
      <text>
        <t>[Threaded comment]
Your version of Excel allows you to read this threaded comment; however, any edits to it will get removed if the file is opened in a newer version of Excel. Learn more: https://go.microsoft.com/fwlink/?linkid=870924
Comment:
    While this is used in mobiles, it can be used for other consumer electronics also, so should it be tagged in consumer durables instead?</t>
      </text>
    </comment>
    <comment ref="B158" authorId="4" shapeId="0" xr:uid="{BCA56D83-30A9-45F6-96BA-30AA2DCB42EA}">
      <text>
        <t>[Threaded comment]
Your version of Excel allows you to read this threaded comment; however, any edits to it will get removed if the file is opened in a newer version of Excel. Learn more: https://go.microsoft.com/fwlink/?linkid=870924
Comment:
    Ronak's comment: Can be removed from here and included in auto comp</t>
      </text>
    </comment>
    <comment ref="B161" authorId="5" shapeId="0" xr:uid="{65344D6B-D772-4417-BBFD-F153D4515DDE}">
      <text>
        <t>[Threaded comment]
Your version of Excel allows you to read this threaded comment; however, any edits to it will get removed if the file is opened in a newer version of Excel. Learn more: https://go.microsoft.com/fwlink/?linkid=870924
Comment:
    Can be added in auto comp, should it be included in electronics?</t>
      </text>
    </comment>
    <comment ref="B214" authorId="6" shapeId="0" xr:uid="{A395F19D-9763-4A00-A531-D1F23ECE8AA8}">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15" authorId="7" shapeId="0" xr:uid="{772A43F0-0CBE-4003-9967-AD7ECFAD5313}">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16" authorId="8" shapeId="0" xr:uid="{BA6E9E54-D3C5-42EF-8CCE-1BD146AD9DB8}">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17" authorId="9" shapeId="0" xr:uid="{D1D996A1-0CB3-4588-B992-34F9BBEBE210}">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18" authorId="10" shapeId="0" xr:uid="{885849CA-A1C3-4F17-9257-DF64B310C96D}">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19" authorId="11" shapeId="0" xr:uid="{FC888E2F-58D1-46A2-9241-B430ED071FC3}">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226" authorId="12" shapeId="0" xr:uid="{E13A01F0-9A4A-4E0A-A381-F7DBE8252ED0}">
      <text>
        <t>[Threaded comment]
Your version of Excel allows you to read this threaded comment; however, any edits to it will get removed if the file is opened in a newer version of Excel. Learn more: https://go.microsoft.com/fwlink/?linkid=870924
Comment:
    Comtrade and tradestat define this as television camera, and DGCIS has classified it as consumer electronics. However, ICEA has included it in priority sector for mobile phones</t>
      </text>
    </comment>
    <comment ref="B227" authorId="13" shapeId="0" xr:uid="{038D63A3-B262-4568-B31E-6380DA5547BD}">
      <text>
        <t>[Threaded comment]
Your version of Excel allows you to read this threaded comment; however, any edits to it will get removed if the file is opened in a newer version of Excel. Learn more: https://go.microsoft.com/fwlink/?linkid=870924
Comment:
    Should this be added in consumer durables?</t>
      </text>
    </comment>
    <comment ref="B247" authorId="14" shapeId="0" xr:uid="{E29C8E3A-B030-4448-95E8-3C8F16E4C80D}">
      <text>
        <t>[Threaded comment]
Your version of Excel allows you to read this threaded comment; however, any edits to it will get removed if the file is opened in a newer version of Excel. Learn more: https://go.microsoft.com/fwlink/?linkid=870924
Comment:
    DGCIS classification is consumer electronics, but this code is included in the priority sector of ICEA mobile phone codes. Comtrade and Tradestat have different definitions for this code</t>
      </text>
    </comment>
    <comment ref="B248" authorId="15" shapeId="0" xr:uid="{963AABB9-9FB3-444B-969C-9886F6CB0924}">
      <text>
        <t>[Threaded comment]
Your version of Excel allows you to read this threaded comment; however, any edits to it will get removed if the file is opened in a newer version of Excel. Learn more: https://go.microsoft.com/fwlink/?linkid=870924
Comment:
    DGCIS classification is consumer electronics, but this code is included in the priority sector of ICEA mobile phone codes. Comtrade and Tradestat have different definitions for this code</t>
      </text>
    </comment>
    <comment ref="B322" authorId="16" shapeId="0" xr:uid="{BAE8FE0B-F03D-47FF-9528-D3B394F5D33D}">
      <text>
        <t>[Threaded comment]
Your version of Excel allows you to read this threaded comment; however, any edits to it will get removed if the file is opened in a newer version of Excel. Learn more: https://go.microsoft.com/fwlink/?linkid=870924
Comment:
    Ronak's comment: Seems like solar panels - can exclude it
Reply:
    Vinay says kep it</t>
      </text>
    </comment>
    <comment ref="B323" authorId="17" shapeId="0" xr:uid="{CABFE5A4-8F9B-4DD3-AB92-0C0D5DBA0E17}">
      <text>
        <t>[Threaded comment]
Your version of Excel allows you to read this threaded comment; however, any edits to it will get removed if the file is opened in a newer version of Excel. Learn more: https://go.microsoft.com/fwlink/?linkid=870924
Comment:
    Ronak's comment: Review tagging</t>
      </text>
    </comment>
    <comment ref="B343" authorId="18" shapeId="0" xr:uid="{46938F60-52ED-4792-A463-238BA1EBE77E}">
      <text>
        <t>[Threaded comment]
Your version of Excel allows you to read this threaded comment; however, any edits to it will get removed if the file is opened in a newer version of Excel. Learn more: https://go.microsoft.com/fwlink/?linkid=870924
Comment:
    Ronak's comment: Can be removed from here and included in auto comp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tc={90E0AF3B-C6DF-484A-897D-4B79D5A1FE5A}</author>
    <author>tc={28F265A2-E1CF-4DAA-86E6-03536288599A}</author>
    <author>tc={8CB601BF-13D4-4FAF-9398-828D8CC1794B}</author>
    <author>tc={8E3E66CE-7B94-4BF9-A617-49C92542F6D1}</author>
    <author>tc={8F964C8C-9451-42BE-9B0F-337CF5D2A54A}</author>
    <author>tc={73FC1845-CCD5-4A68-A12D-175B6ADE20A7}</author>
    <author>tc={2855142A-DF6A-47BC-8B85-E8F1CBB91B8E}</author>
    <author>tc={2CFB37F6-6793-4C52-A167-3A9C0B2A2556}</author>
    <author>tc={8C6FF1F7-17CA-4813-8AF0-ECD9F137789E}</author>
    <author>tc={20E7B88C-0F50-4CBB-8E4D-A5A241AEF195}</author>
    <author>tc={58114D85-DE37-4489-A2E2-55AC0865B19B}</author>
    <author>tc={1F848727-ED5D-44DB-B584-6F0D088501CF}</author>
    <author>tc={2EA134AB-3891-4CA3-BE64-9B5F9888DE5C}</author>
    <author>tc={D9A2301D-7073-46E4-AD41-345D02285953}</author>
    <author>tc={55C6AB45-E047-44EE-BCAD-8F93C2152A1B}</author>
    <author>tc={4A9F9D3D-CADD-426F-8BAB-F537D21FC966}</author>
    <author>tc={3DF4CE4F-2E5D-448A-A687-6CEE0FAB5F54}</author>
    <author>tc={80E83020-6BD2-4AB5-81C4-BE47BAAAB537}</author>
    <author>tc={71ED026B-FE52-45F5-9272-55DFD7B5BEE9}</author>
  </authors>
  <commentList>
    <comment ref="B19" authorId="0" shapeId="0" xr:uid="{90E0AF3B-C6DF-484A-897D-4B79D5A1FE5A}">
      <text>
        <t>[Threaded comment]
Your version of Excel allows you to read this threaded comment; however, any edits to it will get removed if the file is opened in a newer version of Excel. Learn more: https://go.microsoft.com/fwlink/?linkid=870924
Comment:
    Ronak's comment: Seems like solar panels - can exclude it
Reply:
    Vinay says kep it</t>
      </text>
    </comment>
    <comment ref="B21" authorId="1" shapeId="0" xr:uid="{28F265A2-E1CF-4DAA-86E6-03536288599A}">
      <text>
        <t>[Threaded comment]
Your version of Excel allows you to read this threaded comment; however, any edits to it will get removed if the file is opened in a newer version of Excel. Learn more: https://go.microsoft.com/fwlink/?linkid=870924
Comment:
    DGCIS classification is consumer electronics, but this code is included in the priority sector of ICEA mobile phone codes. Comtrade and Tradestat have different definitions for this code</t>
      </text>
    </comment>
    <comment ref="B29" authorId="2" shapeId="0" xr:uid="{8CB601BF-13D4-4FAF-9398-828D8CC1794B}">
      <text>
        <t>[Threaded comment]
Your version of Excel allows you to read this threaded comment; however, any edits to it will get removed if the file is opened in a newer version of Excel. Learn more: https://go.microsoft.com/fwlink/?linkid=870924
Comment:
    Ronak's comment: Can be removed from here and included in auto comp</t>
      </text>
    </comment>
    <comment ref="B32" authorId="3" shapeId="0" xr:uid="{8E3E66CE-7B94-4BF9-A617-49C92542F6D1}">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33" authorId="4" shapeId="0" xr:uid="{8F964C8C-9451-42BE-9B0F-337CF5D2A54A}">
      <text>
        <t>[Threaded comment]
Your version of Excel allows you to read this threaded comment; however, any edits to it will get removed if the file is opened in a newer version of Excel. Learn more: https://go.microsoft.com/fwlink/?linkid=870924
Comment:
    Comtrade and tradestat define this as television camera, and DGCIS has classified it as consumer electronics. However, ICEA has included it in priority sector for mobile phones</t>
      </text>
    </comment>
    <comment ref="B39" authorId="5" shapeId="0" xr:uid="{73FC1845-CCD5-4A68-A12D-175B6ADE20A7}">
      <text>
        <t>[Threaded comment]
Your version of Excel allows you to read this threaded comment; however, any edits to it will get removed if the file is opened in a newer version of Excel. Learn more: https://go.microsoft.com/fwlink/?linkid=870924
Comment:
    Ronak's comment: Can be removed from here and included in auto comp</t>
      </text>
    </comment>
    <comment ref="B51" authorId="6" shapeId="0" xr:uid="{2855142A-DF6A-47BC-8B85-E8F1CBB91B8E}">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55" authorId="7" shapeId="0" xr:uid="{2CFB37F6-6793-4C52-A167-3A9C0B2A2556}">
      <text>
        <t xml:space="preserve">[Threaded comment]
Your version of Excel allows you to read this threaded comment; however, any edits to it will get removed if the file is opened in a newer version of Excel. Learn more: https://go.microsoft.com/fwlink/?linkid=870924
Comment:
    Ronak's comments: Maybe we remove all commercial stuff </t>
      </text>
    </comment>
    <comment ref="B56" authorId="8" shapeId="0" xr:uid="{8C6FF1F7-17CA-4813-8AF0-ECD9F137789E}">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73" authorId="9" shapeId="0" xr:uid="{20E7B88C-0F50-4CBB-8E4D-A5A241AEF195}">
      <text>
        <t>[Threaded comment]
Your version of Excel allows you to read this threaded comment; however, any edits to it will get removed if the file is opened in a newer version of Excel. Learn more: https://go.microsoft.com/fwlink/?linkid=870924
Comment:
    While this is used in mobiles, it can be used for other consumer electronics also, so should it be tagged in consumer durables instead?</t>
      </text>
    </comment>
    <comment ref="B85" authorId="10" shapeId="0" xr:uid="{58114D85-DE37-4489-A2E2-55AC0865B19B}">
      <text>
        <t>[Threaded comment]
Your version of Excel allows you to read this threaded comment; however, any edits to it will get removed if the file is opened in a newer version of Excel. Learn more: https://go.microsoft.com/fwlink/?linkid=870924
Comment:
    Ronak's comment: Review tagging</t>
      </text>
    </comment>
    <comment ref="B90" authorId="11" shapeId="0" xr:uid="{1F848727-ED5D-44DB-B584-6F0D088501CF}">
      <text>
        <t>[Threaded comment]
Your version of Excel allows you to read this threaded comment; however, any edits to it will get removed if the file is opened in a newer version of Excel. Learn more: https://go.microsoft.com/fwlink/?linkid=870924
Comment:
    While this is used in mobiles, it can be used for other consumer electronics also, so should it be tagged in consumer durables instead?</t>
      </text>
    </comment>
    <comment ref="B91" authorId="12" shapeId="0" xr:uid="{2EA134AB-3891-4CA3-BE64-9B5F9888DE5C}">
      <text>
        <t>[Threaded comment]
Your version of Excel allows you to read this threaded comment; however, any edits to it will get removed if the file is opened in a newer version of Excel. Learn more: https://go.microsoft.com/fwlink/?linkid=870924
Comment:
    Can be added in auto comp, should it be included in electronics?</t>
      </text>
    </comment>
    <comment ref="B102" authorId="13" shapeId="0" xr:uid="{D9A2301D-7073-46E4-AD41-345D02285953}">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115" authorId="14" shapeId="0" xr:uid="{55C6AB45-E047-44EE-BCAD-8F93C2152A1B}">
      <text>
        <t>[Threaded comment]
Your version of Excel allows you to read this threaded comment; however, any edits to it will get removed if the file is opened in a newer version of Excel. Learn more: https://go.microsoft.com/fwlink/?linkid=870924
Comment:
    Should this be added in consumer durables?</t>
      </text>
    </comment>
    <comment ref="B147" authorId="15" shapeId="0" xr:uid="{4A9F9D3D-CADD-426F-8BAB-F537D21FC966}">
      <text>
        <t>[Threaded comment]
Your version of Excel allows you to read this threaded comment; however, any edits to it will get removed if the file is opened in a newer version of Excel. Learn more: https://go.microsoft.com/fwlink/?linkid=870924
Comment:
    DGCIS classification is consumer electronics, but this code is included in the priority sector of ICEA mobile phone codes. Comtrade and Tradestat have different definitions for this code</t>
      </text>
    </comment>
    <comment ref="B180" authorId="16" shapeId="0" xr:uid="{3DF4CE4F-2E5D-448A-A687-6CEE0FAB5F54}">
      <text>
        <t>[Threaded comment]
Your version of Excel allows you to read this threaded comment; however, any edits to it will get removed if the file is opened in a newer version of Excel. Learn more: https://go.microsoft.com/fwlink/?linkid=870924
Comment:
    Should we have a separate category for batteries like DGCIS where we also include the codes tagged to mobile and telephone?</t>
      </text>
    </comment>
    <comment ref="B353" authorId="17" shapeId="0" xr:uid="{80E83020-6BD2-4AB5-81C4-BE47BAAAB537}">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 ref="B389" authorId="18" shapeId="0" xr:uid="{71ED026B-FE52-45F5-9272-55DFD7B5BEE9}">
      <text>
        <t>[Threaded comment]
Your version of Excel allows you to read this threaded comment; however, any edits to it will get removed if the file is opened in a newer version of Excel. Learn more: https://go.microsoft.com/fwlink/?linkid=870924
Comment:
    Unsure about whether this should be in computer hardware or consumer durables</t>
      </text>
    </comment>
  </commentList>
</comments>
</file>

<file path=xl/sharedStrings.xml><?xml version="1.0" encoding="utf-8"?>
<sst xmlns="http://schemas.openxmlformats.org/spreadsheetml/2006/main" count="15470" uniqueCount="827">
  <si>
    <t>S.No</t>
  </si>
  <si>
    <t>HS Code</t>
  </si>
  <si>
    <t>Description</t>
  </si>
  <si>
    <t>Product</t>
  </si>
  <si>
    <t>Category</t>
  </si>
  <si>
    <t>DGCIS Segments</t>
  </si>
  <si>
    <t>Segment</t>
  </si>
  <si>
    <t>Comments</t>
  </si>
  <si>
    <t>Final FED Sector Definition</t>
  </si>
  <si>
    <t>Included in old FED Analysis</t>
  </si>
  <si>
    <t>Included in Telangana Study</t>
  </si>
  <si>
    <t>Included in ICEA</t>
  </si>
  <si>
    <t>Included in DGCIS</t>
  </si>
  <si>
    <t>Included in ICRIER Report</t>
  </si>
  <si>
    <t>World Exports 2023
(USD Bn)</t>
  </si>
  <si>
    <t>Share of world trade</t>
  </si>
  <si>
    <t>Electronic integrated circuits; n.e.c. in heading no. 8542</t>
  </si>
  <si>
    <t>Electronic integrated circuits</t>
  </si>
  <si>
    <t>Semiconductor</t>
  </si>
  <si>
    <t>Electronics components</t>
  </si>
  <si>
    <t>Components</t>
  </si>
  <si>
    <t>Yes</t>
  </si>
  <si>
    <t>Electronic integrated circuits; processors and controllers, whether or not combined with memories, converters, logic circuits, amplifiers, clock and timing circuits, or other circuits</t>
  </si>
  <si>
    <t>Monolithic integrated circuits - Digital</t>
  </si>
  <si>
    <t>Telephone sets; smartphones for cellular or other wireless networks</t>
  </si>
  <si>
    <t>Smart Phone</t>
  </si>
  <si>
    <t xml:space="preserve">Mobile &amp; Telephone </t>
  </si>
  <si>
    <t>Telecom instruments</t>
  </si>
  <si>
    <t>Final Goods</t>
  </si>
  <si>
    <t>No</t>
  </si>
  <si>
    <t>Electronic integrated circuits; memories</t>
  </si>
  <si>
    <t>Memory Integrated Circuits</t>
  </si>
  <si>
    <t>Communication apparatus (excluding telephone sets or base stations); machines for the reception, conversion and transmission or regeneration of voice, images or other data, including switching and routing apparatus</t>
  </si>
  <si>
    <t>Headsets for mobile
phones</t>
  </si>
  <si>
    <t>Automatic data processing machines; portable, weighing not more than 10kg, consisting of at least a central processing unit, a keyboard and a display</t>
  </si>
  <si>
    <t xml:space="preserve">Laptops </t>
  </si>
  <si>
    <t>Computer Hardware</t>
  </si>
  <si>
    <t>Computer hardware, peripherals</t>
  </si>
  <si>
    <t>Printing machinery used for printing by means of plates, cylinders and other printing components of heading 8442; parts and accessories</t>
  </si>
  <si>
    <t>Parts for printing machinery</t>
  </si>
  <si>
    <t>Electronics instruments</t>
  </si>
  <si>
    <t>Electric accumulators; lithium-ion, including separators, whether or not rectangular (including square)</t>
  </si>
  <si>
    <t>Battery Pack</t>
  </si>
  <si>
    <t>Accumulators and batteries</t>
  </si>
  <si>
    <t>Units of automatic data processing machines; processing units other than those of item no. 8471.41 or 8471.49, whether or not containing in the same housing one or two of the following types of unit: storage units, input units or output units</t>
  </si>
  <si>
    <t>Desktop / PC</t>
  </si>
  <si>
    <t>Electrical static converters</t>
  </si>
  <si>
    <t>Battery Charger, Adapter</t>
  </si>
  <si>
    <t>Plastics; other articles n.e.c. in chapter 39</t>
  </si>
  <si>
    <t>Plastic</t>
  </si>
  <si>
    <t>Consumables</t>
  </si>
  <si>
    <t>Not Included</t>
  </si>
  <si>
    <t>Boards, panels, consoles, desks and other bases; for electric control or the distribution of electricity, (other than switching apparatus of heading no. 8517), for a voltage not exceeding 1000 volts</t>
  </si>
  <si>
    <t>Electrical boards / panels / Consoles</t>
  </si>
  <si>
    <t>Electrical Equipment</t>
  </si>
  <si>
    <t>Communication apparatus; parts, other than aerials and aerial reflectors of all kinds</t>
  </si>
  <si>
    <t>PCBA</t>
  </si>
  <si>
    <t>Printing machinery; parts and accessories, n.e.c. in item no. 8443.91</t>
  </si>
  <si>
    <t>Circuits; printed</t>
  </si>
  <si>
    <t>Printed Circuits</t>
  </si>
  <si>
    <t>Iron or steel; articles n.e.c. in heading 7326</t>
  </si>
  <si>
    <t>Mechanics</t>
  </si>
  <si>
    <t>Electrical apparatus; photosensitive semiconductor devices, photovoltaic cells assembled in modules or made up into panels</t>
  </si>
  <si>
    <t>Photosensitive semiconductor devices</t>
  </si>
  <si>
    <t>Semiconductor media; solid-state non-volatile storage devices, whether or not recorded, excluding products of Chapter 37</t>
  </si>
  <si>
    <t>Flash Storage</t>
  </si>
  <si>
    <t>Consumer Durables</t>
  </si>
  <si>
    <t>Consumer electronics</t>
  </si>
  <si>
    <t>Reception and transmission apparatus; for use with the apparatus of heading no. 8524 to 8528, excluding aerials and aerial reflectors</t>
  </si>
  <si>
    <t>Telecommunication Equipment</t>
  </si>
  <si>
    <t>Reception apparatus for television, whether or not incorporating radio-broadcast receivers or sound or video recording or reproducing apparatus; incorporating a colour video display or screen</t>
  </si>
  <si>
    <t>Colour TV sets</t>
  </si>
  <si>
    <t>Electrical apparatus; n.e.c. in heading no. 8536, for switching or protecting electrical circuits, for a voltage not exceeding 1000 volts</t>
  </si>
  <si>
    <t>Voltage regulators</t>
  </si>
  <si>
    <t>Electrical machines and apparatus; having individual functions, not specified or included elsewhere in this chapter, n.e.c. in heading no. 8543</t>
  </si>
  <si>
    <t xml:space="preserve">Components for amplifiers, data recorders etc. </t>
  </si>
  <si>
    <t>Units of automatic data processing machines; input or output units, whether or not containing storage units in the same housing</t>
  </si>
  <si>
    <t>Input or output units in automatic data processing units</t>
  </si>
  <si>
    <t>Insulated electric conductors; for a voltage not exceeding 1000 volts, fitted with connectors</t>
  </si>
  <si>
    <t>Cables</t>
  </si>
  <si>
    <t>Units of automatic data processing machines; storage units</t>
  </si>
  <si>
    <t>Hard Drive</t>
  </si>
  <si>
    <t>Insulated electric conductors; for a voltage not exceeding 1000 volts, not fitted with connectors</t>
  </si>
  <si>
    <t>Electrical apparatus; parts suitable for use solely or principally with the apparatus of heading no. 8535, 8536 or 8537</t>
  </si>
  <si>
    <t>Mechanics for Mobile Phones</t>
  </si>
  <si>
    <t>Electrical apparatus; transistors, (other than photosensitive), with a dissipation rate of 1W or more</t>
  </si>
  <si>
    <t>Transistors</t>
  </si>
  <si>
    <t>Flat panel display modules, whether or not incorporating touch-sensitive screens; of liquid crystals, with drivers or control circuits</t>
  </si>
  <si>
    <t>Flat panel display</t>
  </si>
  <si>
    <t>Consumer durables</t>
  </si>
  <si>
    <t>Television cameras; n.e.c. in item no 8525.8</t>
  </si>
  <si>
    <t>Camera Module</t>
  </si>
  <si>
    <t>Games; video game consoles and machines, other than those of subheading 9504.30</t>
  </si>
  <si>
    <t>Video game consoles</t>
  </si>
  <si>
    <t>Air conditioning machines; with motor driven fan and elements for temperature control, parts thereof</t>
  </si>
  <si>
    <t>Parts and elements for air conditioners</t>
  </si>
  <si>
    <t>Included based on subjective judgement</t>
  </si>
  <si>
    <t>Parts of electronic integrated circuits</t>
  </si>
  <si>
    <t>Parts of electronic circuits</t>
  </si>
  <si>
    <t>Electronic integrated circuits; amplifiers</t>
  </si>
  <si>
    <t>Amplifiers</t>
  </si>
  <si>
    <t>Fans; table, floor, wall, window, ceiling or roof fans, with a self-contained electric motor of an output not exceeding 125W</t>
  </si>
  <si>
    <t>Household Fans</t>
  </si>
  <si>
    <t>Small world share</t>
  </si>
  <si>
    <t>Fans; n.e.c. in item no. 8414.51</t>
  </si>
  <si>
    <t>Commercial Fans</t>
  </si>
  <si>
    <t>Hoods; ventilating or recycling hoods incorporating a fan, whether or not fitted with filters, having a maximum horizontal side not exceeding 120cm</t>
  </si>
  <si>
    <t>Chimneys over cooktops</t>
  </si>
  <si>
    <t>Monitors; other than cathode-ray tube; capable of directly connecting to and designed for use with an automatic data processing machine of heading 84.71</t>
  </si>
  <si>
    <t>Monitors</t>
  </si>
  <si>
    <t>Air conditioning machines; containing a motor driven fan, other than window or wall types, incorporating a refrigerating unit and a valve for reversal of the cooling/heat cycle (reversible heat pumps)</t>
  </si>
  <si>
    <t>Commercial AC</t>
  </si>
  <si>
    <t>White Goods</t>
  </si>
  <si>
    <t>Air conditioning machines; containing a motor driven fan, other than window or wall types, incorporating a refrigerating unit</t>
  </si>
  <si>
    <t>Commercial Acs</t>
  </si>
  <si>
    <t>Air conditioning machines; containing a motor driven fan, other than window or wall types, not incorporating a refrigerating unit</t>
  </si>
  <si>
    <t>Electrical apparatus; plugs and sockets, for a voltage not exceeding 1000 volts</t>
  </si>
  <si>
    <t>Plugs and sockets</t>
  </si>
  <si>
    <t>Iron or steel; threaded screws and bolts n.e.c. in item no. 7318.1, whether or not with their nuts or washers</t>
  </si>
  <si>
    <t>Refrigerators; for household use, compression-type, electric or other</t>
  </si>
  <si>
    <t>Refrigerators</t>
  </si>
  <si>
    <t>Freezers; of the chest type, not exceeding 800l capacity</t>
  </si>
  <si>
    <t>Refrigerators / Freezers</t>
  </si>
  <si>
    <t>Freezers; of the upright type, not exceeding 900l capacity</t>
  </si>
  <si>
    <t>Commercial Freezers</t>
  </si>
  <si>
    <t>Heat pumps; other than air conditioning machines of heading no. 8415</t>
  </si>
  <si>
    <t>Heat pump</t>
  </si>
  <si>
    <t>Air conditioning machines; comprising a motor-driven fan and elements for changing the temperature and humidity, of a kind designed to be fixed to a window, wall, ceiling or floor, self-contained or 'split-system'</t>
  </si>
  <si>
    <t>Commercial - ACs</t>
  </si>
  <si>
    <t>White goods - can include</t>
  </si>
  <si>
    <t>Refrigerating or freezing equipment; parts, furniture designed to receive refrigerating or freezing equipment</t>
  </si>
  <si>
    <t>Parts for refrigerators</t>
  </si>
  <si>
    <t>Regulating or controlling instruments and apparatus; automatic, other than hydraulic or pneumatic</t>
  </si>
  <si>
    <t>Regulating or controlling instruments</t>
  </si>
  <si>
    <t>Heaters; instantaneous gas water heaters, for domestic or other purposes</t>
  </si>
  <si>
    <t>Heaters</t>
  </si>
  <si>
    <t>Heaters; solar water heaters, non-electric</t>
  </si>
  <si>
    <t>Dish washing machines; of the household type</t>
  </si>
  <si>
    <t>Dishwashers</t>
  </si>
  <si>
    <t>Dish washing machines; of other than household type</t>
  </si>
  <si>
    <t>Commercial Dishwashers</t>
  </si>
  <si>
    <t>Weighing machines; personal (including baby scales) and household scales</t>
  </si>
  <si>
    <t>Weighing machine</t>
  </si>
  <si>
    <t>Weighing machines; scales for continuous weighing of goods on conveyors</t>
  </si>
  <si>
    <t>Commercial Weighing Machine</t>
  </si>
  <si>
    <t>Weighing machines; constant weight scales and scales for discharging a predetermined weight of material into a bag or container, including hopper scales</t>
  </si>
  <si>
    <t>Commercial Weighing Machines</t>
  </si>
  <si>
    <t>Weighing machines; other than personal, conveyor or constant weight scales, having a maximum weighing capacity not exceeding 30kg (excluding balances of a sensitivity of 5cg or better)</t>
  </si>
  <si>
    <t>Weighing machines; other than personal, conveyor or constant weight scales, having a maximum weighing capacity exceeding 30kg but not exceeding 5000kg</t>
  </si>
  <si>
    <t>Weighing machines; other than personal, conveyor or constant weight scales, having a maximum weighing capacity exceeding 5000kg</t>
  </si>
  <si>
    <t>Commercial Weighing machine</t>
  </si>
  <si>
    <t>Weighing machines; weights of all kinds, parts of weighing machinery</t>
  </si>
  <si>
    <t>Printing machinery; offset, reel-fed</t>
  </si>
  <si>
    <t>Printing machinery</t>
  </si>
  <si>
    <t>Printing machinery; offset, sheet-fed, office type (sheet size not exceeding 22 x 36cm in the unfolded state)</t>
  </si>
  <si>
    <t>Printing machinery; offset, n.e.c. in item no. 8443.1</t>
  </si>
  <si>
    <t>Printing machinery; flexographic</t>
  </si>
  <si>
    <t>Printing machinery; gravure</t>
  </si>
  <si>
    <t>Printing machinery; used for printing by means of plates, cylinders and other printing components of heading 84.42, n.e.c. in item no. 8443.1</t>
  </si>
  <si>
    <t>Aluminium; articles n.e.c. in heading 7616</t>
  </si>
  <si>
    <t>Raw materials</t>
  </si>
  <si>
    <t>Electrical apparatus; switches n.e.c. in heading no. 8536, for a voltage not exceeding 1000 volts</t>
  </si>
  <si>
    <t>Switches</t>
  </si>
  <si>
    <t>Automatic data processing machines; presented in the form of systems, n.e.c. in item no. 8471.30 or 8471.41</t>
  </si>
  <si>
    <t>Computers</t>
  </si>
  <si>
    <t>Electrical capacitors; fixed, ceramic dielectric, multilayer</t>
  </si>
  <si>
    <t>Electrical capacitors</t>
  </si>
  <si>
    <t>Plastics; plates, sheets, film, foil, tape, strip, other flat shapes thereof, self-adhesive, other than in rolls of a width not exceeding 20cm</t>
  </si>
  <si>
    <t>Flat panel display modules, whether or not incorporating touch-sensitive screens; of organic light-emitting diodes (OLED), with drivers or control circuits</t>
  </si>
  <si>
    <t>Washing machines; household or laundry-type, with built-in centrifugal drier, (not fully-automatic), of a dry linen capacity not exceeding 10kg</t>
  </si>
  <si>
    <t xml:space="preserve">Washing Machine - not automatic </t>
  </si>
  <si>
    <t>Washing machines; household or laundry-type, not fully-automatic, without built-in centrifugal drier, of a dry linen capacity not exceeding 10kg</t>
  </si>
  <si>
    <t>Washing machines; household or laundry-type, of a dry linen capacity exceeding 10kg</t>
  </si>
  <si>
    <t>Washing Machine</t>
  </si>
  <si>
    <t>Washing machines; parts for household or laundry-type</t>
  </si>
  <si>
    <t>Washing Machine parts</t>
  </si>
  <si>
    <t>Dry-cleaning machines</t>
  </si>
  <si>
    <t>Commercial - Dry cleaning machines</t>
  </si>
  <si>
    <t>Drying machines; of a dry linen capacity not exceeding 10kg</t>
  </si>
  <si>
    <t>Clothes Dryers</t>
  </si>
  <si>
    <t>Drying machines; of a dry linen capacity exceeding 10kg</t>
  </si>
  <si>
    <t>Ironing machines and presses (including fusing presses)</t>
  </si>
  <si>
    <t>Press Iron</t>
  </si>
  <si>
    <t>Sewing machines; of the household type</t>
  </si>
  <si>
    <t>Sweing Machines</t>
  </si>
  <si>
    <t>Sewing machines; (not household type), automatic units</t>
  </si>
  <si>
    <t>Commercial Sweing Machines</t>
  </si>
  <si>
    <t>Machine-tools; operated by laser or other light or photon beam processes, for working any material by removal of material</t>
  </si>
  <si>
    <t>Lasers</t>
  </si>
  <si>
    <t>Other Electronics</t>
  </si>
  <si>
    <t>Machine-tools; for working any material by removal of material, operated by electro-discharge processes</t>
  </si>
  <si>
    <t>Machine tools used to remove material from a workpiece.</t>
  </si>
  <si>
    <t>Ovens, cookers, cooking plates, boiling rings, grillers and roasters; of a kind used for domestic purposes (excluding microwaves)</t>
  </si>
  <si>
    <t>Cooking Appliance</t>
  </si>
  <si>
    <t>Refrigerators and freezers; combined refrigerator-freezers, fitted with separate external doors, electric or other</t>
  </si>
  <si>
    <t xml:space="preserve">Fridge </t>
  </si>
  <si>
    <t>Medical, surgical instruments and appliances; electro-diagnostic apparatus (including apparatus for functional exploratory examination or for checking physiological parameters), n.e.c. in item no. 9018.1</t>
  </si>
  <si>
    <t>Medical instruments</t>
  </si>
  <si>
    <t>Medical Electronics</t>
  </si>
  <si>
    <t>Compressors; of a kind used in refrigerating equipment</t>
  </si>
  <si>
    <t>Fridge component</t>
  </si>
  <si>
    <t>Printing, copying, and facsimile machines; machines which perform two or more of the functions of printing, copying or facsimile transmission, capable of connecting to an automatic data processing machine or to a network</t>
  </si>
  <si>
    <t>Automatic data processing machines; comprising in the same housing at least a central processing unit and an input and output unit, whether or not combined, n.e.c. in item no. 8471.30</t>
  </si>
  <si>
    <t>Rubber; vulcanised (other than hard rubber), articles n.e.c. in heading no. 4016, of non-cellular rubber</t>
  </si>
  <si>
    <t>Rubber</t>
  </si>
  <si>
    <t>Units of automatic data processing machines; n.e.c. in item no. 8471.50, 8471.60 or 8471.70</t>
  </si>
  <si>
    <t>Graphics Card</t>
  </si>
  <si>
    <t>Electrical apparatus; diodes, other than photosensitive or light-emitting diodes (LED)</t>
  </si>
  <si>
    <t>Diodes</t>
  </si>
  <si>
    <t>Headphones and earphones, whether or not combined with a microphone, and sets consisting of a microphone and one or more loudspeakers</t>
  </si>
  <si>
    <t>Headphones, earphones</t>
  </si>
  <si>
    <t>Refrigerating or freezing equipment; n.e.c. in heading no. 8418</t>
  </si>
  <si>
    <t>Electrical transformers, static converters and inductors; parts thereof</t>
  </si>
  <si>
    <t>Transformers</t>
  </si>
  <si>
    <t>Electric motors; of an output not exceeding 37.5W</t>
  </si>
  <si>
    <t>Domestic water motors - Others</t>
  </si>
  <si>
    <t>Electrical inductors; n.e.c. in heading no. 8504</t>
  </si>
  <si>
    <t>Inductor</t>
  </si>
  <si>
    <t>Vacuum cleaners, with self-contained electric motor, of a power not exceeding 1,500 W and having a dust bag or other receptacle capacity not exceeding 20L</t>
  </si>
  <si>
    <t>Vaccume Cleaner</t>
  </si>
  <si>
    <t>Typewriters and word-processing machines; parts and accessories of the machines of heading 84.69 (other than covers, carrying cases and the like)</t>
  </si>
  <si>
    <t>Parts for typewriters</t>
  </si>
  <si>
    <t>Electrical machines and apparatus; parts of the electrical goods of heading no. 8543</t>
  </si>
  <si>
    <t>Parts of electrical machines and apparatus</t>
  </si>
  <si>
    <t>Printed matter; books, brochures, leaflets and similar printed matter n.e.c. in item no. 4901.10 or 4901.91</t>
  </si>
  <si>
    <t>Books, brochures, leaflets</t>
  </si>
  <si>
    <t>Telephone sets; other than smartphones, for cellular or other wireless networks</t>
  </si>
  <si>
    <t>Mobile Phone (feature phone)</t>
  </si>
  <si>
    <t>Electrical apparatus; photosensitive semiconductor devices, light emitting diodes (LED)</t>
  </si>
  <si>
    <t>Machines; parts and accessories (other than covers, carrying cases and the like) equally suitable for use with machines of two or more of the headings 8470 to 8472</t>
  </si>
  <si>
    <t>Parts of office machines</t>
  </si>
  <si>
    <t>Machines; automatic beverage-vending machines, incorporating heating or refrigerating devices</t>
  </si>
  <si>
    <t>Vending Machine</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</si>
  <si>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</si>
  <si>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</si>
  <si>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</si>
  <si>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Rubber; vulcanised (other than hard rubber), gaskets, washers and other seals, of non-cellular rubber</t>
  </si>
  <si>
    <t>Discharge lamps or tubes; ballasts therefor</t>
  </si>
  <si>
    <t>Ballasts for lamps</t>
  </si>
  <si>
    <t>Monitors other than cathode-ray tube; n.e.c. in subheading 8528.52, whether or not colour</t>
  </si>
  <si>
    <t>Polyesters; n.e.c. in heading no. 3907, saturated, in primary forms</t>
  </si>
  <si>
    <t>Polyesters</t>
  </si>
  <si>
    <t>Electrical transformers; liquid dielectric, having a power handling capacity exceeding 10,000kVA</t>
  </si>
  <si>
    <t>Instruments and apparatus; using optical radiations (UV, visible, IR), (other than spectrometers, spectrophotometers and spectrographs)</t>
  </si>
  <si>
    <t>Instruments for optical radiation</t>
  </si>
  <si>
    <t>Printing, copying, and facsimile machines; single-function printing, copying or facsimile machines, capable of connecting to an automatic data processing machine or to a network</t>
  </si>
  <si>
    <t>Transformers; n.e.c. in item no. 8504.2, having a power handling capacity exceeding 16kVA but not exceeding 500kVA</t>
  </si>
  <si>
    <t>Transformers; n.e.c. in item no. 8504.2, having a power handling capacity exceeding 500kVA</t>
  </si>
  <si>
    <t>Electrical apparatus; automatic circuit breakers, for a voltage not exceeding 1000 volts</t>
  </si>
  <si>
    <t>Electrical apparatus</t>
  </si>
  <si>
    <t>Paper and paperboard; cartons, boxes and cases, of corrugated paper or paperboard</t>
  </si>
  <si>
    <t>Paper and paperboard</t>
  </si>
  <si>
    <t>Instruments, apparatus for measuring, checking electrical quantities, not meters of heading no. 9028; parts and accessories, for measuring or detecting alpha, beta, gamma, x-ray, cosmic and other radiations</t>
  </si>
  <si>
    <t>Electrical measurement instruments</t>
  </si>
  <si>
    <t>Electro-mechanical domestic appliances; with self-contained electric motor, other than vacuum cleaners of heading 85.08, n.e.c. in heading no. 8509</t>
  </si>
  <si>
    <t>Domestic Appliances (Misc)</t>
  </si>
  <si>
    <t>Paper and paperboard; folding cartons, boxes and cases, of non-corrugated paper or paperboard</t>
  </si>
  <si>
    <t>Magnets; electro-magnetic couplings, clutches and brakes</t>
  </si>
  <si>
    <t>Magnets in clutches or brake</t>
  </si>
  <si>
    <t>Magnets; electro-magnets, holding devices and parts n.e.c. in heading no. 8505</t>
  </si>
  <si>
    <t xml:space="preserve">Electro-magnets </t>
  </si>
  <si>
    <t>Plastics; articles for the conveyance or packing of goods n.e.c. in heading no. 3923</t>
  </si>
  <si>
    <t>Electric accumulators; lead-acid, of a kind used for starting piston engines, including separators, whether or not rectangular (including square)</t>
  </si>
  <si>
    <t>Insulated electric conductors; for a voltage exceeding 1000 volts</t>
  </si>
  <si>
    <t>Radio navigational aid apparatus</t>
  </si>
  <si>
    <t>Radio apparatus</t>
  </si>
  <si>
    <t>Telecom Apparatus</t>
  </si>
  <si>
    <t>Plastics; stoppers, lids, caps and other closures, for the conveyance or packing of goods</t>
  </si>
  <si>
    <t>Magnetic or optical readers, machines for transcribing data onto data media in coded form and machines for processing such data, not elsewhere specified or included</t>
  </si>
  <si>
    <t>Magnetic or optical readers - machines for transcribing data onto data media in coded form and machines for processing such data</t>
  </si>
  <si>
    <t>Insulated electric conductors; optical fibre cables</t>
  </si>
  <si>
    <t>Paints and varnishes; based on polymers n.e.c. in heading no. 3208, dispersed or dissolved in a non-aqueous medium</t>
  </si>
  <si>
    <t>Paints and varnishes</t>
  </si>
  <si>
    <t>Electrical apparatus; photosensitive semiconductor devices, diodes other than light emitting diodes and photovoltaic cells whether or not assembled in modules or made up into panels</t>
  </si>
  <si>
    <t>Washing machines; household or laundry-type, fully-automatic, (of a dry linen capacity not exceeding 10kg)</t>
  </si>
  <si>
    <t>Electrical apparatus; parts for diodes, transistors and similar semiconductor devices and photosensitive semiconductor devices</t>
  </si>
  <si>
    <t>Apparatus for diodes and transistors</t>
  </si>
  <si>
    <t>Wrist-watches; electrically operated, with or without a stop-watch, (other than those of heading no. 9101) with mechanical display only</t>
  </si>
  <si>
    <t>Quartz cristal watches</t>
  </si>
  <si>
    <t>Loudspeakers; multiple, mounted in the same enclosure</t>
  </si>
  <si>
    <t>Speakers</t>
  </si>
  <si>
    <t>Optical media; recorded, excluding products of Chapter 37</t>
  </si>
  <si>
    <t>Discs</t>
  </si>
  <si>
    <t>Communication apparatus (excluding telephone sets or base stations); machines for the transmission or reception of voice, images or other data (including wired/wireless networks), n.e.c. in item no. 8517.6</t>
  </si>
  <si>
    <t>OTT Set Top Box/Set Top Box</t>
  </si>
  <si>
    <t>Refrigerating or freezing equipment; parts thereof, other than furniture</t>
  </si>
  <si>
    <t>Vacuum cleaners, with self-contained electric motor, n.e.c. in item no. 8508.1</t>
  </si>
  <si>
    <t>Vacuum cleaners, other than with a self-contained electric motor</t>
  </si>
  <si>
    <t>Parts of vacuum cleaners</t>
  </si>
  <si>
    <t>Electro-mechanical domestic appliances; food grinders and mixers, fruit or vegetable juice extractors, with self-contained electric motor</t>
  </si>
  <si>
    <t>Electric accumulators; lead-acid, (other than for starting piston engines), including separators, whether or not rectangular (including square)</t>
  </si>
  <si>
    <t>Electro-mechanical domestic appliances; parts for the appliances of heading no. 8509</t>
  </si>
  <si>
    <t>Domestic appliance parts</t>
  </si>
  <si>
    <t>Shavers; with self-contained electric motor</t>
  </si>
  <si>
    <t>Electric Shavers</t>
  </si>
  <si>
    <t>Hair clippers; with a self-contained electric motor</t>
  </si>
  <si>
    <t>Hair Clippers</t>
  </si>
  <si>
    <t>Hair-removing appliances; with self-contained electric motor</t>
  </si>
  <si>
    <t>Shavers and hair clippers; parts of those with self-contained electric motor</t>
  </si>
  <si>
    <t>Parts of shavers and hair clippers</t>
  </si>
  <si>
    <t>Electro-thermic appliances; coffee or tea makers, of a kind used for domestic purposes</t>
  </si>
  <si>
    <t>Coffee Makers</t>
  </si>
  <si>
    <t>Lighting or visual signalling equipment; electrical, of a kind used on bicycles, excluding articles of heading no. 8539</t>
  </si>
  <si>
    <t>Headlights</t>
  </si>
  <si>
    <t>Lighting or visual signalling equipment; electrical, of a kind used on motor vehicles (excluding articles of heading no. 8539)</t>
  </si>
  <si>
    <t>Vehical Headlights</t>
  </si>
  <si>
    <t>Can be removed, can be added in auto comp</t>
  </si>
  <si>
    <t>Sound signalling equipment; electrical, used on cycles or motor vehicles (excluding articles of heading no. 8539)</t>
  </si>
  <si>
    <t>Horns</t>
  </si>
  <si>
    <t>Windscreen wipers, defrosters and demisters; electrical, of kinds used for cycles or motor vehicles</t>
  </si>
  <si>
    <t>Windscreen wipers in vehicles</t>
  </si>
  <si>
    <t>Lighting or signalling equipment; electrical, (excluding articles of heading no. 8539), windscreen wipers, defrosters and demisters; parts, of those kinds used for cycles or motor vehicles</t>
  </si>
  <si>
    <t>Lighting or signalling equipment in vehicles</t>
  </si>
  <si>
    <t>Lamps; portable, electric, designed to function by their own source of energy (excluding lighting equipment of heading no. 8512)</t>
  </si>
  <si>
    <t>Torches</t>
  </si>
  <si>
    <t>Lamps; parts of portable, electric lamps of heading no. 8513, designed to function by their own source of energy</t>
  </si>
  <si>
    <t>Lamps</t>
  </si>
  <si>
    <t>Heaters; electric, instantaneous or storage water and immersion heaters</t>
  </si>
  <si>
    <t>Water Heaters</t>
  </si>
  <si>
    <t>Heating apparatus; electric storage heating radiators</t>
  </si>
  <si>
    <t>Commercial - Heaters</t>
  </si>
  <si>
    <t>Heating apparatus; electric soil heating apparatus and space heating apparatus (excluding storage heating radiators)</t>
  </si>
  <si>
    <t>Winter Heaters</t>
  </si>
  <si>
    <t>Hair-dressing apparatus; electro-thermic hair dryers</t>
  </si>
  <si>
    <t>Hair Dryers</t>
  </si>
  <si>
    <t>Hair-dressing apparatus; electro-thermic, other than hair dryers</t>
  </si>
  <si>
    <t>Hair Dryers, Straightners</t>
  </si>
  <si>
    <t>Hand-drying apparatus; electro-thermic</t>
  </si>
  <si>
    <t>Hand Dryers</t>
  </si>
  <si>
    <t>Smoothing irons; electric</t>
  </si>
  <si>
    <t>Hair Straightner</t>
  </si>
  <si>
    <t>Apparatus based on use of x-rays and similar; parts and accessories (x-ray generators, tubes, high tension generators, control panels and desks, screens, examination or treatment tables, chairs and like</t>
  </si>
  <si>
    <t>X ray generators, tubes etc.</t>
  </si>
  <si>
    <t>Electrical resistors; fixed, for a power handling capacity not exceeding 20W (including rheostats and potentiometers but excluding heating resistors and carbon resistors)</t>
  </si>
  <si>
    <t>Electrical resistors</t>
  </si>
  <si>
    <t>Instruments and apparatus; gas or smoke analysis apparatus, for physical or chemical analysis</t>
  </si>
  <si>
    <t>Physical or chemical analysis instruments</t>
  </si>
  <si>
    <t>Electro-thermic appliances; toasters, of a kind used for domestic purposes</t>
  </si>
  <si>
    <t>Toasters</t>
  </si>
  <si>
    <t>Electrical apparatus; photosensitive semiconductor devices, photovoltaic cells not assembled in modules or made up into panels</t>
  </si>
  <si>
    <t>Resistors; electric heating, other than those of heading no. 8545</t>
  </si>
  <si>
    <t>Components for appliances that are used for heating (microwaves, dryers etc)</t>
  </si>
  <si>
    <t>Electro-thermic appliances; parts, of heating resistors, of water, space and soil heaters, hair-dressing apparatus, hand dryers, smoothing irons and other domestic appliances of heading no. 8516</t>
  </si>
  <si>
    <t>Parts for heaters</t>
  </si>
  <si>
    <t>Plastics; plates, sheets, film, foil, tape, strip, other flat shapes thereof, self-adhesive, in rolls of a width not exceeding 20cm</t>
  </si>
  <si>
    <t>Electro-thermic appliances; n.e.c. in heading no. 8516, used for domestic purposes</t>
  </si>
  <si>
    <t xml:space="preserve">Water Heater </t>
  </si>
  <si>
    <t>Crystals; mounted piezo-electric</t>
  </si>
  <si>
    <t>Used in the sensing or actuation of systems like gas flow sensing, vibration sensing, and flow sensing.</t>
  </si>
  <si>
    <t>Iron or steel; threaded nuts</t>
  </si>
  <si>
    <t>Lasers; other than laser diodes</t>
  </si>
  <si>
    <t>Radar apparatus</t>
  </si>
  <si>
    <t>Radar Apparatus</t>
  </si>
  <si>
    <t>Plastics; plates, sheets, film, foil and strip (not self-adhesive), of plastics n.e.c. in heading no. 3920, non-cellular and not reinforced, laminated, supported or similarly combined with other materials</t>
  </si>
  <si>
    <t>Camera Lens</t>
  </si>
  <si>
    <t>Flat panel display modules, whether or not incorporating touch-sensitive screens; of liquid crystals, without drivers or control circuits</t>
  </si>
  <si>
    <t>Plastics; sacks and bags (including cones), for the conveyance or packing of goods, of plastics other than ethylene polymers</t>
  </si>
  <si>
    <t>Instruments and apparatus; for measuring or checking semiconductor wafers or devices</t>
  </si>
  <si>
    <t>Instruments and apparatus: for measuring or checking semiconductor wafers or devices</t>
  </si>
  <si>
    <t>Apparatus based on the use of x-rays; including radiography or radiotherapy apparatus, for medical, surgical or veterinary uses, not dental uses, excluding computed tomography apparatus</t>
  </si>
  <si>
    <t>X-RAY GENERATORS AND APPARATUS (NON-PORTABLE)</t>
  </si>
  <si>
    <t>Electrical capacitors; fixed, aluminium electrolytic</t>
  </si>
  <si>
    <t>Magnets; permanent magnets and articles intended to become permanent magnets after magnetisation, of metal</t>
  </si>
  <si>
    <t>Magnets used for electronics</t>
  </si>
  <si>
    <t>Paper pulp, paper, paperboard, cellulose wadding or webs of cellulose fibres; articles n.e.c. in heading no. 4823</t>
  </si>
  <si>
    <t>Insulated electric conductors; co-axial cable and other co-axial electric conductors</t>
  </si>
  <si>
    <t>Boards, panels, consoles, desks and other bases; for electric control or the distribution of electricity, (other than switching apparatus of heading no. 8517), for a voltage exceeding 1000 volts</t>
  </si>
  <si>
    <t>Boards, panels, consoles</t>
  </si>
  <si>
    <t>Pacemakers; for stimulating heart muscles (excluding parts and accessories)</t>
  </si>
  <si>
    <t>Pacemakers</t>
  </si>
  <si>
    <t>Regulating or controlling instruments and apparatus; automatic, parts and accessories</t>
  </si>
  <si>
    <t>Parts for automatic regulating, controling instruments</t>
  </si>
  <si>
    <t>Hearing aids (excluding parts and accessories)</t>
  </si>
  <si>
    <t>Hearing aids</t>
  </si>
  <si>
    <t>Semiconductor media; smart cards, whether or not recorded, excluding products of Chapter 37</t>
  </si>
  <si>
    <t>Smart card</t>
  </si>
  <si>
    <t>Medical, surgical instruments and appliances; magnetic resonance imaging apparatus</t>
  </si>
  <si>
    <t>Electrical apparatus; transistors, (other than photosensitive), with a dissipation rate of less than 1W</t>
  </si>
  <si>
    <t>Electric accumulators; parts n.e.c. in heading no. 8507</t>
  </si>
  <si>
    <t>Parts of battery pack</t>
  </si>
  <si>
    <t>Electrical transformers; n.e.c. in item no. 8504.2, having a power handling capacity not exceeding 1kVA</t>
  </si>
  <si>
    <t>Ophthalmic instruments and appliances</t>
  </si>
  <si>
    <t>Ophthalmic instruments</t>
  </si>
  <si>
    <t>Electrical resistors; variable, including rheostats and potentiometers (excluding heating)</t>
  </si>
  <si>
    <t>Electrical apparatus; relays, for a voltage exceeding 60 volts</t>
  </si>
  <si>
    <t>Relay (electricaly operated switch)</t>
  </si>
  <si>
    <t>Surveying equipment; articles n.e.c. in heading no. 9015, including hydrographic, oceanographic, hydrological, meteorological or geophysical instruments and appliances (excluding compasses)</t>
  </si>
  <si>
    <t>meteorological or geophysical surveying equipment</t>
  </si>
  <si>
    <t>Signalling apparatus; electric, sound or visual, burglar or fire alarms and similar, other than those of heading no. 8512 or 8530</t>
  </si>
  <si>
    <t>Fire or burglar alarms</t>
  </si>
  <si>
    <t>Apparatus based on the use of x-rays; including radiography or radiotherapy apparatus, whether or not for medical, surgical, dental or veterinary uses, computed tomography apparatus</t>
  </si>
  <si>
    <t>Medical apparatus</t>
  </si>
  <si>
    <t>Loudspeakers; not mounted in their enclosures</t>
  </si>
  <si>
    <t>Signalling apparatus; electric, sound or visual, indicator panels incorporating liquid crystal devices (LCD) or light-emitting diodes (LED), excluding those of heading no. 8512 or 8530</t>
  </si>
  <si>
    <t>Indicator panels incorporating electronic displays</t>
  </si>
  <si>
    <t>Reception and transmission apparatus; aerials and aerial reflectors of all kinds and parts suitable for use therewith</t>
  </si>
  <si>
    <t>Spectrometers, spectrophotometers and spectrographs; using optical radiations (UV, visible, IR)</t>
  </si>
  <si>
    <t>Spectrometers</t>
  </si>
  <si>
    <t>Electrical apparatus; relays, (for a voltage not exceeding 60 volts)</t>
  </si>
  <si>
    <t>Optical devices, appliances and instruments; n.e.c. in heading no. 9013</t>
  </si>
  <si>
    <t>LCD Devices</t>
  </si>
  <si>
    <t>Medical, surgical instruments and appliances; ultrasonic scanning apparatus</t>
  </si>
  <si>
    <t>LINEAR ULTRASOUND SCANNER, ELECTRO-DIAGNOSTC APARATUS</t>
  </si>
  <si>
    <t>Signalling apparatus; electric, sound or visual, apparatus n.e.c. in heading no. 8531, excluding those of heading no. 8512 or 8530</t>
  </si>
  <si>
    <t>Sound or signalling apparatus</t>
  </si>
  <si>
    <t>Loudspeakers; single, mounted in their enclosures</t>
  </si>
  <si>
    <t>Radio-broadcast receivers not capable of operating without an external source of power, of a kind used in motor vehicles; combined with sound recording or reproducing apparatus</t>
  </si>
  <si>
    <t xml:space="preserve"> Radio broadcast receivers</t>
  </si>
  <si>
    <t>Microphones, headphones, earphones, amplifier equipment; parts of the equipment of heading no. 8518</t>
  </si>
  <si>
    <t>Parts for microphones, headphones</t>
  </si>
  <si>
    <t>Styrene polymers; in primary forms, n.e.c. in heading no. 3903</t>
  </si>
  <si>
    <t>Styrene polymers</t>
  </si>
  <si>
    <t>Ovens; microwave, of a kind used for domestic purposes</t>
  </si>
  <si>
    <t>Regulating or controlling instruments and apparatus; automatic type, thermostats</t>
  </si>
  <si>
    <t>Thermostats</t>
  </si>
  <si>
    <t>Signalling apparatus; parts of the electric, sound or visual apparatus of heading no. 8531</t>
  </si>
  <si>
    <t>Parts of electric sound &amp; visual signalling apparatus</t>
  </si>
  <si>
    <t>Polyamides; n.e.c. in heading no. 3908, in primary forms</t>
  </si>
  <si>
    <t>Polyamides</t>
  </si>
  <si>
    <t>Electrical apparatus; parts (e.g. boards, panels, consoles, desks, cabinets, other bases), for goods of heading no. 8537, not equipped with their apparatus</t>
  </si>
  <si>
    <t>Parts of electrical apparatus</t>
  </si>
  <si>
    <t>Amplifiers; audio-frequency electric</t>
  </si>
  <si>
    <t>Electrical machines and apparatus; electronic cigarettes and similar personal electric vaporising devices</t>
  </si>
  <si>
    <t>Electronics cigarettes</t>
  </si>
  <si>
    <t>Thermometers and pyrometers; (other than liquid filled, for direct reading), not combined with other instruments</t>
  </si>
  <si>
    <t>Thermometers and pyrometers</t>
  </si>
  <si>
    <t>Communication apparatus; parts, aerials and aerial reflectors of all kinds, part suitable for use therewith</t>
  </si>
  <si>
    <t>Mobile &amp; Telephone components</t>
  </si>
  <si>
    <t>Reception apparatus for television, whether or not incorporating radio-broadcast receivers or sound or video recording or reproducing apparatus; not designed to incorporate a video display or screen</t>
  </si>
  <si>
    <t>OTT Set Top Box/ Set Top Box</t>
  </si>
  <si>
    <t>Paper and paperboard; labels or all kinds, printed</t>
  </si>
  <si>
    <t>Instruments and apparatus; specially designed for telecommunications (e.g. cross-talk meters, gain measuring instruments, distortion factor meters, psophometers)</t>
  </si>
  <si>
    <t>Instruments for telecommunications</t>
  </si>
  <si>
    <t>Cases and containers; of a kind normally carried in the pocket or in the handbag, with outer surface of leather or of composition leather</t>
  </si>
  <si>
    <t>Cases and containers</t>
  </si>
  <si>
    <t>Cash registers</t>
  </si>
  <si>
    <t>Cash Registers - Others</t>
  </si>
  <si>
    <t>Radio remote control apparatus</t>
  </si>
  <si>
    <t>Cells and batteries; primary, manganese dioxide</t>
  </si>
  <si>
    <t>Cells and batteries</t>
  </si>
  <si>
    <t>Printed matter; trade advertising material, commercial catalogues and the like</t>
  </si>
  <si>
    <t>Commercial catalogues</t>
  </si>
  <si>
    <t>Microphones and stands therefor</t>
  </si>
  <si>
    <t xml:space="preserve">Mics </t>
  </si>
  <si>
    <t>Base stations</t>
  </si>
  <si>
    <t>Base Station</t>
  </si>
  <si>
    <t>Electrical transformers; liquid dielectric, having a power handling capacity exceeding 650kVA but not exceeding 10,000kVA</t>
  </si>
  <si>
    <t>Office machines; not elsewhere classified</t>
  </si>
  <si>
    <t>General office machines - Others</t>
  </si>
  <si>
    <t>Video recording or reproducing apparatus; other than magnetic tape-type</t>
  </si>
  <si>
    <t>Video recorders</t>
  </si>
  <si>
    <t>Wrist-watches; electrically operated, with or without a stop-watch, with case of precious metal or of metal clad with precious metal, with mechanical display only</t>
  </si>
  <si>
    <t>Expensive Watches</t>
  </si>
  <si>
    <t>Apparatus based on the use of x-rays, including radiography or radiotherapy apparatus; for other than medical, surgical, dental or veterinary uses</t>
  </si>
  <si>
    <t>Apparatus for x rays</t>
  </si>
  <si>
    <t>Magnetic media; other than cards incorporating a magnetic stripe, whether or not recorded, excluding products of Chapter 37</t>
  </si>
  <si>
    <t>Cards incorporating magnetic stripe</t>
  </si>
  <si>
    <t>Cells and batteries; primary, lithium</t>
  </si>
  <si>
    <t>Optical appliances and instruments; parts and accessories for articles of heading no. 9013</t>
  </si>
  <si>
    <t>Parts of optical appliances</t>
  </si>
  <si>
    <t>Microscopes (excluding optical microscopes); diffraction apparatus</t>
  </si>
  <si>
    <t>Microscopes</t>
  </si>
  <si>
    <t>Electrical apparatus; fuses, for a voltage not exceeding 1000 volts</t>
  </si>
  <si>
    <t>Signalling, safety or traffic control equipment; for railways or tramways (excluding those of heading no. 8608)</t>
  </si>
  <si>
    <t>Electric signal, safety &amp; traffic controls</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</si>
  <si>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</si>
  <si>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</si>
  <si>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Parts for signalling apparatus</t>
  </si>
  <si>
    <t>Copper; foil, backed with paper, paperboard, plastics or similar backing material, of a thickness (excluding any backing) not exceeding 0.15mm, of refined copper</t>
  </si>
  <si>
    <t>Textile products and articles for technical uses; n.e.c. in heading no. 5911</t>
  </si>
  <si>
    <t>Textile products</t>
  </si>
  <si>
    <t>Telephone sets and other apparatus for the transmission or reception of voice, images or other data, via a wired or wireless network; parts</t>
  </si>
  <si>
    <t>Instruments and apparatus; for measuring or checking voltage, current, resistance or power, without a recording device (excluding multimeters)</t>
  </si>
  <si>
    <t>Instruments for measuring voltage and resistance</t>
  </si>
  <si>
    <t>Navigational instruments and appliances; for aeronautical or space navigation (excluding compasses)</t>
  </si>
  <si>
    <t>Space navigation instruments</t>
  </si>
  <si>
    <t>Chromatographs and electrophoresis instruments</t>
  </si>
  <si>
    <t>Chromatographs</t>
  </si>
  <si>
    <t>Electrical apparatus; photosensitive, including photovoltaic cells, whether or not assembled in modules or made up into panels, light-emitting diodes (LED)</t>
  </si>
  <si>
    <t>Solar Cells</t>
  </si>
  <si>
    <t>Regulating or controlling instruments and apparatus; automatic, hydraulic or pneumatic</t>
  </si>
  <si>
    <t xml:space="preserve">Regulating </t>
  </si>
  <si>
    <t>Surveying equipment; parts and accessories for articles of heading no. 9015</t>
  </si>
  <si>
    <t>Parts of surveying equipment</t>
  </si>
  <si>
    <t>Electrical apparatus; photosensitive semiconductor devices n.e.c. in heading no. 8541</t>
  </si>
  <si>
    <t>Nickel; articles thereof n.e.c. in item no. 7508.1</t>
  </si>
  <si>
    <t>Telephone sets n.e.c. in item no. 8517.1</t>
  </si>
  <si>
    <t>Landline Phones</t>
  </si>
  <si>
    <t>Calculating machines; parts and accessories of the electronic calculating machines of item no. 8470.10, 8470.21 or 8470.29 (other than covers, carrying cases and the like)</t>
  </si>
  <si>
    <t>Parts of calculators</t>
  </si>
  <si>
    <t>Transmission apparatus for radio-broadcasting or television, whether or not incorporating sound recording or reproducing apparatus, incorporating reception apparatus</t>
  </si>
  <si>
    <t>Transmission Apparatus</t>
  </si>
  <si>
    <t>Projectors; capable of directly connecting to and designed for use with an automatic data processing machine of heading 84.71</t>
  </si>
  <si>
    <t>Projectros</t>
  </si>
  <si>
    <t>Electrical capacitors; fixed, dielectric of paper or plastics</t>
  </si>
  <si>
    <t>Electrical capacitors; fixed, n.e.c. in heading no. 8532</t>
  </si>
  <si>
    <t>Radio-broadcast receivers n.e.c. in heading no. 8527; combined with sound recording or reproducing apparatus</t>
  </si>
  <si>
    <t>Navigational instruments and appliances; for navigation other than aeronautical or space navigation (excluding direction finding compasses)</t>
  </si>
  <si>
    <t>Non space navigation instruments</t>
  </si>
  <si>
    <t>Instruments and apparatus; n.e.c. in heading no. 9030, without a recording device</t>
  </si>
  <si>
    <t>Instruments and apparatus; for measuring or detecting ionising radiations</t>
  </si>
  <si>
    <t>Instruments for detecting radiations</t>
  </si>
  <si>
    <t>Electrical apparatus; fuses, for a voltage exceeding 1000 volts</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</si>
  <si>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</si>
  <si>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</si>
  <si>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</si>
  <si>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</si>
  <si>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n.e.c. in heading no. 8535, for switching or protecting electrical circuits, for a voltage exceeding 1000 volts</t>
  </si>
  <si>
    <t>Electrical capacitors; fixed, tantalum</t>
  </si>
  <si>
    <t>Instruments and apparatus; for measuring or checking voltage, current, resistance or power, with a recording device (excluding multimeters)</t>
  </si>
  <si>
    <t>Electrical apparatus; for protecting electrical circuits, n.e.c. in heading no. 8536, for a voltage not exceeding 1000 volts</t>
  </si>
  <si>
    <t>Electric accumulators; nickel-metal hydride, including separators, whether or not rectangular (including square)</t>
  </si>
  <si>
    <t>Electrical transformers; liquid dielectric, having a power handling capacity not exceeding 650kVA</t>
  </si>
  <si>
    <t>X-ray tubes</t>
  </si>
  <si>
    <t>Electrical apparatus; lamp-holders, for a voltage not exceeding 1000 volts</t>
  </si>
  <si>
    <t>Lamp holders</t>
  </si>
  <si>
    <t>Electrical machines and apparatus; signal generators</t>
  </si>
  <si>
    <t>Electrical machines and apparatus</t>
  </si>
  <si>
    <t>Connectors for optical fibres, optical fibre bundles or cables</t>
  </si>
  <si>
    <t>Optical fibre cables</t>
  </si>
  <si>
    <t>Machinery; parts and accessories of the machines of item no. 8470.30. 8470.50 or 8470.90 (other than covers, carrying cases and the like)</t>
  </si>
  <si>
    <t>Parts of accounting machines (like ribbons)</t>
  </si>
  <si>
    <t>Glues and other adhesives; prepared, n.e.c. in heading no. 3506, not exceeding a net weight of 1kg</t>
  </si>
  <si>
    <t>Glues and other adhesives</t>
  </si>
  <si>
    <t>Projectors; n.e.c. in subheading 8528.62, whether or not colour</t>
  </si>
  <si>
    <t>Projects</t>
  </si>
  <si>
    <t>Sound recording or reproducing apparatus; using magnetic, optical or semiconductor media, n.e.c. in item no 8519.20, 8519.30 or 8519.50</t>
  </si>
  <si>
    <t>Sound recorders</t>
  </si>
  <si>
    <t>Media n.e.c. in heading 8523, whether or not recorded, excluding products of Chapter 37</t>
  </si>
  <si>
    <t>Tapes, cassets</t>
  </si>
  <si>
    <t>Lamps; sealed beam units</t>
  </si>
  <si>
    <t>Lamps; filament, (excluding ultra-violet or infra-red), tungsten halogen</t>
  </si>
  <si>
    <t>Lamps; filament, (excluding ultra-violet or infra-red), of a power not exceeding 200W and for a voltage exceeding 100 volts, other than tungsten halogen</t>
  </si>
  <si>
    <t>Lamps; filament, (excluding ultra-violet or infra-red), n.e.c. in item no. 8539.2</t>
  </si>
  <si>
    <t>Electrical apparatus; thyristors, diacs and triacs, other than photosensitive devices</t>
  </si>
  <si>
    <t>Thyristors, diacs, triacs</t>
  </si>
  <si>
    <t>Lamps; discharge, (excluding ultra-violet), mercury or sodium vapour lamps, metal halide lamps</t>
  </si>
  <si>
    <t>Lamps; discharge, (excluding ultra-violet, excluding fluorescent, hot cathode)</t>
  </si>
  <si>
    <t>Lamps; arc-lamps</t>
  </si>
  <si>
    <t>Lamps; ultra-violet or infra-red lamps, (excluding arc-lamps)</t>
  </si>
  <si>
    <t>Instruments and apparatus; n.e.c. in heading no. 9030, with a recording device</t>
  </si>
  <si>
    <t>Lamps; parts of the lamps of heading no. 8539</t>
  </si>
  <si>
    <t>Parts of lamps</t>
  </si>
  <si>
    <t>Transmission apparatus for radio-broadcasting or television, whether or not incorporating sound recording or reproducing apparatus, not incorporating reception apparatus</t>
  </si>
  <si>
    <t>Sound or video recording or reproducing apparatus; parts and accessories thereof, other than pick-up cartridges</t>
  </si>
  <si>
    <t>Machinery; parts and accessories (other than covers, carrying cases and the like) of the machines of heading no. 8471</t>
  </si>
  <si>
    <t>Motherboard</t>
  </si>
  <si>
    <t>Printing, copying, and facsimile machines; single-function printing, copying or facsimile machines, not capable of connecting to an automatic data processing machine or to a network</t>
  </si>
  <si>
    <t>Electrical machines and apparatus; for electroplating, electrolysis or electrophoresis</t>
  </si>
  <si>
    <t>Television cameras, digital cameras and video camera recorders</t>
  </si>
  <si>
    <t>Digital Camera</t>
  </si>
  <si>
    <t>Line telephone sets with cordless handsets</t>
  </si>
  <si>
    <t>Television cameras, digital cameras and video camera recorders; high-speed goods as specified in subheading note 1 to this chapter</t>
  </si>
  <si>
    <t>Television cameras, digital cameras and video camera recorders; night vision goods as specified in subheading note 3 to this chapter</t>
  </si>
  <si>
    <t>Electrical insulators; other than of glass and ceramics</t>
  </si>
  <si>
    <t>Electrical insulators</t>
  </si>
  <si>
    <t>Machinery; parts and accessories (other than covers, carrying cases and the like) of the machines of heading no. 8472</t>
  </si>
  <si>
    <t>Parts of office machines like power switch, power cord</t>
  </si>
  <si>
    <t>Electrodes; coated, of base metal, for electric arc-welding</t>
  </si>
  <si>
    <t>Electrodes</t>
  </si>
  <si>
    <t>Paper and paperboard; labels of all kinds, unprinted</t>
  </si>
  <si>
    <t>Medical, surgical instruments and appliances; electro-cardiographs</t>
  </si>
  <si>
    <t>Semiconductor media; other than smart cards, whether or not recorded, excluding products of Chapter 37</t>
  </si>
  <si>
    <t>Other media</t>
  </si>
  <si>
    <t>Radio-broadcast receivers not capable of operating without an external source of power, of a kind used in motor vehicles; not combined with sound recording or reproducing apparatus</t>
  </si>
  <si>
    <t>Magnets; permanent magnets and articles intended to become permanent magnets after magnetisation, other than of metal</t>
  </si>
  <si>
    <t>Amplifier sets; electric sound</t>
  </si>
  <si>
    <t>Wrist-watches; electrically operated, with or without a stop-watch, (other than those of heading no. 9101) with opto-electronic display only</t>
  </si>
  <si>
    <t>Wrist watch</t>
  </si>
  <si>
    <t>Sound recording or reproducing apparatus; n.e.c. in heading no 8519</t>
  </si>
  <si>
    <t>Microscopes (excluding optical microscopes); diffraction apparatus; parts and accessories</t>
  </si>
  <si>
    <t>Parts of microscopes</t>
  </si>
  <si>
    <t>Oscilloscopes and oscillographs</t>
  </si>
  <si>
    <t>Electrical capacitors; parts of the capacitors of heading no. 8532</t>
  </si>
  <si>
    <t>Parts of electrical capacitors</t>
  </si>
  <si>
    <t>Wire; cored, of base metal, for electric arc-welding</t>
  </si>
  <si>
    <t>Wires</t>
  </si>
  <si>
    <t>Electrical resistors; fixed, for a power handling capacity exceeding 20W (including rheostats and potentiometers but excluding heating resistors and carbon resistors)</t>
  </si>
  <si>
    <t>Regulating or controlling instruments and apparatus; automatic, manostats</t>
  </si>
  <si>
    <t>Lubricating preparations; for the treatment of textile and similar materials (leather, furskins etc), (not containing petroleum oils or oils obtained from bituminous minerals)</t>
  </si>
  <si>
    <t>Lubricants</t>
  </si>
  <si>
    <t>Machines incorporating a calculating device; n.e.c. in heading no. 8470</t>
  </si>
  <si>
    <t>Machines with calculator</t>
  </si>
  <si>
    <t>Multimeters; for measuring or checking voltage, current, resistance or power (other than those for measuring or checking semiconductor wafer or devices), without a recording device</t>
  </si>
  <si>
    <t>Flat panel display modules, whether or not incorporating touch-sensitive screens; of other than liquid crystals or organic light-emitting diodes (OLED), with drivers or control circuits</t>
  </si>
  <si>
    <t>Electric accumulators; nickel-cadmium, including separators, whether or not rectangular (including square)</t>
  </si>
  <si>
    <t>Flat panel display modules, whether or not incorporating touch-sensitive screens; of organic light-emitting diodes (OLED), without drivers or control circuits</t>
  </si>
  <si>
    <t>Electrical apparatus; photosensitive semiconductor devices, semiconductor-based transducers</t>
  </si>
  <si>
    <t>Medical, surgical instruments and appliances; ultra-violet or infra-red ray apparatus</t>
  </si>
  <si>
    <t>Electric accumulators; other than lead-acid, nickel-cadmium, nickel-metal hydride and lithium-ion, including separators, whether or not rectangular (including square)</t>
  </si>
  <si>
    <t>Transformers; n.e.c. in item no. 8504.2, having a power handling capacity exceeding 1kVA but not exceeding 16kVA</t>
  </si>
  <si>
    <t>Insulated electric conductors; winding wire, of copper</t>
  </si>
  <si>
    <t>Insulated electric conductors; winding wire, (of other than copper)</t>
  </si>
  <si>
    <t>Calculating machines; electronic calculators capable of operation without an external source of electric power and pocket-size data recording, reproducing and displaying machines with calculating functions</t>
  </si>
  <si>
    <t>Calculator</t>
  </si>
  <si>
    <t>Insulated electric conductors; ignition wiring sets and other wiring sets of a kind used in vehicles, aircraft or ships</t>
  </si>
  <si>
    <t>Cells and batteries; primary, parts thereof</t>
  </si>
  <si>
    <t>Parts of cells and batteries</t>
  </si>
  <si>
    <t>Radio-broadcast receivers n.e.c. in heading no. 8527; not combined with sound recording or reproducing apparatus and not combined with a clock</t>
  </si>
  <si>
    <t>Clocks; (excluding those with watch movements and instrument panel clocks), wall clocks, electrically operated</t>
  </si>
  <si>
    <t>Wall Clocks</t>
  </si>
  <si>
    <t>Carbon brushes; with or without metal, used for electrical purposes</t>
  </si>
  <si>
    <t>Carbon brushes</t>
  </si>
  <si>
    <t>Carbon electrodes; with or without metal, of a kind used for furnaces</t>
  </si>
  <si>
    <t>Carbon electrodes</t>
  </si>
  <si>
    <t>Carbon electrodes; with or without metal, of a kind used for other than furnaces</t>
  </si>
  <si>
    <t>Tubes; television camera tubes, image converters and intensifiers, other photo-cathode tubes</t>
  </si>
  <si>
    <t>Cathode ray tubes</t>
  </si>
  <si>
    <t>Multimeters; for measuring or checking voltage, current, resistance or power, with a recording device</t>
  </si>
  <si>
    <t>Electrical insulators; of glass</t>
  </si>
  <si>
    <t>Electrical insulators; of ceramics</t>
  </si>
  <si>
    <t>Electrical capacitors; fixed, designed for use in 50/60 Hz circuits and having a reactive power handling capacity of not less than 0.5 kvar (power capacitors)</t>
  </si>
  <si>
    <t>Insulating fittings; of ceramics, for electrical machines, of insulating material only (except minor assembly parts), excluding those of heading no. 8546</t>
  </si>
  <si>
    <t>Insulating fittings</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</si>
  <si>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</si>
  <si>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</si>
  <si>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Waste and scrap of primary cells, primary batteries and electric accumulators; spent primary cells, spent primary batteries and spent electric accumulators</t>
  </si>
  <si>
    <t>Waste and Scrap of cells</t>
  </si>
  <si>
    <t>Electrical parts of machinery or apparatus; n.e.c. in chapter 85</t>
  </si>
  <si>
    <t>Other parts of waste and scraps</t>
  </si>
  <si>
    <t>Cells and batteries; primary, (other than manganese dioxide, mercuric oxide, silver oxide, lithium or air-zinc)</t>
  </si>
  <si>
    <t>Lamps; discharge, (excluding ultra-violet), fluorescent, hot cathode</t>
  </si>
  <si>
    <t>Balances; of a sensitivity of 5cg or better, with or without weights</t>
  </si>
  <si>
    <t>Used for measuring weights</t>
  </si>
  <si>
    <t>Rods and wire; coated rods and cored wire, of base metal, for soldering, brazing or welding by flame</t>
  </si>
  <si>
    <t>Rods and wire</t>
  </si>
  <si>
    <t>Carbon; lamp carbons, battery carbons and other articles of graphite or other carbon, with or without metal, of a kind used for electrical purposes</t>
  </si>
  <si>
    <t>Lamp carbon, battery carbon</t>
  </si>
  <si>
    <t>Electrical capacitors; fixed, ceramic dielectric, single layer</t>
  </si>
  <si>
    <t>Radio broadcast receivers capable of operating without an external power source; apparatus (other than pocket-size radio cassette-players), combined with sound recording or reproducing apparatus</t>
  </si>
  <si>
    <t>Watch movements; complete and assembled, electrically operated, with mechanical display only or with a device to which a mechanical display can be incorporated</t>
  </si>
  <si>
    <t>Parts of watches</t>
  </si>
  <si>
    <t>Apparatus based on the use of x-rays; including radiography or radiotherapy apparatus, for dental uses, excluding computed tomography apparatus</t>
  </si>
  <si>
    <t>Radio broadcast receivers capable of operating without an external power source; n.e.c. in item no. 8527.1</t>
  </si>
  <si>
    <t>Lighters; whether or not mechanical or electrical, n.e.c. in heading no. 9613</t>
  </si>
  <si>
    <t>Electric Lighters</t>
  </si>
  <si>
    <t>Electrical resistors; fixed carbon resistors, composition or film types (including rheostats and potentiometers but excluding heating resistors)</t>
  </si>
  <si>
    <t>Drawing, marking-out or mathematical calculating instruments</t>
  </si>
  <si>
    <t>Instruments used to measure and calculate while drawing</t>
  </si>
  <si>
    <t>Resistors; parts of the resistors of heading no. 8533</t>
  </si>
  <si>
    <t>Parts of electrical resistors</t>
  </si>
  <si>
    <t>Video recording or reproducing apparatus; magnetic tape-type</t>
  </si>
  <si>
    <t>Optical media; unrecorded, excluding products of Chapter 37</t>
  </si>
  <si>
    <t>Tubes; microwave, magnetrons, excluding grid-controlled tubes</t>
  </si>
  <si>
    <t>an electron tube for amplifying or generating microwaves</t>
  </si>
  <si>
    <t>Clocks; (excluding those with watch movements and instrument panel clocks), alarm clocks, electrically operated</t>
  </si>
  <si>
    <t>Clocks</t>
  </si>
  <si>
    <t>Cells and batteries; primary, air-zinc</t>
  </si>
  <si>
    <t>Flat panel display modules, whether or not incorporating touch-sensitive screens; of other than liquid crystals or organic light-emitting diodes (OLED), without drivers or control circuits</t>
  </si>
  <si>
    <t>Apparatus based on the use of alpha, beta, gamma or other ionising radiations, including radiography or radiotherapy apparatus; (for other than medical, surgical, dental or veterinary uses)</t>
  </si>
  <si>
    <t>Apparatus for radiations non medical</t>
  </si>
  <si>
    <t>Ribbons; for typewriters and the like, inked or otherwise prepared, for giving impressions, whether or not on spools or in cartridges</t>
  </si>
  <si>
    <t>Ribbons for typewriters</t>
  </si>
  <si>
    <t>Medical, surgical instruments and appliances; scintigraphic apparatus</t>
  </si>
  <si>
    <t>Electrical capacitors; variable or adjustable (pre-set) capacitors</t>
  </si>
  <si>
    <t>Sound recording or reproducing apparatus; turntables (record-decks)</t>
  </si>
  <si>
    <t>Sound Recording apparatus, like dj turntable</t>
  </si>
  <si>
    <t>Valves and tubes; n.e.c. in heading no. 8540</t>
  </si>
  <si>
    <t xml:space="preserve"> Valves and tubes</t>
  </si>
  <si>
    <t>Magnetic media; cards incorporating a magnetic stripe, whether or not recorded, excluding products of Chapter 37</t>
  </si>
  <si>
    <t>Electrical machines and apparatus; particle accelerators</t>
  </si>
  <si>
    <t>Apparatus based on the use of alpha, beta or gamma radiations, including radiography or radiotherapy apparatus; for medical, surgical, dental or veterinary uses</t>
  </si>
  <si>
    <t>Cells and batteries; primary, silver oxide</t>
  </si>
  <si>
    <t>Time recording apparatus; with clock or watch movement or with synchronous motor, n.e.c. in heading no. 9106</t>
  </si>
  <si>
    <t>Commercial - punchin punchout machines</t>
  </si>
  <si>
    <t>Tubes; microwave (for example klystrons, travelling wave tubes, carlinotrons), excluding magnetrons and grid-controlled tubes</t>
  </si>
  <si>
    <t>Electrical apparatus; photosensitive semiconductor devices n.e.c. in heading no. 8541, including photovoltaic cells, whether or not assembled in modules or made up into panels</t>
  </si>
  <si>
    <t>Telephones for cellular networks or for other wireless networks</t>
  </si>
  <si>
    <t>Mobile Phone</t>
  </si>
  <si>
    <t>Monitors; cathode-ray tube, n.e.c. in subheading 8528.42, whether or not colour</t>
  </si>
  <si>
    <t>Clocks; (excluding those with watch movements and instrument panel clocks), (other than alarm or wall clocks), electrically operated</t>
  </si>
  <si>
    <t>Ignition or starting equipment; ignition magnetos, magneto-dynamos and magnetic flywheels, of a kind used for spark or compression-ignition internal combustion engines</t>
  </si>
  <si>
    <t>Ignition equipment</t>
  </si>
  <si>
    <t>Time recording apparatus; time-registers, time recorders, with clock, watch movement or synchronous motor</t>
  </si>
  <si>
    <t>Valves and tubes; parts of the valves and tubes of heading no. 8540, excluding parts of cathode-ray tubes</t>
  </si>
  <si>
    <t>Parts of valves and tubes</t>
  </si>
  <si>
    <t>Television cameras, digital cameras and video camera recorders; radiation-hardened or radiation-tolerant goods as specified in subheading note 2 to this chapter</t>
  </si>
  <si>
    <t>Valves and tubes; receiver or amplifier</t>
  </si>
  <si>
    <t>Radio-broadcast receivers n.e.c. in heading no. 8527; not combined with sound recording or reproducing apparatus but combined with a clock</t>
  </si>
  <si>
    <t>Calculating machines; electronic, incorporating a printing device, needing an external source of power</t>
  </si>
  <si>
    <t>Reception apparatus for television, whether or not incorporating radio-broadcast receivers or sound or video recording or reproducing apparatus; incorporating a monochrome video display or screen</t>
  </si>
  <si>
    <t>Reception apparatus for television</t>
  </si>
  <si>
    <t>Monitors; cathode-ray tube, capable of directly connecting to and designed for use with an automatic data processing machine of heading 84.71</t>
  </si>
  <si>
    <t>Electrical resistors; wirewound variable, including rheostats and potentiometers, for a power handling capacity not exceeding 20W (excluding heating)</t>
  </si>
  <si>
    <t>Calculating machines; electronic, (not incorporating a printing device), needing an external power source</t>
  </si>
  <si>
    <t>Pocket watches and other watches, including stop-watches; (excluding wrist-watches), other than those of heading no. 9101, electrically operated</t>
  </si>
  <si>
    <t>Watches</t>
  </si>
  <si>
    <t>Sound recording or reproducing apparatus; parts and accessories thereof, pick-up cartridges</t>
  </si>
  <si>
    <t>Electrical resistors; wirewound variable, including rheostats and potentiometers, for a power handling capacity exceeding 20W (excluding heating)</t>
  </si>
  <si>
    <t>Pocket-watches and other watches, including stop-watches; (excluding wrist-watches), with case of precious metal or of metal clad with precious metal, electrically operated</t>
  </si>
  <si>
    <t>Pocket Watches</t>
  </si>
  <si>
    <t>Tubes; parts of cathode-ray tubes</t>
  </si>
  <si>
    <t>Clock movements; complete and assembled, electrically operated</t>
  </si>
  <si>
    <t>Clock movements</t>
  </si>
  <si>
    <t>Sound recording or reproducing apparatus; operated by coins, banknotes, bank cards, tokens or by other means of payment</t>
  </si>
  <si>
    <t>Sound Recording apparatus for modes of payments</t>
  </si>
  <si>
    <t>Calculating machines; non-electronic</t>
  </si>
  <si>
    <t>Clocks; with watch movements, electrically operated, excluding clocks of heading no. 9104</t>
  </si>
  <si>
    <t xml:space="preserve">Clocks </t>
  </si>
  <si>
    <t>Watch movements; complete and assembled, electrically operated, by means of solar cells, without mechanical display or device including such or opto-electronic display</t>
  </si>
  <si>
    <t>Tubes; data/graphic display tubes, monochrome; data/graphic display tubes, colour, with a phosphor dot screen pitch smaller than 0.4mm</t>
  </si>
  <si>
    <t>Display tubes</t>
  </si>
  <si>
    <t>Radio broadcast receivers capable of operating without an external power source; pocket-size radio cassette-players</t>
  </si>
  <si>
    <t>Cassette players</t>
  </si>
  <si>
    <t>Watch movements; complete and assembled, electrically operated, by means of solar cells, with opto-electronic display</t>
  </si>
  <si>
    <t>Watch movements</t>
  </si>
  <si>
    <t>Tubes; cathode-ray television picture tubes, including video monitor cathode-ray tubes, colour</t>
  </si>
  <si>
    <t>Tubes; cathode ray, n.e.c. in heading no. 8540</t>
  </si>
  <si>
    <t>Cells and batteries; primary, mercuric oxide</t>
  </si>
  <si>
    <t>Tubes; cathode-ray television picture tubes, including video monitor cathode-ray tubes, black and white or other monochrome</t>
  </si>
  <si>
    <t>Lamps; light-emitting diode (LED) lamps</t>
  </si>
  <si>
    <t>LED Lamps</t>
  </si>
  <si>
    <t>Electric accumulators; nickel-iron, including separators, whether or not rectangular (including square)</t>
  </si>
  <si>
    <t>Sound recording or reproducing apparatus; telephone answering machines</t>
  </si>
  <si>
    <t>Answering Machines</t>
  </si>
  <si>
    <t>PS. This is a WIP sheet, please refer to the original sheet.</t>
  </si>
  <si>
    <t>Sl no.</t>
  </si>
  <si>
    <t>World Exports 2022 
(USD Bn)</t>
  </si>
  <si>
    <t>Update description</t>
  </si>
  <si>
    <t>Incorrect classification</t>
  </si>
  <si>
    <t>Not mentioned in WCO 2022 edition</t>
  </si>
  <si>
    <t>Relook the category</t>
  </si>
  <si>
    <t>Basis for inclusion</t>
  </si>
  <si>
    <t>Approach 1</t>
  </si>
  <si>
    <t>HS Code Description</t>
  </si>
  <si>
    <t>Product Category</t>
  </si>
  <si>
    <t>Included in FED Definition</t>
  </si>
  <si>
    <t>Comment</t>
  </si>
  <si>
    <t>Included in the new definition (Yes / No)</t>
  </si>
  <si>
    <t>ICRIER 4-digit HSN</t>
  </si>
  <si>
    <t>Status</t>
  </si>
  <si>
    <t>Offset printing machinery, reel-fed</t>
  </si>
  <si>
    <t>Printing Machinery</t>
  </si>
  <si>
    <t>Mapped but not included</t>
  </si>
  <si>
    <t>Done</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</si>
  <si>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</si>
  <si>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</si>
  <si>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</si>
  <si>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Not mapped</t>
  </si>
  <si>
    <t>Letterpress printing machinery, other than reel fed, excluding flexographic printing</t>
  </si>
  <si>
    <t>Flexographic printing machinery</t>
  </si>
  <si>
    <t>Gravure printing machinery</t>
  </si>
  <si>
    <t>Other printers, copying machines and facsimile machines, whether or not combined</t>
  </si>
  <si>
    <t>Analogue or hybrid automatic data processing machines</t>
  </si>
  <si>
    <t>Laptop</t>
  </si>
  <si>
    <t>Other</t>
  </si>
  <si>
    <t>Other Component in Laptop</t>
  </si>
  <si>
    <t>-</t>
  </si>
  <si>
    <t>Incorrect classification, classified as FG instead of Component. UN WCO classification: other unit of automatic data processing machines (laptop / desktop)</t>
  </si>
  <si>
    <t>Duplicating machines</t>
  </si>
  <si>
    <t>Office Machines</t>
  </si>
  <si>
    <t>NA</t>
  </si>
  <si>
    <t>Not mapped, basis of exclusion unclear as 847290 is included, as these products even if mechanical typically include motors, sensors, or control circuits for automation</t>
  </si>
  <si>
    <t>Machines for sorting or folding mail or for inserting mail in envelopes or bands, machines for opening, closing or sealing mail and machines for affixing or cancelling postage stamps</t>
  </si>
  <si>
    <t>Other office machines</t>
  </si>
  <si>
    <t>Basis of inclusion unclear when 847210 and 847220 are not included</t>
  </si>
  <si>
    <t>Parts and accessories equally suitable for use with the machines of two or more of the headings 84.70 to 84.72</t>
  </si>
  <si>
    <t>Parts and acessories for 8470-8472</t>
  </si>
  <si>
    <t>Mapped but not included, basis of exclusion unclear because all other HSN Codes within the 8473 group are included</t>
  </si>
  <si>
    <t>Universal AC/DC motors of an output exceeding 37.5 W</t>
  </si>
  <si>
    <t>Electric Motor and Generators</t>
  </si>
  <si>
    <t>Not mapped, basis of exclusion unclear as 850110 is included</t>
  </si>
  <si>
    <t>Other DC motors; DC generators, other than photovoltaic generators : Of an output not exceeding 750 W</t>
  </si>
  <si>
    <t>Other DC motors; DC generators, other than photovoltaic generators : Of an output exceeding 750 W but not exceeding 75 kW</t>
  </si>
  <si>
    <t>Other DC motors; DC generators, other than photovoltaic generators : Of an output exceeding 75 kW but not exceeding 375 kW</t>
  </si>
  <si>
    <t>Other DC motors; DC generators, other than photovoltaic generators : Of an output exceeding 375 kW</t>
  </si>
  <si>
    <t>Other AC motors, single-phase</t>
  </si>
  <si>
    <t>Other AC motors, multi-phase : Of an output not exceeding 750 W</t>
  </si>
  <si>
    <t>Other AC motors, multi-phase : Of an output exceeding 750 W but not exceeding 75 kW</t>
  </si>
  <si>
    <t>Other AC motors, multi-phase : Of an output exceeding 75 kW</t>
  </si>
  <si>
    <t>AC generators (alternators), other than photovoltaic generators :Of an output not exceeding 75 kVA</t>
  </si>
  <si>
    <t>AC generators (alternators), other than photovoltaic generators : - Of an output exceeding 75 kVA but not exceeding 375 kVA</t>
  </si>
  <si>
    <t>AC generators (alternators), other than photovoltaic generators : Of an output exceeding 375 kVA but not exceeding 750 kVA</t>
  </si>
  <si>
    <t>AC generators (alternators), other than photovoltaic generators : Of an output exceeding 750 kVA</t>
  </si>
  <si>
    <t>Photovoltaic DC generators : Of an output not exceeding 50 W</t>
  </si>
  <si>
    <t>Photovoltaic DC generators : Of an output exceeding 50 W</t>
  </si>
  <si>
    <t>Photovoltaic AC generators</t>
  </si>
  <si>
    <t>Ballasts for discharge lamps or tubes</t>
  </si>
  <si>
    <t>Electrical transformers, static converters (for example, rectifiers) and inductors.</t>
  </si>
  <si>
    <t>Liquid dielectric transformers; Having a power handling capacity exceeding 10,000 kVA</t>
  </si>
  <si>
    <t>Mapped but not included, despite other liquid dielectric transformers being incuded</t>
  </si>
  <si>
    <t>Other transformers, Having a power handling capacity exceeding 16 kVA but not
exceeding 500 kVA</t>
  </si>
  <si>
    <t>Other transformers; Having a power handling capacity exceeding 500 kVA</t>
  </si>
  <si>
    <t>Electro-magnetic couplings, clutches and brakes</t>
  </si>
  <si>
    <t>Electro-magnets</t>
  </si>
  <si>
    <t>Other, including parts</t>
  </si>
  <si>
    <t>Ignition magnetos; magneto-dynamos; magnetic flywheels</t>
  </si>
  <si>
    <t>Electric ignition or equipments used to spark egnition</t>
  </si>
  <si>
    <t>Distributors; ignition coils</t>
  </si>
  <si>
    <t>Starter motors and dual purpose starter-generators</t>
  </si>
  <si>
    <t>Other generators</t>
  </si>
  <si>
    <t>Other equipment</t>
  </si>
  <si>
    <t>Parts</t>
  </si>
  <si>
    <t>Electric instantaneous or storage  water  heaters  and  immersion heaters</t>
  </si>
  <si>
    <t>Electric/ Instant Water Heaters</t>
  </si>
  <si>
    <t>Mapped but not included due to small world share</t>
  </si>
  <si>
    <t>Electric space heating apparatus and electric soil heating apparatus : other</t>
  </si>
  <si>
    <t>Electric space heating apparatus and electric soil heating apparatus : storage heating radiators</t>
  </si>
  <si>
    <t>Hair dryers</t>
  </si>
  <si>
    <t>Hair Dryer</t>
  </si>
  <si>
    <t>Other hair-dressing apparatus</t>
  </si>
  <si>
    <t>Other Hair Dryers</t>
  </si>
  <si>
    <t>Hand-drying apparatus</t>
  </si>
  <si>
    <t>Electric smoothing irons</t>
  </si>
  <si>
    <t>Smoothing Iron</t>
  </si>
  <si>
    <t>Electric heating resistors</t>
  </si>
  <si>
    <t>Electro Thermic Appliances Parts</t>
  </si>
  <si>
    <t>Telephones</t>
  </si>
  <si>
    <t>Not Present in WCO Mapping</t>
  </si>
  <si>
    <t>Telephone</t>
  </si>
  <si>
    <t>TV Camera</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</si>
  <si>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</si>
  <si>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Fuses</t>
  </si>
  <si>
    <t>Automatic circuit breakers : For avoltage of 72.5kV</t>
  </si>
  <si>
    <t>Automatic circuit breakers : Other</t>
  </si>
  <si>
    <t>Isolating switches and make-and-break switches</t>
  </si>
  <si>
    <t>Lightning arresters, voltage limiters and surge suppressors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</si>
  <si>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</si>
  <si>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Other apparatus</t>
  </si>
  <si>
    <t>LEDs</t>
  </si>
  <si>
    <t>Light-emitting diode (LED) modules</t>
  </si>
  <si>
    <t xml:space="preserve">Not mapped </t>
  </si>
  <si>
    <t>Light-emitting diode (LED) lamps</t>
  </si>
  <si>
    <t>Winding wire : of copper</t>
  </si>
  <si>
    <t>Winding wire : other</t>
  </si>
  <si>
    <t>Ignition  wiring  sets  and  other  wiring  sets  of  a  kind  used  in vehicles, aircraft or ships</t>
  </si>
  <si>
    <t>Classified in other electronics must be in Consumer Durables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</si>
</sst>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8">
    <font>
      <sz val="11"/>
      <color theme="1"/>
      <name val="Aptos Narrow"/>
      <family val="2"/>
      <scheme val="minor"/>
    </font>
    <font>
      <sz val="11"/>
      <color theme="1"/>
      <name val="Aptos Narrow"/>
      <family val="2"/>
      <scheme val="minor"/>
    </font>
    <font>
      <b/>
      <sz val="11"/>
      <color theme="0"/>
      <name val="Aptos Narrow"/>
      <family val="2"/>
      <scheme val="minor"/>
    </font>
    <font>
      <u/>
      <sz val="11"/>
      <color theme="10"/>
      <name val="Aptos Narrow"/>
      <family val="2"/>
      <scheme val="minor"/>
    </font>
    <font>
      <sz val="8"/>
      <color theme="1"/>
      <name val="Arial"/>
      <family val="2"/>
    </font>
    <font>
      <b/>
      <sz val="8"/>
      <color theme="1"/>
      <name val="Arial"/>
      <family val="2"/>
    </font>
    <font>
      <sz val="8"/>
      <name val="Arial"/>
      <family val="2"/>
    </font>
    <font>
      <b/>
      <sz val="11"/>
      <color theme="1"/>
      <name val="Aptos Narrow"/>
      <family val="2"/>
      <scheme val="minor"/>
    </font>
  </fonts>
  <fills count="7">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style="dashed">
        <color indexed="64"/>
      </left>
      <right style="dashed">
        <color indexed="64"/>
      </right>
      <top style="dashed">
        <color indexed="64"/>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84">
    <xf numFmtId="0" fontId="0" fillId="0" borderId="0" xfId="0"/>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0" xfId="0"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center" vertical="center" wrapText="1"/>
    </xf>
    <xf numFmtId="2" fontId="0" fillId="0" borderId="1" xfId="0" applyNumberFormat="1" applyBorder="1" applyAlignment="1">
      <alignment horizontal="center" vertical="center" wrapText="1"/>
    </xf>
    <xf numFmtId="164" fontId="0" fillId="0" borderId="1" xfId="1" applyNumberFormat="1" applyFont="1" applyFill="1" applyBorder="1" applyAlignment="1">
      <alignment horizontal="center" vertical="center" wrapText="1"/>
    </xf>
    <xf numFmtId="0" fontId="0" fillId="0" borderId="1" xfId="0" applyBorder="1" applyAlignment="1">
      <alignment horizontal="left" vertical="top" wrapText="1"/>
    </xf>
    <xf numFmtId="164" fontId="0" fillId="3" borderId="1" xfId="1" applyNumberFormat="1" applyFont="1" applyFill="1" applyBorder="1" applyAlignment="1">
      <alignment horizontal="center" vertical="center" wrapText="1"/>
    </xf>
    <xf numFmtId="0" fontId="0" fillId="0" borderId="0" xfId="0" applyAlignment="1">
      <alignment horizontal="center" vertical="top" wrapText="1"/>
    </xf>
    <xf numFmtId="0" fontId="0" fillId="0" borderId="0" xfId="0" applyAlignment="1">
      <alignment horizontal="center" vertical="center" wrapText="1"/>
    </xf>
    <xf numFmtId="164" fontId="0" fillId="0" borderId="0" xfId="1" applyNumberFormat="1" applyFont="1" applyAlignment="1">
      <alignment horizontal="center" vertical="center" wrapText="1"/>
    </xf>
    <xf numFmtId="2" fontId="0" fillId="0" borderId="0" xfId="0" applyNumberFormat="1" applyAlignment="1">
      <alignment horizontal="center" vertical="top" wrapText="1"/>
    </xf>
    <xf numFmtId="43" fontId="0" fillId="0" borderId="0" xfId="0" applyNumberFormat="1" applyAlignment="1">
      <alignment horizontal="left" vertical="top" wrapText="1"/>
    </xf>
    <xf numFmtId="0" fontId="0" fillId="0" borderId="0" xfId="0" applyAlignment="1">
      <alignment horizontal="left" vertical="top"/>
    </xf>
    <xf numFmtId="0" fontId="0" fillId="4" borderId="0" xfId="0" applyFill="1" applyAlignment="1">
      <alignment horizontal="left" vertical="top"/>
    </xf>
    <xf numFmtId="10" fontId="0" fillId="0" borderId="0" xfId="0" applyNumberFormat="1" applyAlignment="1">
      <alignment horizontal="left" vertical="top" wrapText="1"/>
    </xf>
    <xf numFmtId="10" fontId="0" fillId="0" borderId="4" xfId="0" applyNumberFormat="1" applyBorder="1" applyAlignment="1">
      <alignment horizontal="left" vertical="top" wrapText="1"/>
    </xf>
    <xf numFmtId="2" fontId="0" fillId="0" borderId="0" xfId="0" applyNumberFormat="1" applyAlignment="1">
      <alignment horizontal="left" vertical="top" wrapText="1"/>
    </xf>
    <xf numFmtId="2" fontId="0" fillId="0" borderId="3" xfId="0" applyNumberFormat="1" applyBorder="1" applyAlignment="1">
      <alignment horizontal="center" vertical="center" wrapText="1"/>
    </xf>
    <xf numFmtId="2" fontId="0" fillId="0" borderId="5" xfId="0" applyNumberFormat="1" applyBorder="1" applyAlignment="1">
      <alignment horizontal="center" vertical="center" wrapText="1"/>
    </xf>
    <xf numFmtId="2" fontId="0" fillId="0" borderId="6" xfId="0" applyNumberFormat="1" applyBorder="1" applyAlignment="1">
      <alignment horizontal="center" vertical="center" wrapText="1"/>
    </xf>
    <xf numFmtId="2" fontId="0" fillId="0" borderId="4" xfId="0" applyNumberFormat="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left" vertical="top" wrapText="1"/>
    </xf>
    <xf numFmtId="0" fontId="0" fillId="0" borderId="7" xfId="0" applyBorder="1" applyAlignment="1">
      <alignment horizontal="center" vertical="center" wrapText="1"/>
    </xf>
    <xf numFmtId="164" fontId="0" fillId="3" borderId="3" xfId="1"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left" vertical="top"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left" vertical="center" wrapText="1"/>
    </xf>
    <xf numFmtId="0" fontId="0" fillId="0" borderId="6" xfId="0" applyBorder="1" applyAlignment="1">
      <alignment horizontal="left" vertical="top" wrapText="1"/>
    </xf>
    <xf numFmtId="0" fontId="0" fillId="0" borderId="9" xfId="0" applyBorder="1" applyAlignment="1">
      <alignment horizontal="center" vertical="center" wrapText="1"/>
    </xf>
    <xf numFmtId="164" fontId="0" fillId="3" borderId="5" xfId="1" applyNumberFormat="1" applyFont="1" applyFill="1" applyBorder="1" applyAlignment="1">
      <alignment horizontal="center" vertical="center" wrapText="1"/>
    </xf>
    <xf numFmtId="164" fontId="0" fillId="3" borderId="6" xfId="1" applyNumberFormat="1" applyFont="1" applyFill="1" applyBorder="1" applyAlignment="1">
      <alignment horizontal="center" vertical="center" wrapText="1"/>
    </xf>
    <xf numFmtId="0" fontId="2"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10" fontId="0" fillId="0" borderId="4" xfId="0" applyNumberFormat="1" applyBorder="1" applyAlignment="1">
      <alignment horizontal="center" vertical="center" wrapText="1"/>
    </xf>
    <xf numFmtId="164" fontId="0" fillId="0" borderId="4" xfId="1" applyNumberFormat="1" applyFont="1" applyFill="1" applyBorder="1" applyAlignment="1">
      <alignment horizontal="center" vertical="center" wrapText="1"/>
    </xf>
    <xf numFmtId="0" fontId="0" fillId="0" borderId="4" xfId="0" applyBorder="1" applyAlignment="1">
      <alignment horizontal="left" vertical="top" wrapText="1"/>
    </xf>
    <xf numFmtId="2" fontId="0" fillId="0" borderId="4" xfId="0" applyNumberFormat="1" applyBorder="1" applyAlignment="1">
      <alignment horizontal="left" vertical="top"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xf>
    <xf numFmtId="2" fontId="0" fillId="0" borderId="0" xfId="0" applyNumberFormat="1" applyAlignment="1">
      <alignment horizontal="center" vertical="center" wrapText="1"/>
    </xf>
    <xf numFmtId="2" fontId="0" fillId="0" borderId="3" xfId="0" applyNumberFormat="1" applyBorder="1" applyAlignment="1">
      <alignment horizontal="left" vertical="top" wrapText="1"/>
    </xf>
    <xf numFmtId="2" fontId="0" fillId="0" borderId="5" xfId="0" applyNumberFormat="1" applyBorder="1" applyAlignment="1">
      <alignment horizontal="left" vertical="top" wrapText="1"/>
    </xf>
    <xf numFmtId="2" fontId="0" fillId="0" borderId="6" xfId="0" applyNumberFormat="1" applyBorder="1" applyAlignment="1">
      <alignment horizontal="left" vertical="top" wrapText="1"/>
    </xf>
    <xf numFmtId="10" fontId="0" fillId="0" borderId="0" xfId="0" applyNumberFormat="1" applyAlignment="1">
      <alignment horizontal="center" vertical="center" wrapText="1"/>
    </xf>
    <xf numFmtId="164" fontId="0" fillId="3" borderId="0" xfId="1" applyNumberFormat="1" applyFont="1" applyFill="1" applyBorder="1" applyAlignment="1">
      <alignment horizontal="center" vertical="center" wrapText="1"/>
    </xf>
    <xf numFmtId="10" fontId="0" fillId="0" borderId="6" xfId="0" applyNumberFormat="1" applyBorder="1" applyAlignment="1">
      <alignment horizontal="center" vertical="center" wrapText="1"/>
    </xf>
    <xf numFmtId="164" fontId="0" fillId="3" borderId="4" xfId="1" applyNumberFormat="1" applyFont="1" applyFill="1" applyBorder="1" applyAlignment="1">
      <alignment horizontal="center" vertical="center" wrapText="1"/>
    </xf>
    <xf numFmtId="164" fontId="0" fillId="0" borderId="3" xfId="1" applyNumberFormat="1" applyFont="1" applyFill="1" applyBorder="1" applyAlignment="1">
      <alignment horizontal="center" vertical="center" wrapText="1"/>
    </xf>
    <xf numFmtId="10" fontId="0" fillId="0" borderId="3" xfId="0" applyNumberFormat="1" applyBorder="1" applyAlignment="1">
      <alignment horizontal="left" vertical="top" wrapText="1"/>
    </xf>
    <xf numFmtId="10" fontId="0" fillId="0" borderId="5" xfId="0" applyNumberFormat="1" applyBorder="1" applyAlignment="1">
      <alignment horizontal="left" vertical="top" wrapText="1"/>
    </xf>
    <xf numFmtId="10" fontId="0" fillId="0" borderId="6" xfId="0" applyNumberFormat="1" applyBorder="1" applyAlignment="1">
      <alignment horizontal="left" vertical="top" wrapText="1"/>
    </xf>
    <xf numFmtId="10" fontId="0" fillId="0" borderId="5" xfId="0" applyNumberFormat="1" applyBorder="1" applyAlignment="1">
      <alignment horizontal="center" vertical="center" wrapText="1"/>
    </xf>
    <xf numFmtId="10" fontId="0" fillId="0" borderId="3" xfId="0" applyNumberFormat="1" applyBorder="1" applyAlignment="1">
      <alignment horizontal="center" vertical="center" wrapText="1"/>
    </xf>
    <xf numFmtId="10" fontId="0" fillId="0" borderId="1" xfId="0" applyNumberFormat="1" applyBorder="1" applyAlignment="1">
      <alignment horizontal="center" vertical="center" wrapText="1"/>
    </xf>
    <xf numFmtId="164" fontId="0" fillId="0" borderId="6" xfId="1" applyNumberFormat="1" applyFont="1" applyFill="1" applyBorder="1" applyAlignment="1">
      <alignment horizontal="center" vertical="center" wrapText="1"/>
    </xf>
    <xf numFmtId="164" fontId="0" fillId="0" borderId="5" xfId="1" applyNumberFormat="1" applyFont="1" applyFill="1" applyBorder="1" applyAlignment="1">
      <alignment horizontal="center" vertical="center" wrapText="1"/>
    </xf>
    <xf numFmtId="0" fontId="0" fillId="5" borderId="4" xfId="0" applyFill="1" applyBorder="1" applyAlignment="1">
      <alignment horizontal="center" vertical="center" wrapText="1"/>
    </xf>
    <xf numFmtId="0" fontId="4" fillId="0" borderId="0" xfId="0" applyFont="1" applyAlignment="1">
      <alignment horizontal="fill" vertical="center"/>
    </xf>
    <xf numFmtId="0" fontId="0" fillId="5" borderId="6" xfId="0"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wrapText="1"/>
    </xf>
    <xf numFmtId="0" fontId="7" fillId="0" borderId="0" xfId="0" applyFont="1"/>
    <xf numFmtId="0" fontId="5" fillId="0" borderId="0" xfId="0" applyFont="1" applyAlignment="1">
      <alignment horizontal="center" vertical="center"/>
    </xf>
    <xf numFmtId="0" fontId="0" fillId="5" borderId="3" xfId="0" applyFill="1" applyBorder="1" applyAlignment="1">
      <alignment horizontal="center" vertical="center" wrapText="1"/>
    </xf>
    <xf numFmtId="0" fontId="0" fillId="6" borderId="4" xfId="0" applyFill="1" applyBorder="1" applyAlignment="1">
      <alignment horizontal="left" vertical="top" wrapText="1"/>
    </xf>
    <xf numFmtId="0" fontId="0" fillId="0" borderId="4" xfId="0" applyBorder="1" applyAlignment="1">
      <alignment horizontal="center" vertical="top" wrapText="1"/>
    </xf>
    <xf numFmtId="0" fontId="5" fillId="0" borderId="0" xfId="0" applyFont="1" applyAlignment="1">
      <alignment horizontal="center" vertical="center" wrapText="1"/>
    </xf>
  </cellXfs>
  <cellStyles count="3">
    <cellStyle name="Hyperlink 2" xfId="2" xr:uid="{FAB7E6A5-86C9-4C71-A256-FBBCF326C302}"/>
    <cellStyle name="Normal" xfId="0" builtinId="0"/>
    <cellStyle name="Percent 2" xfId="1" xr:uid="{E1319042-8BEA-4637-ADD7-68770B39F1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edevorganisation-my.sharepoint.com/personal/vaishnavi_fedev_org1/Documents/globalExport.xlsx" TargetMode="External"/><Relationship Id="rId1" Type="http://schemas.openxmlformats.org/officeDocument/2006/relationships/externalLinkPath" Target="https://fedevorganisation-my.sharepoint.com/personal/vaishnavi_fedev_org1/Documents/globalEx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A2">
            <v>320890</v>
          </cell>
          <cell r="B2">
            <v>8.6537101952210005</v>
          </cell>
        </row>
        <row r="3">
          <cell r="A3">
            <v>340391</v>
          </cell>
          <cell r="B3">
            <v>0.87775538727500002</v>
          </cell>
        </row>
        <row r="4">
          <cell r="A4">
            <v>350699</v>
          </cell>
          <cell r="B4">
            <v>1.6991903286950001</v>
          </cell>
        </row>
        <row r="5">
          <cell r="A5">
            <v>390390</v>
          </cell>
          <cell r="B5">
            <v>3.2636025156569999</v>
          </cell>
        </row>
        <row r="6">
          <cell r="A6">
            <v>390799</v>
          </cell>
          <cell r="B6">
            <v>9.5463049618969986</v>
          </cell>
        </row>
        <row r="7">
          <cell r="A7">
            <v>390890</v>
          </cell>
          <cell r="B7">
            <v>3.8829469254190001</v>
          </cell>
        </row>
        <row r="8">
          <cell r="A8">
            <v>391910</v>
          </cell>
          <cell r="B8">
            <v>7.4096828822939997</v>
          </cell>
        </row>
        <row r="9">
          <cell r="A9">
            <v>391990</v>
          </cell>
          <cell r="B9">
            <v>16.916632911762999</v>
          </cell>
        </row>
        <row r="10">
          <cell r="A10">
            <v>392099</v>
          </cell>
          <cell r="B10">
            <v>6.6535540425119999</v>
          </cell>
        </row>
        <row r="11">
          <cell r="A11">
            <v>392329</v>
          </cell>
          <cell r="B11">
            <v>6.4363017115919998</v>
          </cell>
        </row>
        <row r="12">
          <cell r="A12">
            <v>392350</v>
          </cell>
          <cell r="B12">
            <v>10.239862327998001</v>
          </cell>
        </row>
        <row r="13">
          <cell r="A13">
            <v>392390</v>
          </cell>
          <cell r="B13">
            <v>10.527820536562</v>
          </cell>
        </row>
        <row r="14">
          <cell r="A14">
            <v>392690</v>
          </cell>
          <cell r="B14">
            <v>78.071509607585995</v>
          </cell>
        </row>
        <row r="15">
          <cell r="A15">
            <v>401693</v>
          </cell>
          <cell r="B15">
            <v>12.732100473252</v>
          </cell>
        </row>
        <row r="16">
          <cell r="A16">
            <v>401699</v>
          </cell>
          <cell r="B16">
            <v>15.021053707816</v>
          </cell>
        </row>
        <row r="17">
          <cell r="A17">
            <v>420231</v>
          </cell>
          <cell r="B17">
            <v>3.8307026293669999</v>
          </cell>
        </row>
        <row r="18">
          <cell r="A18">
            <v>481910</v>
          </cell>
          <cell r="B18">
            <v>10.531777493152999</v>
          </cell>
        </row>
        <row r="19">
          <cell r="A19">
            <v>481920</v>
          </cell>
          <cell r="B19">
            <v>10.643337309847</v>
          </cell>
        </row>
        <row r="20">
          <cell r="A20">
            <v>482110</v>
          </cell>
          <cell r="B20">
            <v>4.1380441611199998</v>
          </cell>
        </row>
        <row r="21">
          <cell r="A21">
            <v>482190</v>
          </cell>
          <cell r="B21">
            <v>1.333836487348</v>
          </cell>
        </row>
        <row r="22">
          <cell r="A22">
            <v>482390</v>
          </cell>
          <cell r="B22">
            <v>5.7828255382930003</v>
          </cell>
        </row>
        <row r="23">
          <cell r="A23">
            <v>490199</v>
          </cell>
          <cell r="B23">
            <v>11.975023359263</v>
          </cell>
        </row>
        <row r="24">
          <cell r="A24">
            <v>491110</v>
          </cell>
          <cell r="B24">
            <v>3.7314122865689998</v>
          </cell>
        </row>
        <row r="25">
          <cell r="A25">
            <v>591190</v>
          </cell>
          <cell r="B25">
            <v>3.0218510123660001</v>
          </cell>
        </row>
        <row r="26">
          <cell r="A26">
            <v>731815</v>
          </cell>
          <cell r="B26">
            <v>21.633941819135</v>
          </cell>
        </row>
        <row r="27">
          <cell r="A27">
            <v>731816</v>
          </cell>
          <cell r="B27">
            <v>7.2936237428970001</v>
          </cell>
        </row>
        <row r="28">
          <cell r="A28">
            <v>732690</v>
          </cell>
          <cell r="B28">
            <v>56.681497920562002</v>
          </cell>
        </row>
        <row r="29">
          <cell r="A29">
            <v>741021</v>
          </cell>
          <cell r="B29">
            <v>2.2127888473150001</v>
          </cell>
        </row>
        <row r="30">
          <cell r="A30">
            <v>750890</v>
          </cell>
          <cell r="B30">
            <v>2.9794597851529998</v>
          </cell>
        </row>
        <row r="31">
          <cell r="A31">
            <v>761699</v>
          </cell>
          <cell r="B31">
            <v>21.276963931343001</v>
          </cell>
        </row>
        <row r="32">
          <cell r="A32">
            <v>831110</v>
          </cell>
          <cell r="B32">
            <v>1.358832157076</v>
          </cell>
        </row>
        <row r="33">
          <cell r="A33">
            <v>831120</v>
          </cell>
          <cell r="B33">
            <v>1.0360941828900001</v>
          </cell>
        </row>
        <row r="34">
          <cell r="A34">
            <v>831130</v>
          </cell>
          <cell r="B34">
            <v>0.488274200464</v>
          </cell>
        </row>
        <row r="35">
          <cell r="A35">
            <v>841430</v>
          </cell>
          <cell r="B35">
            <v>15.339787264435</v>
          </cell>
        </row>
        <row r="36">
          <cell r="A36">
            <v>841510</v>
          </cell>
          <cell r="B36">
            <v>19.259622660325</v>
          </cell>
        </row>
        <row r="37">
          <cell r="A37">
            <v>841590</v>
          </cell>
          <cell r="B37">
            <v>26.168544777245</v>
          </cell>
        </row>
        <row r="38">
          <cell r="A38">
            <v>841810</v>
          </cell>
          <cell r="B38">
            <v>15.840095449912001</v>
          </cell>
        </row>
        <row r="39">
          <cell r="A39">
            <v>841869</v>
          </cell>
          <cell r="B39">
            <v>12.170637277023999</v>
          </cell>
        </row>
        <row r="40">
          <cell r="A40">
            <v>841899</v>
          </cell>
          <cell r="B40">
            <v>7.8768174245839999</v>
          </cell>
        </row>
        <row r="41">
          <cell r="A41">
            <v>844331</v>
          </cell>
          <cell r="B41">
            <v>14.992823884915</v>
          </cell>
        </row>
        <row r="42">
          <cell r="A42">
            <v>844332</v>
          </cell>
          <cell r="B42">
            <v>11.245684141639</v>
          </cell>
        </row>
        <row r="43">
          <cell r="A43">
            <v>844339</v>
          </cell>
          <cell r="B43">
            <v>1.459932682779</v>
          </cell>
        </row>
        <row r="44">
          <cell r="A44">
            <v>844391</v>
          </cell>
          <cell r="B44">
            <v>2.3725079293119999</v>
          </cell>
        </row>
        <row r="45">
          <cell r="A45">
            <v>844399</v>
          </cell>
          <cell r="B45">
            <v>36.740430565026003</v>
          </cell>
        </row>
        <row r="46">
          <cell r="A46">
            <v>845011</v>
          </cell>
          <cell r="B46">
            <v>8.6549862598330005</v>
          </cell>
        </row>
        <row r="47">
          <cell r="A47">
            <v>847010</v>
          </cell>
          <cell r="B47">
            <v>0.66161057732899997</v>
          </cell>
        </row>
        <row r="48">
          <cell r="A48">
            <v>847021</v>
          </cell>
          <cell r="B48">
            <v>0.11060272900900001</v>
          </cell>
        </row>
        <row r="49">
          <cell r="A49">
            <v>847029</v>
          </cell>
          <cell r="B49">
            <v>7.7261274374000002E-2</v>
          </cell>
        </row>
        <row r="50">
          <cell r="A50">
            <v>847030</v>
          </cell>
          <cell r="B50">
            <v>2.9651200833000001E-2</v>
          </cell>
        </row>
        <row r="51">
          <cell r="A51">
            <v>847050</v>
          </cell>
          <cell r="B51">
            <v>4.0777666635449998</v>
          </cell>
        </row>
        <row r="52">
          <cell r="A52">
            <v>847090</v>
          </cell>
          <cell r="B52">
            <v>0.93628640761699999</v>
          </cell>
        </row>
        <row r="53">
          <cell r="A53">
            <v>847130</v>
          </cell>
          <cell r="B53">
            <v>144.271888945287</v>
          </cell>
        </row>
        <row r="54">
          <cell r="A54">
            <v>847141</v>
          </cell>
          <cell r="B54">
            <v>12.766807882550999</v>
          </cell>
        </row>
        <row r="55">
          <cell r="A55">
            <v>847149</v>
          </cell>
          <cell r="B55">
            <v>17.673710722578001</v>
          </cell>
        </row>
        <row r="56">
          <cell r="A56">
            <v>847150</v>
          </cell>
          <cell r="B56">
            <v>85.358386828720995</v>
          </cell>
        </row>
        <row r="57">
          <cell r="A57">
            <v>847160</v>
          </cell>
          <cell r="B57">
            <v>13.284499998555001</v>
          </cell>
        </row>
        <row r="58">
          <cell r="A58">
            <v>847170</v>
          </cell>
          <cell r="B58">
            <v>48.228817590486997</v>
          </cell>
        </row>
        <row r="59">
          <cell r="A59">
            <v>847180</v>
          </cell>
          <cell r="B59">
            <v>61.198088266355001</v>
          </cell>
        </row>
        <row r="60">
          <cell r="A60">
            <v>847190</v>
          </cell>
          <cell r="B60">
            <v>9.4439260706430002</v>
          </cell>
        </row>
        <row r="61">
          <cell r="A61">
            <v>847290</v>
          </cell>
          <cell r="B61">
            <v>3.5590619713559999</v>
          </cell>
        </row>
        <row r="62">
          <cell r="A62">
            <v>847321</v>
          </cell>
          <cell r="B62">
            <v>0.28605842175899998</v>
          </cell>
        </row>
        <row r="63">
          <cell r="A63">
            <v>847329</v>
          </cell>
          <cell r="B63">
            <v>1.4866739984220001</v>
          </cell>
        </row>
        <row r="64">
          <cell r="A64">
            <v>847330</v>
          </cell>
          <cell r="B64">
            <v>101.489021800598</v>
          </cell>
        </row>
        <row r="65">
          <cell r="A65">
            <v>847340</v>
          </cell>
          <cell r="B65">
            <v>1.8880518161269999</v>
          </cell>
        </row>
        <row r="66">
          <cell r="A66">
            <v>850110</v>
          </cell>
          <cell r="B66">
            <v>13.415732138578999</v>
          </cell>
        </row>
        <row r="67">
          <cell r="A67">
            <v>850421</v>
          </cell>
          <cell r="B67">
            <v>2.9954998294980002</v>
          </cell>
        </row>
        <row r="68">
          <cell r="A68">
            <v>850422</v>
          </cell>
          <cell r="B68">
            <v>3.6744228825710001</v>
          </cell>
        </row>
        <row r="69">
          <cell r="A69">
            <v>850431</v>
          </cell>
          <cell r="B69">
            <v>5.3274734973079996</v>
          </cell>
        </row>
        <row r="70">
          <cell r="A70">
            <v>850432</v>
          </cell>
          <cell r="B70">
            <v>0.88106283707499999</v>
          </cell>
        </row>
        <row r="71">
          <cell r="A71">
            <v>850440</v>
          </cell>
          <cell r="B71">
            <v>98.358429669063995</v>
          </cell>
        </row>
        <row r="72">
          <cell r="A72">
            <v>850450</v>
          </cell>
          <cell r="B72">
            <v>11.967115180339</v>
          </cell>
        </row>
        <row r="73">
          <cell r="A73">
            <v>850490</v>
          </cell>
          <cell r="B73">
            <v>14.507583395753</v>
          </cell>
        </row>
        <row r="74">
          <cell r="A74">
            <v>850511</v>
          </cell>
          <cell r="B74">
            <v>5.3618323877580014</v>
          </cell>
        </row>
        <row r="75">
          <cell r="A75">
            <v>850519</v>
          </cell>
          <cell r="B75">
            <v>1.208454785557</v>
          </cell>
        </row>
        <row r="76">
          <cell r="A76">
            <v>850610</v>
          </cell>
          <cell r="B76">
            <v>3.786357228205</v>
          </cell>
        </row>
        <row r="77">
          <cell r="A77">
            <v>850630</v>
          </cell>
          <cell r="B77">
            <v>7.7720484970000003E-3</v>
          </cell>
        </row>
        <row r="78">
          <cell r="A78">
            <v>850640</v>
          </cell>
          <cell r="B78">
            <v>0.23692865362500001</v>
          </cell>
        </row>
        <row r="79">
          <cell r="A79">
            <v>850650</v>
          </cell>
          <cell r="B79">
            <v>3.2430580539770002</v>
          </cell>
        </row>
        <row r="80">
          <cell r="A80">
            <v>850660</v>
          </cell>
          <cell r="B80">
            <v>0.30569915674999998</v>
          </cell>
        </row>
        <row r="81">
          <cell r="A81">
            <v>850680</v>
          </cell>
          <cell r="B81">
            <v>0.56293520028300004</v>
          </cell>
        </row>
        <row r="82">
          <cell r="A82">
            <v>850690</v>
          </cell>
          <cell r="B82">
            <v>0.64828004260200001</v>
          </cell>
        </row>
        <row r="83">
          <cell r="A83">
            <v>850710</v>
          </cell>
          <cell r="B83">
            <v>10.407177281411</v>
          </cell>
        </row>
        <row r="84">
          <cell r="A84">
            <v>850720</v>
          </cell>
          <cell r="B84">
            <v>7.86658604474</v>
          </cell>
        </row>
        <row r="85">
          <cell r="A85">
            <v>850730</v>
          </cell>
          <cell r="B85">
            <v>0.80974356439400008</v>
          </cell>
        </row>
        <row r="86">
          <cell r="A86">
            <v>850740</v>
          </cell>
          <cell r="B86">
            <v>1.4374333000000001E-4</v>
          </cell>
        </row>
        <row r="87">
          <cell r="A87">
            <v>850750</v>
          </cell>
          <cell r="B87">
            <v>1.943289555387</v>
          </cell>
        </row>
        <row r="88">
          <cell r="A88">
            <v>850760</v>
          </cell>
          <cell r="B88">
            <v>116.65569449471199</v>
          </cell>
        </row>
        <row r="89">
          <cell r="A89">
            <v>850780</v>
          </cell>
          <cell r="B89">
            <v>0.66649505784299989</v>
          </cell>
        </row>
        <row r="90">
          <cell r="A90">
            <v>850790</v>
          </cell>
          <cell r="B90">
            <v>4.4739754568230001</v>
          </cell>
        </row>
        <row r="91">
          <cell r="A91">
            <v>850811</v>
          </cell>
          <cell r="B91">
            <v>12.157487151111001</v>
          </cell>
        </row>
        <row r="92">
          <cell r="A92">
            <v>850980</v>
          </cell>
          <cell r="B92">
            <v>10.565024992382</v>
          </cell>
        </row>
        <row r="93">
          <cell r="A93">
            <v>851120</v>
          </cell>
          <cell r="B93">
            <v>0.163098253123</v>
          </cell>
        </row>
        <row r="94">
          <cell r="A94">
            <v>851650</v>
          </cell>
          <cell r="B94">
            <v>4.7173621473909986</v>
          </cell>
        </row>
        <row r="95">
          <cell r="A95">
            <v>851660</v>
          </cell>
          <cell r="B95">
            <v>17.213390671150002</v>
          </cell>
        </row>
        <row r="96">
          <cell r="A96">
            <v>851671</v>
          </cell>
          <cell r="B96">
            <v>7.6759483784690001</v>
          </cell>
        </row>
        <row r="97">
          <cell r="A97">
            <v>851679</v>
          </cell>
          <cell r="B97">
            <v>7.0890083560270014</v>
          </cell>
        </row>
        <row r="98">
          <cell r="A98">
            <v>851711</v>
          </cell>
          <cell r="B98">
            <v>1.3967776739090001</v>
          </cell>
        </row>
        <row r="99">
          <cell r="A99">
            <v>851712</v>
          </cell>
          <cell r="B99">
            <v>1.4761961932E-2</v>
          </cell>
        </row>
        <row r="100">
          <cell r="A100">
            <v>851713</v>
          </cell>
          <cell r="B100">
            <v>258.37542148954401</v>
          </cell>
        </row>
        <row r="101">
          <cell r="A101">
            <v>851714</v>
          </cell>
          <cell r="B101">
            <v>9.4715023762759998</v>
          </cell>
        </row>
        <row r="102">
          <cell r="A102">
            <v>851718</v>
          </cell>
          <cell r="B102">
            <v>2.4277364576320002</v>
          </cell>
        </row>
        <row r="103">
          <cell r="A103">
            <v>851761</v>
          </cell>
          <cell r="B103">
            <v>3.4201397597929999</v>
          </cell>
        </row>
        <row r="104">
          <cell r="A104">
            <v>851762</v>
          </cell>
          <cell r="B104">
            <v>183.23441796431399</v>
          </cell>
        </row>
        <row r="105">
          <cell r="A105">
            <v>851769</v>
          </cell>
          <cell r="B105">
            <v>8.1507891939070003</v>
          </cell>
        </row>
        <row r="106">
          <cell r="A106">
            <v>851770</v>
          </cell>
          <cell r="B106">
            <v>0.155911278397</v>
          </cell>
        </row>
        <row r="107">
          <cell r="A107">
            <v>851771</v>
          </cell>
          <cell r="B107">
            <v>4.2829552076889996</v>
          </cell>
        </row>
        <row r="108">
          <cell r="A108">
            <v>851779</v>
          </cell>
          <cell r="B108">
            <v>57.189251670072998</v>
          </cell>
        </row>
        <row r="109">
          <cell r="A109">
            <v>851810</v>
          </cell>
          <cell r="B109">
            <v>4.1596166656219999</v>
          </cell>
        </row>
        <row r="110">
          <cell r="A110">
            <v>851821</v>
          </cell>
          <cell r="B110">
            <v>4.7718302641220003</v>
          </cell>
        </row>
        <row r="111">
          <cell r="A111">
            <v>851822</v>
          </cell>
          <cell r="B111">
            <v>7.5493075274289998</v>
          </cell>
        </row>
        <row r="112">
          <cell r="A112">
            <v>851829</v>
          </cell>
          <cell r="B112">
            <v>5.0907303440070004</v>
          </cell>
        </row>
        <row r="113">
          <cell r="A113">
            <v>851830</v>
          </cell>
          <cell r="B113">
            <v>12.908286800326</v>
          </cell>
        </row>
        <row r="114">
          <cell r="A114">
            <v>851840</v>
          </cell>
          <cell r="B114">
            <v>4.3384380780880001</v>
          </cell>
        </row>
        <row r="115">
          <cell r="A115">
            <v>851850</v>
          </cell>
          <cell r="B115">
            <v>1.2061600622049999</v>
          </cell>
        </row>
        <row r="116">
          <cell r="A116">
            <v>851890</v>
          </cell>
          <cell r="B116">
            <v>4.2687244973440004</v>
          </cell>
        </row>
        <row r="117">
          <cell r="A117">
            <v>851920</v>
          </cell>
          <cell r="B117">
            <v>3.1648326768000001E-2</v>
          </cell>
        </row>
        <row r="118">
          <cell r="A118">
            <v>851930</v>
          </cell>
          <cell r="B118">
            <v>0.26067226916399999</v>
          </cell>
        </row>
        <row r="119">
          <cell r="A119">
            <v>851950</v>
          </cell>
          <cell r="B119">
            <v>9.7697999999999992E-8</v>
          </cell>
        </row>
        <row r="120">
          <cell r="A120">
            <v>851981</v>
          </cell>
          <cell r="B120">
            <v>1.72957833223</v>
          </cell>
        </row>
        <row r="121">
          <cell r="A121">
            <v>851989</v>
          </cell>
          <cell r="B121">
            <v>0.97728734585499999</v>
          </cell>
        </row>
        <row r="122">
          <cell r="A122">
            <v>852110</v>
          </cell>
          <cell r="B122">
            <v>0.38054519863800002</v>
          </cell>
        </row>
        <row r="123">
          <cell r="A123">
            <v>852190</v>
          </cell>
          <cell r="B123">
            <v>3.5031479193949999</v>
          </cell>
        </row>
        <row r="124">
          <cell r="A124">
            <v>852210</v>
          </cell>
          <cell r="B124">
            <v>6.3850237781999997E-2</v>
          </cell>
        </row>
        <row r="125">
          <cell r="A125">
            <v>852290</v>
          </cell>
          <cell r="B125">
            <v>1.531553771732</v>
          </cell>
        </row>
        <row r="126">
          <cell r="A126">
            <v>852321</v>
          </cell>
          <cell r="B126">
            <v>0.23965496985199999</v>
          </cell>
        </row>
        <row r="127">
          <cell r="A127">
            <v>852329</v>
          </cell>
          <cell r="B127">
            <v>3.476950983429</v>
          </cell>
        </row>
        <row r="128">
          <cell r="A128">
            <v>852341</v>
          </cell>
          <cell r="B128">
            <v>0.379127301887</v>
          </cell>
        </row>
        <row r="129">
          <cell r="A129">
            <v>852349</v>
          </cell>
          <cell r="B129">
            <v>7.8887866990159994</v>
          </cell>
        </row>
        <row r="130">
          <cell r="A130">
            <v>852351</v>
          </cell>
          <cell r="B130">
            <v>29.208101418685999</v>
          </cell>
        </row>
        <row r="131">
          <cell r="A131">
            <v>852352</v>
          </cell>
          <cell r="B131">
            <v>6.3289830810080003</v>
          </cell>
        </row>
        <row r="132">
          <cell r="A132">
            <v>852359</v>
          </cell>
          <cell r="B132">
            <v>1.263181517991</v>
          </cell>
        </row>
        <row r="133">
          <cell r="A133">
            <v>852380</v>
          </cell>
          <cell r="B133">
            <v>1.6556662940810001</v>
          </cell>
        </row>
        <row r="134">
          <cell r="A134">
            <v>852411</v>
          </cell>
          <cell r="B134">
            <v>6.542580937206</v>
          </cell>
        </row>
        <row r="135">
          <cell r="A135">
            <v>852412</v>
          </cell>
          <cell r="B135">
            <v>0.79812529696199996</v>
          </cell>
        </row>
        <row r="136">
          <cell r="A136">
            <v>852419</v>
          </cell>
          <cell r="B136">
            <v>0.29630305189</v>
          </cell>
        </row>
        <row r="137">
          <cell r="A137">
            <v>852491</v>
          </cell>
          <cell r="B137">
            <v>32.795974514587002</v>
          </cell>
        </row>
        <row r="138">
          <cell r="A138">
            <v>852492</v>
          </cell>
          <cell r="B138">
            <v>17.474533034141</v>
          </cell>
        </row>
        <row r="139">
          <cell r="A139">
            <v>852499</v>
          </cell>
          <cell r="B139">
            <v>0.84997151753</v>
          </cell>
        </row>
        <row r="140">
          <cell r="A140">
            <v>852550</v>
          </cell>
          <cell r="B140">
            <v>1.5627640513859999</v>
          </cell>
        </row>
        <row r="141">
          <cell r="A141">
            <v>852560</v>
          </cell>
          <cell r="B141">
            <v>2.325747968445</v>
          </cell>
        </row>
        <row r="142">
          <cell r="A142">
            <v>852580</v>
          </cell>
          <cell r="B142">
            <v>4.5455717012999997E-2</v>
          </cell>
        </row>
        <row r="143">
          <cell r="A143">
            <v>852581</v>
          </cell>
          <cell r="B143">
            <v>1.63044668368</v>
          </cell>
        </row>
        <row r="144">
          <cell r="A144">
            <v>852582</v>
          </cell>
          <cell r="B144">
            <v>0.14313913732299999</v>
          </cell>
        </row>
        <row r="145">
          <cell r="A145">
            <v>852583</v>
          </cell>
          <cell r="B145">
            <v>1.382219788422</v>
          </cell>
        </row>
        <row r="146">
          <cell r="A146">
            <v>852589</v>
          </cell>
          <cell r="B146">
            <v>31.167708608616</v>
          </cell>
        </row>
        <row r="147">
          <cell r="A147">
            <v>852610</v>
          </cell>
          <cell r="B147">
            <v>6.8170815568869996</v>
          </cell>
        </row>
        <row r="148">
          <cell r="A148">
            <v>852691</v>
          </cell>
          <cell r="B148">
            <v>9.5262881782380013</v>
          </cell>
        </row>
        <row r="149">
          <cell r="A149">
            <v>852692</v>
          </cell>
          <cell r="B149">
            <v>4.0074355896110001</v>
          </cell>
        </row>
        <row r="150">
          <cell r="A150">
            <v>852712</v>
          </cell>
          <cell r="B150">
            <v>1.5478665242999999E-2</v>
          </cell>
        </row>
        <row r="151">
          <cell r="A151">
            <v>852713</v>
          </cell>
          <cell r="B151">
            <v>0.54554590077199994</v>
          </cell>
        </row>
        <row r="152">
          <cell r="A152">
            <v>852719</v>
          </cell>
          <cell r="B152">
            <v>0.49018123995599999</v>
          </cell>
        </row>
        <row r="153">
          <cell r="A153">
            <v>852721</v>
          </cell>
          <cell r="B153">
            <v>4.7361861393240003</v>
          </cell>
        </row>
        <row r="154">
          <cell r="A154">
            <v>852729</v>
          </cell>
          <cell r="B154">
            <v>1.229424253296</v>
          </cell>
        </row>
        <row r="155">
          <cell r="A155">
            <v>852791</v>
          </cell>
          <cell r="B155">
            <v>2.1888732179399999</v>
          </cell>
        </row>
        <row r="156">
          <cell r="A156">
            <v>852792</v>
          </cell>
          <cell r="B156">
            <v>0.13578457753199999</v>
          </cell>
        </row>
        <row r="157">
          <cell r="A157">
            <v>852799</v>
          </cell>
          <cell r="B157">
            <v>0.64533531540300004</v>
          </cell>
        </row>
        <row r="158">
          <cell r="A158">
            <v>852842</v>
          </cell>
          <cell r="B158">
            <v>8.4117534867999999E-2</v>
          </cell>
        </row>
        <row r="159">
          <cell r="A159">
            <v>852849</v>
          </cell>
          <cell r="B159">
            <v>0.200068891134</v>
          </cell>
        </row>
        <row r="160">
          <cell r="A160">
            <v>852852</v>
          </cell>
          <cell r="B160">
            <v>19.740381860507</v>
          </cell>
        </row>
        <row r="161">
          <cell r="A161">
            <v>852859</v>
          </cell>
          <cell r="B161">
            <v>11.426649644269</v>
          </cell>
        </row>
        <row r="162">
          <cell r="A162">
            <v>852862</v>
          </cell>
          <cell r="B162">
            <v>2.3042678079029999</v>
          </cell>
        </row>
        <row r="163">
          <cell r="A163">
            <v>852869</v>
          </cell>
          <cell r="B163">
            <v>1.7700690900180001</v>
          </cell>
        </row>
        <row r="164">
          <cell r="A164">
            <v>852871</v>
          </cell>
          <cell r="B164">
            <v>3.0431370561520001</v>
          </cell>
        </row>
        <row r="165">
          <cell r="A165">
            <v>852872</v>
          </cell>
          <cell r="B165">
            <v>42.542929357849999</v>
          </cell>
        </row>
        <row r="166">
          <cell r="A166">
            <v>852873</v>
          </cell>
          <cell r="B166">
            <v>8.941672790699999E-2</v>
          </cell>
        </row>
        <row r="167">
          <cell r="A167">
            <v>852910</v>
          </cell>
          <cell r="B167">
            <v>4.998315682136</v>
          </cell>
        </row>
        <row r="168">
          <cell r="A168">
            <v>852990</v>
          </cell>
          <cell r="B168">
            <v>37.048427108119</v>
          </cell>
        </row>
        <row r="169">
          <cell r="A169">
            <v>853110</v>
          </cell>
          <cell r="B169">
            <v>5.3407366209309997</v>
          </cell>
        </row>
        <row r="170">
          <cell r="A170">
            <v>853120</v>
          </cell>
          <cell r="B170">
            <v>5.0279102022829996</v>
          </cell>
        </row>
        <row r="171">
          <cell r="A171">
            <v>853180</v>
          </cell>
          <cell r="B171">
            <v>4.7878456711409996</v>
          </cell>
        </row>
        <row r="172">
          <cell r="A172">
            <v>853190</v>
          </cell>
          <cell r="B172">
            <v>4.3490720956780002</v>
          </cell>
        </row>
        <row r="173">
          <cell r="A173">
            <v>853210</v>
          </cell>
          <cell r="B173">
            <v>0.566891379034</v>
          </cell>
        </row>
        <row r="174">
          <cell r="A174">
            <v>853221</v>
          </cell>
          <cell r="B174">
            <v>2.0035033360279999</v>
          </cell>
        </row>
        <row r="175">
          <cell r="A175">
            <v>853222</v>
          </cell>
          <cell r="B175">
            <v>5.7871595937650007</v>
          </cell>
        </row>
        <row r="176">
          <cell r="A176">
            <v>853223</v>
          </cell>
          <cell r="B176">
            <v>0.55859561527099999</v>
          </cell>
        </row>
        <row r="177">
          <cell r="A177">
            <v>853224</v>
          </cell>
          <cell r="B177">
            <v>17.623938805037</v>
          </cell>
        </row>
        <row r="178">
          <cell r="A178">
            <v>853225</v>
          </cell>
          <cell r="B178">
            <v>2.3669892399619998</v>
          </cell>
        </row>
        <row r="179">
          <cell r="A179">
            <v>853229</v>
          </cell>
          <cell r="B179">
            <v>2.1929548775829999</v>
          </cell>
        </row>
        <row r="180">
          <cell r="A180">
            <v>853230</v>
          </cell>
          <cell r="B180">
            <v>0.26626991548200002</v>
          </cell>
        </row>
        <row r="181">
          <cell r="A181">
            <v>853290</v>
          </cell>
          <cell r="B181">
            <v>1.042181544905</v>
          </cell>
        </row>
        <row r="182">
          <cell r="A182">
            <v>853310</v>
          </cell>
          <cell r="B182">
            <v>0.45215555374400002</v>
          </cell>
        </row>
        <row r="183">
          <cell r="A183">
            <v>853321</v>
          </cell>
          <cell r="B183">
            <v>5.8617917393009993</v>
          </cell>
        </row>
        <row r="184">
          <cell r="A184">
            <v>853329</v>
          </cell>
          <cell r="B184">
            <v>0.978599796011</v>
          </cell>
        </row>
        <row r="185">
          <cell r="A185">
            <v>853331</v>
          </cell>
          <cell r="B185">
            <v>9.0479827250000006E-2</v>
          </cell>
        </row>
        <row r="186">
          <cell r="A186">
            <v>853339</v>
          </cell>
          <cell r="B186">
            <v>5.9530910298999998E-2</v>
          </cell>
        </row>
        <row r="187">
          <cell r="A187">
            <v>853340</v>
          </cell>
          <cell r="B187">
            <v>3.5243054801840001</v>
          </cell>
        </row>
        <row r="188">
          <cell r="A188">
            <v>853390</v>
          </cell>
          <cell r="B188">
            <v>0.40798261612199999</v>
          </cell>
        </row>
        <row r="189">
          <cell r="A189">
            <v>853400</v>
          </cell>
          <cell r="B189">
            <v>45.034643679878002</v>
          </cell>
        </row>
        <row r="190">
          <cell r="A190">
            <v>853610</v>
          </cell>
          <cell r="B190">
            <v>2.9657034081629998</v>
          </cell>
        </row>
        <row r="191">
          <cell r="A191">
            <v>853620</v>
          </cell>
          <cell r="B191">
            <v>10.812843421763001</v>
          </cell>
        </row>
        <row r="192">
          <cell r="A192">
            <v>853641</v>
          </cell>
          <cell r="B192">
            <v>4.8902198723129997</v>
          </cell>
        </row>
        <row r="193">
          <cell r="A193">
            <v>853649</v>
          </cell>
          <cell r="B193">
            <v>5.5842696917390002</v>
          </cell>
        </row>
        <row r="194">
          <cell r="A194">
            <v>853650</v>
          </cell>
          <cell r="B194">
            <v>20.781868263248001</v>
          </cell>
        </row>
        <row r="195">
          <cell r="A195">
            <v>853669</v>
          </cell>
          <cell r="B195">
            <v>21.569219665793</v>
          </cell>
        </row>
        <row r="196">
          <cell r="A196">
            <v>853690</v>
          </cell>
          <cell r="B196">
            <v>41.271026499016003</v>
          </cell>
        </row>
        <row r="197">
          <cell r="A197">
            <v>853710</v>
          </cell>
          <cell r="B197">
            <v>80.683512902784997</v>
          </cell>
        </row>
        <row r="198">
          <cell r="A198">
            <v>853720</v>
          </cell>
          <cell r="B198">
            <v>7.4298524401339998</v>
          </cell>
        </row>
        <row r="199">
          <cell r="A199">
            <v>853810</v>
          </cell>
          <cell r="B199">
            <v>4.8648904810940001</v>
          </cell>
        </row>
        <row r="200">
          <cell r="A200">
            <v>853890</v>
          </cell>
          <cell r="B200">
            <v>38.030557381365</v>
          </cell>
        </row>
        <row r="201">
          <cell r="A201">
            <v>853931</v>
          </cell>
          <cell r="B201">
            <v>0.56237027355400004</v>
          </cell>
        </row>
        <row r="202">
          <cell r="A202">
            <v>853950</v>
          </cell>
          <cell r="B202">
            <v>1.2085702829999999E-3</v>
          </cell>
        </row>
        <row r="203">
          <cell r="A203">
            <v>854011</v>
          </cell>
          <cell r="B203">
            <v>1.0881792115E-2</v>
          </cell>
        </row>
        <row r="204">
          <cell r="A204">
            <v>854012</v>
          </cell>
          <cell r="B204">
            <v>1.861926768E-3</v>
          </cell>
        </row>
        <row r="205">
          <cell r="A205">
            <v>854020</v>
          </cell>
          <cell r="B205">
            <v>0.60484443136300003</v>
          </cell>
        </row>
        <row r="206">
          <cell r="A206">
            <v>854040</v>
          </cell>
          <cell r="B206">
            <v>1.881960878E-2</v>
          </cell>
        </row>
        <row r="207">
          <cell r="A207">
            <v>854060</v>
          </cell>
          <cell r="B207">
            <v>9.4006358630000005E-3</v>
          </cell>
        </row>
        <row r="208">
          <cell r="A208">
            <v>854071</v>
          </cell>
          <cell r="B208">
            <v>0.37263523509800001</v>
          </cell>
        </row>
        <row r="209">
          <cell r="A209">
            <v>854079</v>
          </cell>
          <cell r="B209">
            <v>0.230852608027</v>
          </cell>
        </row>
        <row r="210">
          <cell r="A210">
            <v>854081</v>
          </cell>
          <cell r="B210">
            <v>0.138223512194</v>
          </cell>
        </row>
        <row r="211">
          <cell r="A211">
            <v>854089</v>
          </cell>
          <cell r="B211">
            <v>0.24350147619000001</v>
          </cell>
        </row>
        <row r="212">
          <cell r="A212">
            <v>854091</v>
          </cell>
          <cell r="B212">
            <v>3.8547438231999999E-2</v>
          </cell>
        </row>
        <row r="213">
          <cell r="A213">
            <v>854099</v>
          </cell>
          <cell r="B213">
            <v>0.15362238865200001</v>
          </cell>
        </row>
        <row r="214">
          <cell r="A214">
            <v>854110</v>
          </cell>
          <cell r="B214">
            <v>12.076601994803999</v>
          </cell>
        </row>
        <row r="215">
          <cell r="A215">
            <v>854121</v>
          </cell>
          <cell r="B215">
            <v>4.6536196860930001</v>
          </cell>
        </row>
        <row r="216">
          <cell r="A216">
            <v>854129</v>
          </cell>
          <cell r="B216">
            <v>32.718801110268998</v>
          </cell>
        </row>
        <row r="217">
          <cell r="A217">
            <v>854130</v>
          </cell>
          <cell r="B217">
            <v>1.6413502713699999</v>
          </cell>
        </row>
        <row r="218">
          <cell r="A218">
            <v>854140</v>
          </cell>
          <cell r="B218">
            <v>0.28663828375400002</v>
          </cell>
        </row>
        <row r="219">
          <cell r="A219">
            <v>854141</v>
          </cell>
          <cell r="B219">
            <v>12.144395436232999</v>
          </cell>
        </row>
        <row r="220">
          <cell r="A220">
            <v>854142</v>
          </cell>
          <cell r="B220">
            <v>7.4083216368190001</v>
          </cell>
        </row>
        <row r="221">
          <cell r="A221">
            <v>854143</v>
          </cell>
          <cell r="B221">
            <v>56.145971915296997</v>
          </cell>
        </row>
        <row r="222">
          <cell r="A222">
            <v>854149</v>
          </cell>
          <cell r="B222">
            <v>9.1222228001740007</v>
          </cell>
        </row>
        <row r="223">
          <cell r="A223">
            <v>854150</v>
          </cell>
          <cell r="B223">
            <v>0.22260736683099999</v>
          </cell>
        </row>
        <row r="224">
          <cell r="A224">
            <v>854151</v>
          </cell>
          <cell r="B224">
            <v>0.69362673334500002</v>
          </cell>
        </row>
        <row r="225">
          <cell r="A225">
            <v>854159</v>
          </cell>
          <cell r="B225">
            <v>2.5483147061899998</v>
          </cell>
        </row>
        <row r="226">
          <cell r="A226">
            <v>854160</v>
          </cell>
          <cell r="B226">
            <v>6.8335365476019998</v>
          </cell>
        </row>
        <row r="227">
          <cell r="A227">
            <v>854190</v>
          </cell>
          <cell r="B227">
            <v>8.5931476650810001</v>
          </cell>
        </row>
        <row r="228">
          <cell r="A228">
            <v>854231</v>
          </cell>
          <cell r="B228">
            <v>301.95144825767301</v>
          </cell>
        </row>
        <row r="229">
          <cell r="A229">
            <v>854232</v>
          </cell>
          <cell r="B229">
            <v>149.98456329660999</v>
          </cell>
        </row>
        <row r="230">
          <cell r="A230">
            <v>854233</v>
          </cell>
          <cell r="B230">
            <v>20.335454587095001</v>
          </cell>
        </row>
        <row r="231">
          <cell r="A231">
            <v>854239</v>
          </cell>
          <cell r="B231">
            <v>359.55150455998398</v>
          </cell>
        </row>
        <row r="232">
          <cell r="A232">
            <v>854290</v>
          </cell>
          <cell r="B232">
            <v>20.738806189083999</v>
          </cell>
        </row>
        <row r="233">
          <cell r="A233">
            <v>854310</v>
          </cell>
          <cell r="B233">
            <v>0.239042950772</v>
          </cell>
        </row>
        <row r="234">
          <cell r="A234">
            <v>854320</v>
          </cell>
          <cell r="B234">
            <v>1.9177217162439999</v>
          </cell>
        </row>
        <row r="235">
          <cell r="A235">
            <v>854330</v>
          </cell>
          <cell r="B235">
            <v>1.4523595142279999</v>
          </cell>
        </row>
        <row r="236">
          <cell r="A236">
            <v>854340</v>
          </cell>
          <cell r="B236">
            <v>4.3283762313279999</v>
          </cell>
        </row>
        <row r="237">
          <cell r="A237">
            <v>854370</v>
          </cell>
          <cell r="B237">
            <v>39.251778100453997</v>
          </cell>
        </row>
        <row r="238">
          <cell r="A238">
            <v>854390</v>
          </cell>
          <cell r="B238">
            <v>10.746131460023999</v>
          </cell>
        </row>
        <row r="239">
          <cell r="A239">
            <v>854420</v>
          </cell>
          <cell r="B239">
            <v>6.4438710855489996</v>
          </cell>
        </row>
        <row r="240">
          <cell r="A240">
            <v>854442</v>
          </cell>
          <cell r="B240">
            <v>37.839169219657997</v>
          </cell>
        </row>
        <row r="241">
          <cell r="A241">
            <v>854449</v>
          </cell>
          <cell r="B241">
            <v>38.042037158657003</v>
          </cell>
        </row>
        <row r="242">
          <cell r="A242">
            <v>854460</v>
          </cell>
          <cell r="B242">
            <v>10.160285733776</v>
          </cell>
        </row>
        <row r="243">
          <cell r="A243">
            <v>854470</v>
          </cell>
          <cell r="B243">
            <v>9.2556837155709992</v>
          </cell>
        </row>
        <row r="244">
          <cell r="A244">
            <v>854520</v>
          </cell>
          <cell r="B244">
            <v>0.63275115046200003</v>
          </cell>
        </row>
        <row r="245">
          <cell r="A245">
            <v>854590</v>
          </cell>
          <cell r="B245">
            <v>0.54376332937799998</v>
          </cell>
        </row>
        <row r="246">
          <cell r="A246">
            <v>854690</v>
          </cell>
          <cell r="B246">
            <v>1.496600751321</v>
          </cell>
        </row>
        <row r="247">
          <cell r="A247">
            <v>901210</v>
          </cell>
          <cell r="B247">
            <v>2.8537103839540001</v>
          </cell>
        </row>
        <row r="248">
          <cell r="A248">
            <v>901290</v>
          </cell>
          <cell r="B248">
            <v>1.0499207706710001</v>
          </cell>
        </row>
        <row r="249">
          <cell r="A249">
            <v>901320</v>
          </cell>
          <cell r="B249">
            <v>7.0058590126239997</v>
          </cell>
        </row>
        <row r="250">
          <cell r="A250">
            <v>901380</v>
          </cell>
          <cell r="B250">
            <v>4.8276369534940002</v>
          </cell>
        </row>
        <row r="251">
          <cell r="A251">
            <v>901390</v>
          </cell>
          <cell r="B251">
            <v>2.8904497056879999</v>
          </cell>
        </row>
        <row r="252">
          <cell r="A252">
            <v>901420</v>
          </cell>
          <cell r="B252">
            <v>2.946595719412</v>
          </cell>
        </row>
        <row r="253">
          <cell r="A253">
            <v>901480</v>
          </cell>
          <cell r="B253">
            <v>2.1232719352379998</v>
          </cell>
        </row>
        <row r="254">
          <cell r="A254">
            <v>901580</v>
          </cell>
          <cell r="B254">
            <v>5.4561269239249999</v>
          </cell>
        </row>
        <row r="255">
          <cell r="A255">
            <v>901590</v>
          </cell>
          <cell r="B255">
            <v>2.638866281511</v>
          </cell>
        </row>
        <row r="256">
          <cell r="A256">
            <v>901600</v>
          </cell>
          <cell r="B256">
            <v>0.55035926279700009</v>
          </cell>
        </row>
        <row r="257">
          <cell r="A257">
            <v>901720</v>
          </cell>
          <cell r="B257">
            <v>0.43276439627399998</v>
          </cell>
        </row>
        <row r="258">
          <cell r="A258">
            <v>901811</v>
          </cell>
          <cell r="B258">
            <v>1.2893688192470001</v>
          </cell>
        </row>
        <row r="259">
          <cell r="A259">
            <v>901812</v>
          </cell>
          <cell r="B259">
            <v>4.807446613542</v>
          </cell>
        </row>
        <row r="260">
          <cell r="A260">
            <v>901813</v>
          </cell>
          <cell r="B260">
            <v>5.7150937016579997</v>
          </cell>
        </row>
        <row r="261">
          <cell r="A261">
            <v>901814</v>
          </cell>
          <cell r="B261">
            <v>0.28134190835200001</v>
          </cell>
        </row>
        <row r="262">
          <cell r="A262">
            <v>901819</v>
          </cell>
          <cell r="B262">
            <v>18.338997440754</v>
          </cell>
        </row>
        <row r="263">
          <cell r="A263">
            <v>901820</v>
          </cell>
          <cell r="B263">
            <v>0.67803698868399997</v>
          </cell>
        </row>
        <row r="264">
          <cell r="A264">
            <v>901850</v>
          </cell>
          <cell r="B264">
            <v>5.6069828384719997</v>
          </cell>
        </row>
        <row r="265">
          <cell r="A265">
            <v>902140</v>
          </cell>
          <cell r="B265">
            <v>5.7174174405190001</v>
          </cell>
        </row>
        <row r="266">
          <cell r="A266">
            <v>902150</v>
          </cell>
          <cell r="B266">
            <v>6.3155273054830001</v>
          </cell>
        </row>
        <row r="267">
          <cell r="A267">
            <v>902212</v>
          </cell>
          <cell r="B267">
            <v>5.0579252857770003</v>
          </cell>
        </row>
        <row r="268">
          <cell r="A268">
            <v>902213</v>
          </cell>
          <cell r="B268">
            <v>0.518087418824</v>
          </cell>
        </row>
        <row r="269">
          <cell r="A269">
            <v>902214</v>
          </cell>
          <cell r="B269">
            <v>6.4770937715349994</v>
          </cell>
        </row>
        <row r="270">
          <cell r="A270">
            <v>902219</v>
          </cell>
          <cell r="B270">
            <v>3.4785841337229999</v>
          </cell>
        </row>
        <row r="271">
          <cell r="A271">
            <v>902221</v>
          </cell>
          <cell r="B271">
            <v>0.238768012541</v>
          </cell>
        </row>
        <row r="272">
          <cell r="A272">
            <v>902229</v>
          </cell>
          <cell r="B272">
            <v>0.28652667382000002</v>
          </cell>
        </row>
        <row r="273">
          <cell r="A273">
            <v>902230</v>
          </cell>
          <cell r="B273">
            <v>2.4020038453749999</v>
          </cell>
        </row>
        <row r="274">
          <cell r="A274">
            <v>902290</v>
          </cell>
          <cell r="B274">
            <v>7.5376624300230004</v>
          </cell>
        </row>
        <row r="275">
          <cell r="A275">
            <v>902519</v>
          </cell>
          <cell r="B275">
            <v>4.3095280250150001</v>
          </cell>
        </row>
        <row r="276">
          <cell r="A276">
            <v>902710</v>
          </cell>
          <cell r="B276">
            <v>7.4765947356660014</v>
          </cell>
        </row>
        <row r="277">
          <cell r="A277">
            <v>902720</v>
          </cell>
          <cell r="B277">
            <v>2.7884775283660002</v>
          </cell>
        </row>
        <row r="278">
          <cell r="A278">
            <v>902730</v>
          </cell>
          <cell r="B278">
            <v>4.9188491008900002</v>
          </cell>
        </row>
        <row r="279">
          <cell r="A279">
            <v>902750</v>
          </cell>
          <cell r="B279">
            <v>11.40449412125</v>
          </cell>
        </row>
        <row r="280">
          <cell r="A280">
            <v>903010</v>
          </cell>
          <cell r="B280">
            <v>2.0457154409989999</v>
          </cell>
        </row>
        <row r="281">
          <cell r="A281">
            <v>903020</v>
          </cell>
          <cell r="B281">
            <v>1.044370143604</v>
          </cell>
        </row>
        <row r="282">
          <cell r="A282">
            <v>903031</v>
          </cell>
          <cell r="B282">
            <v>0.895597514737</v>
          </cell>
        </row>
        <row r="283">
          <cell r="A283">
            <v>903032</v>
          </cell>
          <cell r="B283">
            <v>0.59689258846599991</v>
          </cell>
        </row>
        <row r="284">
          <cell r="A284">
            <v>903033</v>
          </cell>
          <cell r="B284">
            <v>2.8185271245500001</v>
          </cell>
        </row>
        <row r="285">
          <cell r="A285">
            <v>903039</v>
          </cell>
          <cell r="B285">
            <v>1.9530956421650001</v>
          </cell>
        </row>
        <row r="286">
          <cell r="A286">
            <v>903040</v>
          </cell>
          <cell r="B286">
            <v>4.163338616911</v>
          </cell>
        </row>
        <row r="287">
          <cell r="A287">
            <v>903082</v>
          </cell>
          <cell r="B287">
            <v>6.5308175918989999</v>
          </cell>
        </row>
        <row r="288">
          <cell r="A288">
            <v>903084</v>
          </cell>
          <cell r="B288">
            <v>1.590326776867</v>
          </cell>
        </row>
        <row r="289">
          <cell r="A289">
            <v>903089</v>
          </cell>
          <cell r="B289">
            <v>2.1040435166920002</v>
          </cell>
        </row>
        <row r="290">
          <cell r="A290">
            <v>903090</v>
          </cell>
          <cell r="B290">
            <v>10.702417026196001</v>
          </cell>
        </row>
        <row r="291">
          <cell r="A291">
            <v>903210</v>
          </cell>
          <cell r="B291">
            <v>4.5547847470249998</v>
          </cell>
        </row>
        <row r="292">
          <cell r="A292">
            <v>903220</v>
          </cell>
          <cell r="B292">
            <v>0.96344479481599998</v>
          </cell>
        </row>
        <row r="293">
          <cell r="A293">
            <v>903281</v>
          </cell>
          <cell r="B293">
            <v>2.785854387478</v>
          </cell>
        </row>
        <row r="294">
          <cell r="A294">
            <v>903289</v>
          </cell>
          <cell r="B294">
            <v>21.423021833844</v>
          </cell>
        </row>
        <row r="295">
          <cell r="A295">
            <v>903290</v>
          </cell>
          <cell r="B295">
            <v>5.8483380783449999</v>
          </cell>
        </row>
        <row r="296">
          <cell r="A296">
            <v>910111</v>
          </cell>
          <cell r="B296">
            <v>3.4992676827200002</v>
          </cell>
        </row>
        <row r="297">
          <cell r="A297">
            <v>910191</v>
          </cell>
          <cell r="B297">
            <v>4.4910853340000001E-2</v>
          </cell>
        </row>
        <row r="298">
          <cell r="A298">
            <v>910211</v>
          </cell>
          <cell r="B298">
            <v>8.3141664867009997</v>
          </cell>
        </row>
        <row r="299">
          <cell r="A299">
            <v>910212</v>
          </cell>
          <cell r="B299">
            <v>1.1923573025</v>
          </cell>
        </row>
        <row r="300">
          <cell r="A300">
            <v>910291</v>
          </cell>
          <cell r="B300">
            <v>6.4936900418000001E-2</v>
          </cell>
        </row>
        <row r="301">
          <cell r="A301">
            <v>910310</v>
          </cell>
          <cell r="B301">
            <v>2.8306242023999999E-2</v>
          </cell>
        </row>
        <row r="302">
          <cell r="A302">
            <v>910511</v>
          </cell>
          <cell r="B302">
            <v>0.37247932053400001</v>
          </cell>
        </row>
        <row r="303">
          <cell r="A303">
            <v>910521</v>
          </cell>
          <cell r="B303">
            <v>0.63793828958999987</v>
          </cell>
        </row>
        <row r="304">
          <cell r="A304">
            <v>910591</v>
          </cell>
          <cell r="B304">
            <v>0.17428054386399999</v>
          </cell>
        </row>
        <row r="305">
          <cell r="A305">
            <v>910610</v>
          </cell>
          <cell r="B305">
            <v>0.15892431199900001</v>
          </cell>
        </row>
        <row r="306">
          <cell r="A306">
            <v>910690</v>
          </cell>
          <cell r="B306">
            <v>0.23401285931400001</v>
          </cell>
        </row>
        <row r="307">
          <cell r="A307">
            <v>910811</v>
          </cell>
          <cell r="B307">
            <v>0.54048831499299999</v>
          </cell>
        </row>
        <row r="308">
          <cell r="A308">
            <v>910812</v>
          </cell>
          <cell r="B308">
            <v>1.0954632202000001E-2</v>
          </cell>
        </row>
        <row r="309">
          <cell r="A309">
            <v>910819</v>
          </cell>
          <cell r="B309">
            <v>2.0480510285999998E-2</v>
          </cell>
        </row>
        <row r="310">
          <cell r="A310">
            <v>910910</v>
          </cell>
          <cell r="B310">
            <v>3.2622591940000001E-2</v>
          </cell>
        </row>
        <row r="311">
          <cell r="A311">
            <v>950450</v>
          </cell>
          <cell r="B311">
            <v>30.192448722843</v>
          </cell>
        </row>
        <row r="312">
          <cell r="A312">
            <v>961210</v>
          </cell>
          <cell r="B312">
            <v>1.3618430435569999</v>
          </cell>
        </row>
        <row r="313">
          <cell r="A313">
            <v>961380</v>
          </cell>
          <cell r="B313">
            <v>0.45999678818200002</v>
          </cell>
        </row>
      </sheetData>
    </sheetDataSet>
  </externalBook>
</externalLink>
</file>

<file path=xl/persons/person.xml><?xml version="1.0" encoding="utf-8"?>
<personList xmlns="http://schemas.microsoft.com/office/spreadsheetml/2018/threadedcomments" xmlns:x="http://schemas.openxmlformats.org/spreadsheetml/2006/main">
  <person displayName="Nitya Srinath" id="{342EC430-6D6E-4A3C-981E-5D512E548E7A}" userId="S::Nitya@fedev.org::cdd4a4ab-86c6-4ed0-81b7-25894b3f304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9" dT="2023-10-26T09:04:28.99" personId="{342EC430-6D6E-4A3C-981E-5D512E548E7A}" id="{0A54C6F5-C61C-4622-AAA5-FB0A4BA067FE}">
    <text>Ronak's comment: Seems like solar panels - can exclude it</text>
  </threadedComment>
  <threadedComment ref="B19" dT="2023-10-27T07:12:43.09" personId="{342EC430-6D6E-4A3C-981E-5D512E548E7A}" id="{81DCDC94-E1DB-469F-AEE4-46B8ADD31858}" parentId="{0A54C6F5-C61C-4622-AAA5-FB0A4BA067FE}">
    <text>Vinay says kep it</text>
  </threadedComment>
  <threadedComment ref="B21" dT="2023-10-26T09:28:32.36" personId="{342EC430-6D6E-4A3C-981E-5D512E548E7A}" id="{0CAB57BB-6C42-408F-861B-91674569C8DE}">
    <text>DGCIS classification is consumer electronics, but this code is included in the priority sector of ICEA mobile phone codes. Comtrade and Tradestat have different definitions for this code</text>
  </threadedComment>
  <threadedComment ref="B31" dT="2023-10-26T10:44:35.06" personId="{342EC430-6D6E-4A3C-981E-5D512E548E7A}" id="{40EDEB94-5454-4890-9539-6BF60730F190}">
    <text>Unsure about whether this should be in computer hardware or consumer durables</text>
  </threadedComment>
  <threadedComment ref="B32" dT="2023-10-26T10:50:54.94" personId="{342EC430-6D6E-4A3C-981E-5D512E548E7A}" id="{D3F0BE13-3A7C-4314-A23E-56E1AAB5F099}">
    <text>Comtrade and tradestat define this as television camera, and DGCIS has classified it as consumer electronics. However, ICEA has included it in priority sector for mobile phones</text>
  </threadedComment>
  <threadedComment ref="B38" dT="2023-10-26T09:14:34.05" personId="{342EC430-6D6E-4A3C-981E-5D512E548E7A}" id="{84D79E34-C62A-4B6E-8649-0EFAF3AB0081}">
    <text xml:space="preserve">Ronak's comments: Maybe we remove all commercial stuff </text>
  </threadedComment>
  <threadedComment ref="B75" dT="2023-10-26T10:51:27.96" personId="{342EC430-6D6E-4A3C-981E-5D512E548E7A}" id="{C8E4238F-9D53-451B-A6F9-EBEFEE6D893D}">
    <text>Unsure about whether this should be in computer hardware or consumer durables</text>
  </threadedComment>
  <threadedComment ref="B130" dT="2023-10-26T10:54:10.85" personId="{342EC430-6D6E-4A3C-981E-5D512E548E7A}" id="{6BA68F9E-D41D-4EBF-8743-D8AB91436A18}">
    <text>While this is used in mobiles, it can be used for other consumer electronics also, so should it be tagged in consumer durables instead?</text>
  </threadedComment>
  <threadedComment ref="B137" dT="2023-10-26T09:04:13.65" personId="{342EC430-6D6E-4A3C-981E-5D512E548E7A}" id="{A9DEEDFB-7E04-4A0C-B76E-924096BD1E5B}">
    <text>Ronak's comment: Review tagging</text>
  </threadedComment>
  <threadedComment ref="B149" dT="2023-10-26T10:54:53.86" personId="{342EC430-6D6E-4A3C-981E-5D512E548E7A}" id="{50BD2144-85D6-4B84-BCEC-1C14EA5EAB6E}">
    <text>While this is used in mobiles, it can be used for other consumer electronics also, so should it be tagged in consumer durables instead?</text>
  </threadedComment>
  <threadedComment ref="B157" dT="2023-10-26T09:46:24.07" personId="{342EC430-6D6E-4A3C-981E-5D512E548E7A}" id="{3B8A34F7-853F-47F8-95D9-B73EB599D46A}">
    <text>Ronak's comment: Can be removed from here and included in auto comp</text>
  </threadedComment>
  <threadedComment ref="B160" dT="2023-10-26T09:58:40.54" personId="{342EC430-6D6E-4A3C-981E-5D512E548E7A}" id="{D8E64420-3A89-4074-9804-F803D5E33CC6}">
    <text>Can be added in auto comp, should it be included in electronics?</text>
  </threadedComment>
  <threadedComment ref="B182" dT="2023-10-26T10:57:37.19" personId="{342EC430-6D6E-4A3C-981E-5D512E548E7A}" id="{7E8D9318-CC30-42F9-ABA0-7338468729D1}">
    <text>Should this be added in consumer durables?</text>
  </threadedComment>
  <threadedComment ref="B184" dT="2023-10-26T10:56:27.23" personId="{342EC430-6D6E-4A3C-981E-5D512E548E7A}" id="{F8AB146C-5D63-4137-821B-452D616CE94D}">
    <text>Unsure about whether this should be in computer hardware or consumer durables</text>
  </threadedComment>
  <threadedComment ref="B209" dT="2023-10-26T10:58:25.79" personId="{342EC430-6D6E-4A3C-981E-5D512E548E7A}" id="{C7A09637-902C-48E7-AA40-E2E06759FA11}">
    <text>DGCIS classification is consumer electronics, but this code is included in the priority sector of ICEA mobile phone codes. Comtrade and Tradestat have different definitions for this code</text>
  </threadedComment>
  <threadedComment ref="B234" dT="2023-10-26T11:00:06.01" personId="{342EC430-6D6E-4A3C-981E-5D512E548E7A}" id="{313C0B9C-586A-4CAA-BCFC-BECAB932161C}">
    <text>Should we have a separate category for batteries like DGCIS where we also include the codes tagged to mobile and telephone?</text>
  </threadedComment>
  <threadedComment ref="B332" dT="2023-10-26T10:56:33.91" personId="{342EC430-6D6E-4A3C-981E-5D512E548E7A}" id="{19FC3578-1C82-4A20-B1CA-5AAAABF6AC21}">
    <text>Unsure about whether this should be in computer hardware or consumer durables</text>
  </threadedComment>
  <threadedComment ref="B334" dT="2023-10-26T10:51:39.86" personId="{342EC430-6D6E-4A3C-981E-5D512E548E7A}" id="{A55A4347-A62E-44D0-9A5C-F76A82D89B81}">
    <text>Unsure about whether this should be in computer hardware or consumer durables</text>
  </threadedComment>
  <threadedComment ref="B342" dT="2023-10-26T09:32:14.85" personId="{342EC430-6D6E-4A3C-981E-5D512E548E7A}" id="{5C70AE99-5D33-4CEC-964D-B447C093AF83}">
    <text>Ronak's comment: Can be removed from here and included in auto comp</text>
  </threadedComment>
  <threadedComment ref="B378" dT="2023-10-26T10:56:40.74" personId="{342EC430-6D6E-4A3C-981E-5D512E548E7A}" id="{EA683B10-60E9-4C63-82E8-D8E4749C3D82}">
    <text>Unsure about whether this should be in computer hardware or consumer durables</text>
  </threadedComment>
</ThreadedComments>
</file>

<file path=xl/threadedComments/threadedComment2.xml><?xml version="1.0" encoding="utf-8"?>
<ThreadedComments xmlns="http://schemas.microsoft.com/office/spreadsheetml/2018/threadedcomments" xmlns:x="http://schemas.openxmlformats.org/spreadsheetml/2006/main">
  <threadedComment ref="B39" dT="2023-10-26T09:14:34.05" personId="{342EC430-6D6E-4A3C-981E-5D512E548E7A}" id="{1871C147-689D-4ACB-BF8D-9AC3144D1729}">
    <text xml:space="preserve">Ronak's comments: Maybe we remove all commercial stuff </text>
  </threadedComment>
  <threadedComment ref="B130" dT="2023-10-26T11:00:06.01" personId="{342EC430-6D6E-4A3C-981E-5D512E548E7A}" id="{1341C5C1-5242-4C15-9D34-783DE85FCA9F}">
    <text>Should we have a separate category for batteries like DGCIS where we also include the codes tagged to mobile and telephone?</text>
  </threadedComment>
  <threadedComment ref="B137" dT="2023-10-26T10:54:10.85" personId="{342EC430-6D6E-4A3C-981E-5D512E548E7A}" id="{EEA038FE-3868-4F6C-B454-27419D531214}">
    <text>While this is used in mobiles, it can be used for other consumer electronics also, so should it be tagged in consumer durables instead?</text>
  </threadedComment>
  <threadedComment ref="B138" dT="2023-10-26T10:54:53.86" personId="{342EC430-6D6E-4A3C-981E-5D512E548E7A}" id="{D24CDAD2-7006-4D76-9097-F6F8F242F825}">
    <text>While this is used in mobiles, it can be used for other consumer electronics also, so should it be tagged in consumer durables instead?</text>
  </threadedComment>
  <threadedComment ref="B158" dT="2023-10-26T09:46:24.07" personId="{342EC430-6D6E-4A3C-981E-5D512E548E7A}" id="{BCA56D83-30A9-45F6-96BA-30AA2DCB42EA}">
    <text>Ronak's comment: Can be removed from here and included in auto comp</text>
  </threadedComment>
  <threadedComment ref="B161" dT="2023-10-26T09:58:40.54" personId="{342EC430-6D6E-4A3C-981E-5D512E548E7A}" id="{65344D6B-D772-4417-BBFD-F153D4515DDE}">
    <text>Can be added in auto comp, should it be included in electronics?</text>
  </threadedComment>
  <threadedComment ref="B214" dT="2023-10-26T10:56:27.23" personId="{342EC430-6D6E-4A3C-981E-5D512E548E7A}" id="{A395F19D-9763-4A00-A531-D1F23ECE8AA8}">
    <text>Unsure about whether this should be in computer hardware or consumer durables</text>
  </threadedComment>
  <threadedComment ref="B215" dT="2023-10-26T10:51:39.86" personId="{342EC430-6D6E-4A3C-981E-5D512E548E7A}" id="{772A43F0-0CBE-4003-9967-AD7ECFAD5313}">
    <text>Unsure about whether this should be in computer hardware or consumer durables</text>
  </threadedComment>
  <threadedComment ref="B216" dT="2023-10-26T10:56:40.74" personId="{342EC430-6D6E-4A3C-981E-5D512E548E7A}" id="{BA6E9E54-D3C5-42EF-8CCE-1BD146AD9DB8}">
    <text>Unsure about whether this should be in computer hardware or consumer durables</text>
  </threadedComment>
  <threadedComment ref="B217" dT="2023-10-26T10:44:35.06" personId="{342EC430-6D6E-4A3C-981E-5D512E548E7A}" id="{D1D996A1-0CB3-4588-B992-34F9BBEBE210}">
    <text>Unsure about whether this should be in computer hardware or consumer durables</text>
  </threadedComment>
  <threadedComment ref="B218" dT="2023-10-26T10:51:27.96" personId="{342EC430-6D6E-4A3C-981E-5D512E548E7A}" id="{885849CA-A1C3-4F17-9257-DF64B310C96D}">
    <text>Unsure about whether this should be in computer hardware or consumer durables</text>
  </threadedComment>
  <threadedComment ref="B219" dT="2023-10-26T10:56:33.91" personId="{342EC430-6D6E-4A3C-981E-5D512E548E7A}" id="{FC888E2F-58D1-46A2-9241-B430ED071FC3}">
    <text>Unsure about whether this should be in computer hardware or consumer durables</text>
  </threadedComment>
  <threadedComment ref="B226" dT="2023-10-26T10:50:54.94" personId="{342EC430-6D6E-4A3C-981E-5D512E548E7A}" id="{E13A01F0-9A4A-4E0A-A381-F7DBE8252ED0}">
    <text>Comtrade and tradestat define this as television camera, and DGCIS has classified it as consumer electronics. However, ICEA has included it in priority sector for mobile phones</text>
  </threadedComment>
  <threadedComment ref="B227" dT="2023-10-26T10:57:37.19" personId="{342EC430-6D6E-4A3C-981E-5D512E548E7A}" id="{038D63A3-B262-4568-B31E-6380DA5547BD}">
    <text>Should this be added in consumer durables?</text>
  </threadedComment>
  <threadedComment ref="B247" dT="2023-10-26T10:58:25.79" personId="{342EC430-6D6E-4A3C-981E-5D512E548E7A}" id="{E29C8E3A-B030-4448-95E8-3C8F16E4C80D}">
    <text>DGCIS classification is consumer electronics, but this code is included in the priority sector of ICEA mobile phone codes. Comtrade and Tradestat have different definitions for this code</text>
  </threadedComment>
  <threadedComment ref="B248" dT="2023-10-26T09:28:32.36" personId="{342EC430-6D6E-4A3C-981E-5D512E548E7A}" id="{963AABB9-9FB3-444B-969C-9886F6CB0924}">
    <text>DGCIS classification is consumer electronics, but this code is included in the priority sector of ICEA mobile phone codes. Comtrade and Tradestat have different definitions for this code</text>
  </threadedComment>
  <threadedComment ref="B322" dT="2023-10-26T09:04:28.99" personId="{342EC430-6D6E-4A3C-981E-5D512E548E7A}" id="{BAE8FE0B-F03D-47FF-9528-D3B394F5D33D}">
    <text>Ronak's comment: Seems like solar panels - can exclude it</text>
  </threadedComment>
  <threadedComment ref="B322" dT="2023-10-27T07:12:43.09" personId="{342EC430-6D6E-4A3C-981E-5D512E548E7A}" id="{07F96E97-B2ED-4BF8-A5E7-40C18C21DA13}" parentId="{BAE8FE0B-F03D-47FF-9528-D3B394F5D33D}">
    <text>Vinay says kep it</text>
  </threadedComment>
  <threadedComment ref="B323" dT="2023-10-26T09:04:13.65" personId="{342EC430-6D6E-4A3C-981E-5D512E548E7A}" id="{CABFE5A4-8F9B-4DD3-AB92-0C0D5DBA0E17}">
    <text>Ronak's comment: Review tagging</text>
  </threadedComment>
  <threadedComment ref="B343" dT="2023-10-26T09:32:14.85" personId="{342EC430-6D6E-4A3C-981E-5D512E548E7A}" id="{46938F60-52ED-4792-A463-238BA1EBE77E}">
    <text>Ronak's comment: Can be removed from here and included in auto comp</text>
  </threadedComment>
</ThreadedComments>
</file>

<file path=xl/threadedComments/threadedComment3.xml><?xml version="1.0" encoding="utf-8"?>
<ThreadedComments xmlns="http://schemas.microsoft.com/office/spreadsheetml/2018/threadedcomments" xmlns:x="http://schemas.openxmlformats.org/spreadsheetml/2006/main">
  <threadedComment ref="B19" dT="2023-10-26T09:04:28.99" personId="{342EC430-6D6E-4A3C-981E-5D512E548E7A}" id="{90E0AF3B-C6DF-484A-897D-4B79D5A1FE5A}">
    <text>Ronak's comment: Seems like solar panels - can exclude it</text>
  </threadedComment>
  <threadedComment ref="B19" dT="2023-10-27T07:12:43.09" personId="{342EC430-6D6E-4A3C-981E-5D512E548E7A}" id="{062FF466-D9EA-4AAA-BA68-2094A8712160}" parentId="{90E0AF3B-C6DF-484A-897D-4B79D5A1FE5A}">
    <text>Vinay says kep it</text>
  </threadedComment>
  <threadedComment ref="B21" dT="2023-10-26T09:28:32.36" personId="{342EC430-6D6E-4A3C-981E-5D512E548E7A}" id="{28F265A2-E1CF-4DAA-86E6-03536288599A}">
    <text>DGCIS classification is consumer electronics, but this code is included in the priority sector of ICEA mobile phone codes. Comtrade and Tradestat have different definitions for this code</text>
  </threadedComment>
  <threadedComment ref="B29" dT="2023-10-26T09:32:14.85" personId="{342EC430-6D6E-4A3C-981E-5D512E548E7A}" id="{8CB601BF-13D4-4FAF-9398-828D8CC1794B}">
    <text>Ronak's comment: Can be removed from here and included in auto comp</text>
  </threadedComment>
  <threadedComment ref="B32" dT="2023-10-26T10:44:35.06" personId="{342EC430-6D6E-4A3C-981E-5D512E548E7A}" id="{8E3E66CE-7B94-4BF9-A617-49C92542F6D1}">
    <text>Unsure about whether this should be in computer hardware or consumer durables</text>
  </threadedComment>
  <threadedComment ref="B33" dT="2023-10-26T10:50:54.94" personId="{342EC430-6D6E-4A3C-981E-5D512E548E7A}" id="{8F964C8C-9451-42BE-9B0F-337CF5D2A54A}">
    <text>Comtrade and tradestat define this as television camera, and DGCIS has classified it as consumer electronics. However, ICEA has included it in priority sector for mobile phones</text>
  </threadedComment>
  <threadedComment ref="B39" dT="2023-10-26T09:46:24.07" personId="{342EC430-6D6E-4A3C-981E-5D512E548E7A}" id="{73FC1845-CCD5-4A68-A12D-175B6ADE20A7}">
    <text>Ronak's comment: Can be removed from here and included in auto comp</text>
  </threadedComment>
  <threadedComment ref="B51" dT="2023-10-26T10:51:27.96" personId="{342EC430-6D6E-4A3C-981E-5D512E548E7A}" id="{2855142A-DF6A-47BC-8B85-E8F1CBB91B8E}">
    <text>Unsure about whether this should be in computer hardware or consumer durables</text>
  </threadedComment>
  <threadedComment ref="B55" dT="2023-10-26T09:14:34.05" personId="{342EC430-6D6E-4A3C-981E-5D512E548E7A}" id="{2CFB37F6-6793-4C52-A167-3A9C0B2A2556}">
    <text xml:space="preserve">Ronak's comments: Maybe we remove all commercial stuff </text>
  </threadedComment>
  <threadedComment ref="B56" dT="2023-10-26T10:51:39.86" personId="{342EC430-6D6E-4A3C-981E-5D512E548E7A}" id="{8C6FF1F7-17CA-4813-8AF0-ECD9F137789E}">
    <text>Unsure about whether this should be in computer hardware or consumer durables</text>
  </threadedComment>
  <threadedComment ref="B73" dT="2023-10-26T10:54:10.85" personId="{342EC430-6D6E-4A3C-981E-5D512E548E7A}" id="{20E7B88C-0F50-4CBB-8E4D-A5A241AEF195}">
    <text>While this is used in mobiles, it can be used for other consumer electronics also, so should it be tagged in consumer durables instead?</text>
  </threadedComment>
  <threadedComment ref="B85" dT="2023-10-26T09:04:13.65" personId="{342EC430-6D6E-4A3C-981E-5D512E548E7A}" id="{58114D85-DE37-4489-A2E2-55AC0865B19B}">
    <text>Ronak's comment: Review tagging</text>
  </threadedComment>
  <threadedComment ref="B90" dT="2023-10-26T10:54:53.86" personId="{342EC430-6D6E-4A3C-981E-5D512E548E7A}" id="{1F848727-ED5D-44DB-B584-6F0D088501CF}">
    <text>While this is used in mobiles, it can be used for other consumer electronics also, so should it be tagged in consumer durables instead?</text>
  </threadedComment>
  <threadedComment ref="B91" dT="2023-10-26T09:58:40.54" personId="{342EC430-6D6E-4A3C-981E-5D512E548E7A}" id="{2EA134AB-3891-4CA3-BE64-9B5F9888DE5C}">
    <text>Can be added in auto comp, should it be included in electronics?</text>
  </threadedComment>
  <threadedComment ref="B102" dT="2023-10-26T10:56:27.23" personId="{342EC430-6D6E-4A3C-981E-5D512E548E7A}" id="{D9A2301D-7073-46E4-AD41-345D02285953}">
    <text>Unsure about whether this should be in computer hardware or consumer durables</text>
  </threadedComment>
  <threadedComment ref="B115" dT="2023-10-26T10:57:37.19" personId="{342EC430-6D6E-4A3C-981E-5D512E548E7A}" id="{55C6AB45-E047-44EE-BCAD-8F93C2152A1B}">
    <text>Should this be added in consumer durables?</text>
  </threadedComment>
  <threadedComment ref="B147" dT="2023-10-26T10:58:25.79" personId="{342EC430-6D6E-4A3C-981E-5D512E548E7A}" id="{4A9F9D3D-CADD-426F-8BAB-F537D21FC966}">
    <text>DGCIS classification is consumer electronics, but this code is included in the priority sector of ICEA mobile phone codes. Comtrade and Tradestat have different definitions for this code</text>
  </threadedComment>
  <threadedComment ref="B180" dT="2023-10-26T11:00:06.01" personId="{342EC430-6D6E-4A3C-981E-5D512E548E7A}" id="{3DF4CE4F-2E5D-448A-A687-6CEE0FAB5F54}">
    <text>Should we have a separate category for batteries like DGCIS where we also include the codes tagged to mobile and telephone?</text>
  </threadedComment>
  <threadedComment ref="B353" dT="2023-10-26T10:56:33.91" personId="{342EC430-6D6E-4A3C-981E-5D512E548E7A}" id="{80E83020-6BD2-4AB5-81C4-BE47BAAAB537}">
    <text>Unsure about whether this should be in computer hardware or consumer durables</text>
  </threadedComment>
  <threadedComment ref="B389" dT="2023-10-26T10:56:40.74" personId="{342EC430-6D6E-4A3C-981E-5D512E548E7A}" id="{71ED026B-FE52-45F5-9272-55DFD7B5BEE9}">
    <text>Unsure about whether this should be in computer hardware or consumer durables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A2D0-1701-457E-8FD6-00776406C4B4}">
  <sheetPr filterMode="1"/>
  <dimension ref="B2:R427"/>
  <sheetViews>
    <sheetView showGridLines="0" tabSelected="1" topLeftCell="A2" zoomScale="106" zoomScaleNormal="100" workbookViewId="0">
      <selection activeCell="C22" sqref="C22"/>
    </sheetView>
  </sheetViews>
  <sheetFormatPr defaultColWidth="15.42578125" defaultRowHeight="15" outlineLevelCol="1"/>
  <cols>
    <col min="1" max="1" width="15.42578125" style="4"/>
    <col min="2" max="2" width="7.42578125" style="4" bestFit="1" customWidth="1"/>
    <col min="3" max="3" width="10.42578125" style="12" customWidth="1"/>
    <col min="4" max="4" width="40.42578125" style="4" customWidth="1"/>
    <col min="5" max="8" width="15.42578125" style="12" customWidth="1"/>
    <col min="9" max="9" width="15.42578125" style="13" customWidth="1"/>
    <col min="10" max="10" width="15.42578125" style="12" customWidth="1" outlineLevel="1"/>
    <col min="11" max="15" width="10.42578125" style="12" customWidth="1" outlineLevel="1"/>
    <col min="16" max="16" width="10.42578125" style="12" customWidth="1"/>
    <col min="17" max="16384" width="15.42578125" style="4"/>
  </cols>
  <sheetData>
    <row r="2" spans="2:17" ht="63.95">
      <c r="B2" s="41" t="s">
        <v>0</v>
      </c>
      <c r="C2" s="42" t="s">
        <v>1</v>
      </c>
      <c r="D2" s="41" t="s">
        <v>2</v>
      </c>
      <c r="E2" s="41" t="s">
        <v>3</v>
      </c>
      <c r="F2" s="41" t="s">
        <v>4</v>
      </c>
      <c r="G2" s="41" t="s">
        <v>5</v>
      </c>
      <c r="H2" s="41" t="s">
        <v>6</v>
      </c>
      <c r="I2" s="42" t="s">
        <v>7</v>
      </c>
      <c r="J2" s="42" t="s">
        <v>8</v>
      </c>
      <c r="K2" s="42" t="s">
        <v>9</v>
      </c>
      <c r="L2" s="42" t="s">
        <v>10</v>
      </c>
      <c r="M2" s="42" t="s">
        <v>11</v>
      </c>
      <c r="N2" s="42" t="s">
        <v>12</v>
      </c>
      <c r="O2" s="42" t="s">
        <v>13</v>
      </c>
      <c r="P2" s="42" t="s">
        <v>14</v>
      </c>
      <c r="Q2" s="42" t="s">
        <v>15</v>
      </c>
    </row>
    <row r="3" spans="2:17" ht="32.1" hidden="1">
      <c r="B3" s="43">
        <v>1</v>
      </c>
      <c r="C3" s="43">
        <v>854239</v>
      </c>
      <c r="D3" s="47" t="s">
        <v>16</v>
      </c>
      <c r="E3" s="44" t="s">
        <v>17</v>
      </c>
      <c r="F3" s="44" t="s">
        <v>18</v>
      </c>
      <c r="G3" s="44" t="s">
        <v>19</v>
      </c>
      <c r="H3" s="44" t="s">
        <v>20</v>
      </c>
      <c r="I3" s="43" t="s">
        <v>12</v>
      </c>
      <c r="J3" s="43" t="s">
        <v>21</v>
      </c>
      <c r="K3" s="43" t="s">
        <v>21</v>
      </c>
      <c r="L3" s="43" t="s">
        <v>21</v>
      </c>
      <c r="M3" s="43" t="s">
        <v>21</v>
      </c>
      <c r="N3" s="43" t="s">
        <v>21</v>
      </c>
      <c r="O3" s="43" t="s">
        <v>21</v>
      </c>
      <c r="P3" s="25">
        <f>VLOOKUP(C3, [1]Sheet1!$A$2:$B$313, 2, FALSE)</f>
        <v>359.55150455998398</v>
      </c>
      <c r="Q3" s="45">
        <v>8.212726261775341E-2</v>
      </c>
    </row>
    <row r="4" spans="2:17" ht="63.95" hidden="1">
      <c r="B4" s="43">
        <v>2</v>
      </c>
      <c r="C4" s="43">
        <v>854231</v>
      </c>
      <c r="D4" s="47" t="s">
        <v>22</v>
      </c>
      <c r="E4" s="44" t="s">
        <v>23</v>
      </c>
      <c r="F4" s="44" t="s">
        <v>18</v>
      </c>
      <c r="G4" s="44" t="s">
        <v>19</v>
      </c>
      <c r="H4" s="44" t="s">
        <v>20</v>
      </c>
      <c r="I4" s="43" t="s">
        <v>12</v>
      </c>
      <c r="J4" s="43" t="s">
        <v>21</v>
      </c>
      <c r="K4" s="43" t="s">
        <v>21</v>
      </c>
      <c r="L4" s="43" t="s">
        <v>21</v>
      </c>
      <c r="M4" s="43" t="s">
        <v>21</v>
      </c>
      <c r="N4" s="43" t="s">
        <v>21</v>
      </c>
      <c r="O4" s="43" t="s">
        <v>21</v>
      </c>
      <c r="P4" s="25">
        <f>VLOOKUP(C4, [1]Sheet1!$A$2:$B$313, 2, FALSE)</f>
        <v>301.95144825767301</v>
      </c>
      <c r="Q4" s="45">
        <v>8.8760680810194822E-2</v>
      </c>
    </row>
    <row r="5" spans="2:17" ht="32.1">
      <c r="B5" s="43">
        <v>3</v>
      </c>
      <c r="C5" s="43">
        <v>851713</v>
      </c>
      <c r="D5" s="47" t="s">
        <v>24</v>
      </c>
      <c r="E5" s="44" t="s">
        <v>25</v>
      </c>
      <c r="F5" s="44" t="s">
        <v>26</v>
      </c>
      <c r="G5" s="44" t="s">
        <v>27</v>
      </c>
      <c r="H5" s="44" t="s">
        <v>28</v>
      </c>
      <c r="I5" s="43" t="s">
        <v>12</v>
      </c>
      <c r="J5" s="43" t="s">
        <v>21</v>
      </c>
      <c r="K5" s="43" t="s">
        <v>21</v>
      </c>
      <c r="L5" s="43" t="s">
        <v>21</v>
      </c>
      <c r="M5" s="43" t="s">
        <v>21</v>
      </c>
      <c r="N5" s="43" t="s">
        <v>21</v>
      </c>
      <c r="O5" s="43" t="s">
        <v>29</v>
      </c>
      <c r="P5" s="25">
        <f>VLOOKUP(C5, [1]Sheet1!$A$2:$B$313, 2, FALSE)</f>
        <v>258.37542148954401</v>
      </c>
      <c r="Q5" s="45">
        <v>6.6203609076330799E-2</v>
      </c>
    </row>
    <row r="6" spans="2:17" ht="32.1" hidden="1">
      <c r="B6" s="43">
        <v>4</v>
      </c>
      <c r="C6" s="43">
        <v>854232</v>
      </c>
      <c r="D6" s="47" t="s">
        <v>30</v>
      </c>
      <c r="E6" s="44" t="s">
        <v>31</v>
      </c>
      <c r="F6" s="44" t="s">
        <v>18</v>
      </c>
      <c r="G6" s="44" t="s">
        <v>19</v>
      </c>
      <c r="H6" s="44" t="s">
        <v>20</v>
      </c>
      <c r="I6" s="43" t="s">
        <v>12</v>
      </c>
      <c r="J6" s="43" t="s">
        <v>21</v>
      </c>
      <c r="K6" s="43" t="s">
        <v>21</v>
      </c>
      <c r="L6" s="43" t="s">
        <v>21</v>
      </c>
      <c r="M6" s="43" t="s">
        <v>21</v>
      </c>
      <c r="N6" s="43" t="s">
        <v>21</v>
      </c>
      <c r="O6" s="43" t="s">
        <v>21</v>
      </c>
      <c r="P6" s="25">
        <f>VLOOKUP(C6, [1]Sheet1!$A$2:$B$313, 2, FALSE)</f>
        <v>149.98456329660999</v>
      </c>
      <c r="Q6" s="45">
        <v>3.863569027268926E-2</v>
      </c>
    </row>
    <row r="7" spans="2:17" ht="80.099999999999994">
      <c r="B7" s="43">
        <v>5</v>
      </c>
      <c r="C7" s="43">
        <v>851762</v>
      </c>
      <c r="D7" s="47" t="s">
        <v>32</v>
      </c>
      <c r="E7" s="44" t="s">
        <v>33</v>
      </c>
      <c r="F7" s="44" t="s">
        <v>26</v>
      </c>
      <c r="G7" s="44" t="s">
        <v>27</v>
      </c>
      <c r="H7" s="44" t="s">
        <v>28</v>
      </c>
      <c r="I7" s="43" t="s">
        <v>12</v>
      </c>
      <c r="J7" s="43" t="s">
        <v>21</v>
      </c>
      <c r="K7" s="43" t="s">
        <v>21</v>
      </c>
      <c r="L7" s="43" t="s">
        <v>21</v>
      </c>
      <c r="M7" s="43" t="s">
        <v>21</v>
      </c>
      <c r="N7" s="43" t="s">
        <v>21</v>
      </c>
      <c r="O7" s="43" t="s">
        <v>21</v>
      </c>
      <c r="P7" s="25">
        <f>VLOOKUP(C7, [1]Sheet1!$A$2:$B$313, 2, FALSE)</f>
        <v>183.23441796431399</v>
      </c>
      <c r="Q7" s="45">
        <v>4.7388235031762718E-2</v>
      </c>
    </row>
    <row r="8" spans="2:17" ht="48">
      <c r="B8" s="43">
        <v>6</v>
      </c>
      <c r="C8" s="43">
        <v>847130</v>
      </c>
      <c r="D8" s="47" t="s">
        <v>34</v>
      </c>
      <c r="E8" s="44" t="s">
        <v>35</v>
      </c>
      <c r="F8" s="44" t="s">
        <v>36</v>
      </c>
      <c r="G8" s="44" t="s">
        <v>37</v>
      </c>
      <c r="H8" s="44" t="s">
        <v>28</v>
      </c>
      <c r="I8" s="43" t="s">
        <v>12</v>
      </c>
      <c r="J8" s="43" t="s">
        <v>21</v>
      </c>
      <c r="K8" s="43" t="s">
        <v>21</v>
      </c>
      <c r="L8" s="43" t="s">
        <v>21</v>
      </c>
      <c r="M8" s="43" t="s">
        <v>21</v>
      </c>
      <c r="N8" s="43" t="s">
        <v>21</v>
      </c>
      <c r="O8" s="43" t="s">
        <v>21</v>
      </c>
      <c r="P8" s="25">
        <f>VLOOKUP(C8, [1]Sheet1!$A$2:$B$313, 2, FALSE)</f>
        <v>144.271888945287</v>
      </c>
      <c r="Q8" s="45">
        <v>3.5964169622894032E-2</v>
      </c>
    </row>
    <row r="9" spans="2:17" ht="48" hidden="1">
      <c r="B9" s="43">
        <v>215</v>
      </c>
      <c r="C9" s="43">
        <v>844391</v>
      </c>
      <c r="D9" s="47" t="s">
        <v>38</v>
      </c>
      <c r="E9" s="44" t="s">
        <v>39</v>
      </c>
      <c r="F9" s="44" t="s">
        <v>36</v>
      </c>
      <c r="G9" s="44" t="s">
        <v>40</v>
      </c>
      <c r="H9" s="44" t="s">
        <v>20</v>
      </c>
      <c r="I9" s="43" t="s">
        <v>12</v>
      </c>
      <c r="J9" s="43" t="s">
        <v>21</v>
      </c>
      <c r="K9" s="43" t="s">
        <v>21</v>
      </c>
      <c r="L9" s="43" t="s">
        <v>21</v>
      </c>
      <c r="M9" s="43" t="s">
        <v>29</v>
      </c>
      <c r="N9" s="43" t="s">
        <v>21</v>
      </c>
      <c r="O9" s="43" t="s">
        <v>21</v>
      </c>
      <c r="P9" s="25">
        <f>VLOOKUP(C9, [1]Sheet1!$A$2:$B$313, 2, FALSE)</f>
        <v>2.3725079293119999</v>
      </c>
      <c r="Q9" s="45">
        <v>3.6417863949227516E-4</v>
      </c>
    </row>
    <row r="10" spans="2:17" ht="48" hidden="1">
      <c r="B10" s="43">
        <v>8</v>
      </c>
      <c r="C10" s="43">
        <v>850760</v>
      </c>
      <c r="D10" s="47" t="s">
        <v>41</v>
      </c>
      <c r="E10" s="44" t="s">
        <v>42</v>
      </c>
      <c r="F10" s="44" t="s">
        <v>26</v>
      </c>
      <c r="G10" s="44" t="s">
        <v>43</v>
      </c>
      <c r="H10" s="44" t="s">
        <v>20</v>
      </c>
      <c r="I10" s="43" t="s">
        <v>12</v>
      </c>
      <c r="J10" s="43" t="s">
        <v>21</v>
      </c>
      <c r="K10" s="43" t="s">
        <v>21</v>
      </c>
      <c r="L10" s="43" t="s">
        <v>29</v>
      </c>
      <c r="M10" s="43" t="s">
        <v>21</v>
      </c>
      <c r="N10" s="43" t="s">
        <v>21</v>
      </c>
      <c r="O10" s="43" t="s">
        <v>29</v>
      </c>
      <c r="P10" s="25">
        <f>VLOOKUP(C10, [1]Sheet1!$A$2:$B$313, 2, FALSE)</f>
        <v>116.65569449471199</v>
      </c>
      <c r="Q10" s="45">
        <v>2.6752592073842261E-2</v>
      </c>
    </row>
    <row r="11" spans="2:17" ht="80.099999999999994">
      <c r="B11" s="43">
        <v>9</v>
      </c>
      <c r="C11" s="43">
        <v>847150</v>
      </c>
      <c r="D11" s="47" t="s">
        <v>44</v>
      </c>
      <c r="E11" s="44" t="s">
        <v>45</v>
      </c>
      <c r="F11" s="44" t="s">
        <v>36</v>
      </c>
      <c r="G11" s="44" t="s">
        <v>37</v>
      </c>
      <c r="H11" s="44" t="s">
        <v>28</v>
      </c>
      <c r="I11" s="43" t="s">
        <v>12</v>
      </c>
      <c r="J11" s="43" t="s">
        <v>21</v>
      </c>
      <c r="K11" s="43" t="s">
        <v>21</v>
      </c>
      <c r="L11" s="43" t="s">
        <v>21</v>
      </c>
      <c r="M11" s="43" t="s">
        <v>21</v>
      </c>
      <c r="N11" s="43" t="s">
        <v>21</v>
      </c>
      <c r="O11" s="43" t="s">
        <v>21</v>
      </c>
      <c r="P11" s="25">
        <f>VLOOKUP(C11, [1]Sheet1!$A$2:$B$313, 2, FALSE)</f>
        <v>85.358386828720995</v>
      </c>
      <c r="Q11" s="45">
        <v>2.116038885331396E-2</v>
      </c>
    </row>
    <row r="12" spans="2:17" ht="32.1" hidden="1">
      <c r="B12" s="43">
        <v>10</v>
      </c>
      <c r="C12" s="43">
        <v>850440</v>
      </c>
      <c r="D12" s="47" t="s">
        <v>46</v>
      </c>
      <c r="E12" s="44" t="s">
        <v>47</v>
      </c>
      <c r="F12" s="44" t="s">
        <v>26</v>
      </c>
      <c r="G12" s="44" t="s">
        <v>40</v>
      </c>
      <c r="H12" s="44" t="s">
        <v>20</v>
      </c>
      <c r="I12" s="43" t="s">
        <v>12</v>
      </c>
      <c r="J12" s="43" t="s">
        <v>21</v>
      </c>
      <c r="K12" s="43" t="s">
        <v>21</v>
      </c>
      <c r="L12" s="43" t="s">
        <v>21</v>
      </c>
      <c r="M12" s="43" t="s">
        <v>21</v>
      </c>
      <c r="N12" s="43" t="s">
        <v>21</v>
      </c>
      <c r="O12" s="43" t="s">
        <v>21</v>
      </c>
      <c r="P12" s="25">
        <f>VLOOKUP(C12, [1]Sheet1!$A$2:$B$313, 2, FALSE)</f>
        <v>98.358429669063995</v>
      </c>
      <c r="Q12" s="45">
        <v>2.3174218637100327E-2</v>
      </c>
    </row>
    <row r="13" spans="2:17" ht="15.95" hidden="1">
      <c r="B13" s="43">
        <v>11</v>
      </c>
      <c r="C13" s="43">
        <v>392690</v>
      </c>
      <c r="D13" s="47" t="s">
        <v>48</v>
      </c>
      <c r="E13" s="44" t="s">
        <v>49</v>
      </c>
      <c r="F13" s="44" t="s">
        <v>50</v>
      </c>
      <c r="G13" s="44" t="s">
        <v>51</v>
      </c>
      <c r="H13" s="44" t="s">
        <v>20</v>
      </c>
      <c r="I13" s="43" t="s">
        <v>11</v>
      </c>
      <c r="J13" s="43" t="s">
        <v>21</v>
      </c>
      <c r="K13" s="43" t="s">
        <v>29</v>
      </c>
      <c r="L13" s="43" t="s">
        <v>29</v>
      </c>
      <c r="M13" s="43" t="s">
        <v>21</v>
      </c>
      <c r="N13" s="43" t="s">
        <v>29</v>
      </c>
      <c r="O13" s="43" t="s">
        <v>29</v>
      </c>
      <c r="P13" s="25">
        <f>VLOOKUP(C13, [1]Sheet1!$A$2:$B$313, 2, FALSE)</f>
        <v>78.071509607585995</v>
      </c>
      <c r="Q13" s="45">
        <v>1.8109673613141395E-2</v>
      </c>
    </row>
    <row r="14" spans="2:17" ht="63.95" hidden="1">
      <c r="B14" s="43">
        <v>12</v>
      </c>
      <c r="C14" s="43">
        <v>853710</v>
      </c>
      <c r="D14" s="47" t="s">
        <v>52</v>
      </c>
      <c r="E14" s="44" t="s">
        <v>53</v>
      </c>
      <c r="F14" s="44" t="s">
        <v>54</v>
      </c>
      <c r="G14" s="44" t="s">
        <v>19</v>
      </c>
      <c r="H14" s="44" t="s">
        <v>20</v>
      </c>
      <c r="I14" s="43" t="s">
        <v>12</v>
      </c>
      <c r="J14" s="43" t="s">
        <v>21</v>
      </c>
      <c r="K14" s="43" t="s">
        <v>21</v>
      </c>
      <c r="L14" s="43" t="s">
        <v>21</v>
      </c>
      <c r="M14" s="43" t="s">
        <v>21</v>
      </c>
      <c r="N14" s="43" t="s">
        <v>21</v>
      </c>
      <c r="O14" s="43" t="s">
        <v>21</v>
      </c>
      <c r="P14" s="25">
        <f>VLOOKUP(C14, [1]Sheet1!$A$2:$B$313, 2, FALSE)</f>
        <v>80.683512902784997</v>
      </c>
      <c r="Q14" s="45">
        <v>1.9239106343019497E-2</v>
      </c>
    </row>
    <row r="15" spans="2:17" ht="32.1" hidden="1">
      <c r="B15" s="43">
        <v>13</v>
      </c>
      <c r="C15" s="43">
        <v>851779</v>
      </c>
      <c r="D15" s="47" t="s">
        <v>55</v>
      </c>
      <c r="E15" s="44" t="s">
        <v>56</v>
      </c>
      <c r="F15" s="44" t="s">
        <v>26</v>
      </c>
      <c r="G15" s="44" t="s">
        <v>27</v>
      </c>
      <c r="H15" s="44" t="s">
        <v>20</v>
      </c>
      <c r="I15" s="43" t="s">
        <v>12</v>
      </c>
      <c r="J15" s="43" t="s">
        <v>21</v>
      </c>
      <c r="K15" s="43" t="s">
        <v>29</v>
      </c>
      <c r="L15" s="43" t="s">
        <v>29</v>
      </c>
      <c r="M15" s="43" t="s">
        <v>21</v>
      </c>
      <c r="N15" s="43" t="s">
        <v>21</v>
      </c>
      <c r="O15" s="43" t="s">
        <v>29</v>
      </c>
      <c r="P15" s="25">
        <f>VLOOKUP(C15, [1]Sheet1!$A$2:$B$313, 2, FALSE)</f>
        <v>57.189251670072998</v>
      </c>
      <c r="Q15" s="45">
        <v>1.3075710726279784E-2</v>
      </c>
    </row>
    <row r="16" spans="2:17" ht="32.1" hidden="1">
      <c r="B16" s="43">
        <v>23</v>
      </c>
      <c r="C16" s="43">
        <v>844399</v>
      </c>
      <c r="D16" s="47" t="s">
        <v>57</v>
      </c>
      <c r="E16" s="44" t="s">
        <v>39</v>
      </c>
      <c r="F16" s="44" t="s">
        <v>36</v>
      </c>
      <c r="G16" s="44" t="s">
        <v>40</v>
      </c>
      <c r="H16" s="44" t="s">
        <v>20</v>
      </c>
      <c r="I16" s="43" t="s">
        <v>12</v>
      </c>
      <c r="J16" s="43" t="s">
        <v>21</v>
      </c>
      <c r="K16" s="43" t="s">
        <v>29</v>
      </c>
      <c r="L16" s="43" t="s">
        <v>29</v>
      </c>
      <c r="M16" s="43" t="s">
        <v>29</v>
      </c>
      <c r="N16" s="43" t="s">
        <v>21</v>
      </c>
      <c r="O16" s="43" t="s">
        <v>21</v>
      </c>
      <c r="P16" s="25">
        <f>VLOOKUP(C16, [1]Sheet1!$A$2:$B$313, 2, FALSE)</f>
        <v>36.740430565026003</v>
      </c>
      <c r="Q16" s="45">
        <v>9.0696630753868846E-3</v>
      </c>
    </row>
    <row r="17" spans="2:17" ht="32.1" hidden="1">
      <c r="B17" s="43">
        <v>15</v>
      </c>
      <c r="C17" s="43">
        <v>853400</v>
      </c>
      <c r="D17" s="47" t="s">
        <v>58</v>
      </c>
      <c r="E17" s="44" t="s">
        <v>59</v>
      </c>
      <c r="F17" s="44" t="s">
        <v>18</v>
      </c>
      <c r="G17" s="44" t="s">
        <v>19</v>
      </c>
      <c r="H17" s="44" t="s">
        <v>20</v>
      </c>
      <c r="I17" s="43" t="s">
        <v>12</v>
      </c>
      <c r="J17" s="43" t="s">
        <v>21</v>
      </c>
      <c r="K17" s="43" t="s">
        <v>21</v>
      </c>
      <c r="L17" s="43" t="s">
        <v>21</v>
      </c>
      <c r="M17" s="43" t="s">
        <v>21</v>
      </c>
      <c r="N17" s="43" t="s">
        <v>21</v>
      </c>
      <c r="O17" s="43" t="s">
        <v>21</v>
      </c>
      <c r="P17" s="25">
        <f>VLOOKUP(C17, [1]Sheet1!$A$2:$B$313, 2, FALSE)</f>
        <v>45.034643679878002</v>
      </c>
      <c r="Q17" s="45">
        <v>1.0820440091935422E-2</v>
      </c>
    </row>
    <row r="18" spans="2:17" ht="15.95" hidden="1">
      <c r="B18" s="43">
        <v>16</v>
      </c>
      <c r="C18" s="43">
        <v>732690</v>
      </c>
      <c r="D18" s="47" t="s">
        <v>60</v>
      </c>
      <c r="E18" s="44" t="s">
        <v>61</v>
      </c>
      <c r="F18" s="44" t="s">
        <v>50</v>
      </c>
      <c r="G18" s="44" t="s">
        <v>51</v>
      </c>
      <c r="H18" s="44" t="s">
        <v>20</v>
      </c>
      <c r="I18" s="43" t="s">
        <v>11</v>
      </c>
      <c r="J18" s="43" t="s">
        <v>21</v>
      </c>
      <c r="K18" s="43" t="s">
        <v>29</v>
      </c>
      <c r="L18" s="43" t="s">
        <v>29</v>
      </c>
      <c r="M18" s="43" t="s">
        <v>21</v>
      </c>
      <c r="N18" s="43" t="s">
        <v>29</v>
      </c>
      <c r="O18" s="43" t="s">
        <v>29</v>
      </c>
      <c r="P18" s="25">
        <f>VLOOKUP(C18, [1]Sheet1!$A$2:$B$313, 2, FALSE)</f>
        <v>56.681497920562002</v>
      </c>
      <c r="Q18" s="45">
        <v>1.2976410116450114E-2</v>
      </c>
    </row>
    <row r="19" spans="2:17" ht="48" hidden="1">
      <c r="B19" s="43">
        <v>17</v>
      </c>
      <c r="C19" s="43">
        <v>854143</v>
      </c>
      <c r="D19" s="47" t="s">
        <v>62</v>
      </c>
      <c r="E19" s="44" t="s">
        <v>63</v>
      </c>
      <c r="F19" s="44" t="s">
        <v>18</v>
      </c>
      <c r="G19" s="44" t="s">
        <v>19</v>
      </c>
      <c r="H19" s="44" t="s">
        <v>20</v>
      </c>
      <c r="I19" s="43" t="s">
        <v>12</v>
      </c>
      <c r="J19" s="43" t="s">
        <v>21</v>
      </c>
      <c r="K19" s="43" t="s">
        <v>29</v>
      </c>
      <c r="L19" s="43" t="s">
        <v>29</v>
      </c>
      <c r="M19" s="43" t="s">
        <v>29</v>
      </c>
      <c r="N19" s="43" t="s">
        <v>21</v>
      </c>
      <c r="O19" s="43" t="s">
        <v>29</v>
      </c>
      <c r="P19" s="25">
        <f>VLOOKUP(C19, [1]Sheet1!$A$2:$B$313, 2, FALSE)</f>
        <v>56.145971915296997</v>
      </c>
      <c r="Q19" s="45">
        <v>1.40107902961982E-2</v>
      </c>
    </row>
    <row r="20" spans="2:17" ht="48">
      <c r="B20" s="43">
        <v>18</v>
      </c>
      <c r="C20" s="43">
        <v>852351</v>
      </c>
      <c r="D20" s="47" t="s">
        <v>64</v>
      </c>
      <c r="E20" s="44" t="s">
        <v>65</v>
      </c>
      <c r="F20" s="44" t="s">
        <v>66</v>
      </c>
      <c r="G20" s="44" t="s">
        <v>67</v>
      </c>
      <c r="H20" s="44" t="s">
        <v>28</v>
      </c>
      <c r="I20" s="43" t="s">
        <v>12</v>
      </c>
      <c r="J20" s="43" t="s">
        <v>21</v>
      </c>
      <c r="K20" s="43" t="s">
        <v>21</v>
      </c>
      <c r="L20" s="43" t="s">
        <v>21</v>
      </c>
      <c r="M20" s="43" t="s">
        <v>21</v>
      </c>
      <c r="N20" s="43" t="s">
        <v>21</v>
      </c>
      <c r="O20" s="43" t="s">
        <v>21</v>
      </c>
      <c r="P20" s="25">
        <f>VLOOKUP(C20, [1]Sheet1!$A$2:$B$313, 2, FALSE)</f>
        <v>29.208101418685999</v>
      </c>
      <c r="Q20" s="45">
        <v>7.1130886022360874E-3</v>
      </c>
    </row>
    <row r="21" spans="2:17" ht="48" hidden="1">
      <c r="B21" s="43">
        <v>19</v>
      </c>
      <c r="C21" s="43">
        <v>852990</v>
      </c>
      <c r="D21" s="47" t="s">
        <v>68</v>
      </c>
      <c r="E21" s="44" t="s">
        <v>69</v>
      </c>
      <c r="F21" s="44" t="s">
        <v>26</v>
      </c>
      <c r="G21" s="44" t="s">
        <v>67</v>
      </c>
      <c r="H21" s="44" t="s">
        <v>20</v>
      </c>
      <c r="I21" s="43" t="s">
        <v>12</v>
      </c>
      <c r="J21" s="43" t="s">
        <v>21</v>
      </c>
      <c r="K21" s="43" t="s">
        <v>21</v>
      </c>
      <c r="L21" s="43" t="s">
        <v>21</v>
      </c>
      <c r="M21" s="43" t="s">
        <v>21</v>
      </c>
      <c r="N21" s="43" t="s">
        <v>21</v>
      </c>
      <c r="O21" s="43" t="s">
        <v>21</v>
      </c>
      <c r="P21" s="25">
        <f>VLOOKUP(C21, [1]Sheet1!$A$2:$B$313, 2, FALSE)</f>
        <v>37.048427108119</v>
      </c>
      <c r="Q21" s="45">
        <v>1.0418093273082643E-2</v>
      </c>
    </row>
    <row r="22" spans="2:17" ht="63.95">
      <c r="B22" s="43">
        <v>20</v>
      </c>
      <c r="C22" s="43">
        <v>852872</v>
      </c>
      <c r="D22" s="47" t="s">
        <v>70</v>
      </c>
      <c r="E22" s="44" t="s">
        <v>71</v>
      </c>
      <c r="F22" s="44" t="s">
        <v>66</v>
      </c>
      <c r="G22" s="44" t="s">
        <v>67</v>
      </c>
      <c r="H22" s="44" t="s">
        <v>28</v>
      </c>
      <c r="I22" s="43" t="s">
        <v>12</v>
      </c>
      <c r="J22" s="43" t="s">
        <v>21</v>
      </c>
      <c r="K22" s="43" t="s">
        <v>21</v>
      </c>
      <c r="L22" s="43" t="s">
        <v>21</v>
      </c>
      <c r="M22" s="43" t="s">
        <v>29</v>
      </c>
      <c r="N22" s="43" t="s">
        <v>21</v>
      </c>
      <c r="O22" s="43" t="s">
        <v>21</v>
      </c>
      <c r="P22" s="25">
        <f>VLOOKUP(C22, [1]Sheet1!$A$2:$B$313, 2, FALSE)</f>
        <v>42.542929357849999</v>
      </c>
      <c r="Q22" s="45">
        <v>9.4737057325129277E-3</v>
      </c>
    </row>
    <row r="23" spans="2:17" ht="48" hidden="1">
      <c r="B23" s="43">
        <v>21</v>
      </c>
      <c r="C23" s="43">
        <v>853690</v>
      </c>
      <c r="D23" s="47" t="s">
        <v>72</v>
      </c>
      <c r="E23" s="44" t="s">
        <v>73</v>
      </c>
      <c r="F23" s="44" t="s">
        <v>54</v>
      </c>
      <c r="G23" s="44" t="s">
        <v>51</v>
      </c>
      <c r="H23" s="44" t="s">
        <v>20</v>
      </c>
      <c r="I23" s="43" t="s">
        <v>11</v>
      </c>
      <c r="J23" s="43" t="s">
        <v>21</v>
      </c>
      <c r="K23" s="43" t="s">
        <v>21</v>
      </c>
      <c r="L23" s="43" t="s">
        <v>29</v>
      </c>
      <c r="M23" s="43" t="s">
        <v>21</v>
      </c>
      <c r="N23" s="43" t="s">
        <v>29</v>
      </c>
      <c r="O23" s="43" t="s">
        <v>29</v>
      </c>
      <c r="P23" s="25">
        <f>VLOOKUP(C23, [1]Sheet1!$A$2:$B$313, 2, FALSE)</f>
        <v>41.271026499016003</v>
      </c>
      <c r="Q23" s="45">
        <v>1.0030029332029941E-2</v>
      </c>
    </row>
    <row r="24" spans="2:17" ht="48">
      <c r="B24" s="43">
        <v>22</v>
      </c>
      <c r="C24" s="43">
        <v>854370</v>
      </c>
      <c r="D24" s="47" t="s">
        <v>74</v>
      </c>
      <c r="E24" s="44" t="s">
        <v>75</v>
      </c>
      <c r="F24" s="44" t="s">
        <v>54</v>
      </c>
      <c r="G24" s="44" t="s">
        <v>40</v>
      </c>
      <c r="H24" s="44" t="s">
        <v>28</v>
      </c>
      <c r="I24" s="43" t="s">
        <v>12</v>
      </c>
      <c r="J24" s="43" t="s">
        <v>21</v>
      </c>
      <c r="K24" s="43" t="s">
        <v>21</v>
      </c>
      <c r="L24" s="43" t="s">
        <v>21</v>
      </c>
      <c r="M24" s="43" t="s">
        <v>29</v>
      </c>
      <c r="N24" s="43" t="s">
        <v>21</v>
      </c>
      <c r="O24" s="43" t="s">
        <v>21</v>
      </c>
      <c r="P24" s="25">
        <f>VLOOKUP(C24, [1]Sheet1!$A$2:$B$313, 2, FALSE)</f>
        <v>39.251778100453997</v>
      </c>
      <c r="Q24" s="45">
        <v>9.5826913598841459E-3</v>
      </c>
    </row>
    <row r="25" spans="2:17" ht="63.95">
      <c r="B25" s="43">
        <v>56</v>
      </c>
      <c r="C25" s="43">
        <v>847160</v>
      </c>
      <c r="D25" s="47" t="s">
        <v>76</v>
      </c>
      <c r="E25" s="44" t="s">
        <v>77</v>
      </c>
      <c r="F25" s="44" t="s">
        <v>36</v>
      </c>
      <c r="G25" s="44" t="s">
        <v>37</v>
      </c>
      <c r="H25" s="44" t="s">
        <v>28</v>
      </c>
      <c r="I25" s="43" t="s">
        <v>12</v>
      </c>
      <c r="J25" s="43" t="s">
        <v>21</v>
      </c>
      <c r="K25" s="43" t="s">
        <v>21</v>
      </c>
      <c r="L25" s="43" t="s">
        <v>21</v>
      </c>
      <c r="M25" s="43" t="s">
        <v>21</v>
      </c>
      <c r="N25" s="43" t="s">
        <v>21</v>
      </c>
      <c r="O25" s="43" t="s">
        <v>21</v>
      </c>
      <c r="P25" s="25">
        <f>VLOOKUP(C25, [1]Sheet1!$A$2:$B$313, 2, FALSE)</f>
        <v>13.284499998555001</v>
      </c>
      <c r="Q25" s="45">
        <v>3.0111613341741619E-3</v>
      </c>
    </row>
    <row r="26" spans="2:17" ht="32.1" hidden="1">
      <c r="B26" s="43">
        <v>24</v>
      </c>
      <c r="C26" s="43">
        <v>854442</v>
      </c>
      <c r="D26" s="47" t="s">
        <v>78</v>
      </c>
      <c r="E26" s="44" t="s">
        <v>79</v>
      </c>
      <c r="F26" s="44" t="s">
        <v>54</v>
      </c>
      <c r="G26" s="44" t="s">
        <v>51</v>
      </c>
      <c r="H26" s="44" t="s">
        <v>20</v>
      </c>
      <c r="I26" s="43" t="s">
        <v>11</v>
      </c>
      <c r="J26" s="43" t="s">
        <v>21</v>
      </c>
      <c r="K26" s="43" t="s">
        <v>21</v>
      </c>
      <c r="L26" s="43" t="s">
        <v>29</v>
      </c>
      <c r="M26" s="43" t="s">
        <v>21</v>
      </c>
      <c r="N26" s="43" t="s">
        <v>29</v>
      </c>
      <c r="O26" s="43" t="s">
        <v>29</v>
      </c>
      <c r="P26" s="25">
        <f>VLOOKUP(C26, [1]Sheet1!$A$2:$B$313, 2, FALSE)</f>
        <v>37.839169219657997</v>
      </c>
      <c r="Q26" s="45">
        <v>8.8806875012704956E-3</v>
      </c>
    </row>
    <row r="27" spans="2:17" ht="48">
      <c r="B27" s="43">
        <v>14</v>
      </c>
      <c r="C27" s="43">
        <v>847170</v>
      </c>
      <c r="D27" s="47" t="s">
        <v>80</v>
      </c>
      <c r="E27" s="44" t="s">
        <v>81</v>
      </c>
      <c r="F27" s="44" t="s">
        <v>36</v>
      </c>
      <c r="G27" s="44" t="s">
        <v>37</v>
      </c>
      <c r="H27" s="44" t="s">
        <v>28</v>
      </c>
      <c r="I27" s="43" t="s">
        <v>12</v>
      </c>
      <c r="J27" s="43" t="s">
        <v>21</v>
      </c>
      <c r="K27" s="43" t="s">
        <v>21</v>
      </c>
      <c r="L27" s="43" t="s">
        <v>21</v>
      </c>
      <c r="M27" s="43" t="s">
        <v>21</v>
      </c>
      <c r="N27" s="43" t="s">
        <v>21</v>
      </c>
      <c r="O27" s="43" t="s">
        <v>21</v>
      </c>
      <c r="P27" s="25">
        <f>VLOOKUP(C27, [1]Sheet1!$A$2:$B$313, 2, FALSE)</f>
        <v>48.228817590486997</v>
      </c>
      <c r="Q27" s="45">
        <v>1.3032503269182849E-2</v>
      </c>
    </row>
    <row r="28" spans="2:17" ht="32.1" hidden="1">
      <c r="B28" s="43">
        <v>26</v>
      </c>
      <c r="C28" s="43">
        <v>854449</v>
      </c>
      <c r="D28" s="47" t="s">
        <v>82</v>
      </c>
      <c r="E28" s="44" t="s">
        <v>79</v>
      </c>
      <c r="F28" s="44" t="s">
        <v>54</v>
      </c>
      <c r="G28" s="44" t="s">
        <v>51</v>
      </c>
      <c r="H28" s="44" t="s">
        <v>20</v>
      </c>
      <c r="I28" s="43" t="s">
        <v>11</v>
      </c>
      <c r="J28" s="43" t="s">
        <v>21</v>
      </c>
      <c r="K28" s="43" t="s">
        <v>21</v>
      </c>
      <c r="L28" s="43" t="s">
        <v>29</v>
      </c>
      <c r="M28" s="43" t="s">
        <v>21</v>
      </c>
      <c r="N28" s="43" t="s">
        <v>29</v>
      </c>
      <c r="O28" s="43" t="s">
        <v>29</v>
      </c>
      <c r="P28" s="25">
        <f>VLOOKUP(C28, [1]Sheet1!$A$2:$B$313, 2, FALSE)</f>
        <v>38.042037158657003</v>
      </c>
      <c r="Q28" s="45">
        <v>8.6428734395377037E-3</v>
      </c>
    </row>
    <row r="29" spans="2:17" ht="48">
      <c r="B29" s="31">
        <v>28</v>
      </c>
      <c r="C29" s="31">
        <v>853890</v>
      </c>
      <c r="D29" s="33" t="s">
        <v>83</v>
      </c>
      <c r="E29" s="32" t="s">
        <v>84</v>
      </c>
      <c r="F29" s="32" t="s">
        <v>26</v>
      </c>
      <c r="G29" s="44" t="s">
        <v>27</v>
      </c>
      <c r="H29" s="44" t="s">
        <v>28</v>
      </c>
      <c r="I29" s="31" t="s">
        <v>12</v>
      </c>
      <c r="J29" s="31" t="s">
        <v>21</v>
      </c>
      <c r="K29" s="31" t="s">
        <v>21</v>
      </c>
      <c r="L29" s="31" t="s">
        <v>21</v>
      </c>
      <c r="M29" s="31" t="s">
        <v>21</v>
      </c>
      <c r="N29" s="34" t="s">
        <v>21</v>
      </c>
      <c r="O29" s="31" t="s">
        <v>21</v>
      </c>
      <c r="P29" s="25">
        <f>VLOOKUP(C29, [1]Sheet1!$A$2:$B$313, 2, FALSE)</f>
        <v>38.030557381365</v>
      </c>
      <c r="Q29" s="59">
        <v>7.9913790616519941E-3</v>
      </c>
    </row>
    <row r="30" spans="2:17" ht="32.1" hidden="1">
      <c r="B30" s="43">
        <v>29</v>
      </c>
      <c r="C30" s="43">
        <v>854129</v>
      </c>
      <c r="D30" s="47" t="s">
        <v>85</v>
      </c>
      <c r="E30" s="44" t="s">
        <v>86</v>
      </c>
      <c r="F30" s="44" t="s">
        <v>54</v>
      </c>
      <c r="G30" s="44" t="s">
        <v>19</v>
      </c>
      <c r="H30" s="44" t="s">
        <v>20</v>
      </c>
      <c r="I30" s="43" t="s">
        <v>12</v>
      </c>
      <c r="J30" s="43" t="s">
        <v>21</v>
      </c>
      <c r="K30" s="43" t="s">
        <v>21</v>
      </c>
      <c r="L30" s="43" t="s">
        <v>21</v>
      </c>
      <c r="M30" s="43" t="s">
        <v>21</v>
      </c>
      <c r="N30" s="43" t="s">
        <v>21</v>
      </c>
      <c r="O30" s="43" t="s">
        <v>21</v>
      </c>
      <c r="P30" s="25">
        <f>VLOOKUP(C30, [1]Sheet1!$A$2:$B$313, 2, FALSE)</f>
        <v>32.718801110268998</v>
      </c>
      <c r="Q30" s="45">
        <v>6.235680697515511E-3</v>
      </c>
    </row>
    <row r="31" spans="2:17" ht="48" hidden="1">
      <c r="B31" s="43">
        <v>30</v>
      </c>
      <c r="C31" s="43">
        <v>852491</v>
      </c>
      <c r="D31" s="47" t="s">
        <v>87</v>
      </c>
      <c r="E31" s="44" t="s">
        <v>88</v>
      </c>
      <c r="F31" s="44" t="s">
        <v>89</v>
      </c>
      <c r="G31" s="44" t="s">
        <v>67</v>
      </c>
      <c r="H31" s="44" t="s">
        <v>20</v>
      </c>
      <c r="I31" s="43" t="s">
        <v>12</v>
      </c>
      <c r="J31" s="43" t="s">
        <v>21</v>
      </c>
      <c r="K31" s="43" t="s">
        <v>29</v>
      </c>
      <c r="L31" s="43" t="s">
        <v>29</v>
      </c>
      <c r="M31" s="43" t="s">
        <v>29</v>
      </c>
      <c r="N31" s="43" t="s">
        <v>21</v>
      </c>
      <c r="O31" s="43" t="s">
        <v>29</v>
      </c>
      <c r="P31" s="25">
        <f>VLOOKUP(C31, [1]Sheet1!$A$2:$B$313, 2, FALSE)</f>
        <v>32.795974514587002</v>
      </c>
      <c r="Q31" s="45">
        <v>7.8165121570170203E-3</v>
      </c>
    </row>
    <row r="32" spans="2:17" ht="32.1" hidden="1">
      <c r="B32" s="43">
        <v>31</v>
      </c>
      <c r="C32" s="43">
        <v>852589</v>
      </c>
      <c r="D32" s="47" t="s">
        <v>90</v>
      </c>
      <c r="E32" s="44" t="s">
        <v>91</v>
      </c>
      <c r="F32" s="44" t="s">
        <v>26</v>
      </c>
      <c r="G32" s="44" t="s">
        <v>67</v>
      </c>
      <c r="H32" s="44" t="s">
        <v>20</v>
      </c>
      <c r="I32" s="43" t="s">
        <v>12</v>
      </c>
      <c r="J32" s="43" t="s">
        <v>21</v>
      </c>
      <c r="K32" s="43" t="s">
        <v>29</v>
      </c>
      <c r="L32" s="43" t="s">
        <v>21</v>
      </c>
      <c r="M32" s="43" t="s">
        <v>21</v>
      </c>
      <c r="N32" s="43" t="s">
        <v>21</v>
      </c>
      <c r="O32" s="43" t="s">
        <v>29</v>
      </c>
      <c r="P32" s="25">
        <f>VLOOKUP(C32, [1]Sheet1!$A$2:$B$313, 2, FALSE)</f>
        <v>31.167708608616</v>
      </c>
      <c r="Q32" s="45">
        <v>7.5739211641229027E-3</v>
      </c>
    </row>
    <row r="33" spans="2:17" ht="32.1">
      <c r="B33" s="43">
        <v>32</v>
      </c>
      <c r="C33" s="43">
        <v>950450</v>
      </c>
      <c r="D33" s="47" t="s">
        <v>92</v>
      </c>
      <c r="E33" s="44" t="s">
        <v>93</v>
      </c>
      <c r="F33" s="44" t="s">
        <v>66</v>
      </c>
      <c r="G33" s="44" t="s">
        <v>67</v>
      </c>
      <c r="H33" s="44" t="s">
        <v>28</v>
      </c>
      <c r="I33" s="43" t="s">
        <v>12</v>
      </c>
      <c r="J33" s="43" t="s">
        <v>21</v>
      </c>
      <c r="K33" s="43" t="s">
        <v>29</v>
      </c>
      <c r="L33" s="43" t="s">
        <v>29</v>
      </c>
      <c r="M33" s="43" t="s">
        <v>29</v>
      </c>
      <c r="N33" s="43" t="s">
        <v>21</v>
      </c>
      <c r="O33" s="43" t="s">
        <v>29</v>
      </c>
      <c r="P33" s="25">
        <f>VLOOKUP(C33, [1]Sheet1!$A$2:$B$313, 2, FALSE)</f>
        <v>30.192448722843</v>
      </c>
      <c r="Q33" s="45">
        <v>6.4896898701093586E-3</v>
      </c>
    </row>
    <row r="34" spans="2:17" ht="48" hidden="1">
      <c r="B34" s="43">
        <v>33</v>
      </c>
      <c r="C34" s="43">
        <v>841590</v>
      </c>
      <c r="D34" s="47" t="s">
        <v>94</v>
      </c>
      <c r="E34" s="44" t="s">
        <v>95</v>
      </c>
      <c r="F34" s="44" t="s">
        <v>66</v>
      </c>
      <c r="G34" s="44" t="s">
        <v>51</v>
      </c>
      <c r="H34" s="44" t="s">
        <v>20</v>
      </c>
      <c r="I34" s="43" t="s">
        <v>96</v>
      </c>
      <c r="J34" s="43" t="s">
        <v>21</v>
      </c>
      <c r="K34" s="43" t="s">
        <v>21</v>
      </c>
      <c r="L34" s="43" t="s">
        <v>29</v>
      </c>
      <c r="M34" s="43" t="s">
        <v>29</v>
      </c>
      <c r="N34" s="43" t="s">
        <v>29</v>
      </c>
      <c r="O34" s="43" t="s">
        <v>29</v>
      </c>
      <c r="P34" s="25">
        <f>VLOOKUP(C34, [1]Sheet1!$A$2:$B$313, 2, FALSE)</f>
        <v>26.168544777245</v>
      </c>
      <c r="Q34" s="45">
        <v>5.2010643130001033E-3</v>
      </c>
    </row>
    <row r="35" spans="2:17" ht="32.1" hidden="1">
      <c r="B35" s="43">
        <v>36</v>
      </c>
      <c r="C35" s="43">
        <v>854290</v>
      </c>
      <c r="D35" s="47" t="s">
        <v>97</v>
      </c>
      <c r="E35" s="44" t="s">
        <v>98</v>
      </c>
      <c r="F35" s="44" t="s">
        <v>18</v>
      </c>
      <c r="G35" s="44" t="s">
        <v>19</v>
      </c>
      <c r="H35" s="44" t="s">
        <v>20</v>
      </c>
      <c r="I35" s="43" t="s">
        <v>12</v>
      </c>
      <c r="J35" s="43" t="s">
        <v>21</v>
      </c>
      <c r="K35" s="43" t="s">
        <v>21</v>
      </c>
      <c r="L35" s="43" t="s">
        <v>21</v>
      </c>
      <c r="M35" s="43" t="s">
        <v>29</v>
      </c>
      <c r="N35" s="43" t="s">
        <v>21</v>
      </c>
      <c r="O35" s="43" t="s">
        <v>21</v>
      </c>
      <c r="P35" s="25">
        <f>VLOOKUP(C35, [1]Sheet1!$A$2:$B$313, 2, FALSE)</f>
        <v>20.738806189083999</v>
      </c>
      <c r="Q35" s="45">
        <v>5.0059025772276203E-3</v>
      </c>
    </row>
    <row r="36" spans="2:17" ht="32.1" hidden="1">
      <c r="B36" s="43">
        <v>35</v>
      </c>
      <c r="C36" s="43">
        <v>854233</v>
      </c>
      <c r="D36" s="47" t="s">
        <v>99</v>
      </c>
      <c r="E36" s="44" t="s">
        <v>100</v>
      </c>
      <c r="F36" s="44" t="s">
        <v>18</v>
      </c>
      <c r="G36" s="44" t="s">
        <v>19</v>
      </c>
      <c r="H36" s="44" t="s">
        <v>20</v>
      </c>
      <c r="I36" s="43" t="s">
        <v>12</v>
      </c>
      <c r="J36" s="43" t="s">
        <v>21</v>
      </c>
      <c r="K36" s="43" t="s">
        <v>21</v>
      </c>
      <c r="L36" s="43" t="s">
        <v>21</v>
      </c>
      <c r="M36" s="43" t="s">
        <v>29</v>
      </c>
      <c r="N36" s="43" t="s">
        <v>21</v>
      </c>
      <c r="O36" s="43" t="s">
        <v>21</v>
      </c>
      <c r="P36" s="25">
        <f>VLOOKUP(C36, [1]Sheet1!$A$2:$B$313, 2, FALSE)</f>
        <v>20.335454587095001</v>
      </c>
      <c r="Q36" s="45">
        <v>5.7162662255329615E-3</v>
      </c>
    </row>
    <row r="37" spans="2:17" ht="48" hidden="1">
      <c r="B37" s="43">
        <v>110</v>
      </c>
      <c r="C37" s="43">
        <v>841451</v>
      </c>
      <c r="D37" s="44" t="s">
        <v>101</v>
      </c>
      <c r="E37" s="44" t="s">
        <v>102</v>
      </c>
      <c r="F37" s="44" t="s">
        <v>66</v>
      </c>
      <c r="G37" s="44" t="s">
        <v>51</v>
      </c>
      <c r="H37" s="44" t="s">
        <v>28</v>
      </c>
      <c r="I37" s="47" t="s">
        <v>103</v>
      </c>
      <c r="J37" s="43" t="s">
        <v>29</v>
      </c>
      <c r="K37" s="43" t="s">
        <v>21</v>
      </c>
      <c r="L37" s="43" t="s">
        <v>29</v>
      </c>
      <c r="M37" s="43" t="s">
        <v>29</v>
      </c>
      <c r="N37" s="43" t="s">
        <v>29</v>
      </c>
      <c r="O37" s="43" t="s">
        <v>29</v>
      </c>
      <c r="P37" s="48">
        <v>10.428905086149999</v>
      </c>
      <c r="Q37" s="20">
        <v>1.2484847024918427E-3</v>
      </c>
    </row>
    <row r="38" spans="2:17" ht="48" hidden="1">
      <c r="B38" s="43">
        <v>53</v>
      </c>
      <c r="C38" s="43">
        <v>841459</v>
      </c>
      <c r="D38" s="44" t="s">
        <v>104</v>
      </c>
      <c r="E38" s="44" t="s">
        <v>105</v>
      </c>
      <c r="F38" s="44" t="s">
        <v>66</v>
      </c>
      <c r="G38" s="44" t="s">
        <v>51</v>
      </c>
      <c r="H38" s="44" t="s">
        <v>28</v>
      </c>
      <c r="I38" s="47" t="s">
        <v>96</v>
      </c>
      <c r="J38" s="43" t="s">
        <v>29</v>
      </c>
      <c r="K38" s="43" t="s">
        <v>21</v>
      </c>
      <c r="L38" s="43" t="s">
        <v>29</v>
      </c>
      <c r="M38" s="43" t="s">
        <v>29</v>
      </c>
      <c r="N38" s="43" t="s">
        <v>29</v>
      </c>
      <c r="O38" s="43" t="s">
        <v>29</v>
      </c>
      <c r="P38" s="48">
        <v>29.279762070573</v>
      </c>
      <c r="Q38" s="20">
        <v>3.5051939523601775E-3</v>
      </c>
    </row>
    <row r="39" spans="2:17" ht="48" hidden="1">
      <c r="B39" s="31">
        <v>211</v>
      </c>
      <c r="C39" s="31">
        <v>841460</v>
      </c>
      <c r="D39" s="32" t="s">
        <v>106</v>
      </c>
      <c r="E39" s="32" t="s">
        <v>107</v>
      </c>
      <c r="F39" s="32" t="s">
        <v>66</v>
      </c>
      <c r="G39" s="32" t="s">
        <v>51</v>
      </c>
      <c r="H39" s="32" t="s">
        <v>28</v>
      </c>
      <c r="I39" s="33" t="s">
        <v>103</v>
      </c>
      <c r="J39" s="31" t="s">
        <v>29</v>
      </c>
      <c r="K39" s="31" t="s">
        <v>21</v>
      </c>
      <c r="L39" s="31" t="s">
        <v>29</v>
      </c>
      <c r="M39" s="31" t="s">
        <v>29</v>
      </c>
      <c r="N39" s="34" t="s">
        <v>29</v>
      </c>
      <c r="O39" s="31" t="s">
        <v>29</v>
      </c>
      <c r="P39" s="21">
        <v>3.0051926196790002</v>
      </c>
      <c r="Q39" s="19">
        <v>3.5976327166821562E-4</v>
      </c>
    </row>
    <row r="40" spans="2:17" ht="63.95">
      <c r="B40" s="43">
        <v>34</v>
      </c>
      <c r="C40" s="43">
        <v>852852</v>
      </c>
      <c r="D40" s="47" t="s">
        <v>108</v>
      </c>
      <c r="E40" s="44" t="s">
        <v>109</v>
      </c>
      <c r="F40" s="44" t="s">
        <v>36</v>
      </c>
      <c r="G40" s="44" t="s">
        <v>37</v>
      </c>
      <c r="H40" s="44" t="s">
        <v>28</v>
      </c>
      <c r="I40" s="43" t="s">
        <v>12</v>
      </c>
      <c r="J40" s="43" t="s">
        <v>21</v>
      </c>
      <c r="K40" s="43" t="s">
        <v>21</v>
      </c>
      <c r="L40" s="43" t="s">
        <v>21</v>
      </c>
      <c r="M40" s="43" t="s">
        <v>29</v>
      </c>
      <c r="N40" s="43" t="s">
        <v>21</v>
      </c>
      <c r="O40" s="43" t="s">
        <v>21</v>
      </c>
      <c r="P40" s="25">
        <f>VLOOKUP(C40, [1]Sheet1!$A$2:$B$313, 2, FALSE)</f>
        <v>19.740381860507</v>
      </c>
      <c r="Q40" s="45">
        <v>5.5386165762211529E-3</v>
      </c>
    </row>
    <row r="41" spans="2:17" ht="63.95" hidden="1">
      <c r="B41" s="43">
        <v>193</v>
      </c>
      <c r="C41" s="43">
        <v>841581</v>
      </c>
      <c r="D41" s="44" t="s">
        <v>110</v>
      </c>
      <c r="E41" s="44" t="s">
        <v>111</v>
      </c>
      <c r="F41" s="44" t="s">
        <v>112</v>
      </c>
      <c r="G41" s="44" t="s">
        <v>51</v>
      </c>
      <c r="H41" s="44" t="s">
        <v>28</v>
      </c>
      <c r="I41" s="47" t="s">
        <v>103</v>
      </c>
      <c r="J41" s="43" t="s">
        <v>29</v>
      </c>
      <c r="K41" s="43" t="s">
        <v>21</v>
      </c>
      <c r="L41" s="43" t="s">
        <v>29</v>
      </c>
      <c r="M41" s="43" t="s">
        <v>29</v>
      </c>
      <c r="N41" s="43" t="s">
        <v>29</v>
      </c>
      <c r="O41" s="43" t="s">
        <v>29</v>
      </c>
      <c r="P41" s="48">
        <v>4.8281805952200001</v>
      </c>
      <c r="Q41" s="20">
        <v>5.780002372449849E-4</v>
      </c>
    </row>
    <row r="42" spans="2:17" ht="48" hidden="1">
      <c r="B42" s="43">
        <v>126</v>
      </c>
      <c r="C42" s="43">
        <v>841582</v>
      </c>
      <c r="D42" s="44" t="s">
        <v>113</v>
      </c>
      <c r="E42" s="44" t="s">
        <v>114</v>
      </c>
      <c r="F42" s="44" t="s">
        <v>112</v>
      </c>
      <c r="G42" s="44" t="s">
        <v>51</v>
      </c>
      <c r="H42" s="44" t="s">
        <v>28</v>
      </c>
      <c r="I42" s="47" t="s">
        <v>103</v>
      </c>
      <c r="J42" s="43" t="s">
        <v>29</v>
      </c>
      <c r="K42" s="43" t="s">
        <v>21</v>
      </c>
      <c r="L42" s="43" t="s">
        <v>29</v>
      </c>
      <c r="M42" s="43" t="s">
        <v>29</v>
      </c>
      <c r="N42" s="43" t="s">
        <v>29</v>
      </c>
      <c r="O42" s="43" t="s">
        <v>29</v>
      </c>
      <c r="P42" s="48">
        <v>11.3571394018</v>
      </c>
      <c r="Q42" s="20">
        <v>1.3596072348999722E-3</v>
      </c>
    </row>
    <row r="43" spans="2:17" ht="48" hidden="1">
      <c r="B43" s="43">
        <v>200</v>
      </c>
      <c r="C43" s="43">
        <v>841583</v>
      </c>
      <c r="D43" s="44" t="s">
        <v>115</v>
      </c>
      <c r="E43" s="44" t="s">
        <v>111</v>
      </c>
      <c r="F43" s="44" t="s">
        <v>112</v>
      </c>
      <c r="G43" s="44" t="s">
        <v>51</v>
      </c>
      <c r="H43" s="44" t="s">
        <v>28</v>
      </c>
      <c r="I43" s="47" t="s">
        <v>103</v>
      </c>
      <c r="J43" s="43" t="s">
        <v>29</v>
      </c>
      <c r="K43" s="43" t="s">
        <v>21</v>
      </c>
      <c r="L43" s="43" t="s">
        <v>29</v>
      </c>
      <c r="M43" s="43" t="s">
        <v>29</v>
      </c>
      <c r="N43" s="43" t="s">
        <v>29</v>
      </c>
      <c r="O43" s="43" t="s">
        <v>29</v>
      </c>
      <c r="P43" s="48">
        <v>2.5307725276589998</v>
      </c>
      <c r="Q43" s="20">
        <v>3.0296860122593219E-4</v>
      </c>
    </row>
    <row r="44" spans="2:17" ht="32.1" hidden="1">
      <c r="B44" s="43">
        <v>38</v>
      </c>
      <c r="C44" s="43">
        <v>853669</v>
      </c>
      <c r="D44" s="47" t="s">
        <v>116</v>
      </c>
      <c r="E44" s="44" t="s">
        <v>117</v>
      </c>
      <c r="F44" s="44" t="s">
        <v>54</v>
      </c>
      <c r="G44" s="44" t="s">
        <v>51</v>
      </c>
      <c r="H44" s="44" t="s">
        <v>20</v>
      </c>
      <c r="I44" s="43" t="s">
        <v>11</v>
      </c>
      <c r="J44" s="43" t="s">
        <v>21</v>
      </c>
      <c r="K44" s="43" t="s">
        <v>21</v>
      </c>
      <c r="L44" s="43" t="s">
        <v>29</v>
      </c>
      <c r="M44" s="43" t="s">
        <v>21</v>
      </c>
      <c r="N44" s="43" t="s">
        <v>29</v>
      </c>
      <c r="O44" s="43" t="s">
        <v>29</v>
      </c>
      <c r="P44" s="25">
        <f>VLOOKUP(C44, [1]Sheet1!$A$2:$B$313, 2, FALSE)</f>
        <v>21.569219665793</v>
      </c>
      <c r="Q44" s="45">
        <v>3.531304093340867E-3</v>
      </c>
    </row>
    <row r="45" spans="2:17" ht="32.1" hidden="1">
      <c r="B45" s="43">
        <v>39</v>
      </c>
      <c r="C45" s="43">
        <v>731815</v>
      </c>
      <c r="D45" s="47" t="s">
        <v>118</v>
      </c>
      <c r="E45" s="44" t="s">
        <v>61</v>
      </c>
      <c r="F45" s="44" t="s">
        <v>50</v>
      </c>
      <c r="G45" s="44" t="s">
        <v>51</v>
      </c>
      <c r="H45" s="44" t="s">
        <v>20</v>
      </c>
      <c r="I45" s="43" t="s">
        <v>11</v>
      </c>
      <c r="J45" s="43" t="s">
        <v>21</v>
      </c>
      <c r="K45" s="43" t="s">
        <v>29</v>
      </c>
      <c r="L45" s="43" t="s">
        <v>29</v>
      </c>
      <c r="M45" s="43" t="s">
        <v>21</v>
      </c>
      <c r="N45" s="43" t="s">
        <v>29</v>
      </c>
      <c r="O45" s="43" t="s">
        <v>29</v>
      </c>
      <c r="P45" s="25">
        <f>VLOOKUP(C45, [1]Sheet1!$A$2:$B$313, 2, FALSE)</f>
        <v>21.633941819135</v>
      </c>
      <c r="Q45" s="45">
        <v>5.3353819722443902E-3</v>
      </c>
    </row>
    <row r="46" spans="2:17" ht="32.1" hidden="1">
      <c r="B46" s="43">
        <v>167</v>
      </c>
      <c r="C46" s="43">
        <v>841821</v>
      </c>
      <c r="D46" s="44" t="s">
        <v>119</v>
      </c>
      <c r="E46" s="44" t="s">
        <v>120</v>
      </c>
      <c r="F46" s="44" t="s">
        <v>112</v>
      </c>
      <c r="G46" s="44" t="s">
        <v>51</v>
      </c>
      <c r="H46" s="44" t="s">
        <v>28</v>
      </c>
      <c r="I46" s="47" t="s">
        <v>103</v>
      </c>
      <c r="J46" s="43" t="s">
        <v>29</v>
      </c>
      <c r="K46" s="43" t="s">
        <v>21</v>
      </c>
      <c r="L46" s="43" t="s">
        <v>29</v>
      </c>
      <c r="M46" s="43" t="s">
        <v>29</v>
      </c>
      <c r="N46" s="43" t="s">
        <v>29</v>
      </c>
      <c r="O46" s="43" t="s">
        <v>29</v>
      </c>
      <c r="P46" s="48">
        <v>6.1634448735280003</v>
      </c>
      <c r="Q46" s="20">
        <v>7.3784990616806935E-4</v>
      </c>
    </row>
    <row r="47" spans="2:17" ht="32.1" hidden="1">
      <c r="B47" s="43">
        <v>235</v>
      </c>
      <c r="C47" s="43">
        <v>841830</v>
      </c>
      <c r="D47" s="44" t="s">
        <v>121</v>
      </c>
      <c r="E47" s="44" t="s">
        <v>122</v>
      </c>
      <c r="F47" s="44" t="s">
        <v>112</v>
      </c>
      <c r="G47" s="44" t="s">
        <v>51</v>
      </c>
      <c r="H47" s="44" t="s">
        <v>28</v>
      </c>
      <c r="I47" s="47" t="s">
        <v>103</v>
      </c>
      <c r="J47" s="43" t="s">
        <v>29</v>
      </c>
      <c r="K47" s="43" t="s">
        <v>21</v>
      </c>
      <c r="L47" s="43" t="s">
        <v>29</v>
      </c>
      <c r="M47" s="43" t="s">
        <v>29</v>
      </c>
      <c r="N47" s="43" t="s">
        <v>29</v>
      </c>
      <c r="O47" s="43" t="s">
        <v>29</v>
      </c>
      <c r="P47" s="48">
        <v>1.0582992663890001</v>
      </c>
      <c r="Q47" s="20">
        <v>1.2669311244376994E-4</v>
      </c>
    </row>
    <row r="48" spans="2:17" ht="32.1" hidden="1">
      <c r="B48" s="43">
        <v>222</v>
      </c>
      <c r="C48" s="43">
        <v>841840</v>
      </c>
      <c r="D48" s="44" t="s">
        <v>123</v>
      </c>
      <c r="E48" s="44" t="s">
        <v>124</v>
      </c>
      <c r="F48" s="44" t="s">
        <v>112</v>
      </c>
      <c r="G48" s="44" t="s">
        <v>51</v>
      </c>
      <c r="H48" s="44" t="s">
        <v>28</v>
      </c>
      <c r="I48" s="47" t="s">
        <v>103</v>
      </c>
      <c r="J48" s="43" t="s">
        <v>29</v>
      </c>
      <c r="K48" s="43" t="s">
        <v>21</v>
      </c>
      <c r="L48" s="43" t="s">
        <v>29</v>
      </c>
      <c r="M48" s="43" t="s">
        <v>29</v>
      </c>
      <c r="N48" s="43" t="s">
        <v>29</v>
      </c>
      <c r="O48" s="43" t="s">
        <v>29</v>
      </c>
      <c r="P48" s="48">
        <v>2.2693127245469999</v>
      </c>
      <c r="Q48" s="20">
        <v>2.716682334686907E-4</v>
      </c>
    </row>
    <row r="49" spans="2:17" ht="32.1" hidden="1">
      <c r="B49" s="43">
        <v>133</v>
      </c>
      <c r="C49" s="43">
        <v>841861</v>
      </c>
      <c r="D49" s="44" t="s">
        <v>125</v>
      </c>
      <c r="E49" s="44" t="s">
        <v>126</v>
      </c>
      <c r="F49" s="44" t="s">
        <v>112</v>
      </c>
      <c r="G49" s="44" t="s">
        <v>51</v>
      </c>
      <c r="H49" s="44" t="s">
        <v>28</v>
      </c>
      <c r="I49" s="47" t="s">
        <v>103</v>
      </c>
      <c r="J49" s="43" t="s">
        <v>29</v>
      </c>
      <c r="K49" s="43" t="s">
        <v>21</v>
      </c>
      <c r="L49" s="43" t="s">
        <v>29</v>
      </c>
      <c r="M49" s="43" t="s">
        <v>29</v>
      </c>
      <c r="N49" s="43" t="s">
        <v>29</v>
      </c>
      <c r="O49" s="43" t="s">
        <v>29</v>
      </c>
      <c r="P49" s="48">
        <v>9.9856460097380015</v>
      </c>
      <c r="Q49" s="20">
        <v>1.1954204381640387E-3</v>
      </c>
    </row>
    <row r="50" spans="2:17" ht="80.099999999999994" hidden="1">
      <c r="B50" s="43">
        <v>44</v>
      </c>
      <c r="C50" s="43">
        <v>841510</v>
      </c>
      <c r="D50" s="47" t="s">
        <v>127</v>
      </c>
      <c r="E50" s="44" t="s">
        <v>128</v>
      </c>
      <c r="F50" s="44" t="s">
        <v>112</v>
      </c>
      <c r="G50" s="44" t="s">
        <v>51</v>
      </c>
      <c r="H50" s="44" t="s">
        <v>28</v>
      </c>
      <c r="I50" s="43" t="s">
        <v>129</v>
      </c>
      <c r="J50" s="43" t="s">
        <v>21</v>
      </c>
      <c r="K50" s="43" t="s">
        <v>21</v>
      </c>
      <c r="L50" s="43" t="s">
        <v>29</v>
      </c>
      <c r="M50" s="43" t="s">
        <v>29</v>
      </c>
      <c r="N50" s="43" t="s">
        <v>29</v>
      </c>
      <c r="O50" s="43" t="s">
        <v>29</v>
      </c>
      <c r="P50" s="25">
        <f>VLOOKUP(C50, [1]Sheet1!$A$2:$B$313, 2, FALSE)</f>
        <v>19.259622660325</v>
      </c>
      <c r="Q50" s="45">
        <v>3.8976834995323338E-3</v>
      </c>
    </row>
    <row r="51" spans="2:17" ht="32.1" hidden="1">
      <c r="B51" s="43">
        <v>370</v>
      </c>
      <c r="C51" s="43">
        <v>841891</v>
      </c>
      <c r="D51" s="44" t="s">
        <v>130</v>
      </c>
      <c r="E51" s="44" t="s">
        <v>131</v>
      </c>
      <c r="F51" s="44" t="s">
        <v>112</v>
      </c>
      <c r="G51" s="44" t="s">
        <v>51</v>
      </c>
      <c r="H51" s="44" t="s">
        <v>20</v>
      </c>
      <c r="I51" s="47" t="s">
        <v>103</v>
      </c>
      <c r="J51" s="43" t="s">
        <v>29</v>
      </c>
      <c r="K51" s="43" t="s">
        <v>21</v>
      </c>
      <c r="L51" s="43" t="s">
        <v>29</v>
      </c>
      <c r="M51" s="43" t="s">
        <v>29</v>
      </c>
      <c r="N51" s="43" t="s">
        <v>29</v>
      </c>
      <c r="O51" s="43" t="s">
        <v>29</v>
      </c>
      <c r="P51" s="25">
        <v>0.24441517764600007</v>
      </c>
      <c r="Q51" s="62">
        <f>P51/SUM($P$3:$P$425)</f>
        <v>5.4944915888526615E-5</v>
      </c>
    </row>
    <row r="52" spans="2:17" ht="48">
      <c r="B52" s="43">
        <v>41</v>
      </c>
      <c r="C52" s="43">
        <v>903289</v>
      </c>
      <c r="D52" s="47" t="s">
        <v>132</v>
      </c>
      <c r="E52" s="44" t="s">
        <v>133</v>
      </c>
      <c r="F52" s="44" t="s">
        <v>54</v>
      </c>
      <c r="G52" s="44" t="s">
        <v>40</v>
      </c>
      <c r="H52" s="44" t="s">
        <v>28</v>
      </c>
      <c r="I52" s="43" t="s">
        <v>12</v>
      </c>
      <c r="J52" s="43" t="s">
        <v>21</v>
      </c>
      <c r="K52" s="43" t="s">
        <v>21</v>
      </c>
      <c r="L52" s="43" t="s">
        <v>21</v>
      </c>
      <c r="M52" s="43" t="s">
        <v>21</v>
      </c>
      <c r="N52" s="43" t="s">
        <v>21</v>
      </c>
      <c r="O52" s="43" t="s">
        <v>21</v>
      </c>
      <c r="P52" s="25">
        <f>VLOOKUP(C52, [1]Sheet1!$A$2:$B$313, 2, FALSE)</f>
        <v>21.423021833844</v>
      </c>
      <c r="Q52" s="45">
        <v>5.0597204956219343E-3</v>
      </c>
    </row>
    <row r="53" spans="2:17" ht="32.1" hidden="1">
      <c r="B53" s="43">
        <v>239</v>
      </c>
      <c r="C53" s="43">
        <v>841911</v>
      </c>
      <c r="D53" s="44" t="s">
        <v>134</v>
      </c>
      <c r="E53" s="44" t="s">
        <v>135</v>
      </c>
      <c r="F53" s="44" t="s">
        <v>112</v>
      </c>
      <c r="G53" s="44" t="s">
        <v>51</v>
      </c>
      <c r="H53" s="44" t="s">
        <v>28</v>
      </c>
      <c r="I53" s="47" t="s">
        <v>103</v>
      </c>
      <c r="J53" s="43" t="s">
        <v>29</v>
      </c>
      <c r="K53" s="43" t="s">
        <v>21</v>
      </c>
      <c r="L53" s="43" t="s">
        <v>21</v>
      </c>
      <c r="M53" s="43" t="s">
        <v>29</v>
      </c>
      <c r="N53" s="43" t="s">
        <v>29</v>
      </c>
      <c r="O53" s="43" t="s">
        <v>29</v>
      </c>
      <c r="P53" s="48">
        <v>0.92712598081099995</v>
      </c>
      <c r="Q53" s="20">
        <v>1.1098984934310013E-4</v>
      </c>
    </row>
    <row r="54" spans="2:17" ht="15.95" hidden="1">
      <c r="B54" s="43">
        <v>358</v>
      </c>
      <c r="C54" s="43">
        <v>841912</v>
      </c>
      <c r="D54" s="44" t="s">
        <v>136</v>
      </c>
      <c r="E54" s="44" t="s">
        <v>135</v>
      </c>
      <c r="F54" s="44" t="s">
        <v>112</v>
      </c>
      <c r="G54" s="44" t="s">
        <v>51</v>
      </c>
      <c r="H54" s="44" t="s">
        <v>28</v>
      </c>
      <c r="I54" s="47" t="s">
        <v>103</v>
      </c>
      <c r="J54" s="43" t="s">
        <v>29</v>
      </c>
      <c r="K54" s="43" t="s">
        <v>29</v>
      </c>
      <c r="L54" s="43" t="s">
        <v>21</v>
      </c>
      <c r="M54" s="43" t="s">
        <v>29</v>
      </c>
      <c r="N54" s="43" t="s">
        <v>29</v>
      </c>
      <c r="O54" s="43" t="s">
        <v>29</v>
      </c>
      <c r="P54" s="25">
        <v>0.33818398212399997</v>
      </c>
      <c r="Q54" s="62">
        <f>P54/SUM($P$3:$P$425)</f>
        <v>7.6024290437326115E-5</v>
      </c>
    </row>
    <row r="55" spans="2:17" ht="15.95" hidden="1">
      <c r="B55" s="31">
        <v>124</v>
      </c>
      <c r="C55" s="31">
        <v>842211</v>
      </c>
      <c r="D55" s="32" t="s">
        <v>137</v>
      </c>
      <c r="E55" s="32" t="s">
        <v>138</v>
      </c>
      <c r="F55" s="32" t="s">
        <v>112</v>
      </c>
      <c r="G55" s="32" t="s">
        <v>51</v>
      </c>
      <c r="H55" s="32" t="s">
        <v>28</v>
      </c>
      <c r="I55" s="33" t="s">
        <v>103</v>
      </c>
      <c r="J55" s="31" t="s">
        <v>29</v>
      </c>
      <c r="K55" s="31" t="s">
        <v>21</v>
      </c>
      <c r="L55" s="31" t="s">
        <v>21</v>
      </c>
      <c r="M55" s="31" t="s">
        <v>29</v>
      </c>
      <c r="N55" s="34" t="s">
        <v>29</v>
      </c>
      <c r="O55" s="31" t="s">
        <v>29</v>
      </c>
      <c r="P55" s="21">
        <v>10.64271100036</v>
      </c>
      <c r="Q55" s="19">
        <v>1.2740802382636628E-3</v>
      </c>
    </row>
    <row r="56" spans="2:17" ht="32.1" hidden="1">
      <c r="B56" s="43">
        <v>283</v>
      </c>
      <c r="C56" s="43">
        <v>842219</v>
      </c>
      <c r="D56" s="44" t="s">
        <v>139</v>
      </c>
      <c r="E56" s="44" t="s">
        <v>140</v>
      </c>
      <c r="F56" s="44" t="s">
        <v>112</v>
      </c>
      <c r="G56" s="44" t="s">
        <v>51</v>
      </c>
      <c r="H56" s="44" t="s">
        <v>28</v>
      </c>
      <c r="I56" s="47" t="s">
        <v>103</v>
      </c>
      <c r="J56" s="43" t="s">
        <v>29</v>
      </c>
      <c r="K56" s="43" t="s">
        <v>21</v>
      </c>
      <c r="L56" s="43" t="s">
        <v>29</v>
      </c>
      <c r="M56" s="43" t="s">
        <v>29</v>
      </c>
      <c r="N56" s="43" t="s">
        <v>29</v>
      </c>
      <c r="O56" s="43" t="s">
        <v>29</v>
      </c>
      <c r="P56" s="48">
        <v>0.24636432216599999</v>
      </c>
      <c r="Q56" s="20">
        <v>2.9493229147564513E-5</v>
      </c>
    </row>
    <row r="57" spans="2:17" ht="32.1" hidden="1">
      <c r="B57" s="43">
        <v>267</v>
      </c>
      <c r="C57" s="43">
        <v>842310</v>
      </c>
      <c r="D57" s="44" t="s">
        <v>141</v>
      </c>
      <c r="E57" s="44" t="s">
        <v>142</v>
      </c>
      <c r="F57" s="44" t="s">
        <v>66</v>
      </c>
      <c r="G57" s="44" t="s">
        <v>51</v>
      </c>
      <c r="H57" s="44" t="s">
        <v>28</v>
      </c>
      <c r="I57" s="47" t="s">
        <v>103</v>
      </c>
      <c r="J57" s="43" t="s">
        <v>29</v>
      </c>
      <c r="K57" s="43" t="s">
        <v>21</v>
      </c>
      <c r="L57" s="43" t="s">
        <v>21</v>
      </c>
      <c r="M57" s="43" t="s">
        <v>29</v>
      </c>
      <c r="N57" s="43" t="s">
        <v>29</v>
      </c>
      <c r="O57" s="43" t="s">
        <v>29</v>
      </c>
      <c r="P57" s="48">
        <v>0.91329842126799998</v>
      </c>
      <c r="Q57" s="20">
        <v>1.0933449852538512E-4</v>
      </c>
    </row>
    <row r="58" spans="2:17" ht="32.1" hidden="1">
      <c r="B58" s="43">
        <v>382</v>
      </c>
      <c r="C58" s="43">
        <v>842320</v>
      </c>
      <c r="D58" s="44" t="s">
        <v>143</v>
      </c>
      <c r="E58" s="44" t="s">
        <v>144</v>
      </c>
      <c r="F58" s="44" t="s">
        <v>66</v>
      </c>
      <c r="G58" s="44" t="s">
        <v>51</v>
      </c>
      <c r="H58" s="44" t="s">
        <v>28</v>
      </c>
      <c r="I58" s="47" t="s">
        <v>103</v>
      </c>
      <c r="J58" s="43" t="s">
        <v>29</v>
      </c>
      <c r="K58" s="43" t="s">
        <v>21</v>
      </c>
      <c r="L58" s="43" t="s">
        <v>29</v>
      </c>
      <c r="M58" s="43" t="s">
        <v>29</v>
      </c>
      <c r="N58" s="43" t="s">
        <v>29</v>
      </c>
      <c r="O58" s="43" t="s">
        <v>29</v>
      </c>
      <c r="P58" s="25">
        <v>0.172656009315</v>
      </c>
      <c r="Q58" s="62">
        <f>P58/SUM($P$3:$P$425)</f>
        <v>3.8813342120681485E-5</v>
      </c>
    </row>
    <row r="59" spans="2:17" ht="63.95" hidden="1">
      <c r="B59" s="43">
        <v>323</v>
      </c>
      <c r="C59" s="43">
        <v>842330</v>
      </c>
      <c r="D59" s="44" t="s">
        <v>145</v>
      </c>
      <c r="E59" s="44" t="s">
        <v>146</v>
      </c>
      <c r="F59" s="44" t="s">
        <v>66</v>
      </c>
      <c r="G59" s="44" t="s">
        <v>51</v>
      </c>
      <c r="H59" s="44" t="s">
        <v>28</v>
      </c>
      <c r="I59" s="47" t="s">
        <v>103</v>
      </c>
      <c r="J59" s="43" t="s">
        <v>29</v>
      </c>
      <c r="K59" s="43" t="s">
        <v>21</v>
      </c>
      <c r="L59" s="43" t="s">
        <v>29</v>
      </c>
      <c r="M59" s="43" t="s">
        <v>29</v>
      </c>
      <c r="N59" s="43" t="s">
        <v>29</v>
      </c>
      <c r="O59" s="43" t="s">
        <v>29</v>
      </c>
      <c r="P59" s="25">
        <v>0.63374889342399998</v>
      </c>
      <c r="Q59" s="62">
        <f>P59/SUM($P$3:$P$425)</f>
        <v>1.4246774680278681E-4</v>
      </c>
    </row>
    <row r="60" spans="2:17" ht="63.95" hidden="1">
      <c r="B60" s="43">
        <v>305</v>
      </c>
      <c r="C60" s="43">
        <v>842381</v>
      </c>
      <c r="D60" s="44" t="s">
        <v>147</v>
      </c>
      <c r="E60" s="44" t="s">
        <v>146</v>
      </c>
      <c r="F60" s="44" t="s">
        <v>66</v>
      </c>
      <c r="G60" s="44" t="s">
        <v>51</v>
      </c>
      <c r="H60" s="44" t="s">
        <v>28</v>
      </c>
      <c r="I60" s="47" t="s">
        <v>103</v>
      </c>
      <c r="J60" s="43" t="s">
        <v>29</v>
      </c>
      <c r="K60" s="43" t="s">
        <v>21</v>
      </c>
      <c r="L60" s="43" t="s">
        <v>29</v>
      </c>
      <c r="M60" s="43" t="s">
        <v>29</v>
      </c>
      <c r="N60" s="43" t="s">
        <v>29</v>
      </c>
      <c r="O60" s="43" t="s">
        <v>29</v>
      </c>
      <c r="P60" s="48">
        <v>1.8719278531999999E-2</v>
      </c>
      <c r="Q60" s="20">
        <v>2.2409574826721951E-6</v>
      </c>
    </row>
    <row r="61" spans="2:17" ht="63.95" hidden="1">
      <c r="B61" s="43">
        <v>315</v>
      </c>
      <c r="C61" s="43">
        <v>842382</v>
      </c>
      <c r="D61" s="44" t="s">
        <v>148</v>
      </c>
      <c r="E61" s="44" t="s">
        <v>146</v>
      </c>
      <c r="F61" s="44" t="s">
        <v>66</v>
      </c>
      <c r="G61" s="44" t="s">
        <v>51</v>
      </c>
      <c r="H61" s="44" t="s">
        <v>28</v>
      </c>
      <c r="I61" s="47" t="s">
        <v>103</v>
      </c>
      <c r="J61" s="43" t="s">
        <v>29</v>
      </c>
      <c r="K61" s="43" t="s">
        <v>21</v>
      </c>
      <c r="L61" s="43" t="s">
        <v>29</v>
      </c>
      <c r="M61" s="43" t="s">
        <v>29</v>
      </c>
      <c r="N61" s="43" t="s">
        <v>29</v>
      </c>
      <c r="O61" s="43" t="s">
        <v>29</v>
      </c>
      <c r="P61" s="25">
        <v>0.68147874005800002</v>
      </c>
      <c r="Q61" s="62">
        <f>P61/SUM($P$3:$P$425)</f>
        <v>1.5319749130529776E-4</v>
      </c>
    </row>
    <row r="62" spans="2:17" ht="48" hidden="1">
      <c r="B62" s="43">
        <v>375</v>
      </c>
      <c r="C62" s="43">
        <v>842389</v>
      </c>
      <c r="D62" s="44" t="s">
        <v>149</v>
      </c>
      <c r="E62" s="44" t="s">
        <v>150</v>
      </c>
      <c r="F62" s="44" t="s">
        <v>66</v>
      </c>
      <c r="G62" s="44" t="s">
        <v>51</v>
      </c>
      <c r="H62" s="44" t="s">
        <v>28</v>
      </c>
      <c r="I62" s="47" t="s">
        <v>103</v>
      </c>
      <c r="J62" s="43" t="s">
        <v>29</v>
      </c>
      <c r="K62" s="43" t="s">
        <v>21</v>
      </c>
      <c r="L62" s="43" t="s">
        <v>29</v>
      </c>
      <c r="M62" s="43" t="s">
        <v>29</v>
      </c>
      <c r="N62" s="43" t="s">
        <v>29</v>
      </c>
      <c r="O62" s="43" t="s">
        <v>29</v>
      </c>
      <c r="P62" s="25">
        <v>0.22190484761000004</v>
      </c>
      <c r="Q62" s="62">
        <f>P62/SUM($P$3:$P$425)</f>
        <v>4.988455833478107E-5</v>
      </c>
    </row>
    <row r="63" spans="2:17" ht="32.1" hidden="1">
      <c r="B63" s="43">
        <v>286</v>
      </c>
      <c r="C63" s="43">
        <v>842390</v>
      </c>
      <c r="D63" s="44" t="s">
        <v>151</v>
      </c>
      <c r="E63" s="44" t="s">
        <v>142</v>
      </c>
      <c r="F63" s="44" t="s">
        <v>66</v>
      </c>
      <c r="G63" s="44" t="s">
        <v>51</v>
      </c>
      <c r="H63" s="44" t="s">
        <v>28</v>
      </c>
      <c r="I63" s="47" t="s">
        <v>103</v>
      </c>
      <c r="J63" s="43" t="s">
        <v>29</v>
      </c>
      <c r="K63" s="43" t="s">
        <v>21</v>
      </c>
      <c r="L63" s="43" t="s">
        <v>29</v>
      </c>
      <c r="M63" s="43" t="s">
        <v>29</v>
      </c>
      <c r="N63" s="43" t="s">
        <v>29</v>
      </c>
      <c r="O63" s="43" t="s">
        <v>29</v>
      </c>
      <c r="P63" s="48">
        <v>0.93772996921399998</v>
      </c>
      <c r="Q63" s="20">
        <v>1.1225929394895125E-4</v>
      </c>
    </row>
    <row r="64" spans="2:17" ht="32.1" hidden="1">
      <c r="B64" s="43">
        <v>371</v>
      </c>
      <c r="C64" s="43">
        <v>844311</v>
      </c>
      <c r="D64" s="44" t="s">
        <v>152</v>
      </c>
      <c r="E64" s="44" t="s">
        <v>153</v>
      </c>
      <c r="F64" s="44" t="s">
        <v>36</v>
      </c>
      <c r="G64" s="44" t="s">
        <v>51</v>
      </c>
      <c r="H64" s="44" t="s">
        <v>28</v>
      </c>
      <c r="I64" s="47" t="s">
        <v>103</v>
      </c>
      <c r="J64" s="43" t="s">
        <v>29</v>
      </c>
      <c r="K64" s="43" t="s">
        <v>21</v>
      </c>
      <c r="L64" s="43" t="s">
        <v>29</v>
      </c>
      <c r="M64" s="43" t="s">
        <v>29</v>
      </c>
      <c r="N64" s="43" t="s">
        <v>29</v>
      </c>
      <c r="O64" s="43" t="s">
        <v>29</v>
      </c>
      <c r="P64" s="25">
        <v>0.24014965173900002</v>
      </c>
      <c r="Q64" s="62">
        <f>P64/SUM($P$3:$P$425)</f>
        <v>5.3986018963885144E-5</v>
      </c>
    </row>
    <row r="65" spans="2:17" ht="48" hidden="1">
      <c r="B65" s="43">
        <v>407</v>
      </c>
      <c r="C65" s="43">
        <v>844312</v>
      </c>
      <c r="D65" s="44" t="s">
        <v>154</v>
      </c>
      <c r="E65" s="44" t="s">
        <v>153</v>
      </c>
      <c r="F65" s="44" t="s">
        <v>36</v>
      </c>
      <c r="G65" s="44" t="s">
        <v>51</v>
      </c>
      <c r="H65" s="44" t="s">
        <v>28</v>
      </c>
      <c r="I65" s="47" t="s">
        <v>103</v>
      </c>
      <c r="J65" s="43" t="s">
        <v>29</v>
      </c>
      <c r="K65" s="43" t="s">
        <v>21</v>
      </c>
      <c r="L65" s="43" t="s">
        <v>29</v>
      </c>
      <c r="M65" s="43" t="s">
        <v>29</v>
      </c>
      <c r="N65" s="43" t="s">
        <v>29</v>
      </c>
      <c r="O65" s="43" t="s">
        <v>29</v>
      </c>
      <c r="P65" s="25">
        <v>2.2840186139000004E-2</v>
      </c>
      <c r="Q65" s="62">
        <f>P65/SUM($P$3:$P$425)</f>
        <v>5.1345097238734607E-6</v>
      </c>
    </row>
    <row r="66" spans="2:17" ht="32.1" hidden="1">
      <c r="B66" s="43">
        <v>210</v>
      </c>
      <c r="C66" s="43">
        <v>844313</v>
      </c>
      <c r="D66" s="44" t="s">
        <v>155</v>
      </c>
      <c r="E66" s="44" t="s">
        <v>153</v>
      </c>
      <c r="F66" s="44" t="s">
        <v>36</v>
      </c>
      <c r="G66" s="44" t="s">
        <v>51</v>
      </c>
      <c r="H66" s="44" t="s">
        <v>28</v>
      </c>
      <c r="I66" s="47" t="s">
        <v>103</v>
      </c>
      <c r="J66" s="43" t="s">
        <v>29</v>
      </c>
      <c r="K66" s="43" t="s">
        <v>21</v>
      </c>
      <c r="L66" s="43" t="s">
        <v>29</v>
      </c>
      <c r="M66" s="43" t="s">
        <v>29</v>
      </c>
      <c r="N66" s="43" t="s">
        <v>29</v>
      </c>
      <c r="O66" s="43" t="s">
        <v>29</v>
      </c>
      <c r="P66" s="48">
        <v>2.6922009501090001</v>
      </c>
      <c r="Q66" s="20">
        <v>3.2229382418187512E-4</v>
      </c>
    </row>
    <row r="67" spans="2:17" ht="32.1" hidden="1">
      <c r="B67" s="43">
        <v>274</v>
      </c>
      <c r="C67" s="43">
        <v>844316</v>
      </c>
      <c r="D67" s="44" t="s">
        <v>156</v>
      </c>
      <c r="E67" s="44" t="s">
        <v>153</v>
      </c>
      <c r="F67" s="44" t="s">
        <v>36</v>
      </c>
      <c r="G67" s="44" t="s">
        <v>51</v>
      </c>
      <c r="H67" s="44" t="s">
        <v>28</v>
      </c>
      <c r="I67" s="47" t="s">
        <v>103</v>
      </c>
      <c r="J67" s="43" t="s">
        <v>29</v>
      </c>
      <c r="K67" s="43" t="s">
        <v>21</v>
      </c>
      <c r="L67" s="43" t="s">
        <v>29</v>
      </c>
      <c r="M67" s="43" t="s">
        <v>29</v>
      </c>
      <c r="N67" s="43" t="s">
        <v>29</v>
      </c>
      <c r="O67" s="43" t="s">
        <v>29</v>
      </c>
      <c r="P67" s="48">
        <v>0.450156770511</v>
      </c>
      <c r="Q67" s="20">
        <v>5.389001405837812E-5</v>
      </c>
    </row>
    <row r="68" spans="2:17" ht="32.1" hidden="1">
      <c r="B68" s="43">
        <v>376</v>
      </c>
      <c r="C68" s="43">
        <v>844317</v>
      </c>
      <c r="D68" s="44" t="s">
        <v>157</v>
      </c>
      <c r="E68" s="44" t="s">
        <v>153</v>
      </c>
      <c r="F68" s="44" t="s">
        <v>36</v>
      </c>
      <c r="G68" s="44" t="s">
        <v>51</v>
      </c>
      <c r="H68" s="44" t="s">
        <v>28</v>
      </c>
      <c r="I68" s="47" t="s">
        <v>103</v>
      </c>
      <c r="J68" s="43" t="s">
        <v>29</v>
      </c>
      <c r="K68" s="43" t="s">
        <v>21</v>
      </c>
      <c r="L68" s="43" t="s">
        <v>29</v>
      </c>
      <c r="M68" s="43" t="s">
        <v>29</v>
      </c>
      <c r="N68" s="43" t="s">
        <v>29</v>
      </c>
      <c r="O68" s="43" t="s">
        <v>29</v>
      </c>
      <c r="P68" s="25">
        <v>0.22139201062799996</v>
      </c>
      <c r="Q68" s="62">
        <f>P68/SUM($P$3:$P$425)</f>
        <v>4.9769271775607841E-5</v>
      </c>
    </row>
    <row r="69" spans="2:17" ht="48" hidden="1">
      <c r="B69" s="43">
        <v>242</v>
      </c>
      <c r="C69" s="43">
        <v>844319</v>
      </c>
      <c r="D69" s="44" t="s">
        <v>158</v>
      </c>
      <c r="E69" s="44" t="s">
        <v>153</v>
      </c>
      <c r="F69" s="44" t="s">
        <v>36</v>
      </c>
      <c r="G69" s="44" t="s">
        <v>51</v>
      </c>
      <c r="H69" s="44" t="s">
        <v>28</v>
      </c>
      <c r="I69" s="47" t="s">
        <v>103</v>
      </c>
      <c r="J69" s="43" t="s">
        <v>29</v>
      </c>
      <c r="K69" s="43" t="s">
        <v>21</v>
      </c>
      <c r="L69" s="43" t="s">
        <v>29</v>
      </c>
      <c r="M69" s="43" t="s">
        <v>29</v>
      </c>
      <c r="N69" s="43" t="s">
        <v>29</v>
      </c>
      <c r="O69" s="43" t="s">
        <v>29</v>
      </c>
      <c r="P69" s="48">
        <v>1.244972245592</v>
      </c>
      <c r="Q69" s="20">
        <v>1.4904045926285588E-4</v>
      </c>
    </row>
    <row r="70" spans="2:17" ht="15.95" hidden="1">
      <c r="B70" s="43">
        <v>42</v>
      </c>
      <c r="C70" s="43">
        <v>761699</v>
      </c>
      <c r="D70" s="47" t="s">
        <v>159</v>
      </c>
      <c r="E70" s="44" t="s">
        <v>160</v>
      </c>
      <c r="F70" s="44" t="s">
        <v>50</v>
      </c>
      <c r="G70" s="44" t="s">
        <v>51</v>
      </c>
      <c r="H70" s="44" t="s">
        <v>20</v>
      </c>
      <c r="I70" s="43" t="s">
        <v>11</v>
      </c>
      <c r="J70" s="43" t="s">
        <v>21</v>
      </c>
      <c r="K70" s="43" t="s">
        <v>29</v>
      </c>
      <c r="L70" s="43" t="s">
        <v>29</v>
      </c>
      <c r="M70" s="43" t="s">
        <v>21</v>
      </c>
      <c r="N70" s="43" t="s">
        <v>29</v>
      </c>
      <c r="O70" s="43" t="s">
        <v>29</v>
      </c>
      <c r="P70" s="25">
        <f>VLOOKUP(C70, [1]Sheet1!$A$2:$B$313, 2, FALSE)</f>
        <v>21.276963931343001</v>
      </c>
      <c r="Q70" s="45">
        <v>4.0591503060997576E-3</v>
      </c>
    </row>
    <row r="71" spans="2:17" ht="32.1" hidden="1">
      <c r="B71" s="43">
        <v>43</v>
      </c>
      <c r="C71" s="43">
        <v>853650</v>
      </c>
      <c r="D71" s="47" t="s">
        <v>161</v>
      </c>
      <c r="E71" s="44" t="s">
        <v>162</v>
      </c>
      <c r="F71" s="44" t="s">
        <v>54</v>
      </c>
      <c r="G71" s="44" t="s">
        <v>51</v>
      </c>
      <c r="H71" s="44" t="s">
        <v>20</v>
      </c>
      <c r="I71" s="43" t="s">
        <v>11</v>
      </c>
      <c r="J71" s="43" t="s">
        <v>21</v>
      </c>
      <c r="K71" s="43" t="s">
        <v>21</v>
      </c>
      <c r="L71" s="43" t="s">
        <v>29</v>
      </c>
      <c r="M71" s="43" t="s">
        <v>21</v>
      </c>
      <c r="N71" s="43" t="s">
        <v>29</v>
      </c>
      <c r="O71" s="43" t="s">
        <v>29</v>
      </c>
      <c r="P71" s="25">
        <f>VLOOKUP(C71, [1]Sheet1!$A$2:$B$313, 2, FALSE)</f>
        <v>20.781868263248001</v>
      </c>
      <c r="Q71" s="45">
        <v>4.3709066372368136E-3</v>
      </c>
    </row>
    <row r="72" spans="2:17" ht="48">
      <c r="B72" s="43">
        <v>40</v>
      </c>
      <c r="C72" s="82">
        <v>847149</v>
      </c>
      <c r="D72" s="47" t="s">
        <v>163</v>
      </c>
      <c r="E72" s="44" t="s">
        <v>164</v>
      </c>
      <c r="F72" s="44" t="s">
        <v>36</v>
      </c>
      <c r="G72" s="44" t="s">
        <v>37</v>
      </c>
      <c r="H72" s="44" t="s">
        <v>28</v>
      </c>
      <c r="I72" s="43" t="s">
        <v>12</v>
      </c>
      <c r="J72" s="43" t="s">
        <v>21</v>
      </c>
      <c r="K72" s="43" t="s">
        <v>21</v>
      </c>
      <c r="L72" s="43" t="s">
        <v>21</v>
      </c>
      <c r="M72" s="43" t="s">
        <v>29</v>
      </c>
      <c r="N72" s="43" t="s">
        <v>21</v>
      </c>
      <c r="O72" s="43" t="s">
        <v>21</v>
      </c>
      <c r="P72" s="25">
        <f>VLOOKUP(C72, [1]Sheet1!$A$2:$B$313, 2, FALSE)</f>
        <v>17.673710722578001</v>
      </c>
      <c r="Q72" s="45">
        <v>4.5701773005030824E-3</v>
      </c>
    </row>
    <row r="73" spans="2:17" ht="32.1" hidden="1">
      <c r="B73" s="43">
        <v>45</v>
      </c>
      <c r="C73" s="43">
        <v>853224</v>
      </c>
      <c r="D73" s="47" t="s">
        <v>165</v>
      </c>
      <c r="E73" s="44" t="s">
        <v>166</v>
      </c>
      <c r="F73" s="44" t="s">
        <v>54</v>
      </c>
      <c r="G73" s="44" t="s">
        <v>19</v>
      </c>
      <c r="H73" s="44" t="s">
        <v>20</v>
      </c>
      <c r="I73" s="43" t="s">
        <v>12</v>
      </c>
      <c r="J73" s="43" t="s">
        <v>21</v>
      </c>
      <c r="K73" s="43" t="s">
        <v>21</v>
      </c>
      <c r="L73" s="43" t="s">
        <v>21</v>
      </c>
      <c r="M73" s="43" t="s">
        <v>21</v>
      </c>
      <c r="N73" s="43" t="s">
        <v>21</v>
      </c>
      <c r="O73" s="43" t="s">
        <v>21</v>
      </c>
      <c r="P73" s="25">
        <f>VLOOKUP(C73, [1]Sheet1!$A$2:$B$313, 2, FALSE)</f>
        <v>17.623938805037</v>
      </c>
      <c r="Q73" s="45">
        <v>4.0062951404659887E-3</v>
      </c>
    </row>
    <row r="74" spans="2:17" ht="48" hidden="1">
      <c r="B74" s="43">
        <v>46</v>
      </c>
      <c r="C74" s="43">
        <v>391990</v>
      </c>
      <c r="D74" s="47" t="s">
        <v>167</v>
      </c>
      <c r="E74" s="44" t="s">
        <v>49</v>
      </c>
      <c r="F74" s="44" t="s">
        <v>50</v>
      </c>
      <c r="G74" s="44" t="s">
        <v>51</v>
      </c>
      <c r="H74" s="44" t="s">
        <v>20</v>
      </c>
      <c r="I74" s="43" t="s">
        <v>11</v>
      </c>
      <c r="J74" s="43" t="s">
        <v>21</v>
      </c>
      <c r="K74" s="43" t="s">
        <v>29</v>
      </c>
      <c r="L74" s="43" t="s">
        <v>29</v>
      </c>
      <c r="M74" s="43" t="s">
        <v>21</v>
      </c>
      <c r="N74" s="43" t="s">
        <v>29</v>
      </c>
      <c r="O74" s="43" t="s">
        <v>29</v>
      </c>
      <c r="P74" s="25">
        <f>VLOOKUP(C74, [1]Sheet1!$A$2:$B$313, 2, FALSE)</f>
        <v>16.916632911762999</v>
      </c>
      <c r="Q74" s="45">
        <v>3.6613851956634248E-3</v>
      </c>
    </row>
    <row r="75" spans="2:17" ht="63.95" hidden="1">
      <c r="B75" s="43">
        <v>49</v>
      </c>
      <c r="C75" s="43">
        <v>852492</v>
      </c>
      <c r="D75" s="47" t="s">
        <v>168</v>
      </c>
      <c r="E75" s="44" t="s">
        <v>88</v>
      </c>
      <c r="F75" s="44" t="s">
        <v>89</v>
      </c>
      <c r="G75" s="44" t="s">
        <v>67</v>
      </c>
      <c r="H75" s="44" t="s">
        <v>20</v>
      </c>
      <c r="I75" s="43" t="s">
        <v>12</v>
      </c>
      <c r="J75" s="43" t="s">
        <v>21</v>
      </c>
      <c r="K75" s="43" t="s">
        <v>29</v>
      </c>
      <c r="L75" s="43" t="s">
        <v>29</v>
      </c>
      <c r="M75" s="43" t="s">
        <v>29</v>
      </c>
      <c r="N75" s="43" t="s">
        <v>21</v>
      </c>
      <c r="O75" s="43" t="s">
        <v>29</v>
      </c>
      <c r="P75" s="25">
        <f>VLOOKUP(C75, [1]Sheet1!$A$2:$B$313, 2, FALSE)</f>
        <v>17.474533034141</v>
      </c>
      <c r="Q75" s="45">
        <v>3.574116633186855E-3</v>
      </c>
    </row>
    <row r="76" spans="2:17" ht="48" hidden="1">
      <c r="B76" s="43">
        <v>327</v>
      </c>
      <c r="C76" s="43">
        <v>845012</v>
      </c>
      <c r="D76" s="44" t="s">
        <v>169</v>
      </c>
      <c r="E76" s="44" t="s">
        <v>170</v>
      </c>
      <c r="F76" s="44" t="s">
        <v>66</v>
      </c>
      <c r="G76" s="44" t="s">
        <v>51</v>
      </c>
      <c r="H76" s="44" t="s">
        <v>28</v>
      </c>
      <c r="I76" s="47" t="s">
        <v>103</v>
      </c>
      <c r="J76" s="43" t="s">
        <v>29</v>
      </c>
      <c r="K76" s="43" t="s">
        <v>21</v>
      </c>
      <c r="L76" s="43" t="s">
        <v>21</v>
      </c>
      <c r="M76" s="43" t="s">
        <v>29</v>
      </c>
      <c r="N76" s="43" t="s">
        <v>29</v>
      </c>
      <c r="O76" s="43" t="s">
        <v>29</v>
      </c>
      <c r="P76" s="25">
        <v>0.59952997902599992</v>
      </c>
      <c r="Q76" s="62">
        <f>P76/SUM($P$3:$P$425)</f>
        <v>1.3477528109135731E-4</v>
      </c>
    </row>
    <row r="77" spans="2:17" ht="48" hidden="1">
      <c r="B77" s="43">
        <v>388</v>
      </c>
      <c r="C77" s="43">
        <v>845019</v>
      </c>
      <c r="D77" s="44" t="s">
        <v>171</v>
      </c>
      <c r="E77" s="44" t="s">
        <v>170</v>
      </c>
      <c r="F77" s="44" t="s">
        <v>66</v>
      </c>
      <c r="G77" s="44" t="s">
        <v>51</v>
      </c>
      <c r="H77" s="44" t="s">
        <v>28</v>
      </c>
      <c r="I77" s="47" t="s">
        <v>103</v>
      </c>
      <c r="J77" s="43" t="s">
        <v>29</v>
      </c>
      <c r="K77" s="43" t="s">
        <v>21</v>
      </c>
      <c r="L77" s="43" t="s">
        <v>21</v>
      </c>
      <c r="M77" s="43" t="s">
        <v>29</v>
      </c>
      <c r="N77" s="43" t="s">
        <v>29</v>
      </c>
      <c r="O77" s="43" t="s">
        <v>29</v>
      </c>
      <c r="P77" s="25">
        <v>0.15073780335799999</v>
      </c>
      <c r="Q77" s="62">
        <f>P77/SUM($P$3:$P$425)</f>
        <v>3.3886094990067475E-5</v>
      </c>
    </row>
    <row r="78" spans="2:17" ht="32.1" hidden="1">
      <c r="B78" s="43">
        <v>183</v>
      </c>
      <c r="C78" s="43">
        <v>845020</v>
      </c>
      <c r="D78" s="44" t="s">
        <v>172</v>
      </c>
      <c r="E78" s="44" t="s">
        <v>173</v>
      </c>
      <c r="F78" s="44" t="s">
        <v>112</v>
      </c>
      <c r="G78" s="44" t="s">
        <v>51</v>
      </c>
      <c r="H78" s="44" t="s">
        <v>28</v>
      </c>
      <c r="I78" s="47" t="s">
        <v>103</v>
      </c>
      <c r="J78" s="43" t="s">
        <v>29</v>
      </c>
      <c r="K78" s="43" t="s">
        <v>21</v>
      </c>
      <c r="L78" s="43" t="s">
        <v>21</v>
      </c>
      <c r="M78" s="43" t="s">
        <v>29</v>
      </c>
      <c r="N78" s="43" t="s">
        <v>29</v>
      </c>
      <c r="O78" s="43" t="s">
        <v>29</v>
      </c>
      <c r="P78" s="48">
        <v>4.2149036850170001</v>
      </c>
      <c r="Q78" s="20">
        <v>5.0458247819406166E-4</v>
      </c>
    </row>
    <row r="79" spans="2:17" ht="32.1" hidden="1">
      <c r="B79" s="43">
        <v>240</v>
      </c>
      <c r="C79" s="43">
        <v>845090</v>
      </c>
      <c r="D79" s="44" t="s">
        <v>174</v>
      </c>
      <c r="E79" s="44" t="s">
        <v>175</v>
      </c>
      <c r="F79" s="44" t="s">
        <v>112</v>
      </c>
      <c r="G79" s="44" t="s">
        <v>51</v>
      </c>
      <c r="H79" s="44" t="s">
        <v>20</v>
      </c>
      <c r="I79" s="47" t="s">
        <v>103</v>
      </c>
      <c r="J79" s="43" t="s">
        <v>29</v>
      </c>
      <c r="K79" s="43" t="s">
        <v>21</v>
      </c>
      <c r="L79" s="43" t="s">
        <v>21</v>
      </c>
      <c r="M79" s="43" t="s">
        <v>29</v>
      </c>
      <c r="N79" s="43" t="s">
        <v>29</v>
      </c>
      <c r="O79" s="43" t="s">
        <v>29</v>
      </c>
      <c r="P79" s="48">
        <v>1.5448349542599999</v>
      </c>
      <c r="Q79" s="20">
        <v>1.8493818788606001E-4</v>
      </c>
    </row>
    <row r="80" spans="2:17" ht="32.1" hidden="1">
      <c r="B80" s="43">
        <v>400</v>
      </c>
      <c r="C80" s="43">
        <v>845110</v>
      </c>
      <c r="D80" s="44" t="s">
        <v>176</v>
      </c>
      <c r="E80" s="44" t="s">
        <v>177</v>
      </c>
      <c r="F80" s="44" t="s">
        <v>66</v>
      </c>
      <c r="G80" s="44" t="s">
        <v>51</v>
      </c>
      <c r="H80" s="44" t="s">
        <v>28</v>
      </c>
      <c r="I80" s="47" t="s">
        <v>103</v>
      </c>
      <c r="J80" s="43" t="s">
        <v>29</v>
      </c>
      <c r="K80" s="43" t="s">
        <v>21</v>
      </c>
      <c r="L80" s="43" t="s">
        <v>21</v>
      </c>
      <c r="M80" s="43" t="s">
        <v>29</v>
      </c>
      <c r="N80" s="43" t="s">
        <v>29</v>
      </c>
      <c r="O80" s="43" t="s">
        <v>29</v>
      </c>
      <c r="P80" s="25">
        <v>5.6586921758999993E-2</v>
      </c>
      <c r="Q80" s="62">
        <f>P80/SUM($P$3:$P$425)</f>
        <v>1.2720828904259227E-5</v>
      </c>
    </row>
    <row r="81" spans="2:18" ht="32.1" hidden="1">
      <c r="B81" s="43">
        <v>198</v>
      </c>
      <c r="C81" s="43">
        <v>845121</v>
      </c>
      <c r="D81" s="44" t="s">
        <v>178</v>
      </c>
      <c r="E81" s="44" t="s">
        <v>179</v>
      </c>
      <c r="F81" s="44" t="s">
        <v>66</v>
      </c>
      <c r="G81" s="44" t="s">
        <v>51</v>
      </c>
      <c r="H81" s="44" t="s">
        <v>28</v>
      </c>
      <c r="I81" s="47" t="s">
        <v>103</v>
      </c>
      <c r="J81" s="43" t="s">
        <v>29</v>
      </c>
      <c r="K81" s="43" t="s">
        <v>21</v>
      </c>
      <c r="L81" s="43" t="s">
        <v>21</v>
      </c>
      <c r="M81" s="43" t="s">
        <v>29</v>
      </c>
      <c r="N81" s="43" t="s">
        <v>29</v>
      </c>
      <c r="O81" s="43" t="s">
        <v>29</v>
      </c>
      <c r="P81" s="48">
        <v>2.329823596532</v>
      </c>
      <c r="Q81" s="20">
        <v>2.7891222479698883E-4</v>
      </c>
    </row>
    <row r="82" spans="2:18" ht="32.1" hidden="1">
      <c r="B82" s="43">
        <v>231</v>
      </c>
      <c r="C82" s="43">
        <v>845129</v>
      </c>
      <c r="D82" s="44" t="s">
        <v>180</v>
      </c>
      <c r="E82" s="44" t="s">
        <v>179</v>
      </c>
      <c r="F82" s="44" t="s">
        <v>66</v>
      </c>
      <c r="G82" s="44" t="s">
        <v>51</v>
      </c>
      <c r="H82" s="44" t="s">
        <v>28</v>
      </c>
      <c r="I82" s="47" t="s">
        <v>103</v>
      </c>
      <c r="J82" s="43" t="s">
        <v>29</v>
      </c>
      <c r="K82" s="43" t="s">
        <v>21</v>
      </c>
      <c r="L82" s="43" t="s">
        <v>29</v>
      </c>
      <c r="M82" s="43" t="s">
        <v>29</v>
      </c>
      <c r="N82" s="43" t="s">
        <v>29</v>
      </c>
      <c r="O82" s="43" t="s">
        <v>29</v>
      </c>
      <c r="P82" s="48">
        <v>2.2315646642579998</v>
      </c>
      <c r="Q82" s="20">
        <v>2.6714926667109813E-4</v>
      </c>
    </row>
    <row r="83" spans="2:18" ht="32.1" hidden="1">
      <c r="B83" s="43">
        <v>346</v>
      </c>
      <c r="C83" s="43">
        <v>845130</v>
      </c>
      <c r="D83" s="44" t="s">
        <v>181</v>
      </c>
      <c r="E83" s="44" t="s">
        <v>182</v>
      </c>
      <c r="F83" s="44" t="s">
        <v>66</v>
      </c>
      <c r="G83" s="44" t="s">
        <v>51</v>
      </c>
      <c r="H83" s="44" t="s">
        <v>28</v>
      </c>
      <c r="I83" s="47" t="s">
        <v>103</v>
      </c>
      <c r="J83" s="43" t="s">
        <v>29</v>
      </c>
      <c r="K83" s="43" t="s">
        <v>21</v>
      </c>
      <c r="L83" s="43" t="s">
        <v>29</v>
      </c>
      <c r="M83" s="43" t="s">
        <v>29</v>
      </c>
      <c r="N83" s="43" t="s">
        <v>29</v>
      </c>
      <c r="O83" s="43" t="s">
        <v>29</v>
      </c>
      <c r="P83" s="25">
        <v>0.44560305699700004</v>
      </c>
      <c r="Q83" s="62">
        <f>P83/SUM($P$3:$P$425)</f>
        <v>1.001722672142377E-4</v>
      </c>
    </row>
    <row r="84" spans="2:18" ht="32.1" hidden="1">
      <c r="B84" s="43">
        <v>312</v>
      </c>
      <c r="C84" s="43">
        <v>845210</v>
      </c>
      <c r="D84" s="44" t="s">
        <v>183</v>
      </c>
      <c r="E84" s="44" t="s">
        <v>184</v>
      </c>
      <c r="F84" s="44" t="s">
        <v>66</v>
      </c>
      <c r="G84" s="44" t="s">
        <v>51</v>
      </c>
      <c r="H84" s="44" t="s">
        <v>28</v>
      </c>
      <c r="I84" s="47" t="s">
        <v>103</v>
      </c>
      <c r="J84" s="43" t="s">
        <v>29</v>
      </c>
      <c r="K84" s="43" t="s">
        <v>21</v>
      </c>
      <c r="L84" s="43" t="s">
        <v>29</v>
      </c>
      <c r="M84" s="43" t="s">
        <v>29</v>
      </c>
      <c r="N84" s="43" t="s">
        <v>29</v>
      </c>
      <c r="O84" s="43" t="s">
        <v>29</v>
      </c>
      <c r="P84" s="48">
        <v>1.7942360799999999E-4</v>
      </c>
      <c r="Q84" s="20">
        <v>2.1479496457531675E-8</v>
      </c>
    </row>
    <row r="85" spans="2:18" ht="32.1" hidden="1">
      <c r="B85" s="43">
        <v>247</v>
      </c>
      <c r="C85" s="43">
        <v>845221</v>
      </c>
      <c r="D85" s="44" t="s">
        <v>185</v>
      </c>
      <c r="E85" s="44" t="s">
        <v>186</v>
      </c>
      <c r="F85" s="44" t="s">
        <v>66</v>
      </c>
      <c r="G85" s="44" t="s">
        <v>51</v>
      </c>
      <c r="H85" s="44" t="s">
        <v>28</v>
      </c>
      <c r="I85" s="47" t="s">
        <v>103</v>
      </c>
      <c r="J85" s="43" t="s">
        <v>29</v>
      </c>
      <c r="K85" s="43" t="s">
        <v>21</v>
      </c>
      <c r="L85" s="43" t="s">
        <v>29</v>
      </c>
      <c r="M85" s="43" t="s">
        <v>29</v>
      </c>
      <c r="N85" s="43" t="s">
        <v>29</v>
      </c>
      <c r="O85" s="43" t="s">
        <v>29</v>
      </c>
      <c r="P85" s="48">
        <v>1.352073317316</v>
      </c>
      <c r="Q85" s="20">
        <v>1.6186194421869015E-4</v>
      </c>
    </row>
    <row r="86" spans="2:18" ht="48" hidden="1">
      <c r="B86" s="43">
        <v>423</v>
      </c>
      <c r="C86" s="43">
        <v>845610</v>
      </c>
      <c r="D86" s="44" t="s">
        <v>187</v>
      </c>
      <c r="E86" s="44" t="s">
        <v>188</v>
      </c>
      <c r="F86" s="44" t="s">
        <v>189</v>
      </c>
      <c r="G86" s="44" t="s">
        <v>51</v>
      </c>
      <c r="H86" s="44" t="s">
        <v>28</v>
      </c>
      <c r="I86" s="47" t="s">
        <v>103</v>
      </c>
      <c r="J86" s="43" t="s">
        <v>29</v>
      </c>
      <c r="K86" s="43" t="s">
        <v>21</v>
      </c>
      <c r="L86" s="43" t="s">
        <v>29</v>
      </c>
      <c r="M86" s="43" t="s">
        <v>29</v>
      </c>
      <c r="N86" s="43" t="s">
        <v>29</v>
      </c>
      <c r="O86" s="43" t="s">
        <v>29</v>
      </c>
      <c r="P86" s="25">
        <v>0</v>
      </c>
      <c r="Q86" s="62">
        <f>P86/SUM($P$3:$P$425)</f>
        <v>0</v>
      </c>
    </row>
    <row r="87" spans="2:18" ht="48" hidden="1">
      <c r="B87" s="43">
        <v>292</v>
      </c>
      <c r="C87" s="43">
        <v>845630</v>
      </c>
      <c r="D87" s="44" t="s">
        <v>190</v>
      </c>
      <c r="E87" s="44" t="s">
        <v>191</v>
      </c>
      <c r="F87" s="44" t="s">
        <v>189</v>
      </c>
      <c r="G87" s="44" t="s">
        <v>51</v>
      </c>
      <c r="H87" s="44" t="s">
        <v>28</v>
      </c>
      <c r="I87" s="47" t="s">
        <v>103</v>
      </c>
      <c r="J87" s="43" t="s">
        <v>29</v>
      </c>
      <c r="K87" s="43" t="s">
        <v>21</v>
      </c>
      <c r="L87" s="43" t="s">
        <v>29</v>
      </c>
      <c r="M87" s="43" t="s">
        <v>29</v>
      </c>
      <c r="N87" s="43" t="s">
        <v>29</v>
      </c>
      <c r="O87" s="43" t="s">
        <v>29</v>
      </c>
      <c r="P87" s="48">
        <v>0.21480050310599999</v>
      </c>
      <c r="Q87" s="20">
        <v>2.5714601868564303E-5</v>
      </c>
    </row>
    <row r="88" spans="2:18" ht="48" hidden="1">
      <c r="B88" s="43">
        <v>48</v>
      </c>
      <c r="C88" s="43">
        <v>851660</v>
      </c>
      <c r="D88" s="47" t="s">
        <v>192</v>
      </c>
      <c r="E88" s="44" t="s">
        <v>193</v>
      </c>
      <c r="F88" s="44" t="s">
        <v>66</v>
      </c>
      <c r="G88" s="44" t="s">
        <v>51</v>
      </c>
      <c r="H88" s="44" t="s">
        <v>28</v>
      </c>
      <c r="I88" s="43" t="s">
        <v>96</v>
      </c>
      <c r="J88" s="43" t="s">
        <v>21</v>
      </c>
      <c r="K88" s="43" t="s">
        <v>21</v>
      </c>
      <c r="L88" s="43" t="s">
        <v>21</v>
      </c>
      <c r="M88" s="43" t="s">
        <v>29</v>
      </c>
      <c r="N88" s="43" t="s">
        <v>29</v>
      </c>
      <c r="O88" s="43" t="s">
        <v>29</v>
      </c>
      <c r="P88" s="25">
        <f>VLOOKUP(C88, [1]Sheet1!$A$2:$B$313, 2, FALSE)</f>
        <v>17.213390671150002</v>
      </c>
      <c r="Q88" s="45">
        <v>4.1604027327093503E-3</v>
      </c>
    </row>
    <row r="89" spans="2:18" ht="48" hidden="1">
      <c r="B89" s="43">
        <v>47</v>
      </c>
      <c r="C89" s="43">
        <v>841810</v>
      </c>
      <c r="D89" s="47" t="s">
        <v>194</v>
      </c>
      <c r="E89" s="44" t="s">
        <v>195</v>
      </c>
      <c r="F89" s="44" t="s">
        <v>112</v>
      </c>
      <c r="G89" s="44" t="s">
        <v>51</v>
      </c>
      <c r="H89" s="44" t="s">
        <v>28</v>
      </c>
      <c r="I89" s="43" t="s">
        <v>129</v>
      </c>
      <c r="J89" s="43" t="s">
        <v>21</v>
      </c>
      <c r="K89" s="43" t="s">
        <v>21</v>
      </c>
      <c r="L89" s="43" t="s">
        <v>29</v>
      </c>
      <c r="M89" s="43" t="s">
        <v>29</v>
      </c>
      <c r="N89" s="43" t="s">
        <v>29</v>
      </c>
      <c r="O89" s="43" t="s">
        <v>29</v>
      </c>
      <c r="P89" s="25">
        <f>VLOOKUP(C89, [1]Sheet1!$A$2:$B$313, 2, FALSE)</f>
        <v>15.840095449912001</v>
      </c>
      <c r="Q89" s="45">
        <v>5.6012431301252366E-3</v>
      </c>
    </row>
    <row r="90" spans="2:18" ht="63.95">
      <c r="B90" s="43">
        <v>50</v>
      </c>
      <c r="C90" s="43">
        <v>901819</v>
      </c>
      <c r="D90" s="47" t="s">
        <v>196</v>
      </c>
      <c r="E90" s="44" t="s">
        <v>197</v>
      </c>
      <c r="F90" s="44" t="s">
        <v>198</v>
      </c>
      <c r="G90" s="44" t="s">
        <v>40</v>
      </c>
      <c r="H90" s="44" t="s">
        <v>28</v>
      </c>
      <c r="I90" s="43" t="s">
        <v>12</v>
      </c>
      <c r="J90" s="43" t="s">
        <v>21</v>
      </c>
      <c r="K90" s="43" t="s">
        <v>21</v>
      </c>
      <c r="L90" s="43" t="s">
        <v>29</v>
      </c>
      <c r="M90" s="43" t="s">
        <v>21</v>
      </c>
      <c r="N90" s="43" t="s">
        <v>21</v>
      </c>
      <c r="O90" s="43" t="s">
        <v>21</v>
      </c>
      <c r="P90" s="25">
        <f>VLOOKUP(C90, [1]Sheet1!$A$2:$B$313, 2, FALSE)</f>
        <v>18.338997440754</v>
      </c>
      <c r="Q90" s="45">
        <v>3.8373738809631451E-3</v>
      </c>
    </row>
    <row r="91" spans="2:18" ht="32.1" hidden="1">
      <c r="B91" s="31">
        <v>51</v>
      </c>
      <c r="C91" s="31">
        <v>841430</v>
      </c>
      <c r="D91" s="33" t="s">
        <v>199</v>
      </c>
      <c r="E91" s="32" t="s">
        <v>200</v>
      </c>
      <c r="F91" s="32" t="s">
        <v>112</v>
      </c>
      <c r="G91" s="32" t="s">
        <v>51</v>
      </c>
      <c r="H91" s="32" t="s">
        <v>20</v>
      </c>
      <c r="I91" s="31" t="s">
        <v>129</v>
      </c>
      <c r="J91" s="31" t="s">
        <v>21</v>
      </c>
      <c r="K91" s="31" t="s">
        <v>21</v>
      </c>
      <c r="L91" s="31" t="s">
        <v>29</v>
      </c>
      <c r="M91" s="31" t="s">
        <v>29</v>
      </c>
      <c r="N91" s="34" t="s">
        <v>29</v>
      </c>
      <c r="O91" s="31" t="s">
        <v>29</v>
      </c>
      <c r="P91" s="25">
        <f>VLOOKUP(C91, [1]Sheet1!$A$2:$B$313, 2, FALSE)</f>
        <v>15.339787264435</v>
      </c>
      <c r="Q91" s="59">
        <v>4.1239761305302003E-4</v>
      </c>
    </row>
    <row r="92" spans="2:18" ht="80.099999999999994">
      <c r="B92" s="43">
        <v>52</v>
      </c>
      <c r="C92" s="43">
        <v>844331</v>
      </c>
      <c r="D92" s="47" t="s">
        <v>201</v>
      </c>
      <c r="E92" s="44" t="s">
        <v>153</v>
      </c>
      <c r="F92" s="44" t="s">
        <v>36</v>
      </c>
      <c r="G92" s="44" t="s">
        <v>37</v>
      </c>
      <c r="H92" s="44" t="s">
        <v>28</v>
      </c>
      <c r="I92" s="43" t="s">
        <v>12</v>
      </c>
      <c r="J92" s="43" t="s">
        <v>21</v>
      </c>
      <c r="K92" s="43" t="s">
        <v>21</v>
      </c>
      <c r="L92" s="43" t="s">
        <v>21</v>
      </c>
      <c r="M92" s="43" t="s">
        <v>29</v>
      </c>
      <c r="N92" s="43" t="s">
        <v>21</v>
      </c>
      <c r="O92" s="43" t="s">
        <v>21</v>
      </c>
      <c r="P92" s="25">
        <f>VLOOKUP(C92, [1]Sheet1!$A$2:$B$313, 2, FALSE)</f>
        <v>14.992823884915</v>
      </c>
      <c r="Q92" s="45">
        <v>3.5959613743299051E-3</v>
      </c>
    </row>
    <row r="93" spans="2:18" ht="63.95">
      <c r="B93" s="43">
        <v>59</v>
      </c>
      <c r="C93" s="43">
        <v>847141</v>
      </c>
      <c r="D93" s="47" t="s">
        <v>202</v>
      </c>
      <c r="E93" s="44" t="s">
        <v>164</v>
      </c>
      <c r="F93" s="44" t="s">
        <v>36</v>
      </c>
      <c r="G93" s="44" t="s">
        <v>37</v>
      </c>
      <c r="H93" s="44" t="s">
        <v>28</v>
      </c>
      <c r="I93" s="43" t="s">
        <v>12</v>
      </c>
      <c r="J93" s="43" t="s">
        <v>21</v>
      </c>
      <c r="K93" s="43" t="s">
        <v>21</v>
      </c>
      <c r="L93" s="43" t="s">
        <v>21</v>
      </c>
      <c r="M93" s="43" t="s">
        <v>29</v>
      </c>
      <c r="N93" s="43" t="s">
        <v>21</v>
      </c>
      <c r="O93" s="43" t="s">
        <v>21</v>
      </c>
      <c r="P93" s="25">
        <f>VLOOKUP(C93, [1]Sheet1!$A$2:$B$313, 2, FALSE)</f>
        <v>12.766807882550999</v>
      </c>
      <c r="Q93" s="45">
        <v>3.0196060448045656E-3</v>
      </c>
    </row>
    <row r="94" spans="2:18" ht="32.1" hidden="1">
      <c r="B94" s="43">
        <v>55</v>
      </c>
      <c r="C94" s="43">
        <v>401699</v>
      </c>
      <c r="D94" s="47" t="s">
        <v>203</v>
      </c>
      <c r="E94" s="44" t="s">
        <v>204</v>
      </c>
      <c r="F94" s="44" t="s">
        <v>50</v>
      </c>
      <c r="G94" s="44" t="s">
        <v>51</v>
      </c>
      <c r="H94" s="44" t="s">
        <v>20</v>
      </c>
      <c r="I94" s="43" t="s">
        <v>11</v>
      </c>
      <c r="J94" s="43" t="s">
        <v>21</v>
      </c>
      <c r="K94" s="43" t="s">
        <v>29</v>
      </c>
      <c r="L94" s="43" t="s">
        <v>29</v>
      </c>
      <c r="M94" s="43" t="s">
        <v>21</v>
      </c>
      <c r="N94" s="43" t="s">
        <v>29</v>
      </c>
      <c r="O94" s="43" t="s">
        <v>29</v>
      </c>
      <c r="P94" s="25">
        <f>VLOOKUP(C94, [1]Sheet1!$A$2:$B$313, 2, FALSE)</f>
        <v>15.021053707816</v>
      </c>
      <c r="Q94" s="45">
        <v>4.0956387458792242E-3</v>
      </c>
    </row>
    <row r="95" spans="2:18" ht="48">
      <c r="B95" s="43">
        <v>25</v>
      </c>
      <c r="C95" s="43">
        <v>847180</v>
      </c>
      <c r="D95" s="47" t="s">
        <v>205</v>
      </c>
      <c r="E95" s="44" t="s">
        <v>206</v>
      </c>
      <c r="F95" s="44" t="s">
        <v>36</v>
      </c>
      <c r="G95" s="44" t="s">
        <v>37</v>
      </c>
      <c r="H95" s="44" t="s">
        <v>28</v>
      </c>
      <c r="I95" s="43" t="s">
        <v>12</v>
      </c>
      <c r="J95" s="43" t="s">
        <v>21</v>
      </c>
      <c r="K95" s="43" t="s">
        <v>21</v>
      </c>
      <c r="L95" s="43" t="s">
        <v>21</v>
      </c>
      <c r="M95" s="43" t="s">
        <v>21</v>
      </c>
      <c r="N95" s="43" t="s">
        <v>21</v>
      </c>
      <c r="O95" s="43" t="s">
        <v>21</v>
      </c>
      <c r="P95" s="25">
        <f>VLOOKUP(C95, [1]Sheet1!$A$2:$B$313, 2, FALSE)</f>
        <v>61.198088266355001</v>
      </c>
      <c r="Q95" s="45">
        <v>1.2546954861614815E-2</v>
      </c>
      <c r="R95" s="16"/>
    </row>
    <row r="96" spans="2:18" ht="32.1" hidden="1">
      <c r="B96" s="43">
        <v>57</v>
      </c>
      <c r="C96" s="43">
        <v>854110</v>
      </c>
      <c r="D96" s="47" t="s">
        <v>207</v>
      </c>
      <c r="E96" s="44" t="s">
        <v>208</v>
      </c>
      <c r="F96" s="44" t="s">
        <v>54</v>
      </c>
      <c r="G96" s="44" t="s">
        <v>19</v>
      </c>
      <c r="H96" s="44" t="s">
        <v>20</v>
      </c>
      <c r="I96" s="43" t="s">
        <v>12</v>
      </c>
      <c r="J96" s="43" t="s">
        <v>21</v>
      </c>
      <c r="K96" s="43" t="s">
        <v>21</v>
      </c>
      <c r="L96" s="43" t="s">
        <v>21</v>
      </c>
      <c r="M96" s="43" t="s">
        <v>21</v>
      </c>
      <c r="N96" s="43" t="s">
        <v>21</v>
      </c>
      <c r="O96" s="43" t="s">
        <v>21</v>
      </c>
      <c r="P96" s="25">
        <f>VLOOKUP(C96, [1]Sheet1!$A$2:$B$313, 2, FALSE)</f>
        <v>12.076601994803999</v>
      </c>
      <c r="Q96" s="45">
        <v>3.4304601442354593E-3</v>
      </c>
      <c r="R96" s="16"/>
    </row>
    <row r="97" spans="2:17" ht="48">
      <c r="B97" s="43">
        <v>58</v>
      </c>
      <c r="C97" s="43">
        <v>851830</v>
      </c>
      <c r="D97" s="47" t="s">
        <v>209</v>
      </c>
      <c r="E97" s="44" t="s">
        <v>210</v>
      </c>
      <c r="F97" s="44" t="s">
        <v>66</v>
      </c>
      <c r="G97" s="44" t="s">
        <v>40</v>
      </c>
      <c r="H97" s="44" t="s">
        <v>28</v>
      </c>
      <c r="I97" s="43" t="s">
        <v>12</v>
      </c>
      <c r="J97" s="43" t="s">
        <v>21</v>
      </c>
      <c r="K97" s="43" t="s">
        <v>21</v>
      </c>
      <c r="L97" s="43" t="s">
        <v>21</v>
      </c>
      <c r="M97" s="43" t="s">
        <v>21</v>
      </c>
      <c r="N97" s="43" t="s">
        <v>21</v>
      </c>
      <c r="O97" s="43" t="s">
        <v>21</v>
      </c>
      <c r="P97" s="25">
        <f>VLOOKUP(C97, [1]Sheet1!$A$2:$B$313, 2, FALSE)</f>
        <v>12.908286800326</v>
      </c>
      <c r="Q97" s="45">
        <v>3.2266450038812315E-3</v>
      </c>
    </row>
    <row r="98" spans="2:17" ht="32.1" hidden="1">
      <c r="B98" s="43">
        <v>76</v>
      </c>
      <c r="C98" s="43">
        <v>841869</v>
      </c>
      <c r="D98" s="47" t="s">
        <v>211</v>
      </c>
      <c r="E98" s="44" t="s">
        <v>200</v>
      </c>
      <c r="F98" s="44" t="s">
        <v>112</v>
      </c>
      <c r="G98" s="44" t="s">
        <v>51</v>
      </c>
      <c r="H98" s="44" t="s">
        <v>20</v>
      </c>
      <c r="I98" s="43" t="s">
        <v>129</v>
      </c>
      <c r="J98" s="43" t="s">
        <v>21</v>
      </c>
      <c r="K98" s="43" t="s">
        <v>21</v>
      </c>
      <c r="L98" s="43" t="s">
        <v>29</v>
      </c>
      <c r="M98" s="43" t="s">
        <v>29</v>
      </c>
      <c r="N98" s="43" t="s">
        <v>29</v>
      </c>
      <c r="O98" s="43" t="s">
        <v>29</v>
      </c>
      <c r="P98" s="25">
        <f>VLOOKUP(C98, [1]Sheet1!$A$2:$B$313, 2, FALSE)</f>
        <v>12.170637277023999</v>
      </c>
      <c r="Q98" s="45">
        <v>2.1975653516507687E-3</v>
      </c>
    </row>
    <row r="99" spans="2:17" ht="32.1" hidden="1">
      <c r="B99" s="43">
        <v>60</v>
      </c>
      <c r="C99" s="43">
        <v>850490</v>
      </c>
      <c r="D99" s="47" t="s">
        <v>212</v>
      </c>
      <c r="E99" s="44" t="s">
        <v>213</v>
      </c>
      <c r="F99" s="44" t="s">
        <v>54</v>
      </c>
      <c r="G99" s="44" t="s">
        <v>19</v>
      </c>
      <c r="H99" s="44" t="s">
        <v>20</v>
      </c>
      <c r="I99" s="43" t="s">
        <v>12</v>
      </c>
      <c r="J99" s="43" t="s">
        <v>21</v>
      </c>
      <c r="K99" s="43" t="s">
        <v>21</v>
      </c>
      <c r="L99" s="43" t="s">
        <v>21</v>
      </c>
      <c r="M99" s="43" t="s">
        <v>21</v>
      </c>
      <c r="N99" s="43" t="s">
        <v>21</v>
      </c>
      <c r="O99" s="43" t="s">
        <v>21</v>
      </c>
      <c r="P99" s="25">
        <f>VLOOKUP(C99, [1]Sheet1!$A$2:$B$313, 2, FALSE)</f>
        <v>14.507583395753</v>
      </c>
      <c r="Q99" s="45">
        <v>2.9138468964407592E-3</v>
      </c>
    </row>
    <row r="100" spans="2:17" ht="32.1" hidden="1">
      <c r="B100" s="43">
        <v>61</v>
      </c>
      <c r="C100" s="43">
        <v>850110</v>
      </c>
      <c r="D100" s="47" t="s">
        <v>214</v>
      </c>
      <c r="E100" s="44" t="s">
        <v>215</v>
      </c>
      <c r="F100" s="44" t="s">
        <v>54</v>
      </c>
      <c r="G100" s="44" t="s">
        <v>40</v>
      </c>
      <c r="H100" s="44" t="s">
        <v>20</v>
      </c>
      <c r="I100" s="43" t="s">
        <v>12</v>
      </c>
      <c r="J100" s="43" t="s">
        <v>21</v>
      </c>
      <c r="K100" s="43" t="s">
        <v>21</v>
      </c>
      <c r="L100" s="43" t="s">
        <v>21</v>
      </c>
      <c r="M100" s="43" t="s">
        <v>21</v>
      </c>
      <c r="N100" s="43" t="s">
        <v>21</v>
      </c>
      <c r="O100" s="43" t="s">
        <v>21</v>
      </c>
      <c r="P100" s="25">
        <f>VLOOKUP(C100, [1]Sheet1!$A$2:$B$313, 2, FALSE)</f>
        <v>13.415732138578999</v>
      </c>
      <c r="Q100" s="45">
        <v>2.2443365828682541E-3</v>
      </c>
    </row>
    <row r="101" spans="2:17" ht="32.1" hidden="1">
      <c r="B101" s="43">
        <v>62</v>
      </c>
      <c r="C101" s="43">
        <v>850450</v>
      </c>
      <c r="D101" s="47" t="s">
        <v>216</v>
      </c>
      <c r="E101" s="44" t="s">
        <v>217</v>
      </c>
      <c r="F101" s="44" t="s">
        <v>54</v>
      </c>
      <c r="G101" s="44" t="s">
        <v>40</v>
      </c>
      <c r="H101" s="44" t="s">
        <v>20</v>
      </c>
      <c r="I101" s="43" t="s">
        <v>12</v>
      </c>
      <c r="J101" s="43" t="s">
        <v>21</v>
      </c>
      <c r="K101" s="43" t="s">
        <v>21</v>
      </c>
      <c r="L101" s="43" t="s">
        <v>21</v>
      </c>
      <c r="M101" s="43" t="s">
        <v>21</v>
      </c>
      <c r="N101" s="43" t="s">
        <v>21</v>
      </c>
      <c r="O101" s="43" t="s">
        <v>21</v>
      </c>
      <c r="P101" s="25">
        <f>VLOOKUP(C101, [1]Sheet1!$A$2:$B$313, 2, FALSE)</f>
        <v>11.967115180339</v>
      </c>
      <c r="Q101" s="45">
        <v>2.9817172574568914E-3</v>
      </c>
    </row>
    <row r="102" spans="2:17" ht="48" hidden="1">
      <c r="B102" s="43">
        <v>75</v>
      </c>
      <c r="C102" s="43">
        <v>850811</v>
      </c>
      <c r="D102" s="47" t="s">
        <v>218</v>
      </c>
      <c r="E102" s="44" t="s">
        <v>219</v>
      </c>
      <c r="F102" s="44" t="s">
        <v>112</v>
      </c>
      <c r="G102" s="44" t="s">
        <v>51</v>
      </c>
      <c r="H102" s="44" t="s">
        <v>28</v>
      </c>
      <c r="I102" s="43" t="s">
        <v>129</v>
      </c>
      <c r="J102" s="43" t="s">
        <v>21</v>
      </c>
      <c r="K102" s="43" t="s">
        <v>21</v>
      </c>
      <c r="L102" s="43" t="s">
        <v>29</v>
      </c>
      <c r="M102" s="43" t="s">
        <v>29</v>
      </c>
      <c r="N102" s="43" t="s">
        <v>29</v>
      </c>
      <c r="O102" s="43" t="s">
        <v>29</v>
      </c>
      <c r="P102" s="25">
        <f>VLOOKUP(C102, [1]Sheet1!$A$2:$B$313, 2, FALSE)</f>
        <v>12.157487151111001</v>
      </c>
      <c r="Q102" s="45">
        <v>2.4285369698022084E-3</v>
      </c>
    </row>
    <row r="103" spans="2:17" ht="48" hidden="1">
      <c r="B103" s="43">
        <v>422</v>
      </c>
      <c r="C103" s="43">
        <v>847310</v>
      </c>
      <c r="D103" s="44" t="s">
        <v>220</v>
      </c>
      <c r="E103" s="44" t="s">
        <v>221</v>
      </c>
      <c r="F103" s="44" t="s">
        <v>36</v>
      </c>
      <c r="G103" s="44" t="s">
        <v>51</v>
      </c>
      <c r="H103" s="44" t="s">
        <v>20</v>
      </c>
      <c r="I103" s="47" t="s">
        <v>103</v>
      </c>
      <c r="J103" s="43" t="s">
        <v>29</v>
      </c>
      <c r="K103" s="43" t="s">
        <v>21</v>
      </c>
      <c r="L103" s="43" t="s">
        <v>29</v>
      </c>
      <c r="M103" s="43" t="s">
        <v>29</v>
      </c>
      <c r="N103" s="43" t="s">
        <v>29</v>
      </c>
      <c r="O103" s="43" t="s">
        <v>29</v>
      </c>
      <c r="P103" s="25">
        <v>4.7146000000000004E-8</v>
      </c>
      <c r="Q103" s="62">
        <f>P103/SUM($P$3:$P$425)</f>
        <v>1.0598494862018522E-11</v>
      </c>
    </row>
    <row r="104" spans="2:17" ht="48" hidden="1">
      <c r="B104" s="43">
        <v>64</v>
      </c>
      <c r="C104" s="43">
        <v>854390</v>
      </c>
      <c r="D104" s="47" t="s">
        <v>222</v>
      </c>
      <c r="E104" s="44" t="s">
        <v>223</v>
      </c>
      <c r="F104" s="44" t="s">
        <v>54</v>
      </c>
      <c r="G104" s="44" t="s">
        <v>40</v>
      </c>
      <c r="H104" s="44" t="s">
        <v>20</v>
      </c>
      <c r="I104" s="43" t="s">
        <v>12</v>
      </c>
      <c r="J104" s="43" t="s">
        <v>21</v>
      </c>
      <c r="K104" s="43" t="s">
        <v>21</v>
      </c>
      <c r="L104" s="43" t="s">
        <v>21</v>
      </c>
      <c r="M104" s="43" t="s">
        <v>21</v>
      </c>
      <c r="N104" s="43" t="s">
        <v>21</v>
      </c>
      <c r="O104" s="43" t="s">
        <v>21</v>
      </c>
      <c r="P104" s="25">
        <f>VLOOKUP(C104, [1]Sheet1!$A$2:$B$313, 2, FALSE)</f>
        <v>10.746131460023999</v>
      </c>
      <c r="Q104" s="45">
        <v>2.3260850898399019E-3</v>
      </c>
    </row>
    <row r="105" spans="2:17" ht="32.1" hidden="1">
      <c r="B105" s="43">
        <v>65</v>
      </c>
      <c r="C105" s="43">
        <v>490199</v>
      </c>
      <c r="D105" s="47" t="s">
        <v>224</v>
      </c>
      <c r="E105" s="44" t="s">
        <v>225</v>
      </c>
      <c r="F105" s="44" t="s">
        <v>50</v>
      </c>
      <c r="G105" s="44" t="s">
        <v>51</v>
      </c>
      <c r="H105" s="44" t="s">
        <v>20</v>
      </c>
      <c r="I105" s="43" t="s">
        <v>11</v>
      </c>
      <c r="J105" s="43" t="s">
        <v>21</v>
      </c>
      <c r="K105" s="43" t="s">
        <v>29</v>
      </c>
      <c r="L105" s="43" t="s">
        <v>29</v>
      </c>
      <c r="M105" s="43" t="s">
        <v>21</v>
      </c>
      <c r="N105" s="43" t="s">
        <v>29</v>
      </c>
      <c r="O105" s="43" t="s">
        <v>29</v>
      </c>
      <c r="P105" s="25">
        <f>VLOOKUP(C105, [1]Sheet1!$A$2:$B$313, 2, FALSE)</f>
        <v>11.975023359263</v>
      </c>
      <c r="Q105" s="45">
        <v>3.2843447956735685E-3</v>
      </c>
    </row>
    <row r="106" spans="2:17" ht="32.1">
      <c r="B106" s="43">
        <v>66</v>
      </c>
      <c r="C106" s="43">
        <v>851714</v>
      </c>
      <c r="D106" s="47" t="s">
        <v>226</v>
      </c>
      <c r="E106" s="44" t="s">
        <v>227</v>
      </c>
      <c r="F106" s="44" t="s">
        <v>26</v>
      </c>
      <c r="G106" s="44" t="s">
        <v>27</v>
      </c>
      <c r="H106" s="44" t="s">
        <v>28</v>
      </c>
      <c r="I106" s="43" t="s">
        <v>12</v>
      </c>
      <c r="J106" s="43" t="s">
        <v>21</v>
      </c>
      <c r="K106" s="43" t="s">
        <v>29</v>
      </c>
      <c r="L106" s="43" t="s">
        <v>21</v>
      </c>
      <c r="M106" s="43" t="s">
        <v>21</v>
      </c>
      <c r="N106" s="43" t="s">
        <v>21</v>
      </c>
      <c r="O106" s="43" t="s">
        <v>29</v>
      </c>
      <c r="P106" s="25">
        <f>VLOOKUP(C106, [1]Sheet1!$A$2:$B$313, 2, FALSE)</f>
        <v>9.4715023762759998</v>
      </c>
      <c r="Q106" s="45">
        <v>2.62663096750525E-3</v>
      </c>
    </row>
    <row r="107" spans="2:17" ht="48" hidden="1">
      <c r="B107" s="43">
        <v>63</v>
      </c>
      <c r="C107" s="43">
        <v>854141</v>
      </c>
      <c r="D107" s="47" t="s">
        <v>228</v>
      </c>
      <c r="E107" s="44" t="s">
        <v>63</v>
      </c>
      <c r="F107" s="44" t="s">
        <v>18</v>
      </c>
      <c r="G107" s="44" t="s">
        <v>19</v>
      </c>
      <c r="H107" s="44" t="s">
        <v>20</v>
      </c>
      <c r="I107" s="43" t="s">
        <v>12</v>
      </c>
      <c r="J107" s="43" t="s">
        <v>21</v>
      </c>
      <c r="K107" s="43" t="s">
        <v>29</v>
      </c>
      <c r="L107" s="43" t="s">
        <v>29</v>
      </c>
      <c r="M107" s="43" t="s">
        <v>29</v>
      </c>
      <c r="N107" s="43" t="s">
        <v>21</v>
      </c>
      <c r="O107" s="43" t="s">
        <v>29</v>
      </c>
      <c r="P107" s="25">
        <f>VLOOKUP(C107, [1]Sheet1!$A$2:$B$313, 2, FALSE)</f>
        <v>12.144395436232999</v>
      </c>
      <c r="Q107" s="45">
        <v>1.9142122251584739E-3</v>
      </c>
    </row>
    <row r="108" spans="2:17" ht="63.95" hidden="1">
      <c r="B108" s="43">
        <v>303</v>
      </c>
      <c r="C108" s="43">
        <v>847350</v>
      </c>
      <c r="D108" s="44" t="s">
        <v>229</v>
      </c>
      <c r="E108" s="44" t="s">
        <v>230</v>
      </c>
      <c r="F108" s="44" t="s">
        <v>36</v>
      </c>
      <c r="G108" s="44" t="s">
        <v>51</v>
      </c>
      <c r="H108" s="44" t="s">
        <v>20</v>
      </c>
      <c r="I108" s="47" t="s">
        <v>103</v>
      </c>
      <c r="J108" s="43" t="s">
        <v>29</v>
      </c>
      <c r="K108" s="43" t="s">
        <v>21</v>
      </c>
      <c r="L108" s="43" t="s">
        <v>29</v>
      </c>
      <c r="M108" s="43" t="s">
        <v>29</v>
      </c>
      <c r="N108" s="43" t="s">
        <v>29</v>
      </c>
      <c r="O108" s="43" t="s">
        <v>29</v>
      </c>
      <c r="P108" s="48">
        <v>9.3506878834999987E-2</v>
      </c>
      <c r="Q108" s="20">
        <v>1.1194071365966657E-5</v>
      </c>
    </row>
    <row r="109" spans="2:17" ht="32.1" hidden="1">
      <c r="B109" s="43">
        <v>348</v>
      </c>
      <c r="C109" s="43">
        <v>847621</v>
      </c>
      <c r="D109" s="44" t="s">
        <v>231</v>
      </c>
      <c r="E109" s="44" t="s">
        <v>232</v>
      </c>
      <c r="F109" s="44" t="s">
        <v>66</v>
      </c>
      <c r="G109" s="44" t="s">
        <v>51</v>
      </c>
      <c r="H109" s="44" t="s">
        <v>28</v>
      </c>
      <c r="I109" s="47" t="s">
        <v>103</v>
      </c>
      <c r="J109" s="43" t="s">
        <v>29</v>
      </c>
      <c r="K109" s="43" t="s">
        <v>21</v>
      </c>
      <c r="L109" s="43" t="s">
        <v>29</v>
      </c>
      <c r="M109" s="43" t="s">
        <v>29</v>
      </c>
      <c r="N109" s="43" t="s">
        <v>29</v>
      </c>
      <c r="O109" s="43" t="s">
        <v>29</v>
      </c>
      <c r="P109" s="25">
        <v>0.43010052942500004</v>
      </c>
      <c r="Q109" s="62">
        <f>P109/SUM($P$3:$P$425)</f>
        <v>9.6687274663010832E-5</v>
      </c>
    </row>
    <row r="110" spans="2:17" ht="32.1" hidden="1">
      <c r="B110" s="43">
        <v>406</v>
      </c>
      <c r="C110" s="43">
        <v>847629</v>
      </c>
      <c r="D110" s="44" t="s">
        <v>233</v>
      </c>
      <c r="E110" s="44" t="s">
        <v>232</v>
      </c>
      <c r="F110" s="44" t="s">
        <v>66</v>
      </c>
      <c r="G110" s="44" t="s">
        <v>51</v>
      </c>
      <c r="H110" s="44" t="s">
        <v>28</v>
      </c>
      <c r="I110" s="47" t="s">
        <v>103</v>
      </c>
      <c r="J110" s="43" t="s">
        <v>29</v>
      </c>
      <c r="K110" s="43" t="s">
        <v>21</v>
      </c>
      <c r="L110" s="43" t="s">
        <v>29</v>
      </c>
      <c r="M110" s="43" t="s">
        <v>29</v>
      </c>
      <c r="N110" s="43" t="s">
        <v>29</v>
      </c>
      <c r="O110" s="43" t="s">
        <v>29</v>
      </c>
      <c r="P110" s="25">
        <v>3.9502294449999989E-2</v>
      </c>
      <c r="Q110" s="62">
        <f>P110/SUM($P$3:$P$425)</f>
        <v>8.8801778468219502E-6</v>
      </c>
    </row>
    <row r="111" spans="2:17" ht="63.95" hidden="1">
      <c r="B111" s="43">
        <v>381</v>
      </c>
      <c r="C111" s="43">
        <v>847681</v>
      </c>
      <c r="D111" s="44" t="s">
        <v>234</v>
      </c>
      <c r="E111" s="44" t="s">
        <v>232</v>
      </c>
      <c r="F111" s="44" t="s">
        <v>66</v>
      </c>
      <c r="G111" s="44" t="s">
        <v>51</v>
      </c>
      <c r="H111" s="44" t="s">
        <v>28</v>
      </c>
      <c r="I111" s="47" t="s">
        <v>103</v>
      </c>
      <c r="J111" s="43" t="s">
        <v>29</v>
      </c>
      <c r="K111" s="43" t="s">
        <v>21</v>
      </c>
      <c r="L111" s="43" t="s">
        <v>29</v>
      </c>
      <c r="M111" s="43" t="s">
        <v>29</v>
      </c>
      <c r="N111" s="43" t="s">
        <v>29</v>
      </c>
      <c r="O111" s="43" t="s">
        <v>29</v>
      </c>
      <c r="P111" s="25">
        <v>0.17348304010500004</v>
      </c>
      <c r="Q111" s="62">
        <f>P111/SUM($P$3:$P$425)</f>
        <v>3.8999259941462605E-5</v>
      </c>
    </row>
    <row r="112" spans="2:17" ht="63.95" hidden="1">
      <c r="B112" s="31">
        <v>350</v>
      </c>
      <c r="C112" s="31">
        <v>847689</v>
      </c>
      <c r="D112" s="32" t="s">
        <v>235</v>
      </c>
      <c r="E112" s="32" t="s">
        <v>232</v>
      </c>
      <c r="F112" s="32" t="s">
        <v>66</v>
      </c>
      <c r="G112" s="32" t="s">
        <v>51</v>
      </c>
      <c r="H112" s="32" t="s">
        <v>28</v>
      </c>
      <c r="I112" s="33" t="s">
        <v>103</v>
      </c>
      <c r="J112" s="31" t="s">
        <v>29</v>
      </c>
      <c r="K112" s="31" t="s">
        <v>21</v>
      </c>
      <c r="L112" s="31" t="s">
        <v>29</v>
      </c>
      <c r="M112" s="31" t="s">
        <v>29</v>
      </c>
      <c r="N112" s="34" t="s">
        <v>29</v>
      </c>
      <c r="O112" s="31" t="s">
        <v>29</v>
      </c>
      <c r="P112" s="55">
        <v>0.41282317456400008</v>
      </c>
      <c r="Q112" s="60">
        <f>P112/SUM($P$3:$P$425)</f>
        <v>9.2803298149126751E-5</v>
      </c>
    </row>
    <row r="113" spans="2:17" ht="48" hidden="1">
      <c r="B113" s="43">
        <v>68</v>
      </c>
      <c r="C113" s="43">
        <v>401693</v>
      </c>
      <c r="D113" s="47" t="s">
        <v>236</v>
      </c>
      <c r="E113" s="44" t="s">
        <v>204</v>
      </c>
      <c r="F113" s="44" t="s">
        <v>50</v>
      </c>
      <c r="G113" s="44" t="s">
        <v>51</v>
      </c>
      <c r="H113" s="44" t="s">
        <v>20</v>
      </c>
      <c r="I113" s="43" t="s">
        <v>11</v>
      </c>
      <c r="J113" s="43" t="s">
        <v>21</v>
      </c>
      <c r="K113" s="43" t="s">
        <v>29</v>
      </c>
      <c r="L113" s="43" t="s">
        <v>29</v>
      </c>
      <c r="M113" s="43" t="s">
        <v>21</v>
      </c>
      <c r="N113" s="43" t="s">
        <v>29</v>
      </c>
      <c r="O113" s="43" t="s">
        <v>29</v>
      </c>
      <c r="P113" s="25">
        <f>VLOOKUP(C113, [1]Sheet1!$A$2:$B$313, 2, FALSE)</f>
        <v>12.732100473252</v>
      </c>
      <c r="Q113" s="45">
        <v>2.5897893907976788E-3</v>
      </c>
    </row>
    <row r="114" spans="2:17" ht="32.1" hidden="1">
      <c r="B114" s="31">
        <v>310</v>
      </c>
      <c r="C114" s="31">
        <v>850410</v>
      </c>
      <c r="D114" s="32" t="s">
        <v>237</v>
      </c>
      <c r="E114" s="32" t="s">
        <v>238</v>
      </c>
      <c r="F114" s="32" t="s">
        <v>54</v>
      </c>
      <c r="G114" s="32" t="s">
        <v>51</v>
      </c>
      <c r="H114" s="32" t="s">
        <v>20</v>
      </c>
      <c r="I114" s="33" t="s">
        <v>103</v>
      </c>
      <c r="J114" s="31" t="s">
        <v>29</v>
      </c>
      <c r="K114" s="31" t="s">
        <v>21</v>
      </c>
      <c r="L114" s="31" t="s">
        <v>29</v>
      </c>
      <c r="M114" s="31" t="s">
        <v>29</v>
      </c>
      <c r="N114" s="34" t="s">
        <v>29</v>
      </c>
      <c r="O114" s="31" t="s">
        <v>29</v>
      </c>
      <c r="P114" s="21">
        <v>4.0256222740000002E-3</v>
      </c>
      <c r="Q114" s="19">
        <v>4.8192286587918582E-7</v>
      </c>
    </row>
    <row r="115" spans="2:17" ht="48">
      <c r="B115" s="43">
        <v>67</v>
      </c>
      <c r="C115" s="43">
        <v>852859</v>
      </c>
      <c r="D115" s="47" t="s">
        <v>239</v>
      </c>
      <c r="E115" s="44" t="s">
        <v>109</v>
      </c>
      <c r="F115" s="44" t="s">
        <v>36</v>
      </c>
      <c r="G115" s="44" t="s">
        <v>37</v>
      </c>
      <c r="H115" s="44" t="s">
        <v>28</v>
      </c>
      <c r="I115" s="43" t="s">
        <v>12</v>
      </c>
      <c r="J115" s="43" t="s">
        <v>21</v>
      </c>
      <c r="K115" s="43" t="s">
        <v>21</v>
      </c>
      <c r="L115" s="43" t="s">
        <v>21</v>
      </c>
      <c r="M115" s="43" t="s">
        <v>29</v>
      </c>
      <c r="N115" s="43" t="s">
        <v>21</v>
      </c>
      <c r="O115" s="43" t="s">
        <v>21</v>
      </c>
      <c r="P115" s="25">
        <f>VLOOKUP(C115, [1]Sheet1!$A$2:$B$313, 2, FALSE)</f>
        <v>11.426649644269</v>
      </c>
      <c r="Q115" s="45">
        <v>2.2899482838177128E-3</v>
      </c>
    </row>
    <row r="116" spans="2:17" ht="32.1" hidden="1">
      <c r="B116" s="43">
        <v>70</v>
      </c>
      <c r="C116" s="43">
        <v>390799</v>
      </c>
      <c r="D116" s="47" t="s">
        <v>240</v>
      </c>
      <c r="E116" s="44" t="s">
        <v>241</v>
      </c>
      <c r="F116" s="44" t="s">
        <v>50</v>
      </c>
      <c r="G116" s="44" t="s">
        <v>51</v>
      </c>
      <c r="H116" s="44" t="s">
        <v>20</v>
      </c>
      <c r="I116" s="43" t="s">
        <v>11</v>
      </c>
      <c r="J116" s="43" t="s">
        <v>21</v>
      </c>
      <c r="K116" s="43" t="s">
        <v>29</v>
      </c>
      <c r="L116" s="43" t="s">
        <v>29</v>
      </c>
      <c r="M116" s="43" t="s">
        <v>21</v>
      </c>
      <c r="N116" s="43" t="s">
        <v>29</v>
      </c>
      <c r="O116" s="43" t="s">
        <v>29</v>
      </c>
      <c r="P116" s="25">
        <f>VLOOKUP(C116, [1]Sheet1!$A$2:$B$313, 2, FALSE)</f>
        <v>9.5463049618969986</v>
      </c>
      <c r="Q116" s="45">
        <v>2.3416060699948658E-3</v>
      </c>
    </row>
    <row r="117" spans="2:17" ht="32.1" hidden="1">
      <c r="B117" s="31">
        <v>166</v>
      </c>
      <c r="C117" s="31">
        <v>850423</v>
      </c>
      <c r="D117" s="32" t="s">
        <v>242</v>
      </c>
      <c r="E117" s="32" t="s">
        <v>213</v>
      </c>
      <c r="F117" s="32" t="s">
        <v>54</v>
      </c>
      <c r="G117" s="32" t="s">
        <v>51</v>
      </c>
      <c r="H117" s="32" t="s">
        <v>20</v>
      </c>
      <c r="I117" s="33" t="s">
        <v>103</v>
      </c>
      <c r="J117" s="31" t="s">
        <v>29</v>
      </c>
      <c r="K117" s="31" t="s">
        <v>21</v>
      </c>
      <c r="L117" s="31" t="s">
        <v>29</v>
      </c>
      <c r="M117" s="31" t="s">
        <v>29</v>
      </c>
      <c r="N117" s="34" t="s">
        <v>29</v>
      </c>
      <c r="O117" s="31" t="s">
        <v>29</v>
      </c>
      <c r="P117" s="21">
        <v>6.8520193671190004</v>
      </c>
      <c r="Q117" s="19">
        <v>8.2028183115663914E-4</v>
      </c>
    </row>
    <row r="118" spans="2:17" ht="48">
      <c r="B118" s="43">
        <v>72</v>
      </c>
      <c r="C118" s="43">
        <v>902750</v>
      </c>
      <c r="D118" s="47" t="s">
        <v>243</v>
      </c>
      <c r="E118" s="44" t="s">
        <v>244</v>
      </c>
      <c r="F118" s="44" t="s">
        <v>189</v>
      </c>
      <c r="G118" s="44" t="s">
        <v>40</v>
      </c>
      <c r="H118" s="44" t="s">
        <v>28</v>
      </c>
      <c r="I118" s="43" t="s">
        <v>12</v>
      </c>
      <c r="J118" s="43" t="s">
        <v>21</v>
      </c>
      <c r="K118" s="43" t="s">
        <v>21</v>
      </c>
      <c r="L118" s="43" t="s">
        <v>29</v>
      </c>
      <c r="M118" s="43" t="s">
        <v>29</v>
      </c>
      <c r="N118" s="43" t="s">
        <v>21</v>
      </c>
      <c r="O118" s="43" t="s">
        <v>21</v>
      </c>
      <c r="P118" s="25">
        <f>VLOOKUP(C118, [1]Sheet1!$A$2:$B$313, 2, FALSE)</f>
        <v>11.40449412125</v>
      </c>
      <c r="Q118" s="45">
        <v>3.1573487896453204E-3</v>
      </c>
    </row>
    <row r="119" spans="2:17" ht="63.95">
      <c r="B119" s="43">
        <v>69</v>
      </c>
      <c r="C119" s="43">
        <v>844332</v>
      </c>
      <c r="D119" s="47" t="s">
        <v>245</v>
      </c>
      <c r="E119" s="44" t="s">
        <v>153</v>
      </c>
      <c r="F119" s="44" t="s">
        <v>36</v>
      </c>
      <c r="G119" s="44" t="s">
        <v>37</v>
      </c>
      <c r="H119" s="44" t="s">
        <v>28</v>
      </c>
      <c r="I119" s="43" t="s">
        <v>12</v>
      </c>
      <c r="J119" s="43" t="s">
        <v>21</v>
      </c>
      <c r="K119" s="43" t="s">
        <v>21</v>
      </c>
      <c r="L119" s="43" t="s">
        <v>21</v>
      </c>
      <c r="M119" s="43" t="s">
        <v>29</v>
      </c>
      <c r="N119" s="43" t="s">
        <v>21</v>
      </c>
      <c r="O119" s="43" t="s">
        <v>21</v>
      </c>
      <c r="P119" s="25">
        <f>VLOOKUP(C119, [1]Sheet1!$A$2:$B$313, 2, FALSE)</f>
        <v>11.245684141639</v>
      </c>
      <c r="Q119" s="45">
        <v>2.5999147776385526E-3</v>
      </c>
    </row>
    <row r="120" spans="2:17" ht="48" hidden="1">
      <c r="B120" s="43">
        <v>271</v>
      </c>
      <c r="C120" s="43">
        <v>850433</v>
      </c>
      <c r="D120" s="44" t="s">
        <v>246</v>
      </c>
      <c r="E120" s="44" t="s">
        <v>213</v>
      </c>
      <c r="F120" s="44" t="s">
        <v>54</v>
      </c>
      <c r="G120" s="44" t="s">
        <v>51</v>
      </c>
      <c r="H120" s="44" t="s">
        <v>20</v>
      </c>
      <c r="I120" s="47" t="s">
        <v>103</v>
      </c>
      <c r="J120" s="43" t="s">
        <v>29</v>
      </c>
      <c r="K120" s="43" t="s">
        <v>21</v>
      </c>
      <c r="L120" s="43" t="s">
        <v>29</v>
      </c>
      <c r="M120" s="43" t="s">
        <v>29</v>
      </c>
      <c r="N120" s="43" t="s">
        <v>29</v>
      </c>
      <c r="O120" s="43" t="s">
        <v>29</v>
      </c>
      <c r="P120" s="48">
        <v>0.42073051602400002</v>
      </c>
      <c r="Q120" s="20">
        <v>5.0367282930309722E-5</v>
      </c>
    </row>
    <row r="121" spans="2:17" ht="32.1" hidden="1">
      <c r="B121" s="43">
        <v>250</v>
      </c>
      <c r="C121" s="43">
        <v>850434</v>
      </c>
      <c r="D121" s="44" t="s">
        <v>247</v>
      </c>
      <c r="E121" s="44" t="s">
        <v>213</v>
      </c>
      <c r="F121" s="44" t="s">
        <v>54</v>
      </c>
      <c r="G121" s="44" t="s">
        <v>51</v>
      </c>
      <c r="H121" s="44" t="s">
        <v>20</v>
      </c>
      <c r="I121" s="47" t="s">
        <v>103</v>
      </c>
      <c r="J121" s="43" t="s">
        <v>29</v>
      </c>
      <c r="K121" s="43" t="s">
        <v>21</v>
      </c>
      <c r="L121" s="43" t="s">
        <v>29</v>
      </c>
      <c r="M121" s="43" t="s">
        <v>29</v>
      </c>
      <c r="N121" s="43" t="s">
        <v>29</v>
      </c>
      <c r="O121" s="43" t="s">
        <v>29</v>
      </c>
      <c r="P121" s="48">
        <v>0.86516782953499993</v>
      </c>
      <c r="Q121" s="20">
        <v>1.0357259859397879E-4</v>
      </c>
    </row>
    <row r="122" spans="2:17" ht="48" hidden="1">
      <c r="B122" s="43">
        <v>80</v>
      </c>
      <c r="C122" s="43">
        <v>853620</v>
      </c>
      <c r="D122" s="47" t="s">
        <v>248</v>
      </c>
      <c r="E122" s="44" t="s">
        <v>249</v>
      </c>
      <c r="F122" s="44" t="s">
        <v>54</v>
      </c>
      <c r="G122" s="44" t="s">
        <v>51</v>
      </c>
      <c r="H122" s="44" t="s">
        <v>20</v>
      </c>
      <c r="I122" s="43" t="s">
        <v>96</v>
      </c>
      <c r="J122" s="43" t="s">
        <v>21</v>
      </c>
      <c r="K122" s="43" t="s">
        <v>21</v>
      </c>
      <c r="L122" s="43" t="s">
        <v>29</v>
      </c>
      <c r="M122" s="43" t="s">
        <v>29</v>
      </c>
      <c r="N122" s="43" t="s">
        <v>29</v>
      </c>
      <c r="O122" s="43" t="s">
        <v>29</v>
      </c>
      <c r="P122" s="25">
        <f>VLOOKUP(C122, [1]Sheet1!$A$2:$B$313, 2, FALSE)</f>
        <v>10.812843421763001</v>
      </c>
      <c r="Q122" s="45">
        <v>2.1780469473998707E-3</v>
      </c>
    </row>
    <row r="123" spans="2:17" ht="32.1" hidden="1">
      <c r="B123" s="43">
        <v>74</v>
      </c>
      <c r="C123" s="43">
        <v>481910</v>
      </c>
      <c r="D123" s="47" t="s">
        <v>250</v>
      </c>
      <c r="E123" s="44" t="s">
        <v>251</v>
      </c>
      <c r="F123" s="44" t="s">
        <v>50</v>
      </c>
      <c r="G123" s="44" t="s">
        <v>51</v>
      </c>
      <c r="H123" s="44" t="s">
        <v>20</v>
      </c>
      <c r="I123" s="43" t="s">
        <v>11</v>
      </c>
      <c r="J123" s="43" t="s">
        <v>21</v>
      </c>
      <c r="K123" s="43" t="s">
        <v>29</v>
      </c>
      <c r="L123" s="43" t="s">
        <v>29</v>
      </c>
      <c r="M123" s="43" t="s">
        <v>21</v>
      </c>
      <c r="N123" s="43" t="s">
        <v>29</v>
      </c>
      <c r="O123" s="43" t="s">
        <v>29</v>
      </c>
      <c r="P123" s="25">
        <f>VLOOKUP(C123, [1]Sheet1!$A$2:$B$313, 2, FALSE)</f>
        <v>10.531777493152999</v>
      </c>
      <c r="Q123" s="45">
        <v>2.3742202800404516E-3</v>
      </c>
    </row>
    <row r="124" spans="2:17" ht="80.099999999999994">
      <c r="B124" s="43">
        <v>73</v>
      </c>
      <c r="C124" s="43">
        <v>903090</v>
      </c>
      <c r="D124" s="47" t="s">
        <v>252</v>
      </c>
      <c r="E124" s="44" t="s">
        <v>253</v>
      </c>
      <c r="F124" s="44" t="s">
        <v>189</v>
      </c>
      <c r="G124" s="44" t="s">
        <v>40</v>
      </c>
      <c r="H124" s="44" t="s">
        <v>28</v>
      </c>
      <c r="I124" s="43" t="s">
        <v>12</v>
      </c>
      <c r="J124" s="43" t="s">
        <v>21</v>
      </c>
      <c r="K124" s="43" t="s">
        <v>21</v>
      </c>
      <c r="L124" s="43" t="s">
        <v>29</v>
      </c>
      <c r="M124" s="43" t="s">
        <v>29</v>
      </c>
      <c r="N124" s="43" t="s">
        <v>21</v>
      </c>
      <c r="O124" s="43" t="s">
        <v>21</v>
      </c>
      <c r="P124" s="25">
        <f>VLOOKUP(C124, [1]Sheet1!$A$2:$B$313, 2, FALSE)</f>
        <v>10.702417026196001</v>
      </c>
      <c r="Q124" s="45">
        <v>2.8766022483706789E-3</v>
      </c>
    </row>
    <row r="125" spans="2:17" ht="63.95" hidden="1">
      <c r="B125" s="43">
        <v>81</v>
      </c>
      <c r="C125" s="43">
        <v>850980</v>
      </c>
      <c r="D125" s="47" t="s">
        <v>254</v>
      </c>
      <c r="E125" s="44" t="s">
        <v>255</v>
      </c>
      <c r="F125" s="44" t="s">
        <v>112</v>
      </c>
      <c r="G125" s="44" t="s">
        <v>51</v>
      </c>
      <c r="H125" s="44" t="s">
        <v>28</v>
      </c>
      <c r="I125" s="43" t="s">
        <v>129</v>
      </c>
      <c r="J125" s="43" t="s">
        <v>21</v>
      </c>
      <c r="K125" s="43" t="s">
        <v>21</v>
      </c>
      <c r="L125" s="43" t="s">
        <v>21</v>
      </c>
      <c r="M125" s="43" t="s">
        <v>29</v>
      </c>
      <c r="N125" s="43" t="s">
        <v>29</v>
      </c>
      <c r="O125" s="43" t="s">
        <v>29</v>
      </c>
      <c r="P125" s="25">
        <f>VLOOKUP(C125, [1]Sheet1!$A$2:$B$313, 2, FALSE)</f>
        <v>10.565024992382</v>
      </c>
      <c r="Q125" s="45">
        <v>2.3135443807030466E-3</v>
      </c>
    </row>
    <row r="126" spans="2:17" ht="32.1" hidden="1">
      <c r="B126" s="31">
        <v>77</v>
      </c>
      <c r="C126" s="31">
        <v>481920</v>
      </c>
      <c r="D126" s="33" t="s">
        <v>256</v>
      </c>
      <c r="E126" s="32" t="s">
        <v>251</v>
      </c>
      <c r="F126" s="32" t="s">
        <v>50</v>
      </c>
      <c r="G126" s="32" t="s">
        <v>51</v>
      </c>
      <c r="H126" s="32" t="s">
        <v>20</v>
      </c>
      <c r="I126" s="31" t="s">
        <v>11</v>
      </c>
      <c r="J126" s="31" t="s">
        <v>21</v>
      </c>
      <c r="K126" s="31" t="s">
        <v>29</v>
      </c>
      <c r="L126" s="31" t="s">
        <v>29</v>
      </c>
      <c r="M126" s="31" t="s">
        <v>21</v>
      </c>
      <c r="N126" s="34" t="s">
        <v>29</v>
      </c>
      <c r="O126" s="31" t="s">
        <v>29</v>
      </c>
      <c r="P126" s="25">
        <f>VLOOKUP(C126, [1]Sheet1!$A$2:$B$313, 2, FALSE)</f>
        <v>10.643337309847</v>
      </c>
      <c r="Q126" s="59">
        <v>2.4799741307761532E-3</v>
      </c>
    </row>
    <row r="127" spans="2:17" ht="32.1" hidden="1">
      <c r="B127" s="43">
        <v>282</v>
      </c>
      <c r="C127" s="43">
        <v>850520</v>
      </c>
      <c r="D127" s="44" t="s">
        <v>257</v>
      </c>
      <c r="E127" s="44" t="s">
        <v>258</v>
      </c>
      <c r="F127" s="44" t="s">
        <v>189</v>
      </c>
      <c r="G127" s="44" t="s">
        <v>51</v>
      </c>
      <c r="H127" s="44" t="s">
        <v>20</v>
      </c>
      <c r="I127" s="47" t="s">
        <v>103</v>
      </c>
      <c r="J127" s="43" t="s">
        <v>29</v>
      </c>
      <c r="K127" s="43" t="s">
        <v>21</v>
      </c>
      <c r="L127" s="43" t="s">
        <v>29</v>
      </c>
      <c r="M127" s="43" t="s">
        <v>29</v>
      </c>
      <c r="N127" s="43" t="s">
        <v>29</v>
      </c>
      <c r="O127" s="43" t="s">
        <v>29</v>
      </c>
      <c r="P127" s="48">
        <v>0.26373977827700001</v>
      </c>
      <c r="Q127" s="20">
        <v>3.1573312432837777E-5</v>
      </c>
    </row>
    <row r="128" spans="2:17" ht="32.1" hidden="1">
      <c r="B128" s="31">
        <v>190</v>
      </c>
      <c r="C128" s="31">
        <v>850590</v>
      </c>
      <c r="D128" s="32" t="s">
        <v>259</v>
      </c>
      <c r="E128" s="32" t="s">
        <v>260</v>
      </c>
      <c r="F128" s="32" t="s">
        <v>189</v>
      </c>
      <c r="G128" s="32" t="s">
        <v>51</v>
      </c>
      <c r="H128" s="32" t="s">
        <v>20</v>
      </c>
      <c r="I128" s="33" t="s">
        <v>103</v>
      </c>
      <c r="J128" s="31" t="s">
        <v>29</v>
      </c>
      <c r="K128" s="31" t="s">
        <v>21</v>
      </c>
      <c r="L128" s="31" t="s">
        <v>29</v>
      </c>
      <c r="M128" s="31" t="s">
        <v>29</v>
      </c>
      <c r="N128" s="34" t="s">
        <v>29</v>
      </c>
      <c r="O128" s="31" t="s">
        <v>29</v>
      </c>
      <c r="P128" s="21">
        <v>3.7996445079100001</v>
      </c>
      <c r="Q128" s="19">
        <v>4.5487019047979764E-4</v>
      </c>
    </row>
    <row r="129" spans="2:17" ht="32.1" hidden="1">
      <c r="B129" s="43">
        <v>78</v>
      </c>
      <c r="C129" s="43">
        <v>392390</v>
      </c>
      <c r="D129" s="47" t="s">
        <v>261</v>
      </c>
      <c r="E129" s="44" t="s">
        <v>49</v>
      </c>
      <c r="F129" s="44" t="s">
        <v>50</v>
      </c>
      <c r="G129" s="44" t="s">
        <v>51</v>
      </c>
      <c r="H129" s="44" t="s">
        <v>20</v>
      </c>
      <c r="I129" s="43" t="s">
        <v>11</v>
      </c>
      <c r="J129" s="43" t="s">
        <v>21</v>
      </c>
      <c r="K129" s="43" t="s">
        <v>29</v>
      </c>
      <c r="L129" s="43" t="s">
        <v>29</v>
      </c>
      <c r="M129" s="43" t="s">
        <v>21</v>
      </c>
      <c r="N129" s="43" t="s">
        <v>29</v>
      </c>
      <c r="O129" s="43" t="s">
        <v>29</v>
      </c>
      <c r="P129" s="25">
        <f>VLOOKUP(C129, [1]Sheet1!$A$2:$B$313, 2, FALSE)</f>
        <v>10.527820536562</v>
      </c>
      <c r="Q129" s="45">
        <v>2.1334496268877144E-3</v>
      </c>
    </row>
    <row r="130" spans="2:17" ht="48" hidden="1">
      <c r="B130" s="43">
        <v>71</v>
      </c>
      <c r="C130" s="43">
        <v>850710</v>
      </c>
      <c r="D130" s="47" t="s">
        <v>262</v>
      </c>
      <c r="E130" s="44" t="s">
        <v>42</v>
      </c>
      <c r="F130" s="44" t="s">
        <v>26</v>
      </c>
      <c r="G130" s="44" t="s">
        <v>43</v>
      </c>
      <c r="H130" s="44" t="s">
        <v>20</v>
      </c>
      <c r="I130" s="43" t="s">
        <v>12</v>
      </c>
      <c r="J130" s="43" t="s">
        <v>21</v>
      </c>
      <c r="K130" s="43" t="s">
        <v>21</v>
      </c>
      <c r="L130" s="43" t="s">
        <v>29</v>
      </c>
      <c r="M130" s="43" t="s">
        <v>29</v>
      </c>
      <c r="N130" s="43" t="s">
        <v>21</v>
      </c>
      <c r="O130" s="43" t="s">
        <v>29</v>
      </c>
      <c r="P130" s="25">
        <f>VLOOKUP(C130, [1]Sheet1!$A$2:$B$313, 2, FALSE)</f>
        <v>10.407177281411</v>
      </c>
      <c r="Q130" s="45">
        <v>2.3647333075294116E-3</v>
      </c>
    </row>
    <row r="131" spans="2:17" ht="48" hidden="1">
      <c r="B131" s="43">
        <v>84</v>
      </c>
      <c r="C131" s="43">
        <v>854460</v>
      </c>
      <c r="D131" s="47" t="s">
        <v>263</v>
      </c>
      <c r="E131" s="44" t="s">
        <v>79</v>
      </c>
      <c r="F131" s="44" t="s">
        <v>54</v>
      </c>
      <c r="G131" s="44" t="s">
        <v>51</v>
      </c>
      <c r="H131" s="44" t="s">
        <v>20</v>
      </c>
      <c r="I131" s="43" t="s">
        <v>96</v>
      </c>
      <c r="J131" s="43" t="s">
        <v>21</v>
      </c>
      <c r="K131" s="43" t="s">
        <v>21</v>
      </c>
      <c r="L131" s="43" t="s">
        <v>29</v>
      </c>
      <c r="M131" s="43" t="s">
        <v>29</v>
      </c>
      <c r="N131" s="43" t="s">
        <v>29</v>
      </c>
      <c r="O131" s="43" t="s">
        <v>29</v>
      </c>
      <c r="P131" s="25">
        <f>VLOOKUP(C131, [1]Sheet1!$A$2:$B$313, 2, FALSE)</f>
        <v>10.160285733776</v>
      </c>
      <c r="Q131" s="45">
        <v>1.9674633831314237E-3</v>
      </c>
    </row>
    <row r="132" spans="2:17" ht="32.1">
      <c r="B132" s="43">
        <v>94</v>
      </c>
      <c r="C132" s="43">
        <v>852691</v>
      </c>
      <c r="D132" s="47" t="s">
        <v>264</v>
      </c>
      <c r="E132" s="44" t="s">
        <v>265</v>
      </c>
      <c r="F132" s="44" t="s">
        <v>266</v>
      </c>
      <c r="G132" s="44" t="s">
        <v>27</v>
      </c>
      <c r="H132" s="44" t="s">
        <v>28</v>
      </c>
      <c r="I132" s="43" t="s">
        <v>12</v>
      </c>
      <c r="J132" s="43" t="s">
        <v>21</v>
      </c>
      <c r="K132" s="43" t="s">
        <v>21</v>
      </c>
      <c r="L132" s="43" t="s">
        <v>21</v>
      </c>
      <c r="M132" s="43" t="s">
        <v>29</v>
      </c>
      <c r="N132" s="43" t="s">
        <v>21</v>
      </c>
      <c r="O132" s="43" t="s">
        <v>21</v>
      </c>
      <c r="P132" s="25">
        <f>VLOOKUP(C132, [1]Sheet1!$A$2:$B$313, 2, FALSE)</f>
        <v>9.5262881782380013</v>
      </c>
      <c r="Q132" s="45">
        <v>1.3878369632454545E-3</v>
      </c>
    </row>
    <row r="133" spans="2:17" ht="32.1" hidden="1">
      <c r="B133" s="43">
        <v>82</v>
      </c>
      <c r="C133" s="43">
        <v>392350</v>
      </c>
      <c r="D133" s="47" t="s">
        <v>267</v>
      </c>
      <c r="E133" s="44" t="s">
        <v>49</v>
      </c>
      <c r="F133" s="44" t="s">
        <v>50</v>
      </c>
      <c r="G133" s="44" t="s">
        <v>51</v>
      </c>
      <c r="H133" s="44" t="s">
        <v>20</v>
      </c>
      <c r="I133" s="43" t="s">
        <v>11</v>
      </c>
      <c r="J133" s="43" t="s">
        <v>21</v>
      </c>
      <c r="K133" s="43" t="s">
        <v>29</v>
      </c>
      <c r="L133" s="43" t="s">
        <v>29</v>
      </c>
      <c r="M133" s="43" t="s">
        <v>21</v>
      </c>
      <c r="N133" s="43" t="s">
        <v>29</v>
      </c>
      <c r="O133" s="43" t="s">
        <v>29</v>
      </c>
      <c r="P133" s="25">
        <f>VLOOKUP(C133, [1]Sheet1!$A$2:$B$313, 2, FALSE)</f>
        <v>10.239862327998001</v>
      </c>
      <c r="Q133" s="45">
        <v>1.9611372883988018E-3</v>
      </c>
    </row>
    <row r="134" spans="2:17" ht="128.1">
      <c r="B134" s="35">
        <v>99</v>
      </c>
      <c r="C134" s="35">
        <v>847190</v>
      </c>
      <c r="D134" s="37" t="s">
        <v>268</v>
      </c>
      <c r="E134" s="36" t="s">
        <v>269</v>
      </c>
      <c r="F134" s="36" t="s">
        <v>36</v>
      </c>
      <c r="G134" s="36" t="s">
        <v>37</v>
      </c>
      <c r="H134" s="36" t="s">
        <v>28</v>
      </c>
      <c r="I134" s="35" t="s">
        <v>12</v>
      </c>
      <c r="J134" s="35" t="s">
        <v>21</v>
      </c>
      <c r="K134" s="35" t="s">
        <v>21</v>
      </c>
      <c r="L134" s="35" t="s">
        <v>21</v>
      </c>
      <c r="M134" s="35" t="s">
        <v>29</v>
      </c>
      <c r="N134" s="38" t="s">
        <v>21</v>
      </c>
      <c r="O134" s="35" t="s">
        <v>21</v>
      </c>
      <c r="P134" s="25">
        <f>VLOOKUP(C134, [1]Sheet1!$A$2:$B$313, 2, FALSE)</f>
        <v>9.4439260706430002</v>
      </c>
      <c r="Q134" s="59">
        <v>1.6765329675879593E-3</v>
      </c>
    </row>
    <row r="135" spans="2:17" ht="48" hidden="1">
      <c r="B135" s="26">
        <v>79</v>
      </c>
      <c r="C135" s="26">
        <v>854470</v>
      </c>
      <c r="D135" s="28" t="s">
        <v>270</v>
      </c>
      <c r="E135" s="27" t="s">
        <v>79</v>
      </c>
      <c r="F135" s="27" t="s">
        <v>54</v>
      </c>
      <c r="G135" s="27" t="s">
        <v>51</v>
      </c>
      <c r="H135" s="27" t="s">
        <v>20</v>
      </c>
      <c r="I135" s="26" t="s">
        <v>96</v>
      </c>
      <c r="J135" s="26" t="s">
        <v>21</v>
      </c>
      <c r="K135" s="26" t="s">
        <v>21</v>
      </c>
      <c r="L135" s="26" t="s">
        <v>29</v>
      </c>
      <c r="M135" s="26" t="s">
        <v>29</v>
      </c>
      <c r="N135" s="29" t="s">
        <v>29</v>
      </c>
      <c r="O135" s="26" t="s">
        <v>29</v>
      </c>
      <c r="P135" s="25">
        <f>VLOOKUP(C135, [1]Sheet1!$A$2:$B$313, 2, FALSE)</f>
        <v>9.2556837155709992</v>
      </c>
      <c r="Q135" s="59">
        <v>2.4440089069865472E-3</v>
      </c>
    </row>
    <row r="136" spans="2:17" ht="48" hidden="1">
      <c r="B136" s="43">
        <v>85</v>
      </c>
      <c r="C136" s="43">
        <v>320890</v>
      </c>
      <c r="D136" s="47" t="s">
        <v>271</v>
      </c>
      <c r="E136" s="44" t="s">
        <v>272</v>
      </c>
      <c r="F136" s="44" t="s">
        <v>50</v>
      </c>
      <c r="G136" s="44" t="s">
        <v>51</v>
      </c>
      <c r="H136" s="44" t="s">
        <v>20</v>
      </c>
      <c r="I136" s="43" t="s">
        <v>11</v>
      </c>
      <c r="J136" s="43" t="s">
        <v>21</v>
      </c>
      <c r="K136" s="43" t="s">
        <v>29</v>
      </c>
      <c r="L136" s="43" t="s">
        <v>29</v>
      </c>
      <c r="M136" s="43" t="s">
        <v>21</v>
      </c>
      <c r="N136" s="43" t="s">
        <v>29</v>
      </c>
      <c r="O136" s="43" t="s">
        <v>29</v>
      </c>
      <c r="P136" s="25">
        <f>VLOOKUP(C136, [1]Sheet1!$A$2:$B$313, 2, FALSE)</f>
        <v>8.6537101952210005</v>
      </c>
      <c r="Q136" s="45">
        <v>1.8417986295913319E-3</v>
      </c>
    </row>
    <row r="137" spans="2:17" ht="63.95" hidden="1">
      <c r="B137" s="43">
        <v>83</v>
      </c>
      <c r="C137" s="43">
        <v>854149</v>
      </c>
      <c r="D137" s="47" t="s">
        <v>273</v>
      </c>
      <c r="E137" s="44" t="s">
        <v>63</v>
      </c>
      <c r="F137" s="44" t="s">
        <v>189</v>
      </c>
      <c r="G137" s="44" t="s">
        <v>19</v>
      </c>
      <c r="H137" s="44" t="s">
        <v>20</v>
      </c>
      <c r="I137" s="43" t="s">
        <v>12</v>
      </c>
      <c r="J137" s="43" t="s">
        <v>21</v>
      </c>
      <c r="K137" s="43" t="s">
        <v>29</v>
      </c>
      <c r="L137" s="43" t="s">
        <v>29</v>
      </c>
      <c r="M137" s="43" t="s">
        <v>29</v>
      </c>
      <c r="N137" s="43" t="s">
        <v>21</v>
      </c>
      <c r="O137" s="43" t="s">
        <v>29</v>
      </c>
      <c r="P137" s="25">
        <f>VLOOKUP(C137, [1]Sheet1!$A$2:$B$313, 2, FALSE)</f>
        <v>9.1222228001740007</v>
      </c>
      <c r="Q137" s="45">
        <v>2.0607523492098588E-3</v>
      </c>
    </row>
    <row r="138" spans="2:17" ht="48" hidden="1">
      <c r="B138" s="43">
        <v>96</v>
      </c>
      <c r="C138" s="43">
        <v>845011</v>
      </c>
      <c r="D138" s="47" t="s">
        <v>274</v>
      </c>
      <c r="E138" s="44" t="s">
        <v>173</v>
      </c>
      <c r="F138" s="44" t="s">
        <v>112</v>
      </c>
      <c r="G138" s="44" t="s">
        <v>51</v>
      </c>
      <c r="H138" s="44" t="s">
        <v>28</v>
      </c>
      <c r="I138" s="43" t="s">
        <v>129</v>
      </c>
      <c r="J138" s="43" t="s">
        <v>21</v>
      </c>
      <c r="K138" s="43" t="s">
        <v>21</v>
      </c>
      <c r="L138" s="43" t="s">
        <v>29</v>
      </c>
      <c r="M138" s="43" t="s">
        <v>29</v>
      </c>
      <c r="N138" s="43" t="s">
        <v>29</v>
      </c>
      <c r="O138" s="43" t="s">
        <v>29</v>
      </c>
      <c r="P138" s="25">
        <f>VLOOKUP(C138, [1]Sheet1!$A$2:$B$313, 2, FALSE)</f>
        <v>8.6549862598330005</v>
      </c>
      <c r="Q138" s="45">
        <v>2.4974499809830475E-3</v>
      </c>
    </row>
    <row r="139" spans="2:17" ht="48" hidden="1">
      <c r="B139" s="43">
        <v>87</v>
      </c>
      <c r="C139" s="43">
        <v>854190</v>
      </c>
      <c r="D139" s="47" t="s">
        <v>275</v>
      </c>
      <c r="E139" s="44" t="s">
        <v>276</v>
      </c>
      <c r="F139" s="44" t="s">
        <v>54</v>
      </c>
      <c r="G139" s="44" t="s">
        <v>19</v>
      </c>
      <c r="H139" s="44" t="s">
        <v>20</v>
      </c>
      <c r="I139" s="43" t="s">
        <v>12</v>
      </c>
      <c r="J139" s="43" t="s">
        <v>21</v>
      </c>
      <c r="K139" s="43" t="s">
        <v>21</v>
      </c>
      <c r="L139" s="43" t="s">
        <v>21</v>
      </c>
      <c r="M139" s="43" t="s">
        <v>29</v>
      </c>
      <c r="N139" s="43" t="s">
        <v>21</v>
      </c>
      <c r="O139" s="43" t="s">
        <v>21</v>
      </c>
      <c r="P139" s="25">
        <f>VLOOKUP(C139, [1]Sheet1!$A$2:$B$313, 2, FALSE)</f>
        <v>8.5931476650810001</v>
      </c>
      <c r="Q139" s="45">
        <v>1.8247833634698651E-3</v>
      </c>
    </row>
    <row r="140" spans="2:17" ht="48" hidden="1">
      <c r="B140" s="43">
        <v>92</v>
      </c>
      <c r="C140" s="43">
        <v>910211</v>
      </c>
      <c r="D140" s="47" t="s">
        <v>277</v>
      </c>
      <c r="E140" s="44" t="s">
        <v>278</v>
      </c>
      <c r="F140" s="44" t="s">
        <v>66</v>
      </c>
      <c r="G140" s="44" t="s">
        <v>51</v>
      </c>
      <c r="H140" s="44" t="s">
        <v>28</v>
      </c>
      <c r="I140" s="43" t="s">
        <v>96</v>
      </c>
      <c r="J140" s="43" t="s">
        <v>21</v>
      </c>
      <c r="K140" s="43" t="s">
        <v>21</v>
      </c>
      <c r="L140" s="43" t="s">
        <v>29</v>
      </c>
      <c r="M140" s="43" t="s">
        <v>29</v>
      </c>
      <c r="N140" s="43" t="s">
        <v>29</v>
      </c>
      <c r="O140" s="43" t="s">
        <v>21</v>
      </c>
      <c r="P140" s="25">
        <f>VLOOKUP(C140, [1]Sheet1!$A$2:$B$313, 2, FALSE)</f>
        <v>8.3141664867009997</v>
      </c>
      <c r="Q140" s="45">
        <v>2.0713272193285913E-3</v>
      </c>
    </row>
    <row r="141" spans="2:17" ht="32.1">
      <c r="B141" s="43">
        <v>91</v>
      </c>
      <c r="C141" s="43">
        <v>851822</v>
      </c>
      <c r="D141" s="47" t="s">
        <v>279</v>
      </c>
      <c r="E141" s="44" t="s">
        <v>280</v>
      </c>
      <c r="F141" s="44" t="s">
        <v>66</v>
      </c>
      <c r="G141" s="44" t="s">
        <v>40</v>
      </c>
      <c r="H141" s="44" t="s">
        <v>28</v>
      </c>
      <c r="I141" s="43" t="s">
        <v>12</v>
      </c>
      <c r="J141" s="43" t="s">
        <v>21</v>
      </c>
      <c r="K141" s="43" t="s">
        <v>21</v>
      </c>
      <c r="L141" s="43" t="s">
        <v>21</v>
      </c>
      <c r="M141" s="43" t="s">
        <v>21</v>
      </c>
      <c r="N141" s="43" t="s">
        <v>21</v>
      </c>
      <c r="O141" s="43" t="s">
        <v>21</v>
      </c>
      <c r="P141" s="25">
        <f>VLOOKUP(C141, [1]Sheet1!$A$2:$B$313, 2, FALSE)</f>
        <v>7.5493075274289998</v>
      </c>
      <c r="Q141" s="45">
        <v>1.7889639295128846E-3</v>
      </c>
    </row>
    <row r="142" spans="2:17" ht="32.1">
      <c r="B142" s="43">
        <v>86</v>
      </c>
      <c r="C142" s="43">
        <v>852349</v>
      </c>
      <c r="D142" s="47" t="s">
        <v>281</v>
      </c>
      <c r="E142" s="44" t="s">
        <v>282</v>
      </c>
      <c r="F142" s="44" t="s">
        <v>66</v>
      </c>
      <c r="G142" s="44" t="s">
        <v>67</v>
      </c>
      <c r="H142" s="44" t="s">
        <v>28</v>
      </c>
      <c r="I142" s="43" t="s">
        <v>12</v>
      </c>
      <c r="J142" s="43" t="s">
        <v>21</v>
      </c>
      <c r="K142" s="43" t="s">
        <v>21</v>
      </c>
      <c r="L142" s="43" t="s">
        <v>29</v>
      </c>
      <c r="M142" s="43" t="s">
        <v>29</v>
      </c>
      <c r="N142" s="43" t="s">
        <v>21</v>
      </c>
      <c r="O142" s="43" t="s">
        <v>29</v>
      </c>
      <c r="P142" s="25">
        <f>VLOOKUP(C142, [1]Sheet1!$A$2:$B$313, 2, FALSE)</f>
        <v>7.8887866990159994</v>
      </c>
      <c r="Q142" s="45">
        <v>1.6412127621228843E-3</v>
      </c>
    </row>
    <row r="143" spans="2:17" ht="63.95">
      <c r="B143" s="43">
        <v>93</v>
      </c>
      <c r="C143" s="43">
        <v>851769</v>
      </c>
      <c r="D143" s="47" t="s">
        <v>283</v>
      </c>
      <c r="E143" s="44" t="s">
        <v>284</v>
      </c>
      <c r="F143" s="44" t="s">
        <v>266</v>
      </c>
      <c r="G143" s="44" t="s">
        <v>27</v>
      </c>
      <c r="H143" s="44" t="s">
        <v>28</v>
      </c>
      <c r="I143" s="43" t="s">
        <v>12</v>
      </c>
      <c r="J143" s="43" t="s">
        <v>21</v>
      </c>
      <c r="K143" s="43" t="s">
        <v>21</v>
      </c>
      <c r="L143" s="43" t="s">
        <v>21</v>
      </c>
      <c r="M143" s="43" t="s">
        <v>21</v>
      </c>
      <c r="N143" s="43" t="s">
        <v>21</v>
      </c>
      <c r="O143" s="43" t="s">
        <v>21</v>
      </c>
      <c r="P143" s="25">
        <f>VLOOKUP(C143, [1]Sheet1!$A$2:$B$313, 2, FALSE)</f>
        <v>8.1507891939070003</v>
      </c>
      <c r="Q143" s="45">
        <v>1.915423243774018E-3</v>
      </c>
    </row>
    <row r="144" spans="2:17" ht="32.1" hidden="1">
      <c r="B144" s="43">
        <v>97</v>
      </c>
      <c r="C144" s="43">
        <v>841899</v>
      </c>
      <c r="D144" s="47" t="s">
        <v>285</v>
      </c>
      <c r="E144" s="44" t="s">
        <v>200</v>
      </c>
      <c r="F144" s="44" t="s">
        <v>112</v>
      </c>
      <c r="G144" s="44" t="s">
        <v>51</v>
      </c>
      <c r="H144" s="44" t="s">
        <v>20</v>
      </c>
      <c r="I144" s="43" t="s">
        <v>129</v>
      </c>
      <c r="J144" s="43" t="s">
        <v>21</v>
      </c>
      <c r="K144" s="43" t="s">
        <v>21</v>
      </c>
      <c r="L144" s="43" t="s">
        <v>29</v>
      </c>
      <c r="M144" s="43" t="s">
        <v>29</v>
      </c>
      <c r="N144" s="43" t="s">
        <v>29</v>
      </c>
      <c r="O144" s="43" t="s">
        <v>29</v>
      </c>
      <c r="P144" s="25">
        <f>VLOOKUP(C144, [1]Sheet1!$A$2:$B$313, 2, FALSE)</f>
        <v>7.8768174245839999</v>
      </c>
      <c r="Q144" s="45">
        <v>1.7285856427585566E-3</v>
      </c>
    </row>
    <row r="145" spans="2:18" ht="32.1" hidden="1">
      <c r="B145" s="43">
        <v>253</v>
      </c>
      <c r="C145" s="43">
        <v>850819</v>
      </c>
      <c r="D145" s="44" t="s">
        <v>286</v>
      </c>
      <c r="E145" s="44" t="s">
        <v>219</v>
      </c>
      <c r="F145" s="44" t="s">
        <v>112</v>
      </c>
      <c r="G145" s="44" t="s">
        <v>51</v>
      </c>
      <c r="H145" s="44" t="s">
        <v>28</v>
      </c>
      <c r="I145" s="47" t="s">
        <v>103</v>
      </c>
      <c r="J145" s="43" t="s">
        <v>29</v>
      </c>
      <c r="K145" s="43" t="s">
        <v>21</v>
      </c>
      <c r="L145" s="43" t="s">
        <v>29</v>
      </c>
      <c r="M145" s="43" t="s">
        <v>29</v>
      </c>
      <c r="N145" s="43" t="s">
        <v>29</v>
      </c>
      <c r="O145" s="43" t="s">
        <v>29</v>
      </c>
      <c r="P145" s="48">
        <v>0.98519695911600003</v>
      </c>
      <c r="Q145" s="20">
        <v>1.1794175152972681E-4</v>
      </c>
    </row>
    <row r="146" spans="2:18" ht="32.1" hidden="1">
      <c r="B146" s="31">
        <v>369</v>
      </c>
      <c r="C146" s="31">
        <v>850860</v>
      </c>
      <c r="D146" s="32" t="s">
        <v>287</v>
      </c>
      <c r="E146" s="32" t="s">
        <v>219</v>
      </c>
      <c r="F146" s="32" t="s">
        <v>112</v>
      </c>
      <c r="G146" s="32" t="s">
        <v>51</v>
      </c>
      <c r="H146" s="32" t="s">
        <v>28</v>
      </c>
      <c r="I146" s="33" t="s">
        <v>103</v>
      </c>
      <c r="J146" s="31" t="s">
        <v>29</v>
      </c>
      <c r="K146" s="31" t="s">
        <v>21</v>
      </c>
      <c r="L146" s="31" t="s">
        <v>29</v>
      </c>
      <c r="M146" s="31" t="s">
        <v>29</v>
      </c>
      <c r="N146" s="34" t="s">
        <v>29</v>
      </c>
      <c r="O146" s="31" t="s">
        <v>29</v>
      </c>
      <c r="P146" s="55">
        <v>0.24531145670200002</v>
      </c>
      <c r="Q146" s="60">
        <f>P146/SUM($P$3:$P$425)</f>
        <v>5.5146400828287157E-5</v>
      </c>
    </row>
    <row r="147" spans="2:18" ht="32.1" hidden="1">
      <c r="B147" s="43">
        <v>252</v>
      </c>
      <c r="C147" s="43">
        <v>850870</v>
      </c>
      <c r="D147" s="44" t="s">
        <v>288</v>
      </c>
      <c r="E147" s="44" t="s">
        <v>288</v>
      </c>
      <c r="F147" s="44" t="s">
        <v>112</v>
      </c>
      <c r="G147" s="44" t="s">
        <v>51</v>
      </c>
      <c r="H147" s="44" t="s">
        <v>20</v>
      </c>
      <c r="I147" s="47" t="s">
        <v>103</v>
      </c>
      <c r="J147" s="43" t="s">
        <v>29</v>
      </c>
      <c r="K147" s="43" t="s">
        <v>21</v>
      </c>
      <c r="L147" s="43" t="s">
        <v>29</v>
      </c>
      <c r="M147" s="43" t="s">
        <v>29</v>
      </c>
      <c r="N147" s="43" t="s">
        <v>29</v>
      </c>
      <c r="O147" s="43" t="s">
        <v>29</v>
      </c>
      <c r="P147" s="48">
        <v>1.0779770014550001</v>
      </c>
      <c r="Q147" s="20">
        <v>1.2904881047790152E-4</v>
      </c>
    </row>
    <row r="148" spans="2:18" ht="48" hidden="1">
      <c r="B148" s="43">
        <v>115</v>
      </c>
      <c r="C148" s="43">
        <v>850940</v>
      </c>
      <c r="D148" s="44" t="s">
        <v>289</v>
      </c>
      <c r="E148" s="44" t="s">
        <v>193</v>
      </c>
      <c r="F148" s="44" t="s">
        <v>66</v>
      </c>
      <c r="G148" s="44" t="s">
        <v>51</v>
      </c>
      <c r="H148" s="44" t="s">
        <v>28</v>
      </c>
      <c r="I148" s="47" t="s">
        <v>103</v>
      </c>
      <c r="J148" s="43" t="s">
        <v>29</v>
      </c>
      <c r="K148" s="43" t="s">
        <v>21</v>
      </c>
      <c r="L148" s="43" t="s">
        <v>21</v>
      </c>
      <c r="M148" s="43" t="s">
        <v>29</v>
      </c>
      <c r="N148" s="43" t="s">
        <v>29</v>
      </c>
      <c r="O148" s="43" t="s">
        <v>29</v>
      </c>
      <c r="P148" s="48">
        <v>12.590371101169</v>
      </c>
      <c r="Q148" s="20">
        <v>1.5072421878093586E-3</v>
      </c>
    </row>
    <row r="149" spans="2:18" ht="48" hidden="1">
      <c r="B149" s="31">
        <v>88</v>
      </c>
      <c r="C149" s="31">
        <v>850720</v>
      </c>
      <c r="D149" s="33" t="s">
        <v>290</v>
      </c>
      <c r="E149" s="32" t="s">
        <v>42</v>
      </c>
      <c r="F149" s="32" t="s">
        <v>26</v>
      </c>
      <c r="G149" s="32" t="s">
        <v>43</v>
      </c>
      <c r="H149" s="32" t="s">
        <v>20</v>
      </c>
      <c r="I149" s="31" t="s">
        <v>12</v>
      </c>
      <c r="J149" s="31" t="s">
        <v>21</v>
      </c>
      <c r="K149" s="31" t="s">
        <v>21</v>
      </c>
      <c r="L149" s="31" t="s">
        <v>29</v>
      </c>
      <c r="M149" s="31" t="s">
        <v>29</v>
      </c>
      <c r="N149" s="34" t="s">
        <v>21</v>
      </c>
      <c r="O149" s="31" t="s">
        <v>29</v>
      </c>
      <c r="P149" s="25">
        <f>VLOOKUP(C149, [1]Sheet1!$A$2:$B$313, 2, FALSE)</f>
        <v>7.86658604474</v>
      </c>
      <c r="Q149" s="59">
        <v>1.8206535012778601E-3</v>
      </c>
    </row>
    <row r="150" spans="2:18" ht="32.1" hidden="1">
      <c r="B150" s="43">
        <v>244</v>
      </c>
      <c r="C150" s="43">
        <v>850990</v>
      </c>
      <c r="D150" s="44" t="s">
        <v>291</v>
      </c>
      <c r="E150" s="44" t="s">
        <v>292</v>
      </c>
      <c r="F150" s="44" t="s">
        <v>66</v>
      </c>
      <c r="G150" s="44" t="s">
        <v>51</v>
      </c>
      <c r="H150" s="44" t="s">
        <v>20</v>
      </c>
      <c r="I150" s="47" t="s">
        <v>103</v>
      </c>
      <c r="J150" s="43" t="s">
        <v>29</v>
      </c>
      <c r="K150" s="43" t="s">
        <v>21</v>
      </c>
      <c r="L150" s="43" t="s">
        <v>21</v>
      </c>
      <c r="M150" s="43" t="s">
        <v>29</v>
      </c>
      <c r="N150" s="43" t="s">
        <v>29</v>
      </c>
      <c r="O150" s="43" t="s">
        <v>29</v>
      </c>
      <c r="P150" s="48">
        <v>1.2441534280719999</v>
      </c>
      <c r="Q150" s="20">
        <v>1.4894243543970209E-4</v>
      </c>
      <c r="R150" s="16"/>
    </row>
    <row r="151" spans="2:18" ht="32.1" hidden="1">
      <c r="B151" s="43">
        <v>233</v>
      </c>
      <c r="C151" s="43">
        <v>851010</v>
      </c>
      <c r="D151" s="44" t="s">
        <v>293</v>
      </c>
      <c r="E151" s="44" t="s">
        <v>294</v>
      </c>
      <c r="F151" s="44" t="s">
        <v>66</v>
      </c>
      <c r="G151" s="44" t="s">
        <v>51</v>
      </c>
      <c r="H151" s="44" t="s">
        <v>28</v>
      </c>
      <c r="I151" s="47" t="s">
        <v>103</v>
      </c>
      <c r="J151" s="43" t="s">
        <v>29</v>
      </c>
      <c r="K151" s="43" t="s">
        <v>21</v>
      </c>
      <c r="L151" s="43" t="s">
        <v>21</v>
      </c>
      <c r="M151" s="43" t="s">
        <v>29</v>
      </c>
      <c r="N151" s="43" t="s">
        <v>29</v>
      </c>
      <c r="O151" s="43" t="s">
        <v>29</v>
      </c>
      <c r="P151" s="48">
        <v>1.1578874042859999</v>
      </c>
      <c r="Q151" s="20">
        <v>1.3861519493344311E-4</v>
      </c>
    </row>
    <row r="152" spans="2:18" ht="32.1" hidden="1">
      <c r="B152" s="43">
        <v>224</v>
      </c>
      <c r="C152" s="43">
        <v>851020</v>
      </c>
      <c r="D152" s="44" t="s">
        <v>295</v>
      </c>
      <c r="E152" s="44" t="s">
        <v>296</v>
      </c>
      <c r="F152" s="44" t="s">
        <v>66</v>
      </c>
      <c r="G152" s="44" t="s">
        <v>51</v>
      </c>
      <c r="H152" s="44" t="s">
        <v>28</v>
      </c>
      <c r="I152" s="47" t="s">
        <v>103</v>
      </c>
      <c r="J152" s="43" t="s">
        <v>29</v>
      </c>
      <c r="K152" s="43" t="s">
        <v>21</v>
      </c>
      <c r="L152" s="43" t="s">
        <v>21</v>
      </c>
      <c r="M152" s="43" t="s">
        <v>29</v>
      </c>
      <c r="N152" s="43" t="s">
        <v>29</v>
      </c>
      <c r="O152" s="43" t="s">
        <v>29</v>
      </c>
      <c r="P152" s="48">
        <v>2.3068977771210002</v>
      </c>
      <c r="Q152" s="20">
        <v>2.7616768598008698E-4</v>
      </c>
    </row>
    <row r="153" spans="2:18" ht="32.1" hidden="1">
      <c r="B153" s="43">
        <v>321</v>
      </c>
      <c r="C153" s="43">
        <v>851030</v>
      </c>
      <c r="D153" s="44" t="s">
        <v>297</v>
      </c>
      <c r="E153" s="44" t="s">
        <v>294</v>
      </c>
      <c r="F153" s="44" t="s">
        <v>66</v>
      </c>
      <c r="G153" s="44" t="s">
        <v>51</v>
      </c>
      <c r="H153" s="44" t="s">
        <v>28</v>
      </c>
      <c r="I153" s="47" t="s">
        <v>103</v>
      </c>
      <c r="J153" s="43" t="s">
        <v>29</v>
      </c>
      <c r="K153" s="43" t="s">
        <v>21</v>
      </c>
      <c r="L153" s="43" t="s">
        <v>21</v>
      </c>
      <c r="M153" s="43" t="s">
        <v>29</v>
      </c>
      <c r="N153" s="43" t="s">
        <v>29</v>
      </c>
      <c r="O153" s="43" t="s">
        <v>29</v>
      </c>
      <c r="P153" s="25">
        <v>0.64139027864999998</v>
      </c>
      <c r="Q153" s="62">
        <f>P153/SUM($P$3:$P$425)</f>
        <v>1.4418554220550317E-4</v>
      </c>
    </row>
    <row r="154" spans="2:18" ht="32.1" hidden="1">
      <c r="B154" s="43">
        <v>295</v>
      </c>
      <c r="C154" s="43">
        <v>851090</v>
      </c>
      <c r="D154" s="44" t="s">
        <v>298</v>
      </c>
      <c r="E154" s="44" t="s">
        <v>299</v>
      </c>
      <c r="F154" s="44" t="s">
        <v>66</v>
      </c>
      <c r="G154" s="44" t="s">
        <v>51</v>
      </c>
      <c r="H154" s="44" t="s">
        <v>20</v>
      </c>
      <c r="I154" s="47" t="s">
        <v>103</v>
      </c>
      <c r="J154" s="43" t="s">
        <v>29</v>
      </c>
      <c r="K154" s="43" t="s">
        <v>21</v>
      </c>
      <c r="L154" s="43" t="s">
        <v>21</v>
      </c>
      <c r="M154" s="43" t="s">
        <v>29</v>
      </c>
      <c r="N154" s="43" t="s">
        <v>29</v>
      </c>
      <c r="O154" s="43" t="s">
        <v>29</v>
      </c>
      <c r="P154" s="48">
        <v>0.13471981290999999</v>
      </c>
      <c r="Q154" s="20">
        <v>1.6127831651672475E-5</v>
      </c>
    </row>
    <row r="155" spans="2:18" ht="48" hidden="1">
      <c r="B155" s="43">
        <v>95</v>
      </c>
      <c r="C155" s="43">
        <v>851671</v>
      </c>
      <c r="D155" s="47" t="s">
        <v>300</v>
      </c>
      <c r="E155" s="44" t="s">
        <v>301</v>
      </c>
      <c r="F155" s="44" t="s">
        <v>66</v>
      </c>
      <c r="G155" s="44" t="s">
        <v>51</v>
      </c>
      <c r="H155" s="44" t="s">
        <v>28</v>
      </c>
      <c r="I155" s="43" t="s">
        <v>96</v>
      </c>
      <c r="J155" s="43" t="s">
        <v>21</v>
      </c>
      <c r="K155" s="43" t="s">
        <v>21</v>
      </c>
      <c r="L155" s="43" t="s">
        <v>21</v>
      </c>
      <c r="M155" s="43" t="s">
        <v>29</v>
      </c>
      <c r="N155" s="43" t="s">
        <v>29</v>
      </c>
      <c r="O155" s="43" t="s">
        <v>29</v>
      </c>
      <c r="P155" s="25">
        <f>VLOOKUP(C155, [1]Sheet1!$A$2:$B$313, 2, FALSE)</f>
        <v>7.6759483784690001</v>
      </c>
      <c r="Q155" s="45">
        <v>2.2170313278149084E-3</v>
      </c>
    </row>
    <row r="156" spans="2:18" ht="48" hidden="1">
      <c r="B156" s="43">
        <v>336</v>
      </c>
      <c r="C156" s="43">
        <v>851210</v>
      </c>
      <c r="D156" s="44" t="s">
        <v>302</v>
      </c>
      <c r="E156" s="44" t="s">
        <v>303</v>
      </c>
      <c r="F156" s="44" t="s">
        <v>66</v>
      </c>
      <c r="G156" s="44" t="s">
        <v>51</v>
      </c>
      <c r="H156" s="44" t="s">
        <v>20</v>
      </c>
      <c r="I156" s="47" t="s">
        <v>103</v>
      </c>
      <c r="J156" s="43" t="s">
        <v>29</v>
      </c>
      <c r="K156" s="43" t="s">
        <v>21</v>
      </c>
      <c r="L156" s="43" t="s">
        <v>29</v>
      </c>
      <c r="M156" s="43" t="s">
        <v>29</v>
      </c>
      <c r="N156" s="43" t="s">
        <v>29</v>
      </c>
      <c r="O156" s="43" t="s">
        <v>29</v>
      </c>
      <c r="P156" s="25">
        <v>0.50143507613699989</v>
      </c>
      <c r="Q156" s="62">
        <f>P156/SUM($P$3:$P$425)</f>
        <v>1.1272339282386331E-4</v>
      </c>
    </row>
    <row r="157" spans="2:18" ht="48" hidden="1">
      <c r="B157" s="43">
        <v>37</v>
      </c>
      <c r="C157" s="43">
        <v>851220</v>
      </c>
      <c r="D157" s="44" t="s">
        <v>304</v>
      </c>
      <c r="E157" s="44" t="s">
        <v>305</v>
      </c>
      <c r="F157" s="44" t="s">
        <v>66</v>
      </c>
      <c r="G157" s="44" t="s">
        <v>51</v>
      </c>
      <c r="H157" s="44" t="s">
        <v>20</v>
      </c>
      <c r="I157" s="47" t="s">
        <v>306</v>
      </c>
      <c r="J157" s="43" t="s">
        <v>29</v>
      </c>
      <c r="K157" s="43" t="s">
        <v>21</v>
      </c>
      <c r="L157" s="43" t="s">
        <v>29</v>
      </c>
      <c r="M157" s="43" t="s">
        <v>29</v>
      </c>
      <c r="N157" s="43" t="s">
        <v>29</v>
      </c>
      <c r="O157" s="43" t="s">
        <v>29</v>
      </c>
      <c r="P157" s="48">
        <v>42.729197829627999</v>
      </c>
      <c r="Q157" s="20">
        <v>5.1152781043989756E-3</v>
      </c>
    </row>
    <row r="158" spans="2:18" ht="48" hidden="1">
      <c r="B158" s="43">
        <v>269</v>
      </c>
      <c r="C158" s="43">
        <v>851230</v>
      </c>
      <c r="D158" s="44" t="s">
        <v>307</v>
      </c>
      <c r="E158" s="44" t="s">
        <v>308</v>
      </c>
      <c r="F158" s="44" t="s">
        <v>66</v>
      </c>
      <c r="G158" s="44" t="s">
        <v>51</v>
      </c>
      <c r="H158" s="44" t="s">
        <v>20</v>
      </c>
      <c r="I158" s="47" t="s">
        <v>103</v>
      </c>
      <c r="J158" s="43" t="s">
        <v>29</v>
      </c>
      <c r="K158" s="43" t="s">
        <v>21</v>
      </c>
      <c r="L158" s="43" t="s">
        <v>29</v>
      </c>
      <c r="M158" s="43" t="s">
        <v>29</v>
      </c>
      <c r="N158" s="43" t="s">
        <v>29</v>
      </c>
      <c r="O158" s="43" t="s">
        <v>29</v>
      </c>
      <c r="P158" s="48">
        <v>0.75215771406099996</v>
      </c>
      <c r="Q158" s="20">
        <v>9.0043719077805931E-5</v>
      </c>
    </row>
    <row r="159" spans="2:18" ht="32.1" hidden="1">
      <c r="B159" s="43">
        <v>290</v>
      </c>
      <c r="C159" s="43">
        <v>851240</v>
      </c>
      <c r="D159" s="44" t="s">
        <v>309</v>
      </c>
      <c r="E159" s="44" t="s">
        <v>310</v>
      </c>
      <c r="F159" s="44" t="s">
        <v>66</v>
      </c>
      <c r="G159" s="44" t="s">
        <v>51</v>
      </c>
      <c r="H159" s="44" t="s">
        <v>20</v>
      </c>
      <c r="I159" s="47" t="s">
        <v>103</v>
      </c>
      <c r="J159" s="43" t="s">
        <v>29</v>
      </c>
      <c r="K159" s="43" t="s">
        <v>21</v>
      </c>
      <c r="L159" s="43" t="s">
        <v>29</v>
      </c>
      <c r="M159" s="43" t="s">
        <v>29</v>
      </c>
      <c r="N159" s="43" t="s">
        <v>29</v>
      </c>
      <c r="O159" s="43" t="s">
        <v>29</v>
      </c>
      <c r="P159" s="48">
        <v>0.20528071757499999</v>
      </c>
      <c r="Q159" s="20">
        <v>2.457495139631666E-5</v>
      </c>
    </row>
    <row r="160" spans="2:18" ht="63.95" hidden="1">
      <c r="B160" s="43">
        <v>89</v>
      </c>
      <c r="C160" s="43">
        <v>851290</v>
      </c>
      <c r="D160" s="44" t="s">
        <v>311</v>
      </c>
      <c r="E160" s="44" t="s">
        <v>312</v>
      </c>
      <c r="F160" s="44" t="s">
        <v>66</v>
      </c>
      <c r="G160" s="44" t="s">
        <v>51</v>
      </c>
      <c r="H160" s="44" t="s">
        <v>20</v>
      </c>
      <c r="I160" s="47" t="s">
        <v>96</v>
      </c>
      <c r="J160" s="43" t="s">
        <v>29</v>
      </c>
      <c r="K160" s="43" t="s">
        <v>21</v>
      </c>
      <c r="L160" s="43" t="s">
        <v>29</v>
      </c>
      <c r="M160" s="43" t="s">
        <v>29</v>
      </c>
      <c r="N160" s="43" t="s">
        <v>29</v>
      </c>
      <c r="O160" s="43" t="s">
        <v>29</v>
      </c>
      <c r="P160" s="48">
        <v>16.979545195722</v>
      </c>
      <c r="Q160" s="20">
        <v>2.0326872530732395E-3</v>
      </c>
    </row>
    <row r="161" spans="2:18" ht="48" hidden="1">
      <c r="B161" s="43">
        <v>174</v>
      </c>
      <c r="C161" s="43">
        <v>851310</v>
      </c>
      <c r="D161" s="44" t="s">
        <v>313</v>
      </c>
      <c r="E161" s="44" t="s">
        <v>314</v>
      </c>
      <c r="F161" s="44" t="s">
        <v>66</v>
      </c>
      <c r="G161" s="44" t="s">
        <v>51</v>
      </c>
      <c r="H161" s="44" t="s">
        <v>28</v>
      </c>
      <c r="I161" s="47" t="s">
        <v>103</v>
      </c>
      <c r="J161" s="43" t="s">
        <v>29</v>
      </c>
      <c r="K161" s="43" t="s">
        <v>21</v>
      </c>
      <c r="L161" s="43" t="s">
        <v>29</v>
      </c>
      <c r="M161" s="43" t="s">
        <v>29</v>
      </c>
      <c r="N161" s="43" t="s">
        <v>29</v>
      </c>
      <c r="O161" s="43" t="s">
        <v>29</v>
      </c>
      <c r="P161" s="48">
        <v>1.1568229399579999</v>
      </c>
      <c r="Q161" s="20">
        <v>1.3848776377754727E-4</v>
      </c>
    </row>
    <row r="162" spans="2:18" ht="48" hidden="1">
      <c r="B162" s="43">
        <v>397</v>
      </c>
      <c r="C162" s="43">
        <v>851390</v>
      </c>
      <c r="D162" s="44" t="s">
        <v>315</v>
      </c>
      <c r="E162" s="44" t="s">
        <v>316</v>
      </c>
      <c r="F162" s="44" t="s">
        <v>66</v>
      </c>
      <c r="G162" s="44" t="s">
        <v>51</v>
      </c>
      <c r="H162" s="44" t="s">
        <v>28</v>
      </c>
      <c r="I162" s="47" t="s">
        <v>103</v>
      </c>
      <c r="J162" s="43" t="s">
        <v>29</v>
      </c>
      <c r="K162" s="43" t="s">
        <v>21</v>
      </c>
      <c r="L162" s="43" t="s">
        <v>29</v>
      </c>
      <c r="M162" s="43" t="s">
        <v>29</v>
      </c>
      <c r="N162" s="43" t="s">
        <v>29</v>
      </c>
      <c r="O162" s="43" t="s">
        <v>29</v>
      </c>
      <c r="P162" s="25">
        <v>7.669793309300002E-2</v>
      </c>
      <c r="Q162" s="62">
        <f>P162/SUM($P$3:$P$425)</f>
        <v>1.724181584468674E-5</v>
      </c>
    </row>
    <row r="163" spans="2:18" ht="32.1" hidden="1">
      <c r="B163" s="35">
        <v>185</v>
      </c>
      <c r="C163" s="35">
        <v>851610</v>
      </c>
      <c r="D163" s="36" t="s">
        <v>317</v>
      </c>
      <c r="E163" s="36" t="s">
        <v>318</v>
      </c>
      <c r="F163" s="36" t="s">
        <v>112</v>
      </c>
      <c r="G163" s="36" t="s">
        <v>51</v>
      </c>
      <c r="H163" s="36" t="s">
        <v>28</v>
      </c>
      <c r="I163" s="37" t="s">
        <v>103</v>
      </c>
      <c r="J163" s="35" t="s">
        <v>29</v>
      </c>
      <c r="K163" s="35" t="s">
        <v>21</v>
      </c>
      <c r="L163" s="35" t="s">
        <v>29</v>
      </c>
      <c r="M163" s="35" t="s">
        <v>29</v>
      </c>
      <c r="N163" s="38" t="s">
        <v>29</v>
      </c>
      <c r="O163" s="35" t="s">
        <v>29</v>
      </c>
      <c r="P163" s="21">
        <v>4.5757341601650001</v>
      </c>
      <c r="Q163" s="19">
        <v>5.4777889475876996E-4</v>
      </c>
    </row>
    <row r="164" spans="2:18" ht="32.1" hidden="1">
      <c r="B164" s="26">
        <v>392</v>
      </c>
      <c r="C164" s="26">
        <v>851621</v>
      </c>
      <c r="D164" s="27" t="s">
        <v>319</v>
      </c>
      <c r="E164" s="27" t="s">
        <v>320</v>
      </c>
      <c r="F164" s="27" t="s">
        <v>66</v>
      </c>
      <c r="G164" s="27" t="s">
        <v>51</v>
      </c>
      <c r="H164" s="27" t="s">
        <v>28</v>
      </c>
      <c r="I164" s="28" t="s">
        <v>103</v>
      </c>
      <c r="J164" s="26" t="s">
        <v>29</v>
      </c>
      <c r="K164" s="26" t="s">
        <v>21</v>
      </c>
      <c r="L164" s="26" t="s">
        <v>29</v>
      </c>
      <c r="M164" s="26" t="s">
        <v>29</v>
      </c>
      <c r="N164" s="29" t="s">
        <v>29</v>
      </c>
      <c r="O164" s="26" t="s">
        <v>29</v>
      </c>
      <c r="P164" s="55">
        <v>0.11516382056700002</v>
      </c>
      <c r="Q164" s="60">
        <f>P164/SUM($P$3:$P$425)</f>
        <v>2.5889007775204101E-5</v>
      </c>
    </row>
    <row r="165" spans="2:18" ht="48" hidden="1">
      <c r="B165" s="43">
        <v>161</v>
      </c>
      <c r="C165" s="43">
        <v>851629</v>
      </c>
      <c r="D165" s="44" t="s">
        <v>321</v>
      </c>
      <c r="E165" s="44" t="s">
        <v>322</v>
      </c>
      <c r="F165" s="44" t="s">
        <v>112</v>
      </c>
      <c r="G165" s="44" t="s">
        <v>51</v>
      </c>
      <c r="H165" s="44" t="s">
        <v>28</v>
      </c>
      <c r="I165" s="47" t="s">
        <v>103</v>
      </c>
      <c r="J165" s="43" t="s">
        <v>29</v>
      </c>
      <c r="K165" s="43" t="s">
        <v>21</v>
      </c>
      <c r="L165" s="43" t="s">
        <v>29</v>
      </c>
      <c r="M165" s="43" t="s">
        <v>29</v>
      </c>
      <c r="N165" s="43" t="s">
        <v>29</v>
      </c>
      <c r="O165" s="43" t="s">
        <v>29</v>
      </c>
      <c r="P165" s="48">
        <v>8.5491889975989999</v>
      </c>
      <c r="Q165" s="20">
        <v>1.0234565943445775E-3</v>
      </c>
    </row>
    <row r="166" spans="2:18" ht="32.1" hidden="1">
      <c r="B166" s="43">
        <v>220</v>
      </c>
      <c r="C166" s="43">
        <v>851631</v>
      </c>
      <c r="D166" s="44" t="s">
        <v>323</v>
      </c>
      <c r="E166" s="44" t="s">
        <v>324</v>
      </c>
      <c r="F166" s="44" t="s">
        <v>66</v>
      </c>
      <c r="G166" s="44" t="s">
        <v>51</v>
      </c>
      <c r="H166" s="44" t="s">
        <v>28</v>
      </c>
      <c r="I166" s="47" t="s">
        <v>103</v>
      </c>
      <c r="J166" s="43" t="s">
        <v>29</v>
      </c>
      <c r="K166" s="43" t="s">
        <v>21</v>
      </c>
      <c r="L166" s="43" t="s">
        <v>29</v>
      </c>
      <c r="M166" s="43" t="s">
        <v>29</v>
      </c>
      <c r="N166" s="43" t="s">
        <v>29</v>
      </c>
      <c r="O166" s="43" t="s">
        <v>29</v>
      </c>
      <c r="P166" s="48">
        <v>2.8129733679619999</v>
      </c>
      <c r="Q166" s="20">
        <v>3.3675195904136947E-4</v>
      </c>
    </row>
    <row r="167" spans="2:18" ht="32.1" hidden="1">
      <c r="B167" s="43">
        <v>196</v>
      </c>
      <c r="C167" s="43">
        <v>851632</v>
      </c>
      <c r="D167" s="44" t="s">
        <v>325</v>
      </c>
      <c r="E167" s="44" t="s">
        <v>326</v>
      </c>
      <c r="F167" s="44" t="s">
        <v>66</v>
      </c>
      <c r="G167" s="44" t="s">
        <v>51</v>
      </c>
      <c r="H167" s="44" t="s">
        <v>28</v>
      </c>
      <c r="I167" s="47" t="s">
        <v>103</v>
      </c>
      <c r="J167" s="43" t="s">
        <v>29</v>
      </c>
      <c r="K167" s="43" t="s">
        <v>21</v>
      </c>
      <c r="L167" s="43" t="s">
        <v>29</v>
      </c>
      <c r="M167" s="43" t="s">
        <v>29</v>
      </c>
      <c r="N167" s="43" t="s">
        <v>29</v>
      </c>
      <c r="O167" s="43" t="s">
        <v>29</v>
      </c>
      <c r="P167" s="48">
        <v>3.6590350328689998</v>
      </c>
      <c r="Q167" s="20">
        <v>4.3803728451661714E-4</v>
      </c>
    </row>
    <row r="168" spans="2:18" ht="32.1" hidden="1">
      <c r="B168" s="35">
        <v>393</v>
      </c>
      <c r="C168" s="35">
        <v>851633</v>
      </c>
      <c r="D168" s="36" t="s">
        <v>327</v>
      </c>
      <c r="E168" s="36" t="s">
        <v>328</v>
      </c>
      <c r="F168" s="36" t="s">
        <v>66</v>
      </c>
      <c r="G168" s="36" t="s">
        <v>51</v>
      </c>
      <c r="H168" s="36" t="s">
        <v>28</v>
      </c>
      <c r="I168" s="37" t="s">
        <v>103</v>
      </c>
      <c r="J168" s="35" t="s">
        <v>29</v>
      </c>
      <c r="K168" s="35" t="s">
        <v>21</v>
      </c>
      <c r="L168" s="35" t="s">
        <v>29</v>
      </c>
      <c r="M168" s="35" t="s">
        <v>29</v>
      </c>
      <c r="N168" s="38" t="s">
        <v>29</v>
      </c>
      <c r="O168" s="35" t="s">
        <v>29</v>
      </c>
      <c r="P168" s="55">
        <v>0.11012810192899998</v>
      </c>
      <c r="Q168" s="60">
        <f>P168/SUM($P$3:$P$425)</f>
        <v>2.4756970314732071E-5</v>
      </c>
    </row>
    <row r="169" spans="2:18" ht="32.1" hidden="1">
      <c r="B169" s="26">
        <v>234</v>
      </c>
      <c r="C169" s="26">
        <v>851640</v>
      </c>
      <c r="D169" s="27" t="s">
        <v>329</v>
      </c>
      <c r="E169" s="27" t="s">
        <v>330</v>
      </c>
      <c r="F169" s="27" t="s">
        <v>66</v>
      </c>
      <c r="G169" s="27" t="s">
        <v>51</v>
      </c>
      <c r="H169" s="27" t="s">
        <v>28</v>
      </c>
      <c r="I169" s="28" t="s">
        <v>103</v>
      </c>
      <c r="J169" s="26" t="s">
        <v>29</v>
      </c>
      <c r="K169" s="26" t="s">
        <v>21</v>
      </c>
      <c r="L169" s="26" t="s">
        <v>29</v>
      </c>
      <c r="M169" s="26" t="s">
        <v>29</v>
      </c>
      <c r="N169" s="29" t="s">
        <v>29</v>
      </c>
      <c r="O169" s="26" t="s">
        <v>29</v>
      </c>
      <c r="P169" s="21">
        <v>1.6071162082299999</v>
      </c>
      <c r="Q169" s="19">
        <v>1.9239411851264314E-4</v>
      </c>
    </row>
    <row r="170" spans="2:18" ht="80.099999999999994" hidden="1">
      <c r="B170" s="43">
        <v>108</v>
      </c>
      <c r="C170" s="43">
        <v>902290</v>
      </c>
      <c r="D170" s="47" t="s">
        <v>331</v>
      </c>
      <c r="E170" s="44" t="s">
        <v>332</v>
      </c>
      <c r="F170" s="44" t="s">
        <v>198</v>
      </c>
      <c r="G170" s="44" t="s">
        <v>19</v>
      </c>
      <c r="H170" s="44" t="s">
        <v>20</v>
      </c>
      <c r="I170" s="43" t="s">
        <v>12</v>
      </c>
      <c r="J170" s="43" t="s">
        <v>21</v>
      </c>
      <c r="K170" s="43" t="s">
        <v>21</v>
      </c>
      <c r="L170" s="43" t="s">
        <v>29</v>
      </c>
      <c r="M170" s="43" t="s">
        <v>29</v>
      </c>
      <c r="N170" s="43" t="s">
        <v>21</v>
      </c>
      <c r="O170" s="43" t="s">
        <v>21</v>
      </c>
      <c r="P170" s="25">
        <f>VLOOKUP(C170, [1]Sheet1!$A$2:$B$313, 2, FALSE)</f>
        <v>7.5376624300230004</v>
      </c>
      <c r="Q170" s="45">
        <v>1.3854232113908814E-3</v>
      </c>
    </row>
    <row r="171" spans="2:18" ht="63.95" hidden="1">
      <c r="B171" s="43">
        <v>98</v>
      </c>
      <c r="C171" s="43">
        <v>853321</v>
      </c>
      <c r="D171" s="47" t="s">
        <v>333</v>
      </c>
      <c r="E171" s="44" t="s">
        <v>334</v>
      </c>
      <c r="F171" s="44" t="s">
        <v>54</v>
      </c>
      <c r="G171" s="44" t="s">
        <v>19</v>
      </c>
      <c r="H171" s="44" t="s">
        <v>20</v>
      </c>
      <c r="I171" s="43" t="s">
        <v>12</v>
      </c>
      <c r="J171" s="43" t="s">
        <v>21</v>
      </c>
      <c r="K171" s="43" t="s">
        <v>21</v>
      </c>
      <c r="L171" s="43" t="s">
        <v>21</v>
      </c>
      <c r="M171" s="43" t="s">
        <v>21</v>
      </c>
      <c r="N171" s="43" t="s">
        <v>21</v>
      </c>
      <c r="O171" s="43" t="s">
        <v>21</v>
      </c>
      <c r="P171" s="25">
        <f>VLOOKUP(C171, [1]Sheet1!$A$2:$B$313, 2, FALSE)</f>
        <v>5.8617917393009993</v>
      </c>
      <c r="Q171" s="45">
        <v>9.9461730716937603E-4</v>
      </c>
    </row>
    <row r="172" spans="2:18" ht="48">
      <c r="B172" s="43">
        <v>111</v>
      </c>
      <c r="C172" s="43">
        <v>902710</v>
      </c>
      <c r="D172" s="47" t="s">
        <v>335</v>
      </c>
      <c r="E172" s="44" t="s">
        <v>336</v>
      </c>
      <c r="F172" s="44" t="s">
        <v>189</v>
      </c>
      <c r="G172" s="44" t="s">
        <v>40</v>
      </c>
      <c r="H172" s="44" t="s">
        <v>28</v>
      </c>
      <c r="I172" s="43" t="s">
        <v>12</v>
      </c>
      <c r="J172" s="43" t="s">
        <v>21</v>
      </c>
      <c r="K172" s="43" t="s">
        <v>21</v>
      </c>
      <c r="L172" s="43" t="s">
        <v>29</v>
      </c>
      <c r="M172" s="43" t="s">
        <v>29</v>
      </c>
      <c r="N172" s="43" t="s">
        <v>21</v>
      </c>
      <c r="O172" s="43" t="s">
        <v>21</v>
      </c>
      <c r="P172" s="25">
        <f>VLOOKUP(C172, [1]Sheet1!$A$2:$B$313, 2, FALSE)</f>
        <v>7.4765947356660014</v>
      </c>
      <c r="Q172" s="45">
        <v>1.6060538016262167E-3</v>
      </c>
      <c r="R172" s="16"/>
    </row>
    <row r="173" spans="2:18" ht="32.1" hidden="1">
      <c r="B173" s="43">
        <v>270</v>
      </c>
      <c r="C173" s="43">
        <v>851672</v>
      </c>
      <c r="D173" s="44" t="s">
        <v>337</v>
      </c>
      <c r="E173" s="44" t="s">
        <v>338</v>
      </c>
      <c r="F173" s="44" t="s">
        <v>66</v>
      </c>
      <c r="G173" s="44" t="s">
        <v>51</v>
      </c>
      <c r="H173" s="44" t="s">
        <v>28</v>
      </c>
      <c r="I173" s="47" t="s">
        <v>103</v>
      </c>
      <c r="J173" s="43" t="s">
        <v>29</v>
      </c>
      <c r="K173" s="43" t="s">
        <v>21</v>
      </c>
      <c r="L173" s="43" t="s">
        <v>21</v>
      </c>
      <c r="M173" s="43" t="s">
        <v>29</v>
      </c>
      <c r="N173" s="43" t="s">
        <v>29</v>
      </c>
      <c r="O173" s="43" t="s">
        <v>29</v>
      </c>
      <c r="P173" s="48">
        <v>0.61054654998399993</v>
      </c>
      <c r="Q173" s="20">
        <v>7.3090897032566154E-5</v>
      </c>
    </row>
    <row r="174" spans="2:18" ht="48" hidden="1">
      <c r="B174" s="43">
        <v>118</v>
      </c>
      <c r="C174" s="43">
        <v>854142</v>
      </c>
      <c r="D174" s="47" t="s">
        <v>339</v>
      </c>
      <c r="E174" s="44" t="s">
        <v>63</v>
      </c>
      <c r="F174" s="44" t="s">
        <v>18</v>
      </c>
      <c r="G174" s="44" t="s">
        <v>19</v>
      </c>
      <c r="H174" s="44" t="s">
        <v>20</v>
      </c>
      <c r="I174" s="43" t="s">
        <v>12</v>
      </c>
      <c r="J174" s="43" t="s">
        <v>21</v>
      </c>
      <c r="K174" s="43" t="s">
        <v>29</v>
      </c>
      <c r="L174" s="43" t="s">
        <v>29</v>
      </c>
      <c r="M174" s="43" t="s">
        <v>29</v>
      </c>
      <c r="N174" s="43" t="s">
        <v>21</v>
      </c>
      <c r="O174" s="43" t="s">
        <v>29</v>
      </c>
      <c r="P174" s="25">
        <f>VLOOKUP(C174, [1]Sheet1!$A$2:$B$313, 2, FALSE)</f>
        <v>7.4083216368190001</v>
      </c>
      <c r="Q174" s="45">
        <v>1.2337115840828109E-3</v>
      </c>
    </row>
    <row r="175" spans="2:18" ht="80.099999999999994" hidden="1">
      <c r="B175" s="43">
        <v>132</v>
      </c>
      <c r="C175" s="43">
        <v>851680</v>
      </c>
      <c r="D175" s="44" t="s">
        <v>340</v>
      </c>
      <c r="E175" s="44" t="s">
        <v>341</v>
      </c>
      <c r="F175" s="44" t="s">
        <v>112</v>
      </c>
      <c r="G175" s="44" t="s">
        <v>51</v>
      </c>
      <c r="H175" s="44" t="s">
        <v>20</v>
      </c>
      <c r="I175" s="47" t="s">
        <v>103</v>
      </c>
      <c r="J175" s="43" t="s">
        <v>29</v>
      </c>
      <c r="K175" s="43" t="s">
        <v>21</v>
      </c>
      <c r="L175" s="43" t="s">
        <v>29</v>
      </c>
      <c r="M175" s="43" t="s">
        <v>29</v>
      </c>
      <c r="N175" s="43" t="s">
        <v>29</v>
      </c>
      <c r="O175" s="43" t="s">
        <v>29</v>
      </c>
      <c r="P175" s="48">
        <v>9.1490678553910012</v>
      </c>
      <c r="Q175" s="20">
        <v>1.095270420543477E-3</v>
      </c>
    </row>
    <row r="176" spans="2:18" ht="63.95" hidden="1">
      <c r="B176" s="31">
        <v>147</v>
      </c>
      <c r="C176" s="31">
        <v>851690</v>
      </c>
      <c r="D176" s="32" t="s">
        <v>342</v>
      </c>
      <c r="E176" s="32" t="s">
        <v>343</v>
      </c>
      <c r="F176" s="32" t="s">
        <v>112</v>
      </c>
      <c r="G176" s="32" t="s">
        <v>51</v>
      </c>
      <c r="H176" s="32" t="s">
        <v>20</v>
      </c>
      <c r="I176" s="33" t="s">
        <v>103</v>
      </c>
      <c r="J176" s="31" t="s">
        <v>29</v>
      </c>
      <c r="K176" s="31" t="s">
        <v>21</v>
      </c>
      <c r="L176" s="31" t="s">
        <v>29</v>
      </c>
      <c r="M176" s="31" t="s">
        <v>29</v>
      </c>
      <c r="N176" s="34" t="s">
        <v>29</v>
      </c>
      <c r="O176" s="31" t="s">
        <v>29</v>
      </c>
      <c r="P176" s="21">
        <v>8.0149390031019987</v>
      </c>
      <c r="Q176" s="19">
        <v>9.5949945407664439E-4</v>
      </c>
    </row>
    <row r="177" spans="2:18" ht="48" hidden="1">
      <c r="B177" s="43">
        <v>101</v>
      </c>
      <c r="C177" s="43">
        <v>391910</v>
      </c>
      <c r="D177" s="47" t="s">
        <v>344</v>
      </c>
      <c r="E177" s="44" t="s">
        <v>49</v>
      </c>
      <c r="F177" s="44" t="s">
        <v>50</v>
      </c>
      <c r="G177" s="44" t="s">
        <v>51</v>
      </c>
      <c r="H177" s="44" t="s">
        <v>20</v>
      </c>
      <c r="I177" s="43" t="s">
        <v>11</v>
      </c>
      <c r="J177" s="43" t="s">
        <v>21</v>
      </c>
      <c r="K177" s="43" t="s">
        <v>29</v>
      </c>
      <c r="L177" s="43" t="s">
        <v>29</v>
      </c>
      <c r="M177" s="43" t="s">
        <v>21</v>
      </c>
      <c r="N177" s="43" t="s">
        <v>29</v>
      </c>
      <c r="O177" s="43" t="s">
        <v>29</v>
      </c>
      <c r="P177" s="25">
        <f>VLOOKUP(C177, [1]Sheet1!$A$2:$B$313, 2, FALSE)</f>
        <v>7.4096828822939997</v>
      </c>
      <c r="Q177" s="45">
        <v>1.3571488714073845E-3</v>
      </c>
      <c r="R177" s="16"/>
    </row>
    <row r="178" spans="2:18" ht="32.1" hidden="1">
      <c r="B178" s="31">
        <v>106</v>
      </c>
      <c r="C178" s="31">
        <v>851679</v>
      </c>
      <c r="D178" s="33" t="s">
        <v>345</v>
      </c>
      <c r="E178" s="32" t="s">
        <v>346</v>
      </c>
      <c r="F178" s="32" t="s">
        <v>112</v>
      </c>
      <c r="G178" s="32" t="s">
        <v>51</v>
      </c>
      <c r="H178" s="32" t="s">
        <v>28</v>
      </c>
      <c r="I178" s="31" t="s">
        <v>129</v>
      </c>
      <c r="J178" s="31" t="s">
        <v>21</v>
      </c>
      <c r="K178" s="31" t="s">
        <v>21</v>
      </c>
      <c r="L178" s="31" t="s">
        <v>21</v>
      </c>
      <c r="M178" s="31" t="s">
        <v>29</v>
      </c>
      <c r="N178" s="34" t="s">
        <v>29</v>
      </c>
      <c r="O178" s="31" t="s">
        <v>29</v>
      </c>
      <c r="P178" s="25">
        <f>VLOOKUP(C178, [1]Sheet1!$A$2:$B$313, 2, FALSE)</f>
        <v>7.0890083560270014</v>
      </c>
      <c r="Q178" s="59">
        <v>1.7805601728642195E-3</v>
      </c>
    </row>
    <row r="179" spans="2:18" ht="96" hidden="1">
      <c r="B179" s="43">
        <v>103</v>
      </c>
      <c r="C179" s="43">
        <v>854160</v>
      </c>
      <c r="D179" s="47" t="s">
        <v>347</v>
      </c>
      <c r="E179" s="44" t="s">
        <v>348</v>
      </c>
      <c r="F179" s="44" t="s">
        <v>54</v>
      </c>
      <c r="G179" s="44" t="s">
        <v>19</v>
      </c>
      <c r="H179" s="44" t="s">
        <v>20</v>
      </c>
      <c r="I179" s="43" t="s">
        <v>12</v>
      </c>
      <c r="J179" s="43" t="s">
        <v>21</v>
      </c>
      <c r="K179" s="43" t="s">
        <v>21</v>
      </c>
      <c r="L179" s="43" t="s">
        <v>21</v>
      </c>
      <c r="M179" s="43" t="s">
        <v>21</v>
      </c>
      <c r="N179" s="43" t="s">
        <v>21</v>
      </c>
      <c r="O179" s="43" t="s">
        <v>21</v>
      </c>
      <c r="P179" s="25">
        <f>VLOOKUP(C179, [1]Sheet1!$A$2:$B$313, 2, FALSE)</f>
        <v>6.8335365476019998</v>
      </c>
      <c r="Q179" s="45">
        <v>1.5494258707392284E-3</v>
      </c>
    </row>
    <row r="180" spans="2:18" ht="15.95" hidden="1">
      <c r="B180" s="43">
        <v>104</v>
      </c>
      <c r="C180" s="43">
        <v>731816</v>
      </c>
      <c r="D180" s="47" t="s">
        <v>349</v>
      </c>
      <c r="E180" s="44" t="s">
        <v>61</v>
      </c>
      <c r="F180" s="44" t="s">
        <v>50</v>
      </c>
      <c r="G180" s="44" t="s">
        <v>51</v>
      </c>
      <c r="H180" s="44" t="s">
        <v>20</v>
      </c>
      <c r="I180" s="43" t="s">
        <v>11</v>
      </c>
      <c r="J180" s="43" t="s">
        <v>21</v>
      </c>
      <c r="K180" s="43" t="s">
        <v>29</v>
      </c>
      <c r="L180" s="43" t="s">
        <v>29</v>
      </c>
      <c r="M180" s="43" t="s">
        <v>21</v>
      </c>
      <c r="N180" s="43" t="s">
        <v>29</v>
      </c>
      <c r="O180" s="43" t="s">
        <v>29</v>
      </c>
      <c r="P180" s="25">
        <f>VLOOKUP(C180, [1]Sheet1!$A$2:$B$313, 2, FALSE)</f>
        <v>7.2936237428970001</v>
      </c>
      <c r="Q180" s="45">
        <v>1.7920825610429905E-3</v>
      </c>
    </row>
    <row r="181" spans="2:18" ht="32.1">
      <c r="B181" s="43">
        <v>90</v>
      </c>
      <c r="C181" s="43">
        <v>901320</v>
      </c>
      <c r="D181" s="47" t="s">
        <v>350</v>
      </c>
      <c r="E181" s="44" t="s">
        <v>188</v>
      </c>
      <c r="F181" s="44" t="s">
        <v>189</v>
      </c>
      <c r="G181" s="44" t="s">
        <v>40</v>
      </c>
      <c r="H181" s="44" t="s">
        <v>28</v>
      </c>
      <c r="I181" s="43" t="s">
        <v>12</v>
      </c>
      <c r="J181" s="43" t="s">
        <v>21</v>
      </c>
      <c r="K181" s="43" t="s">
        <v>21</v>
      </c>
      <c r="L181" s="43" t="s">
        <v>29</v>
      </c>
      <c r="M181" s="43" t="s">
        <v>29</v>
      </c>
      <c r="N181" s="43" t="s">
        <v>21</v>
      </c>
      <c r="O181" s="43" t="s">
        <v>21</v>
      </c>
      <c r="P181" s="25">
        <f>VLOOKUP(C181, [1]Sheet1!$A$2:$B$313, 2, FALSE)</f>
        <v>7.0058590126239997</v>
      </c>
      <c r="Q181" s="45">
        <v>2.4454908171054972E-3</v>
      </c>
    </row>
    <row r="182" spans="2:18" ht="32.1">
      <c r="B182" s="43">
        <v>113</v>
      </c>
      <c r="C182" s="43">
        <v>852610</v>
      </c>
      <c r="D182" s="47" t="s">
        <v>351</v>
      </c>
      <c r="E182" s="44" t="s">
        <v>352</v>
      </c>
      <c r="F182" s="44" t="s">
        <v>66</v>
      </c>
      <c r="G182" s="44" t="s">
        <v>67</v>
      </c>
      <c r="H182" s="44" t="s">
        <v>28</v>
      </c>
      <c r="I182" s="43" t="s">
        <v>12</v>
      </c>
      <c r="J182" s="43" t="s">
        <v>21</v>
      </c>
      <c r="K182" s="43" t="s">
        <v>21</v>
      </c>
      <c r="L182" s="43" t="s">
        <v>21</v>
      </c>
      <c r="M182" s="43" t="s">
        <v>29</v>
      </c>
      <c r="N182" s="43" t="s">
        <v>21</v>
      </c>
      <c r="O182" s="43" t="s">
        <v>21</v>
      </c>
      <c r="P182" s="25">
        <f>VLOOKUP(C182, [1]Sheet1!$A$2:$B$313, 2, FALSE)</f>
        <v>6.8170815568869996</v>
      </c>
      <c r="Q182" s="45">
        <v>1.4823751603442459E-3</v>
      </c>
    </row>
    <row r="183" spans="2:18" ht="63.95" hidden="1">
      <c r="B183" s="43">
        <v>107</v>
      </c>
      <c r="C183" s="43">
        <v>392099</v>
      </c>
      <c r="D183" s="47" t="s">
        <v>353</v>
      </c>
      <c r="E183" s="44" t="s">
        <v>354</v>
      </c>
      <c r="F183" s="44" t="s">
        <v>50</v>
      </c>
      <c r="G183" s="44" t="s">
        <v>51</v>
      </c>
      <c r="H183" s="44" t="s">
        <v>20</v>
      </c>
      <c r="I183" s="43" t="s">
        <v>11</v>
      </c>
      <c r="J183" s="43" t="s">
        <v>21</v>
      </c>
      <c r="K183" s="43" t="s">
        <v>29</v>
      </c>
      <c r="L183" s="43" t="s">
        <v>29</v>
      </c>
      <c r="M183" s="43" t="s">
        <v>21</v>
      </c>
      <c r="N183" s="43" t="s">
        <v>29</v>
      </c>
      <c r="O183" s="43" t="s">
        <v>29</v>
      </c>
      <c r="P183" s="25">
        <f>VLOOKUP(C183, [1]Sheet1!$A$2:$B$313, 2, FALSE)</f>
        <v>6.6535540425119999</v>
      </c>
      <c r="Q183" s="45">
        <v>1.577090553037473E-3</v>
      </c>
    </row>
    <row r="184" spans="2:18" ht="48" hidden="1">
      <c r="B184" s="43">
        <v>100</v>
      </c>
      <c r="C184" s="43">
        <v>852411</v>
      </c>
      <c r="D184" s="47" t="s">
        <v>355</v>
      </c>
      <c r="E184" s="44" t="s">
        <v>88</v>
      </c>
      <c r="F184" s="44" t="s">
        <v>89</v>
      </c>
      <c r="G184" s="44" t="s">
        <v>67</v>
      </c>
      <c r="H184" s="44" t="s">
        <v>20</v>
      </c>
      <c r="I184" s="43" t="s">
        <v>12</v>
      </c>
      <c r="J184" s="43" t="s">
        <v>21</v>
      </c>
      <c r="K184" s="43" t="s">
        <v>29</v>
      </c>
      <c r="L184" s="43" t="s">
        <v>29</v>
      </c>
      <c r="M184" s="43" t="s">
        <v>29</v>
      </c>
      <c r="N184" s="43" t="s">
        <v>21</v>
      </c>
      <c r="O184" s="43" t="s">
        <v>29</v>
      </c>
      <c r="P184" s="25">
        <f>VLOOKUP(C184, [1]Sheet1!$A$2:$B$313, 2, FALSE)</f>
        <v>6.542580937206</v>
      </c>
      <c r="Q184" s="45">
        <v>1.7506654196164321E-3</v>
      </c>
    </row>
    <row r="185" spans="2:18" ht="48" hidden="1">
      <c r="B185" s="31">
        <v>109</v>
      </c>
      <c r="C185" s="31">
        <v>392329</v>
      </c>
      <c r="D185" s="33" t="s">
        <v>356</v>
      </c>
      <c r="E185" s="32" t="s">
        <v>49</v>
      </c>
      <c r="F185" s="32" t="s">
        <v>50</v>
      </c>
      <c r="G185" s="32" t="s">
        <v>51</v>
      </c>
      <c r="H185" s="32" t="s">
        <v>20</v>
      </c>
      <c r="I185" s="31" t="s">
        <v>11</v>
      </c>
      <c r="J185" s="31" t="s">
        <v>21</v>
      </c>
      <c r="K185" s="31" t="s">
        <v>29</v>
      </c>
      <c r="L185" s="31" t="s">
        <v>29</v>
      </c>
      <c r="M185" s="31" t="s">
        <v>21</v>
      </c>
      <c r="N185" s="34" t="s">
        <v>29</v>
      </c>
      <c r="O185" s="31" t="s">
        <v>29</v>
      </c>
      <c r="P185" s="25">
        <f>VLOOKUP(C185, [1]Sheet1!$A$2:$B$313, 2, FALSE)</f>
        <v>6.4363017115919998</v>
      </c>
      <c r="Q185" s="59">
        <v>1.2227261123736312E-3</v>
      </c>
    </row>
    <row r="186" spans="2:18" ht="96">
      <c r="B186" s="43">
        <v>105</v>
      </c>
      <c r="C186" s="43">
        <v>903082</v>
      </c>
      <c r="D186" s="47" t="s">
        <v>357</v>
      </c>
      <c r="E186" s="44" t="s">
        <v>358</v>
      </c>
      <c r="F186" s="44" t="s">
        <v>189</v>
      </c>
      <c r="G186" s="44" t="s">
        <v>40</v>
      </c>
      <c r="H186" s="44" t="s">
        <v>28</v>
      </c>
      <c r="I186" s="43" t="s">
        <v>12</v>
      </c>
      <c r="J186" s="43" t="s">
        <v>21</v>
      </c>
      <c r="K186" s="43" t="s">
        <v>21</v>
      </c>
      <c r="L186" s="43" t="s">
        <v>21</v>
      </c>
      <c r="M186" s="43" t="s">
        <v>29</v>
      </c>
      <c r="N186" s="43" t="s">
        <v>21</v>
      </c>
      <c r="O186" s="43" t="s">
        <v>21</v>
      </c>
      <c r="P186" s="25">
        <f>VLOOKUP(C186, [1]Sheet1!$A$2:$B$313, 2, FALSE)</f>
        <v>6.5308175918989999</v>
      </c>
      <c r="Q186" s="45">
        <v>1.3654257991525562E-3</v>
      </c>
    </row>
    <row r="187" spans="2:18" ht="63.95">
      <c r="B187" s="35">
        <v>125</v>
      </c>
      <c r="C187" s="35">
        <v>902214</v>
      </c>
      <c r="D187" s="37" t="s">
        <v>359</v>
      </c>
      <c r="E187" s="36" t="s">
        <v>360</v>
      </c>
      <c r="F187" s="36" t="s">
        <v>198</v>
      </c>
      <c r="G187" s="36" t="s">
        <v>40</v>
      </c>
      <c r="H187" s="36" t="s">
        <v>28</v>
      </c>
      <c r="I187" s="35" t="s">
        <v>12</v>
      </c>
      <c r="J187" s="35" t="s">
        <v>21</v>
      </c>
      <c r="K187" s="35" t="s">
        <v>21</v>
      </c>
      <c r="L187" s="35" t="s">
        <v>29</v>
      </c>
      <c r="M187" s="35" t="s">
        <v>29</v>
      </c>
      <c r="N187" s="38" t="s">
        <v>21</v>
      </c>
      <c r="O187" s="35" t="s">
        <v>21</v>
      </c>
      <c r="P187" s="25">
        <f>VLOOKUP(C187, [1]Sheet1!$A$2:$B$313, 2, FALSE)</f>
        <v>6.4770937715349994</v>
      </c>
      <c r="Q187" s="59">
        <v>1.0285007873436971E-3</v>
      </c>
    </row>
    <row r="188" spans="2:18" ht="32.1" hidden="1">
      <c r="B188" s="26">
        <v>114</v>
      </c>
      <c r="C188" s="26">
        <v>853222</v>
      </c>
      <c r="D188" s="28" t="s">
        <v>361</v>
      </c>
      <c r="E188" s="27" t="s">
        <v>166</v>
      </c>
      <c r="F188" s="27" t="s">
        <v>54</v>
      </c>
      <c r="G188" s="27" t="s">
        <v>19</v>
      </c>
      <c r="H188" s="27" t="s">
        <v>20</v>
      </c>
      <c r="I188" s="26" t="s">
        <v>12</v>
      </c>
      <c r="J188" s="26" t="s">
        <v>21</v>
      </c>
      <c r="K188" s="26" t="s">
        <v>21</v>
      </c>
      <c r="L188" s="26" t="s">
        <v>21</v>
      </c>
      <c r="M188" s="26" t="s">
        <v>21</v>
      </c>
      <c r="N188" s="29" t="s">
        <v>21</v>
      </c>
      <c r="O188" s="26" t="s">
        <v>21</v>
      </c>
      <c r="P188" s="25">
        <f>VLOOKUP(C188, [1]Sheet1!$A$2:$B$313, 2, FALSE)</f>
        <v>5.7871595937650007</v>
      </c>
      <c r="Q188" s="59">
        <v>1.1761101338495911E-3</v>
      </c>
    </row>
    <row r="189" spans="2:18" ht="48" hidden="1">
      <c r="B189" s="43">
        <v>116</v>
      </c>
      <c r="C189" s="43">
        <v>850511</v>
      </c>
      <c r="D189" s="47" t="s">
        <v>362</v>
      </c>
      <c r="E189" s="44" t="s">
        <v>363</v>
      </c>
      <c r="F189" s="44" t="s">
        <v>189</v>
      </c>
      <c r="G189" s="44" t="s">
        <v>40</v>
      </c>
      <c r="H189" s="44" t="s">
        <v>20</v>
      </c>
      <c r="I189" s="43" t="s">
        <v>12</v>
      </c>
      <c r="J189" s="43" t="s">
        <v>21</v>
      </c>
      <c r="K189" s="43" t="s">
        <v>21</v>
      </c>
      <c r="L189" s="43" t="s">
        <v>29</v>
      </c>
      <c r="M189" s="43" t="s">
        <v>21</v>
      </c>
      <c r="N189" s="43" t="s">
        <v>21</v>
      </c>
      <c r="O189" s="43" t="s">
        <v>21</v>
      </c>
      <c r="P189" s="25">
        <f>VLOOKUP(C189, [1]Sheet1!$A$2:$B$313, 2, FALSE)</f>
        <v>5.3618323877580014</v>
      </c>
      <c r="Q189" s="45">
        <v>1.5107302958131097E-3</v>
      </c>
    </row>
    <row r="190" spans="2:18" ht="48" hidden="1">
      <c r="B190" s="31">
        <v>117</v>
      </c>
      <c r="C190" s="31">
        <v>482390</v>
      </c>
      <c r="D190" s="33" t="s">
        <v>364</v>
      </c>
      <c r="E190" s="32" t="s">
        <v>251</v>
      </c>
      <c r="F190" s="32" t="s">
        <v>50</v>
      </c>
      <c r="G190" s="32" t="s">
        <v>51</v>
      </c>
      <c r="H190" s="32" t="s">
        <v>20</v>
      </c>
      <c r="I190" s="31" t="s">
        <v>11</v>
      </c>
      <c r="J190" s="31" t="s">
        <v>21</v>
      </c>
      <c r="K190" s="31" t="s">
        <v>29</v>
      </c>
      <c r="L190" s="31" t="s">
        <v>29</v>
      </c>
      <c r="M190" s="31" t="s">
        <v>21</v>
      </c>
      <c r="N190" s="34" t="s">
        <v>29</v>
      </c>
      <c r="O190" s="31" t="s">
        <v>29</v>
      </c>
      <c r="P190" s="25">
        <f>VLOOKUP(C190, [1]Sheet1!$A$2:$B$313, 2, FALSE)</f>
        <v>5.7828255382930003</v>
      </c>
      <c r="Q190" s="59">
        <v>1.4955894834984931E-3</v>
      </c>
    </row>
    <row r="191" spans="2:18" ht="32.1" hidden="1">
      <c r="B191" s="43">
        <v>120</v>
      </c>
      <c r="C191" s="43">
        <v>854420</v>
      </c>
      <c r="D191" s="47" t="s">
        <v>365</v>
      </c>
      <c r="E191" s="44" t="s">
        <v>79</v>
      </c>
      <c r="F191" s="44" t="s">
        <v>54</v>
      </c>
      <c r="G191" s="44" t="s">
        <v>40</v>
      </c>
      <c r="H191" s="44" t="s">
        <v>20</v>
      </c>
      <c r="I191" s="43" t="s">
        <v>12</v>
      </c>
      <c r="J191" s="43" t="s">
        <v>21</v>
      </c>
      <c r="K191" s="43" t="s">
        <v>21</v>
      </c>
      <c r="L191" s="43" t="s">
        <v>21</v>
      </c>
      <c r="M191" s="43" t="s">
        <v>29</v>
      </c>
      <c r="N191" s="43" t="s">
        <v>21</v>
      </c>
      <c r="O191" s="43" t="s">
        <v>21</v>
      </c>
      <c r="P191" s="25">
        <f>VLOOKUP(C191, [1]Sheet1!$A$2:$B$313, 2, FALSE)</f>
        <v>6.4438710855489996</v>
      </c>
      <c r="Q191" s="45">
        <v>1.2899121481513615E-3</v>
      </c>
    </row>
    <row r="192" spans="2:18" ht="63.95" hidden="1">
      <c r="B192" s="31">
        <v>119</v>
      </c>
      <c r="C192" s="31">
        <v>853720</v>
      </c>
      <c r="D192" s="33" t="s">
        <v>366</v>
      </c>
      <c r="E192" s="32" t="s">
        <v>367</v>
      </c>
      <c r="F192" s="32" t="s">
        <v>54</v>
      </c>
      <c r="G192" s="32" t="s">
        <v>19</v>
      </c>
      <c r="H192" s="32" t="s">
        <v>20</v>
      </c>
      <c r="I192" s="31" t="s">
        <v>12</v>
      </c>
      <c r="J192" s="31" t="s">
        <v>21</v>
      </c>
      <c r="K192" s="31" t="s">
        <v>21</v>
      </c>
      <c r="L192" s="31" t="s">
        <v>21</v>
      </c>
      <c r="M192" s="31" t="s">
        <v>21</v>
      </c>
      <c r="N192" s="34" t="s">
        <v>21</v>
      </c>
      <c r="O192" s="31" t="s">
        <v>21</v>
      </c>
      <c r="P192" s="25">
        <f>VLOOKUP(C192, [1]Sheet1!$A$2:$B$313, 2, FALSE)</f>
        <v>7.4298524401339998</v>
      </c>
      <c r="Q192" s="59">
        <v>2.1968599387347733E-3</v>
      </c>
    </row>
    <row r="193" spans="2:18" ht="32.1">
      <c r="B193" s="43">
        <v>122</v>
      </c>
      <c r="C193" s="43">
        <v>902150</v>
      </c>
      <c r="D193" s="47" t="s">
        <v>368</v>
      </c>
      <c r="E193" s="44" t="s">
        <v>369</v>
      </c>
      <c r="F193" s="44" t="s">
        <v>198</v>
      </c>
      <c r="G193" s="44" t="s">
        <v>40</v>
      </c>
      <c r="H193" s="44" t="s">
        <v>28</v>
      </c>
      <c r="I193" s="43" t="s">
        <v>12</v>
      </c>
      <c r="J193" s="43" t="s">
        <v>21</v>
      </c>
      <c r="K193" s="43" t="s">
        <v>21</v>
      </c>
      <c r="L193" s="43" t="s">
        <v>29</v>
      </c>
      <c r="M193" s="43" t="s">
        <v>29</v>
      </c>
      <c r="N193" s="43" t="s">
        <v>21</v>
      </c>
      <c r="O193" s="43" t="s">
        <v>21</v>
      </c>
      <c r="P193" s="25">
        <f>VLOOKUP(C193, [1]Sheet1!$A$2:$B$313, 2, FALSE)</f>
        <v>6.3155273054830001</v>
      </c>
      <c r="Q193" s="45">
        <v>8.5059689498803151E-4</v>
      </c>
    </row>
    <row r="194" spans="2:18" ht="63.95" hidden="1">
      <c r="B194" s="43">
        <v>121</v>
      </c>
      <c r="C194" s="43">
        <v>903290</v>
      </c>
      <c r="D194" s="47" t="s">
        <v>370</v>
      </c>
      <c r="E194" s="44" t="s">
        <v>371</v>
      </c>
      <c r="F194" s="44" t="s">
        <v>54</v>
      </c>
      <c r="G194" s="44" t="s">
        <v>40</v>
      </c>
      <c r="H194" s="44" t="s">
        <v>20</v>
      </c>
      <c r="I194" s="43" t="s">
        <v>12</v>
      </c>
      <c r="J194" s="43" t="s">
        <v>21</v>
      </c>
      <c r="K194" s="43" t="s">
        <v>21</v>
      </c>
      <c r="L194" s="43" t="s">
        <v>21</v>
      </c>
      <c r="M194" s="43" t="s">
        <v>29</v>
      </c>
      <c r="N194" s="43" t="s">
        <v>21</v>
      </c>
      <c r="O194" s="43" t="s">
        <v>21</v>
      </c>
      <c r="P194" s="25">
        <f>VLOOKUP(C194, [1]Sheet1!$A$2:$B$313, 2, FALSE)</f>
        <v>5.8483380783449999</v>
      </c>
      <c r="Q194" s="45">
        <v>1.158974872275642E-3</v>
      </c>
    </row>
    <row r="195" spans="2:18" ht="32.1">
      <c r="B195" s="31">
        <v>146</v>
      </c>
      <c r="C195" s="31">
        <v>902140</v>
      </c>
      <c r="D195" s="33" t="s">
        <v>372</v>
      </c>
      <c r="E195" s="32" t="s">
        <v>373</v>
      </c>
      <c r="F195" s="32" t="s">
        <v>198</v>
      </c>
      <c r="G195" s="32" t="s">
        <v>40</v>
      </c>
      <c r="H195" s="32" t="s">
        <v>28</v>
      </c>
      <c r="I195" s="31" t="s">
        <v>12</v>
      </c>
      <c r="J195" s="31" t="s">
        <v>21</v>
      </c>
      <c r="K195" s="31" t="s">
        <v>21</v>
      </c>
      <c r="L195" s="31" t="s">
        <v>29</v>
      </c>
      <c r="M195" s="31" t="s">
        <v>29</v>
      </c>
      <c r="N195" s="34" t="s">
        <v>21</v>
      </c>
      <c r="O195" s="31" t="s">
        <v>21</v>
      </c>
      <c r="P195" s="25">
        <f>VLOOKUP(C195, [1]Sheet1!$A$2:$B$313, 2, FALSE)</f>
        <v>5.7174174405190001</v>
      </c>
      <c r="Q195" s="59">
        <v>1.0656892841059658E-3</v>
      </c>
    </row>
    <row r="196" spans="2:18" ht="32.1">
      <c r="B196" s="43">
        <v>123</v>
      </c>
      <c r="C196" s="43">
        <v>852352</v>
      </c>
      <c r="D196" s="47" t="s">
        <v>374</v>
      </c>
      <c r="E196" s="44" t="s">
        <v>375</v>
      </c>
      <c r="F196" s="44" t="s">
        <v>66</v>
      </c>
      <c r="G196" s="44" t="s">
        <v>67</v>
      </c>
      <c r="H196" s="44" t="s">
        <v>28</v>
      </c>
      <c r="I196" s="43" t="s">
        <v>12</v>
      </c>
      <c r="J196" s="43" t="s">
        <v>21</v>
      </c>
      <c r="K196" s="43" t="s">
        <v>21</v>
      </c>
      <c r="L196" s="43" t="s">
        <v>21</v>
      </c>
      <c r="M196" s="43" t="s">
        <v>21</v>
      </c>
      <c r="N196" s="43" t="s">
        <v>21</v>
      </c>
      <c r="O196" s="43" t="s">
        <v>21</v>
      </c>
      <c r="P196" s="25">
        <f>VLOOKUP(C196, [1]Sheet1!$A$2:$B$313, 2, FALSE)</f>
        <v>6.3289830810080003</v>
      </c>
      <c r="Q196" s="45">
        <v>1.1868177266782804E-3</v>
      </c>
    </row>
    <row r="197" spans="2:18" ht="32.1">
      <c r="B197" s="43">
        <v>140</v>
      </c>
      <c r="C197" s="43">
        <v>901813</v>
      </c>
      <c r="D197" s="47" t="s">
        <v>376</v>
      </c>
      <c r="E197" s="44" t="s">
        <v>197</v>
      </c>
      <c r="F197" s="44" t="s">
        <v>198</v>
      </c>
      <c r="G197" s="44" t="s">
        <v>40</v>
      </c>
      <c r="H197" s="44" t="s">
        <v>28</v>
      </c>
      <c r="I197" s="43" t="s">
        <v>12</v>
      </c>
      <c r="J197" s="43" t="s">
        <v>21</v>
      </c>
      <c r="K197" s="43" t="s">
        <v>21</v>
      </c>
      <c r="L197" s="43" t="s">
        <v>29</v>
      </c>
      <c r="M197" s="43" t="s">
        <v>29</v>
      </c>
      <c r="N197" s="43" t="s">
        <v>21</v>
      </c>
      <c r="O197" s="43" t="s">
        <v>21</v>
      </c>
      <c r="P197" s="25">
        <f>VLOOKUP(C197, [1]Sheet1!$A$2:$B$313, 2, FALSE)</f>
        <v>5.7150937016579997</v>
      </c>
      <c r="Q197" s="45">
        <v>1.0253244515022546E-3</v>
      </c>
    </row>
    <row r="198" spans="2:18" ht="48" hidden="1">
      <c r="B198" s="31">
        <v>127</v>
      </c>
      <c r="C198" s="31">
        <v>854121</v>
      </c>
      <c r="D198" s="33" t="s">
        <v>377</v>
      </c>
      <c r="E198" s="32" t="s">
        <v>86</v>
      </c>
      <c r="F198" s="32" t="s">
        <v>54</v>
      </c>
      <c r="G198" s="32" t="s">
        <v>19</v>
      </c>
      <c r="H198" s="32" t="s">
        <v>20</v>
      </c>
      <c r="I198" s="31" t="s">
        <v>12</v>
      </c>
      <c r="J198" s="31" t="s">
        <v>21</v>
      </c>
      <c r="K198" s="31" t="s">
        <v>21</v>
      </c>
      <c r="L198" s="31" t="s">
        <v>21</v>
      </c>
      <c r="M198" s="31" t="s">
        <v>21</v>
      </c>
      <c r="N198" s="34" t="s">
        <v>21</v>
      </c>
      <c r="O198" s="31" t="s">
        <v>21</v>
      </c>
      <c r="P198" s="25">
        <f>VLOOKUP(C198, [1]Sheet1!$A$2:$B$313, 2, FALSE)</f>
        <v>4.6536196860930001</v>
      </c>
      <c r="Q198" s="59">
        <v>1.1736814263903054E-3</v>
      </c>
    </row>
    <row r="199" spans="2:18" ht="32.1" hidden="1">
      <c r="B199" s="43">
        <v>128</v>
      </c>
      <c r="C199" s="43">
        <v>850790</v>
      </c>
      <c r="D199" s="47" t="s">
        <v>378</v>
      </c>
      <c r="E199" s="44" t="s">
        <v>379</v>
      </c>
      <c r="F199" s="44" t="s">
        <v>26</v>
      </c>
      <c r="G199" s="44" t="s">
        <v>43</v>
      </c>
      <c r="H199" s="44" t="s">
        <v>20</v>
      </c>
      <c r="I199" s="43" t="s">
        <v>12</v>
      </c>
      <c r="J199" s="43" t="s">
        <v>21</v>
      </c>
      <c r="K199" s="43" t="s">
        <v>21</v>
      </c>
      <c r="L199" s="43" t="s">
        <v>29</v>
      </c>
      <c r="M199" s="43" t="s">
        <v>21</v>
      </c>
      <c r="N199" s="43" t="s">
        <v>21</v>
      </c>
      <c r="O199" s="43" t="s">
        <v>29</v>
      </c>
      <c r="P199" s="25">
        <f>VLOOKUP(C199, [1]Sheet1!$A$2:$B$313, 2, FALSE)</f>
        <v>4.4739754568230001</v>
      </c>
      <c r="Q199" s="45">
        <v>1.151363238476828E-3</v>
      </c>
    </row>
    <row r="200" spans="2:18" ht="32.1">
      <c r="B200" s="31">
        <v>129</v>
      </c>
      <c r="C200" s="31">
        <v>850431</v>
      </c>
      <c r="D200" s="33" t="s">
        <v>380</v>
      </c>
      <c r="E200" s="32" t="s">
        <v>213</v>
      </c>
      <c r="F200" s="32" t="s">
        <v>54</v>
      </c>
      <c r="G200" s="32" t="s">
        <v>40</v>
      </c>
      <c r="H200" s="32" t="s">
        <v>28</v>
      </c>
      <c r="I200" s="31" t="s">
        <v>12</v>
      </c>
      <c r="J200" s="31" t="s">
        <v>21</v>
      </c>
      <c r="K200" s="31" t="s">
        <v>21</v>
      </c>
      <c r="L200" s="31" t="s">
        <v>21</v>
      </c>
      <c r="M200" s="31" t="s">
        <v>21</v>
      </c>
      <c r="N200" s="34" t="s">
        <v>21</v>
      </c>
      <c r="O200" s="31" t="s">
        <v>21</v>
      </c>
      <c r="P200" s="25">
        <f>VLOOKUP(C200, [1]Sheet1!$A$2:$B$313, 2, FALSE)</f>
        <v>5.3274734973079996</v>
      </c>
      <c r="Q200" s="59">
        <v>1.3493150102999924E-3</v>
      </c>
    </row>
    <row r="201" spans="2:18" ht="32.1">
      <c r="B201" s="43">
        <v>142</v>
      </c>
      <c r="C201" s="43">
        <v>901850</v>
      </c>
      <c r="D201" s="47" t="s">
        <v>381</v>
      </c>
      <c r="E201" s="44" t="s">
        <v>382</v>
      </c>
      <c r="F201" s="44" t="s">
        <v>198</v>
      </c>
      <c r="G201" s="44" t="s">
        <v>40</v>
      </c>
      <c r="H201" s="44" t="s">
        <v>28</v>
      </c>
      <c r="I201" s="43" t="s">
        <v>12</v>
      </c>
      <c r="J201" s="43" t="s">
        <v>21</v>
      </c>
      <c r="K201" s="43" t="s">
        <v>21</v>
      </c>
      <c r="L201" s="43" t="s">
        <v>29</v>
      </c>
      <c r="M201" s="43" t="s">
        <v>29</v>
      </c>
      <c r="N201" s="43" t="s">
        <v>21</v>
      </c>
      <c r="O201" s="43" t="s">
        <v>21</v>
      </c>
      <c r="P201" s="25">
        <f>VLOOKUP(C201, [1]Sheet1!$A$2:$B$313, 2, FALSE)</f>
        <v>5.6069828384719997</v>
      </c>
      <c r="Q201" s="45">
        <v>9.3717138461992834E-4</v>
      </c>
    </row>
    <row r="202" spans="2:18" ht="32.1" hidden="1">
      <c r="B202" s="31">
        <v>131</v>
      </c>
      <c r="C202" s="31">
        <v>853340</v>
      </c>
      <c r="D202" s="33" t="s">
        <v>383</v>
      </c>
      <c r="E202" s="32" t="s">
        <v>334</v>
      </c>
      <c r="F202" s="32" t="s">
        <v>54</v>
      </c>
      <c r="G202" s="32" t="s">
        <v>19</v>
      </c>
      <c r="H202" s="32" t="s">
        <v>20</v>
      </c>
      <c r="I202" s="31" t="s">
        <v>12</v>
      </c>
      <c r="J202" s="31" t="s">
        <v>21</v>
      </c>
      <c r="K202" s="31" t="s">
        <v>21</v>
      </c>
      <c r="L202" s="31" t="s">
        <v>21</v>
      </c>
      <c r="M202" s="31" t="s">
        <v>21</v>
      </c>
      <c r="N202" s="34" t="s">
        <v>21</v>
      </c>
      <c r="O202" s="31" t="s">
        <v>21</v>
      </c>
      <c r="P202" s="25">
        <f>VLOOKUP(C202, [1]Sheet1!$A$2:$B$313, 2, FALSE)</f>
        <v>3.5243054801840001</v>
      </c>
      <c r="Q202" s="59">
        <v>1.3505511478441058E-3</v>
      </c>
    </row>
    <row r="203" spans="2:18" ht="32.1" hidden="1">
      <c r="B203" s="43">
        <v>137</v>
      </c>
      <c r="C203" s="43">
        <v>853649</v>
      </c>
      <c r="D203" s="47" t="s">
        <v>384</v>
      </c>
      <c r="E203" s="44" t="s">
        <v>385</v>
      </c>
      <c r="F203" s="44" t="s">
        <v>54</v>
      </c>
      <c r="G203" s="44" t="s">
        <v>19</v>
      </c>
      <c r="H203" s="44" t="s">
        <v>20</v>
      </c>
      <c r="I203" s="43" t="s">
        <v>12</v>
      </c>
      <c r="J203" s="43" t="s">
        <v>21</v>
      </c>
      <c r="K203" s="43" t="s">
        <v>21</v>
      </c>
      <c r="L203" s="43" t="s">
        <v>21</v>
      </c>
      <c r="M203" s="43" t="s">
        <v>29</v>
      </c>
      <c r="N203" s="43" t="s">
        <v>21</v>
      </c>
      <c r="O203" s="43" t="s">
        <v>21</v>
      </c>
      <c r="P203" s="25">
        <f>VLOOKUP(C203, [1]Sheet1!$A$2:$B$313, 2, FALSE)</f>
        <v>5.5842696917390002</v>
      </c>
      <c r="Q203" s="45">
        <v>8.9671531419116828E-4</v>
      </c>
    </row>
    <row r="204" spans="2:18" ht="63.95">
      <c r="B204" s="43">
        <v>152</v>
      </c>
      <c r="C204" s="43">
        <v>901580</v>
      </c>
      <c r="D204" s="47" t="s">
        <v>386</v>
      </c>
      <c r="E204" s="44" t="s">
        <v>387</v>
      </c>
      <c r="F204" s="44" t="s">
        <v>189</v>
      </c>
      <c r="G204" s="44" t="s">
        <v>40</v>
      </c>
      <c r="H204" s="44" t="s">
        <v>28</v>
      </c>
      <c r="I204" s="43" t="s">
        <v>12</v>
      </c>
      <c r="J204" s="43" t="s">
        <v>21</v>
      </c>
      <c r="K204" s="43" t="s">
        <v>21</v>
      </c>
      <c r="L204" s="43" t="s">
        <v>29</v>
      </c>
      <c r="M204" s="43" t="s">
        <v>29</v>
      </c>
      <c r="N204" s="43" t="s">
        <v>21</v>
      </c>
      <c r="O204" s="43" t="s">
        <v>21</v>
      </c>
      <c r="P204" s="25">
        <f>VLOOKUP(C204, [1]Sheet1!$A$2:$B$313, 2, FALSE)</f>
        <v>5.4561269239249999</v>
      </c>
      <c r="Q204" s="45">
        <v>9.1322040253178814E-4</v>
      </c>
    </row>
    <row r="205" spans="2:18" ht="48">
      <c r="B205" s="43">
        <v>134</v>
      </c>
      <c r="C205" s="43">
        <v>853110</v>
      </c>
      <c r="D205" s="47" t="s">
        <v>388</v>
      </c>
      <c r="E205" s="44" t="s">
        <v>389</v>
      </c>
      <c r="F205" s="44" t="s">
        <v>66</v>
      </c>
      <c r="G205" s="44" t="s">
        <v>67</v>
      </c>
      <c r="H205" s="44" t="s">
        <v>28</v>
      </c>
      <c r="I205" s="43" t="s">
        <v>12</v>
      </c>
      <c r="J205" s="43" t="s">
        <v>21</v>
      </c>
      <c r="K205" s="43" t="s">
        <v>21</v>
      </c>
      <c r="L205" s="43" t="s">
        <v>21</v>
      </c>
      <c r="M205" s="43" t="s">
        <v>29</v>
      </c>
      <c r="N205" s="43" t="s">
        <v>21</v>
      </c>
      <c r="O205" s="43" t="s">
        <v>21</v>
      </c>
      <c r="P205" s="25">
        <f>VLOOKUP(C205, [1]Sheet1!$A$2:$B$313, 2, FALSE)</f>
        <v>5.3407366209309997</v>
      </c>
      <c r="Q205" s="45">
        <v>1.5037897077617931E-3</v>
      </c>
    </row>
    <row r="206" spans="2:18" ht="63.95">
      <c r="B206" s="43">
        <v>149</v>
      </c>
      <c r="C206" s="43">
        <v>902212</v>
      </c>
      <c r="D206" s="47" t="s">
        <v>390</v>
      </c>
      <c r="E206" s="44" t="s">
        <v>391</v>
      </c>
      <c r="F206" s="44" t="s">
        <v>198</v>
      </c>
      <c r="G206" s="44" t="s">
        <v>40</v>
      </c>
      <c r="H206" s="44" t="s">
        <v>28</v>
      </c>
      <c r="I206" s="43" t="s">
        <v>12</v>
      </c>
      <c r="J206" s="43" t="s">
        <v>21</v>
      </c>
      <c r="K206" s="43" t="s">
        <v>21</v>
      </c>
      <c r="L206" s="43" t="s">
        <v>29</v>
      </c>
      <c r="M206" s="43" t="s">
        <v>29</v>
      </c>
      <c r="N206" s="43" t="s">
        <v>21</v>
      </c>
      <c r="O206" s="43" t="s">
        <v>21</v>
      </c>
      <c r="P206" s="25">
        <f>VLOOKUP(C206, [1]Sheet1!$A$2:$B$313, 2, FALSE)</f>
        <v>5.0579252857770003</v>
      </c>
      <c r="Q206" s="45">
        <v>9.522374755976603E-4</v>
      </c>
      <c r="R206" s="16"/>
    </row>
    <row r="207" spans="2:18" ht="32.1">
      <c r="B207" s="43">
        <v>138</v>
      </c>
      <c r="C207" s="43">
        <v>851829</v>
      </c>
      <c r="D207" s="47" t="s">
        <v>392</v>
      </c>
      <c r="E207" s="44" t="s">
        <v>280</v>
      </c>
      <c r="F207" s="44" t="s">
        <v>66</v>
      </c>
      <c r="G207" s="44" t="s">
        <v>40</v>
      </c>
      <c r="H207" s="44" t="s">
        <v>28</v>
      </c>
      <c r="I207" s="43" t="s">
        <v>12</v>
      </c>
      <c r="J207" s="43" t="s">
        <v>21</v>
      </c>
      <c r="K207" s="43" t="s">
        <v>21</v>
      </c>
      <c r="L207" s="43" t="s">
        <v>21</v>
      </c>
      <c r="M207" s="43" t="s">
        <v>21</v>
      </c>
      <c r="N207" s="43" t="s">
        <v>21</v>
      </c>
      <c r="O207" s="43" t="s">
        <v>21</v>
      </c>
      <c r="P207" s="25">
        <f>VLOOKUP(C207, [1]Sheet1!$A$2:$B$313, 2, FALSE)</f>
        <v>5.0907303440070004</v>
      </c>
      <c r="Q207" s="45">
        <v>8.6736499169118991E-4</v>
      </c>
    </row>
    <row r="208" spans="2:18" ht="63.95" hidden="1">
      <c r="B208" s="43">
        <v>135</v>
      </c>
      <c r="C208" s="43">
        <v>853120</v>
      </c>
      <c r="D208" s="47" t="s">
        <v>393</v>
      </c>
      <c r="E208" s="44" t="s">
        <v>394</v>
      </c>
      <c r="F208" s="44" t="s">
        <v>189</v>
      </c>
      <c r="G208" s="44" t="s">
        <v>19</v>
      </c>
      <c r="H208" s="44" t="s">
        <v>20</v>
      </c>
      <c r="I208" s="43" t="s">
        <v>12</v>
      </c>
      <c r="J208" s="43" t="s">
        <v>21</v>
      </c>
      <c r="K208" s="43" t="s">
        <v>21</v>
      </c>
      <c r="L208" s="43" t="s">
        <v>29</v>
      </c>
      <c r="M208" s="43" t="s">
        <v>29</v>
      </c>
      <c r="N208" s="43" t="s">
        <v>21</v>
      </c>
      <c r="O208" s="43" t="s">
        <v>21</v>
      </c>
      <c r="P208" s="25">
        <f>VLOOKUP(C208, [1]Sheet1!$A$2:$B$313, 2, FALSE)</f>
        <v>5.0279102022829996</v>
      </c>
      <c r="Q208" s="45">
        <v>1.1933399582976835E-3</v>
      </c>
    </row>
    <row r="209" spans="2:18" ht="48">
      <c r="B209" s="43">
        <v>145</v>
      </c>
      <c r="C209" s="43">
        <v>852910</v>
      </c>
      <c r="D209" s="47" t="s">
        <v>395</v>
      </c>
      <c r="E209" s="44" t="s">
        <v>69</v>
      </c>
      <c r="F209" s="44" t="s">
        <v>26</v>
      </c>
      <c r="G209" s="44" t="s">
        <v>67</v>
      </c>
      <c r="H209" s="44" t="s">
        <v>28</v>
      </c>
      <c r="I209" s="43" t="s">
        <v>12</v>
      </c>
      <c r="J209" s="43" t="s">
        <v>21</v>
      </c>
      <c r="K209" s="43" t="s">
        <v>21</v>
      </c>
      <c r="L209" s="43" t="s">
        <v>21</v>
      </c>
      <c r="M209" s="43" t="s">
        <v>29</v>
      </c>
      <c r="N209" s="43" t="s">
        <v>21</v>
      </c>
      <c r="O209" s="43" t="s">
        <v>21</v>
      </c>
      <c r="P209" s="25">
        <f>VLOOKUP(C209, [1]Sheet1!$A$2:$B$313, 2, FALSE)</f>
        <v>4.998315682136</v>
      </c>
      <c r="Q209" s="45">
        <v>9.5278864376439941E-4</v>
      </c>
    </row>
    <row r="210" spans="2:18" ht="48">
      <c r="B210" s="43">
        <v>159</v>
      </c>
      <c r="C210" s="43">
        <v>902730</v>
      </c>
      <c r="D210" s="47" t="s">
        <v>396</v>
      </c>
      <c r="E210" s="44" t="s">
        <v>397</v>
      </c>
      <c r="F210" s="44" t="s">
        <v>189</v>
      </c>
      <c r="G210" s="44" t="s">
        <v>40</v>
      </c>
      <c r="H210" s="44" t="s">
        <v>28</v>
      </c>
      <c r="I210" s="43" t="s">
        <v>12</v>
      </c>
      <c r="J210" s="43" t="s">
        <v>21</v>
      </c>
      <c r="K210" s="43" t="s">
        <v>21</v>
      </c>
      <c r="L210" s="43" t="s">
        <v>29</v>
      </c>
      <c r="M210" s="43" t="s">
        <v>29</v>
      </c>
      <c r="N210" s="43" t="s">
        <v>21</v>
      </c>
      <c r="O210" s="43" t="s">
        <v>21</v>
      </c>
      <c r="P210" s="25">
        <f>VLOOKUP(C210, [1]Sheet1!$A$2:$B$313, 2, FALSE)</f>
        <v>4.9188491008900002</v>
      </c>
      <c r="Q210" s="45">
        <v>8.5878476140371842E-4</v>
      </c>
    </row>
    <row r="211" spans="2:18" ht="32.1" hidden="1">
      <c r="B211" s="43">
        <v>139</v>
      </c>
      <c r="C211" s="43">
        <v>853641</v>
      </c>
      <c r="D211" s="47" t="s">
        <v>398</v>
      </c>
      <c r="E211" s="44" t="s">
        <v>385</v>
      </c>
      <c r="F211" s="44" t="s">
        <v>54</v>
      </c>
      <c r="G211" s="44" t="s">
        <v>19</v>
      </c>
      <c r="H211" s="44" t="s">
        <v>20</v>
      </c>
      <c r="I211" s="43" t="s">
        <v>12</v>
      </c>
      <c r="J211" s="43" t="s">
        <v>21</v>
      </c>
      <c r="K211" s="43" t="s">
        <v>21</v>
      </c>
      <c r="L211" s="43" t="s">
        <v>21</v>
      </c>
      <c r="M211" s="43" t="s">
        <v>29</v>
      </c>
      <c r="N211" s="43" t="s">
        <v>21</v>
      </c>
      <c r="O211" s="43" t="s">
        <v>21</v>
      </c>
      <c r="P211" s="25">
        <f>VLOOKUP(C211, [1]Sheet1!$A$2:$B$313, 2, FALSE)</f>
        <v>4.8902198723129997</v>
      </c>
      <c r="Q211" s="45">
        <v>1.2286565949064096E-3</v>
      </c>
    </row>
    <row r="212" spans="2:18" ht="32.1">
      <c r="B212" s="35">
        <v>102</v>
      </c>
      <c r="C212" s="35">
        <v>901380</v>
      </c>
      <c r="D212" s="37" t="s">
        <v>399</v>
      </c>
      <c r="E212" s="36" t="s">
        <v>400</v>
      </c>
      <c r="F212" s="36" t="s">
        <v>189</v>
      </c>
      <c r="G212" s="36" t="s">
        <v>40</v>
      </c>
      <c r="H212" s="36" t="s">
        <v>28</v>
      </c>
      <c r="I212" s="35" t="s">
        <v>12</v>
      </c>
      <c r="J212" s="35" t="s">
        <v>21</v>
      </c>
      <c r="K212" s="35" t="s">
        <v>21</v>
      </c>
      <c r="L212" s="35" t="s">
        <v>21</v>
      </c>
      <c r="M212" s="35" t="s">
        <v>29</v>
      </c>
      <c r="N212" s="38" t="s">
        <v>21</v>
      </c>
      <c r="O212" s="35" t="s">
        <v>21</v>
      </c>
      <c r="P212" s="25">
        <f>VLOOKUP(C212, [1]Sheet1!$A$2:$B$313, 2, FALSE)</f>
        <v>4.8276369534940002</v>
      </c>
      <c r="Q212" s="59">
        <v>1.7811804751458756E-3</v>
      </c>
    </row>
    <row r="213" spans="2:18" ht="96">
      <c r="B213" s="26">
        <v>130</v>
      </c>
      <c r="C213" s="26">
        <v>901812</v>
      </c>
      <c r="D213" s="28" t="s">
        <v>401</v>
      </c>
      <c r="E213" s="27" t="s">
        <v>402</v>
      </c>
      <c r="F213" s="27" t="s">
        <v>198</v>
      </c>
      <c r="G213" s="27" t="s">
        <v>40</v>
      </c>
      <c r="H213" s="27" t="s">
        <v>28</v>
      </c>
      <c r="I213" s="26" t="s">
        <v>12</v>
      </c>
      <c r="J213" s="26" t="s">
        <v>21</v>
      </c>
      <c r="K213" s="26" t="s">
        <v>21</v>
      </c>
      <c r="L213" s="26" t="s">
        <v>29</v>
      </c>
      <c r="M213" s="26" t="s">
        <v>29</v>
      </c>
      <c r="N213" s="29" t="s">
        <v>21</v>
      </c>
      <c r="O213" s="26" t="s">
        <v>21</v>
      </c>
      <c r="P213" s="25">
        <f>VLOOKUP(C213, [1]Sheet1!$A$2:$B$313, 2, FALSE)</f>
        <v>4.807446613542</v>
      </c>
      <c r="Q213" s="59">
        <v>1.0613101727129821E-3</v>
      </c>
    </row>
    <row r="214" spans="2:18" ht="48" hidden="1">
      <c r="B214" s="43">
        <v>177</v>
      </c>
      <c r="C214" s="43">
        <v>853180</v>
      </c>
      <c r="D214" s="47" t="s">
        <v>403</v>
      </c>
      <c r="E214" s="44" t="s">
        <v>404</v>
      </c>
      <c r="F214" s="44" t="s">
        <v>189</v>
      </c>
      <c r="G214" s="44" t="s">
        <v>19</v>
      </c>
      <c r="H214" s="44" t="s">
        <v>20</v>
      </c>
      <c r="I214" s="43" t="s">
        <v>12</v>
      </c>
      <c r="J214" s="43" t="s">
        <v>21</v>
      </c>
      <c r="K214" s="43" t="s">
        <v>21</v>
      </c>
      <c r="L214" s="43" t="s">
        <v>29</v>
      </c>
      <c r="M214" s="43" t="s">
        <v>29</v>
      </c>
      <c r="N214" s="43" t="s">
        <v>21</v>
      </c>
      <c r="O214" s="43" t="s">
        <v>21</v>
      </c>
      <c r="P214" s="25">
        <f>VLOOKUP(C214, [1]Sheet1!$A$2:$B$313, 2, FALSE)</f>
        <v>4.7878456711409996</v>
      </c>
      <c r="Q214" s="45">
        <v>4.8063262900470644E-4</v>
      </c>
    </row>
    <row r="215" spans="2:18" ht="32.1">
      <c r="B215" s="43">
        <v>136</v>
      </c>
      <c r="C215" s="43">
        <v>851821</v>
      </c>
      <c r="D215" s="47" t="s">
        <v>405</v>
      </c>
      <c r="E215" s="44" t="s">
        <v>280</v>
      </c>
      <c r="F215" s="44" t="s">
        <v>66</v>
      </c>
      <c r="G215" s="44" t="s">
        <v>40</v>
      </c>
      <c r="H215" s="44" t="s">
        <v>28</v>
      </c>
      <c r="I215" s="43" t="s">
        <v>12</v>
      </c>
      <c r="J215" s="43" t="s">
        <v>21</v>
      </c>
      <c r="K215" s="43" t="s">
        <v>21</v>
      </c>
      <c r="L215" s="43" t="s">
        <v>21</v>
      </c>
      <c r="M215" s="43" t="s">
        <v>29</v>
      </c>
      <c r="N215" s="43" t="s">
        <v>21</v>
      </c>
      <c r="O215" s="43" t="s">
        <v>21</v>
      </c>
      <c r="P215" s="25">
        <f>VLOOKUP(C215, [1]Sheet1!$A$2:$B$313, 2, FALSE)</f>
        <v>4.7718302641220003</v>
      </c>
      <c r="Q215" s="45">
        <v>1.0971488849087576E-3</v>
      </c>
    </row>
    <row r="216" spans="2:18" ht="63.95">
      <c r="B216" s="43">
        <v>148</v>
      </c>
      <c r="C216" s="43">
        <v>852721</v>
      </c>
      <c r="D216" s="47" t="s">
        <v>406</v>
      </c>
      <c r="E216" s="44" t="s">
        <v>407</v>
      </c>
      <c r="F216" s="44" t="s">
        <v>266</v>
      </c>
      <c r="G216" s="44" t="s">
        <v>27</v>
      </c>
      <c r="H216" s="44" t="s">
        <v>28</v>
      </c>
      <c r="I216" s="43" t="s">
        <v>12</v>
      </c>
      <c r="J216" s="43" t="s">
        <v>21</v>
      </c>
      <c r="K216" s="43" t="s">
        <v>21</v>
      </c>
      <c r="L216" s="43" t="s">
        <v>21</v>
      </c>
      <c r="M216" s="43" t="s">
        <v>29</v>
      </c>
      <c r="N216" s="43" t="s">
        <v>21</v>
      </c>
      <c r="O216" s="43" t="s">
        <v>21</v>
      </c>
      <c r="P216" s="25">
        <f>VLOOKUP(C216, [1]Sheet1!$A$2:$B$313, 2, FALSE)</f>
        <v>4.7361861393240003</v>
      </c>
      <c r="Q216" s="45">
        <v>8.8082033748712628E-4</v>
      </c>
    </row>
    <row r="217" spans="2:18" ht="48" hidden="1">
      <c r="B217" s="43">
        <v>150</v>
      </c>
      <c r="C217" s="43">
        <v>851890</v>
      </c>
      <c r="D217" s="47" t="s">
        <v>408</v>
      </c>
      <c r="E217" s="44" t="s">
        <v>409</v>
      </c>
      <c r="F217" s="44" t="s">
        <v>66</v>
      </c>
      <c r="G217" s="44" t="s">
        <v>40</v>
      </c>
      <c r="H217" s="44" t="s">
        <v>20</v>
      </c>
      <c r="I217" s="43" t="s">
        <v>12</v>
      </c>
      <c r="J217" s="43" t="s">
        <v>21</v>
      </c>
      <c r="K217" s="43" t="s">
        <v>21</v>
      </c>
      <c r="L217" s="43" t="s">
        <v>21</v>
      </c>
      <c r="M217" s="43" t="s">
        <v>21</v>
      </c>
      <c r="N217" s="43" t="s">
        <v>21</v>
      </c>
      <c r="O217" s="43" t="s">
        <v>21</v>
      </c>
      <c r="P217" s="25">
        <f>VLOOKUP(C217, [1]Sheet1!$A$2:$B$313, 2, FALSE)</f>
        <v>4.2687244973440004</v>
      </c>
      <c r="Q217" s="45">
        <v>1.0041887376130072E-3</v>
      </c>
    </row>
    <row r="218" spans="2:18" ht="32.1" hidden="1">
      <c r="B218" s="43">
        <v>151</v>
      </c>
      <c r="C218" s="43">
        <v>390390</v>
      </c>
      <c r="D218" s="47" t="s">
        <v>410</v>
      </c>
      <c r="E218" s="44" t="s">
        <v>411</v>
      </c>
      <c r="F218" s="44" t="s">
        <v>50</v>
      </c>
      <c r="G218" s="44" t="s">
        <v>51</v>
      </c>
      <c r="H218" s="44" t="s">
        <v>20</v>
      </c>
      <c r="I218" s="43" t="s">
        <v>11</v>
      </c>
      <c r="J218" s="43" t="s">
        <v>21</v>
      </c>
      <c r="K218" s="43" t="s">
        <v>29</v>
      </c>
      <c r="L218" s="43" t="s">
        <v>29</v>
      </c>
      <c r="M218" s="43" t="s">
        <v>21</v>
      </c>
      <c r="N218" s="43" t="s">
        <v>29</v>
      </c>
      <c r="O218" s="43" t="s">
        <v>29</v>
      </c>
      <c r="P218" s="25">
        <f>VLOOKUP(C218, [1]Sheet1!$A$2:$B$313, 2, FALSE)</f>
        <v>3.2636025156569999</v>
      </c>
      <c r="Q218" s="45">
        <v>8.9444637384703408E-4</v>
      </c>
    </row>
    <row r="219" spans="2:18" ht="32.1">
      <c r="B219" s="43">
        <v>143</v>
      </c>
      <c r="C219" s="43">
        <v>851650</v>
      </c>
      <c r="D219" s="47" t="s">
        <v>412</v>
      </c>
      <c r="E219" s="44" t="s">
        <v>193</v>
      </c>
      <c r="F219" s="44" t="s">
        <v>112</v>
      </c>
      <c r="G219" s="44" t="s">
        <v>67</v>
      </c>
      <c r="H219" s="44" t="s">
        <v>28</v>
      </c>
      <c r="I219" s="43" t="s">
        <v>12</v>
      </c>
      <c r="J219" s="43" t="s">
        <v>21</v>
      </c>
      <c r="K219" s="43" t="s">
        <v>21</v>
      </c>
      <c r="L219" s="43" t="s">
        <v>21</v>
      </c>
      <c r="M219" s="43" t="s">
        <v>29</v>
      </c>
      <c r="N219" s="43" t="s">
        <v>21</v>
      </c>
      <c r="O219" s="43" t="s">
        <v>21</v>
      </c>
      <c r="P219" s="25">
        <f>VLOOKUP(C219, [1]Sheet1!$A$2:$B$313, 2, FALSE)</f>
        <v>4.7173621473909986</v>
      </c>
      <c r="Q219" s="45">
        <v>1.1566447355360946E-3</v>
      </c>
    </row>
    <row r="220" spans="2:18" ht="32.1">
      <c r="B220" s="31">
        <v>154</v>
      </c>
      <c r="C220" s="31">
        <v>903210</v>
      </c>
      <c r="D220" s="33" t="s">
        <v>413</v>
      </c>
      <c r="E220" s="32" t="s">
        <v>414</v>
      </c>
      <c r="F220" s="32" t="s">
        <v>66</v>
      </c>
      <c r="G220" s="32" t="s">
        <v>40</v>
      </c>
      <c r="H220" s="32" t="s">
        <v>28</v>
      </c>
      <c r="I220" s="31" t="s">
        <v>12</v>
      </c>
      <c r="J220" s="31" t="s">
        <v>21</v>
      </c>
      <c r="K220" s="31" t="s">
        <v>21</v>
      </c>
      <c r="L220" s="31" t="s">
        <v>21</v>
      </c>
      <c r="M220" s="31" t="s">
        <v>29</v>
      </c>
      <c r="N220" s="34" t="s">
        <v>21</v>
      </c>
      <c r="O220" s="31" t="s">
        <v>21</v>
      </c>
      <c r="P220" s="25">
        <f>VLOOKUP(C220, [1]Sheet1!$A$2:$B$313, 2, FALSE)</f>
        <v>4.5547847470249998</v>
      </c>
      <c r="Q220" s="59">
        <v>7.0110357342426175E-4</v>
      </c>
    </row>
    <row r="221" spans="2:18" ht="63.95" hidden="1">
      <c r="B221" s="43">
        <v>160</v>
      </c>
      <c r="C221" s="43">
        <v>853190</v>
      </c>
      <c r="D221" s="47" t="s">
        <v>415</v>
      </c>
      <c r="E221" s="44" t="s">
        <v>416</v>
      </c>
      <c r="F221" s="44" t="s">
        <v>189</v>
      </c>
      <c r="G221" s="44" t="s">
        <v>19</v>
      </c>
      <c r="H221" s="44" t="s">
        <v>20</v>
      </c>
      <c r="I221" s="43" t="s">
        <v>12</v>
      </c>
      <c r="J221" s="43" t="s">
        <v>21</v>
      </c>
      <c r="K221" s="43" t="s">
        <v>21</v>
      </c>
      <c r="L221" s="43" t="s">
        <v>29</v>
      </c>
      <c r="M221" s="43" t="s">
        <v>29</v>
      </c>
      <c r="N221" s="43" t="s">
        <v>21</v>
      </c>
      <c r="O221" s="43" t="s">
        <v>21</v>
      </c>
      <c r="P221" s="25">
        <f>VLOOKUP(C221, [1]Sheet1!$A$2:$B$313, 2, FALSE)</f>
        <v>4.3490720956780002</v>
      </c>
      <c r="Q221" s="45">
        <v>7.5147250001801711E-4</v>
      </c>
    </row>
    <row r="222" spans="2:18" ht="32.1" hidden="1">
      <c r="B222" s="31">
        <v>155</v>
      </c>
      <c r="C222" s="31">
        <v>390890</v>
      </c>
      <c r="D222" s="33" t="s">
        <v>417</v>
      </c>
      <c r="E222" s="32" t="s">
        <v>418</v>
      </c>
      <c r="F222" s="32" t="s">
        <v>50</v>
      </c>
      <c r="G222" s="32" t="s">
        <v>51</v>
      </c>
      <c r="H222" s="32" t="s">
        <v>20</v>
      </c>
      <c r="I222" s="31" t="s">
        <v>11</v>
      </c>
      <c r="J222" s="31" t="s">
        <v>21</v>
      </c>
      <c r="K222" s="31" t="s">
        <v>29</v>
      </c>
      <c r="L222" s="31" t="s">
        <v>29</v>
      </c>
      <c r="M222" s="31" t="s">
        <v>21</v>
      </c>
      <c r="N222" s="34" t="s">
        <v>29</v>
      </c>
      <c r="O222" s="31" t="s">
        <v>29</v>
      </c>
      <c r="P222" s="25">
        <f>VLOOKUP(C222, [1]Sheet1!$A$2:$B$313, 2, FALSE)</f>
        <v>3.8829469254190001</v>
      </c>
      <c r="Q222" s="59">
        <v>8.1802016250897907E-4</v>
      </c>
    </row>
    <row r="223" spans="2:18" ht="48" hidden="1">
      <c r="B223" s="43">
        <v>156</v>
      </c>
      <c r="C223" s="43">
        <v>853810</v>
      </c>
      <c r="D223" s="47" t="s">
        <v>419</v>
      </c>
      <c r="E223" s="44" t="s">
        <v>420</v>
      </c>
      <c r="F223" s="44" t="s">
        <v>54</v>
      </c>
      <c r="G223" s="44" t="s">
        <v>19</v>
      </c>
      <c r="H223" s="44" t="s">
        <v>20</v>
      </c>
      <c r="I223" s="43" t="s">
        <v>12</v>
      </c>
      <c r="J223" s="43" t="s">
        <v>21</v>
      </c>
      <c r="K223" s="43" t="s">
        <v>21</v>
      </c>
      <c r="L223" s="43" t="s">
        <v>21</v>
      </c>
      <c r="M223" s="43" t="s">
        <v>21</v>
      </c>
      <c r="N223" s="43" t="s">
        <v>21</v>
      </c>
      <c r="O223" s="43" t="s">
        <v>21</v>
      </c>
      <c r="P223" s="25">
        <f>VLOOKUP(C223, [1]Sheet1!$A$2:$B$313, 2, FALSE)</f>
        <v>4.8648904810940001</v>
      </c>
      <c r="Q223" s="45">
        <v>9.1268241002618851E-4</v>
      </c>
      <c r="R223" s="16"/>
    </row>
    <row r="224" spans="2:18" ht="32.1" hidden="1">
      <c r="B224" s="31">
        <v>180</v>
      </c>
      <c r="C224" s="31">
        <v>851840</v>
      </c>
      <c r="D224" s="33" t="s">
        <v>421</v>
      </c>
      <c r="E224" s="32" t="s">
        <v>100</v>
      </c>
      <c r="F224" s="32" t="s">
        <v>189</v>
      </c>
      <c r="G224" s="32" t="s">
        <v>40</v>
      </c>
      <c r="H224" s="32" t="s">
        <v>20</v>
      </c>
      <c r="I224" s="31" t="s">
        <v>12</v>
      </c>
      <c r="J224" s="31" t="s">
        <v>21</v>
      </c>
      <c r="K224" s="31" t="s">
        <v>21</v>
      </c>
      <c r="L224" s="31" t="s">
        <v>21</v>
      </c>
      <c r="M224" s="31" t="s">
        <v>29</v>
      </c>
      <c r="N224" s="34" t="s">
        <v>21</v>
      </c>
      <c r="O224" s="31" t="s">
        <v>21</v>
      </c>
      <c r="P224" s="25">
        <f>VLOOKUP(C224, [1]Sheet1!$A$2:$B$313, 2, FALSE)</f>
        <v>4.3384380780880001</v>
      </c>
      <c r="Q224" s="59">
        <v>6.6374663619391927E-4</v>
      </c>
    </row>
    <row r="225" spans="2:17" ht="48">
      <c r="B225" s="43">
        <v>158</v>
      </c>
      <c r="C225" s="43">
        <v>854340</v>
      </c>
      <c r="D225" s="47" t="s">
        <v>422</v>
      </c>
      <c r="E225" s="44" t="s">
        <v>423</v>
      </c>
      <c r="F225" s="44" t="s">
        <v>54</v>
      </c>
      <c r="G225" s="44" t="s">
        <v>40</v>
      </c>
      <c r="H225" s="44" t="s">
        <v>28</v>
      </c>
      <c r="I225" s="43" t="s">
        <v>12</v>
      </c>
      <c r="J225" s="43" t="s">
        <v>21</v>
      </c>
      <c r="K225" s="43" t="s">
        <v>29</v>
      </c>
      <c r="L225" s="43" t="s">
        <v>29</v>
      </c>
      <c r="M225" s="43" t="s">
        <v>29</v>
      </c>
      <c r="N225" s="43" t="s">
        <v>21</v>
      </c>
      <c r="O225" s="43" t="s">
        <v>29</v>
      </c>
      <c r="P225" s="25">
        <f>VLOOKUP(C225, [1]Sheet1!$A$2:$B$313, 2, FALSE)</f>
        <v>4.3283762313279999</v>
      </c>
      <c r="Q225" s="45">
        <v>1.192006313729255E-3</v>
      </c>
    </row>
    <row r="226" spans="2:17" ht="48">
      <c r="B226" s="35">
        <v>165</v>
      </c>
      <c r="C226" s="35">
        <v>902519</v>
      </c>
      <c r="D226" s="37" t="s">
        <v>424</v>
      </c>
      <c r="E226" s="36" t="s">
        <v>425</v>
      </c>
      <c r="F226" s="36" t="s">
        <v>198</v>
      </c>
      <c r="G226" s="36" t="s">
        <v>40</v>
      </c>
      <c r="H226" s="36" t="s">
        <v>28</v>
      </c>
      <c r="I226" s="35" t="s">
        <v>12</v>
      </c>
      <c r="J226" s="35" t="s">
        <v>21</v>
      </c>
      <c r="K226" s="35" t="s">
        <v>21</v>
      </c>
      <c r="L226" s="35" t="s">
        <v>29</v>
      </c>
      <c r="M226" s="35" t="s">
        <v>29</v>
      </c>
      <c r="N226" s="38" t="s">
        <v>21</v>
      </c>
      <c r="O226" s="35" t="s">
        <v>21</v>
      </c>
      <c r="P226" s="25">
        <f>VLOOKUP(C226, [1]Sheet1!$A$2:$B$313, 2, FALSE)</f>
        <v>4.3095280250150001</v>
      </c>
      <c r="Q226" s="59">
        <v>7.0218904085980326E-4</v>
      </c>
    </row>
    <row r="227" spans="2:17" ht="48" hidden="1">
      <c r="B227" s="26">
        <v>141</v>
      </c>
      <c r="C227" s="26">
        <v>851771</v>
      </c>
      <c r="D227" s="28" t="s">
        <v>426</v>
      </c>
      <c r="E227" s="27" t="s">
        <v>427</v>
      </c>
      <c r="F227" s="27" t="s">
        <v>26</v>
      </c>
      <c r="G227" s="27" t="s">
        <v>27</v>
      </c>
      <c r="H227" s="27" t="s">
        <v>20</v>
      </c>
      <c r="I227" s="26" t="s">
        <v>12</v>
      </c>
      <c r="J227" s="26" t="s">
        <v>21</v>
      </c>
      <c r="K227" s="26" t="s">
        <v>29</v>
      </c>
      <c r="L227" s="26" t="s">
        <v>29</v>
      </c>
      <c r="M227" s="26" t="s">
        <v>29</v>
      </c>
      <c r="N227" s="29" t="s">
        <v>21</v>
      </c>
      <c r="O227" s="26" t="s">
        <v>29</v>
      </c>
      <c r="P227" s="25">
        <f>VLOOKUP(C227, [1]Sheet1!$A$2:$B$313, 2, FALSE)</f>
        <v>4.2829552076889996</v>
      </c>
      <c r="Q227" s="59">
        <v>1.0980011856941655E-3</v>
      </c>
    </row>
    <row r="228" spans="2:17" ht="63.95">
      <c r="B228" s="43">
        <v>163</v>
      </c>
      <c r="C228" s="43">
        <v>852871</v>
      </c>
      <c r="D228" s="47" t="s">
        <v>428</v>
      </c>
      <c r="E228" s="44" t="s">
        <v>429</v>
      </c>
      <c r="F228" s="44" t="s">
        <v>66</v>
      </c>
      <c r="G228" s="44" t="s">
        <v>67</v>
      </c>
      <c r="H228" s="44" t="s">
        <v>28</v>
      </c>
      <c r="I228" s="43" t="s">
        <v>12</v>
      </c>
      <c r="J228" s="43" t="s">
        <v>21</v>
      </c>
      <c r="K228" s="43" t="s">
        <v>21</v>
      </c>
      <c r="L228" s="43" t="s">
        <v>21</v>
      </c>
      <c r="M228" s="43" t="s">
        <v>21</v>
      </c>
      <c r="N228" s="43" t="s">
        <v>21</v>
      </c>
      <c r="O228" s="43" t="s">
        <v>21</v>
      </c>
      <c r="P228" s="25">
        <f>VLOOKUP(C228, [1]Sheet1!$A$2:$B$313, 2, FALSE)</f>
        <v>3.0431370561520001</v>
      </c>
      <c r="Q228" s="45">
        <v>5.9248271307418832E-4</v>
      </c>
    </row>
    <row r="229" spans="2:17" ht="32.1" hidden="1">
      <c r="B229" s="43">
        <v>164</v>
      </c>
      <c r="C229" s="43">
        <v>482110</v>
      </c>
      <c r="D229" s="47" t="s">
        <v>430</v>
      </c>
      <c r="E229" s="44" t="s">
        <v>251</v>
      </c>
      <c r="F229" s="44" t="s">
        <v>50</v>
      </c>
      <c r="G229" s="44" t="s">
        <v>51</v>
      </c>
      <c r="H229" s="44" t="s">
        <v>20</v>
      </c>
      <c r="I229" s="43" t="s">
        <v>11</v>
      </c>
      <c r="J229" s="43" t="s">
        <v>21</v>
      </c>
      <c r="K229" s="43" t="s">
        <v>29</v>
      </c>
      <c r="L229" s="43" t="s">
        <v>29</v>
      </c>
      <c r="M229" s="43" t="s">
        <v>21</v>
      </c>
      <c r="N229" s="43" t="s">
        <v>29</v>
      </c>
      <c r="O229" s="43" t="s">
        <v>29</v>
      </c>
      <c r="P229" s="25">
        <f>VLOOKUP(C229, [1]Sheet1!$A$2:$B$313, 2, FALSE)</f>
        <v>4.1380441611199998</v>
      </c>
      <c r="Q229" s="45">
        <v>7.6137408534522003E-4</v>
      </c>
    </row>
    <row r="230" spans="2:17" ht="63.95">
      <c r="B230" s="43">
        <v>157</v>
      </c>
      <c r="C230" s="43">
        <v>903040</v>
      </c>
      <c r="D230" s="47" t="s">
        <v>431</v>
      </c>
      <c r="E230" s="44" t="s">
        <v>432</v>
      </c>
      <c r="F230" s="44" t="s">
        <v>189</v>
      </c>
      <c r="G230" s="44" t="s">
        <v>40</v>
      </c>
      <c r="H230" s="44" t="s">
        <v>28</v>
      </c>
      <c r="I230" s="43" t="s">
        <v>12</v>
      </c>
      <c r="J230" s="43" t="s">
        <v>21</v>
      </c>
      <c r="K230" s="43" t="s">
        <v>21</v>
      </c>
      <c r="L230" s="43" t="s">
        <v>29</v>
      </c>
      <c r="M230" s="43" t="s">
        <v>29</v>
      </c>
      <c r="N230" s="43" t="s">
        <v>21</v>
      </c>
      <c r="O230" s="43" t="s">
        <v>21</v>
      </c>
      <c r="P230" s="25">
        <f>VLOOKUP(C230, [1]Sheet1!$A$2:$B$313, 2, FALSE)</f>
        <v>4.163338616911</v>
      </c>
      <c r="Q230" s="45">
        <v>7.5629959775021813E-4</v>
      </c>
    </row>
    <row r="231" spans="2:17" ht="48" hidden="1">
      <c r="B231" s="43">
        <v>168</v>
      </c>
      <c r="C231" s="43">
        <v>420231</v>
      </c>
      <c r="D231" s="47" t="s">
        <v>433</v>
      </c>
      <c r="E231" s="44" t="s">
        <v>434</v>
      </c>
      <c r="F231" s="44" t="s">
        <v>50</v>
      </c>
      <c r="G231" s="44" t="s">
        <v>51</v>
      </c>
      <c r="H231" s="44" t="s">
        <v>20</v>
      </c>
      <c r="I231" s="43" t="s">
        <v>11</v>
      </c>
      <c r="J231" s="43" t="s">
        <v>21</v>
      </c>
      <c r="K231" s="43" t="s">
        <v>29</v>
      </c>
      <c r="L231" s="43" t="s">
        <v>29</v>
      </c>
      <c r="M231" s="43" t="s">
        <v>21</v>
      </c>
      <c r="N231" s="43" t="s">
        <v>29</v>
      </c>
      <c r="O231" s="43" t="s">
        <v>29</v>
      </c>
      <c r="P231" s="25">
        <f>VLOOKUP(C231, [1]Sheet1!$A$2:$B$313, 2, FALSE)</f>
        <v>3.8307026293669999</v>
      </c>
      <c r="Q231" s="45">
        <v>5.0306668518553541E-4</v>
      </c>
    </row>
    <row r="232" spans="2:17" ht="32.1">
      <c r="B232" s="43">
        <v>153</v>
      </c>
      <c r="C232" s="43">
        <v>847050</v>
      </c>
      <c r="D232" s="47" t="s">
        <v>435</v>
      </c>
      <c r="E232" s="44" t="s">
        <v>436</v>
      </c>
      <c r="F232" s="44" t="s">
        <v>66</v>
      </c>
      <c r="G232" s="44" t="s">
        <v>40</v>
      </c>
      <c r="H232" s="44" t="s">
        <v>28</v>
      </c>
      <c r="I232" s="43" t="s">
        <v>12</v>
      </c>
      <c r="J232" s="43" t="s">
        <v>21</v>
      </c>
      <c r="K232" s="43" t="s">
        <v>21</v>
      </c>
      <c r="L232" s="43" t="s">
        <v>21</v>
      </c>
      <c r="M232" s="43" t="s">
        <v>29</v>
      </c>
      <c r="N232" s="43" t="s">
        <v>21</v>
      </c>
      <c r="O232" s="43" t="s">
        <v>21</v>
      </c>
      <c r="P232" s="25">
        <f>VLOOKUP(C232, [1]Sheet1!$A$2:$B$313, 2, FALSE)</f>
        <v>4.0777666635449998</v>
      </c>
      <c r="Q232" s="45">
        <v>9.6337956634832175E-4</v>
      </c>
    </row>
    <row r="233" spans="2:17" ht="32.1">
      <c r="B233" s="31">
        <v>170</v>
      </c>
      <c r="C233" s="31">
        <v>852692</v>
      </c>
      <c r="D233" s="33" t="s">
        <v>437</v>
      </c>
      <c r="E233" s="32" t="s">
        <v>265</v>
      </c>
      <c r="F233" s="32" t="s">
        <v>266</v>
      </c>
      <c r="G233" s="32" t="s">
        <v>27</v>
      </c>
      <c r="H233" s="32" t="s">
        <v>28</v>
      </c>
      <c r="I233" s="31" t="s">
        <v>12</v>
      </c>
      <c r="J233" s="31" t="s">
        <v>21</v>
      </c>
      <c r="K233" s="31" t="s">
        <v>21</v>
      </c>
      <c r="L233" s="31" t="s">
        <v>21</v>
      </c>
      <c r="M233" s="31" t="s">
        <v>29</v>
      </c>
      <c r="N233" s="34" t="s">
        <v>21</v>
      </c>
      <c r="O233" s="31" t="s">
        <v>21</v>
      </c>
      <c r="P233" s="25">
        <f>VLOOKUP(C233, [1]Sheet1!$A$2:$B$313, 2, FALSE)</f>
        <v>4.0074355896110001</v>
      </c>
      <c r="Q233" s="59">
        <v>2.7433618293450573E-4</v>
      </c>
    </row>
    <row r="234" spans="2:17" ht="32.1" hidden="1">
      <c r="B234" s="43">
        <v>178</v>
      </c>
      <c r="C234" s="43">
        <v>850610</v>
      </c>
      <c r="D234" s="47" t="s">
        <v>438</v>
      </c>
      <c r="E234" s="44" t="s">
        <v>439</v>
      </c>
      <c r="F234" s="44" t="s">
        <v>66</v>
      </c>
      <c r="G234" s="44" t="s">
        <v>43</v>
      </c>
      <c r="H234" s="44" t="s">
        <v>20</v>
      </c>
      <c r="I234" s="43" t="s">
        <v>12</v>
      </c>
      <c r="J234" s="43" t="s">
        <v>21</v>
      </c>
      <c r="K234" s="43" t="s">
        <v>21</v>
      </c>
      <c r="L234" s="43" t="s">
        <v>29</v>
      </c>
      <c r="M234" s="43" t="s">
        <v>29</v>
      </c>
      <c r="N234" s="43" t="s">
        <v>21</v>
      </c>
      <c r="O234" s="43" t="s">
        <v>29</v>
      </c>
      <c r="P234" s="25">
        <f>VLOOKUP(C234, [1]Sheet1!$A$2:$B$313, 2, FALSE)</f>
        <v>3.786357228205</v>
      </c>
      <c r="Q234" s="45">
        <v>7.0467739816056302E-4</v>
      </c>
    </row>
    <row r="235" spans="2:17" ht="32.1" hidden="1">
      <c r="B235" s="35">
        <v>172</v>
      </c>
      <c r="C235" s="35">
        <v>491110</v>
      </c>
      <c r="D235" s="37" t="s">
        <v>440</v>
      </c>
      <c r="E235" s="36" t="s">
        <v>441</v>
      </c>
      <c r="F235" s="36" t="s">
        <v>50</v>
      </c>
      <c r="G235" s="36" t="s">
        <v>51</v>
      </c>
      <c r="H235" s="36" t="s">
        <v>20</v>
      </c>
      <c r="I235" s="35" t="s">
        <v>11</v>
      </c>
      <c r="J235" s="35" t="s">
        <v>21</v>
      </c>
      <c r="K235" s="35" t="s">
        <v>29</v>
      </c>
      <c r="L235" s="35" t="s">
        <v>29</v>
      </c>
      <c r="M235" s="35" t="s">
        <v>21</v>
      </c>
      <c r="N235" s="38" t="s">
        <v>29</v>
      </c>
      <c r="O235" s="35" t="s">
        <v>29</v>
      </c>
      <c r="P235" s="25">
        <f>VLOOKUP(C235, [1]Sheet1!$A$2:$B$313, 2, FALSE)</f>
        <v>3.7314122865689998</v>
      </c>
      <c r="Q235" s="59">
        <v>9.4408381171024521E-4</v>
      </c>
    </row>
    <row r="236" spans="2:17" ht="32.1">
      <c r="B236" s="5">
        <v>173</v>
      </c>
      <c r="C236" s="5">
        <v>851810</v>
      </c>
      <c r="D236" s="10" t="s">
        <v>442</v>
      </c>
      <c r="E236" s="6" t="s">
        <v>443</v>
      </c>
      <c r="F236" s="6" t="s">
        <v>66</v>
      </c>
      <c r="G236" s="6" t="s">
        <v>40</v>
      </c>
      <c r="H236" s="6" t="s">
        <v>28</v>
      </c>
      <c r="I236" s="5" t="s">
        <v>12</v>
      </c>
      <c r="J236" s="5" t="s">
        <v>21</v>
      </c>
      <c r="K236" s="5" t="s">
        <v>21</v>
      </c>
      <c r="L236" s="5" t="s">
        <v>21</v>
      </c>
      <c r="M236" s="5" t="s">
        <v>21</v>
      </c>
      <c r="N236" s="7" t="s">
        <v>21</v>
      </c>
      <c r="O236" s="5" t="s">
        <v>21</v>
      </c>
      <c r="P236" s="25">
        <f>VLOOKUP(C236, [1]Sheet1!$A$2:$B$313, 2, FALSE)</f>
        <v>4.1596166656219999</v>
      </c>
      <c r="Q236" s="59">
        <v>7.1690404822970721E-4</v>
      </c>
    </row>
    <row r="237" spans="2:17" ht="32.1">
      <c r="B237" s="26">
        <v>175</v>
      </c>
      <c r="C237" s="26">
        <v>851761</v>
      </c>
      <c r="D237" s="28" t="s">
        <v>444</v>
      </c>
      <c r="E237" s="27" t="s">
        <v>445</v>
      </c>
      <c r="F237" s="27" t="s">
        <v>266</v>
      </c>
      <c r="G237" s="27" t="s">
        <v>27</v>
      </c>
      <c r="H237" s="27" t="s">
        <v>28</v>
      </c>
      <c r="I237" s="26" t="s">
        <v>12</v>
      </c>
      <c r="J237" s="26" t="s">
        <v>21</v>
      </c>
      <c r="K237" s="26" t="s">
        <v>21</v>
      </c>
      <c r="L237" s="26" t="s">
        <v>29</v>
      </c>
      <c r="M237" s="26" t="s">
        <v>21</v>
      </c>
      <c r="N237" s="29" t="s">
        <v>21</v>
      </c>
      <c r="O237" s="26" t="s">
        <v>21</v>
      </c>
      <c r="P237" s="25">
        <f>VLOOKUP(C237, [1]Sheet1!$A$2:$B$313, 2, FALSE)</f>
        <v>3.4201397597929999</v>
      </c>
      <c r="Q237" s="59">
        <v>8.3838337627116586E-4</v>
      </c>
    </row>
    <row r="238" spans="2:17" ht="48" hidden="1">
      <c r="B238" s="43">
        <v>203</v>
      </c>
      <c r="C238" s="43">
        <v>850422</v>
      </c>
      <c r="D238" s="47" t="s">
        <v>446</v>
      </c>
      <c r="E238" s="44" t="s">
        <v>213</v>
      </c>
      <c r="F238" s="44" t="s">
        <v>54</v>
      </c>
      <c r="G238" s="44" t="s">
        <v>40</v>
      </c>
      <c r="H238" s="44" t="s">
        <v>20</v>
      </c>
      <c r="I238" s="43" t="s">
        <v>12</v>
      </c>
      <c r="J238" s="43" t="s">
        <v>21</v>
      </c>
      <c r="K238" s="43" t="s">
        <v>21</v>
      </c>
      <c r="L238" s="43" t="s">
        <v>21</v>
      </c>
      <c r="M238" s="43" t="s">
        <v>29</v>
      </c>
      <c r="N238" s="43" t="s">
        <v>21</v>
      </c>
      <c r="O238" s="43" t="s">
        <v>21</v>
      </c>
      <c r="P238" s="25">
        <f>VLOOKUP(C238, [1]Sheet1!$A$2:$B$313, 2, FALSE)</f>
        <v>3.6744228825710001</v>
      </c>
      <c r="Q238" s="45">
        <v>3.2894856145979312E-4</v>
      </c>
    </row>
    <row r="239" spans="2:17" ht="32.1">
      <c r="B239" s="43">
        <v>169</v>
      </c>
      <c r="C239" s="43">
        <v>847290</v>
      </c>
      <c r="D239" s="47" t="s">
        <v>447</v>
      </c>
      <c r="E239" s="44" t="s">
        <v>448</v>
      </c>
      <c r="F239" s="44" t="s">
        <v>36</v>
      </c>
      <c r="G239" s="44" t="s">
        <v>40</v>
      </c>
      <c r="H239" s="44" t="s">
        <v>28</v>
      </c>
      <c r="I239" s="43" t="s">
        <v>12</v>
      </c>
      <c r="J239" s="43" t="s">
        <v>21</v>
      </c>
      <c r="K239" s="43" t="s">
        <v>21</v>
      </c>
      <c r="L239" s="43" t="s">
        <v>29</v>
      </c>
      <c r="M239" s="43" t="s">
        <v>29</v>
      </c>
      <c r="N239" s="43" t="s">
        <v>21</v>
      </c>
      <c r="O239" s="43" t="s">
        <v>29</v>
      </c>
      <c r="P239" s="25">
        <f>VLOOKUP(C239, [1]Sheet1!$A$2:$B$313, 2, FALSE)</f>
        <v>3.5590619713559999</v>
      </c>
      <c r="Q239" s="45">
        <v>7.182374249543685E-4</v>
      </c>
    </row>
    <row r="240" spans="2:17" ht="32.1">
      <c r="B240" s="43">
        <v>179</v>
      </c>
      <c r="C240" s="43">
        <v>852190</v>
      </c>
      <c r="D240" s="47" t="s">
        <v>449</v>
      </c>
      <c r="E240" s="44" t="s">
        <v>450</v>
      </c>
      <c r="F240" s="44" t="s">
        <v>66</v>
      </c>
      <c r="G240" s="44" t="s">
        <v>67</v>
      </c>
      <c r="H240" s="44" t="s">
        <v>28</v>
      </c>
      <c r="I240" s="43" t="s">
        <v>12</v>
      </c>
      <c r="J240" s="43" t="s">
        <v>21</v>
      </c>
      <c r="K240" s="43" t="s">
        <v>21</v>
      </c>
      <c r="L240" s="43" t="s">
        <v>21</v>
      </c>
      <c r="M240" s="43" t="s">
        <v>29</v>
      </c>
      <c r="N240" s="43" t="s">
        <v>21</v>
      </c>
      <c r="O240" s="43" t="s">
        <v>21</v>
      </c>
      <c r="P240" s="25">
        <f>VLOOKUP(C240, [1]Sheet1!$A$2:$B$313, 2, FALSE)</f>
        <v>3.5031479193949999</v>
      </c>
      <c r="Q240" s="45">
        <v>5.2455502147801339E-4</v>
      </c>
    </row>
    <row r="241" spans="2:18" ht="63.95" hidden="1">
      <c r="B241" s="35">
        <v>184</v>
      </c>
      <c r="C241" s="35">
        <v>910111</v>
      </c>
      <c r="D241" s="37" t="s">
        <v>451</v>
      </c>
      <c r="E241" s="36" t="s">
        <v>452</v>
      </c>
      <c r="F241" s="36" t="s">
        <v>66</v>
      </c>
      <c r="G241" s="36" t="s">
        <v>51</v>
      </c>
      <c r="H241" s="36" t="s">
        <v>28</v>
      </c>
      <c r="I241" s="35" t="s">
        <v>96</v>
      </c>
      <c r="J241" s="35" t="s">
        <v>21</v>
      </c>
      <c r="K241" s="35" t="s">
        <v>21</v>
      </c>
      <c r="L241" s="35" t="s">
        <v>29</v>
      </c>
      <c r="M241" s="35" t="s">
        <v>29</v>
      </c>
      <c r="N241" s="38" t="s">
        <v>29</v>
      </c>
      <c r="O241" s="35" t="s">
        <v>21</v>
      </c>
      <c r="P241" s="25">
        <f>VLOOKUP(C241, [1]Sheet1!$A$2:$B$313, 2, FALSE)</f>
        <v>3.4992676827200002</v>
      </c>
      <c r="Q241" s="59">
        <v>5.5952549811917542E-4</v>
      </c>
    </row>
    <row r="242" spans="2:18" ht="48">
      <c r="B242" s="26">
        <v>197</v>
      </c>
      <c r="C242" s="26">
        <v>902219</v>
      </c>
      <c r="D242" s="28" t="s">
        <v>453</v>
      </c>
      <c r="E242" s="27" t="s">
        <v>454</v>
      </c>
      <c r="F242" s="27" t="s">
        <v>189</v>
      </c>
      <c r="G242" s="27" t="s">
        <v>40</v>
      </c>
      <c r="H242" s="27" t="s">
        <v>28</v>
      </c>
      <c r="I242" s="26" t="s">
        <v>12</v>
      </c>
      <c r="J242" s="26" t="s">
        <v>21</v>
      </c>
      <c r="K242" s="26" t="s">
        <v>21</v>
      </c>
      <c r="L242" s="26" t="s">
        <v>29</v>
      </c>
      <c r="M242" s="26" t="s">
        <v>29</v>
      </c>
      <c r="N242" s="29" t="s">
        <v>21</v>
      </c>
      <c r="O242" s="26" t="s">
        <v>21</v>
      </c>
      <c r="P242" s="25">
        <f>VLOOKUP(C242, [1]Sheet1!$A$2:$B$313, 2, FALSE)</f>
        <v>3.4785841337229999</v>
      </c>
      <c r="Q242" s="59">
        <v>4.5546231849569245E-4</v>
      </c>
    </row>
    <row r="243" spans="2:18" ht="48" hidden="1">
      <c r="B243" s="43">
        <v>171</v>
      </c>
      <c r="C243" s="43">
        <v>852329</v>
      </c>
      <c r="D243" s="47" t="s">
        <v>455</v>
      </c>
      <c r="E243" s="44" t="s">
        <v>456</v>
      </c>
      <c r="F243" s="44" t="s">
        <v>66</v>
      </c>
      <c r="G243" s="44" t="s">
        <v>67</v>
      </c>
      <c r="H243" s="44" t="s">
        <v>20</v>
      </c>
      <c r="I243" s="43" t="s">
        <v>12</v>
      </c>
      <c r="J243" s="43" t="s">
        <v>21</v>
      </c>
      <c r="K243" s="43" t="s">
        <v>21</v>
      </c>
      <c r="L243" s="43" t="s">
        <v>21</v>
      </c>
      <c r="M243" s="43" t="s">
        <v>29</v>
      </c>
      <c r="N243" s="43" t="s">
        <v>21</v>
      </c>
      <c r="O243" s="43" t="s">
        <v>21</v>
      </c>
      <c r="P243" s="25">
        <f>VLOOKUP(C243, [1]Sheet1!$A$2:$B$313, 2, FALSE)</f>
        <v>3.476950983429</v>
      </c>
      <c r="Q243" s="45">
        <v>8.1417942502379464E-4</v>
      </c>
    </row>
    <row r="244" spans="2:18" ht="32.1" hidden="1">
      <c r="B244" s="31">
        <v>189</v>
      </c>
      <c r="C244" s="31">
        <v>850650</v>
      </c>
      <c r="D244" s="33" t="s">
        <v>457</v>
      </c>
      <c r="E244" s="32" t="s">
        <v>439</v>
      </c>
      <c r="F244" s="32" t="s">
        <v>66</v>
      </c>
      <c r="G244" s="32" t="s">
        <v>43</v>
      </c>
      <c r="H244" s="32" t="s">
        <v>20</v>
      </c>
      <c r="I244" s="31" t="s">
        <v>12</v>
      </c>
      <c r="J244" s="31" t="s">
        <v>21</v>
      </c>
      <c r="K244" s="31" t="s">
        <v>21</v>
      </c>
      <c r="L244" s="31" t="s">
        <v>29</v>
      </c>
      <c r="M244" s="31" t="s">
        <v>29</v>
      </c>
      <c r="N244" s="34" t="s">
        <v>21</v>
      </c>
      <c r="O244" s="31" t="s">
        <v>29</v>
      </c>
      <c r="P244" s="25">
        <f>VLOOKUP(C244, [1]Sheet1!$A$2:$B$313, 2, FALSE)</f>
        <v>3.2430580539770002</v>
      </c>
      <c r="Q244" s="59">
        <v>6.3761187610435969E-4</v>
      </c>
    </row>
    <row r="245" spans="2:18" ht="32.1" hidden="1">
      <c r="B245" s="43">
        <v>182</v>
      </c>
      <c r="C245" s="43">
        <v>901390</v>
      </c>
      <c r="D245" s="47" t="s">
        <v>458</v>
      </c>
      <c r="E245" s="44" t="s">
        <v>459</v>
      </c>
      <c r="F245" s="44" t="s">
        <v>189</v>
      </c>
      <c r="G245" s="44" t="s">
        <v>40</v>
      </c>
      <c r="H245" s="44" t="s">
        <v>20</v>
      </c>
      <c r="I245" s="43" t="s">
        <v>12</v>
      </c>
      <c r="J245" s="43" t="s">
        <v>21</v>
      </c>
      <c r="K245" s="43" t="s">
        <v>21</v>
      </c>
      <c r="L245" s="43" t="s">
        <v>29</v>
      </c>
      <c r="M245" s="43" t="s">
        <v>29</v>
      </c>
      <c r="N245" s="43" t="s">
        <v>21</v>
      </c>
      <c r="O245" s="43" t="s">
        <v>21</v>
      </c>
      <c r="P245" s="25">
        <f>VLOOKUP(C245, [1]Sheet1!$A$2:$B$313, 2, FALSE)</f>
        <v>2.8904497056879999</v>
      </c>
      <c r="Q245" s="45">
        <v>6.3750108215227495E-4</v>
      </c>
    </row>
    <row r="246" spans="2:18" ht="32.1">
      <c r="B246" s="31">
        <v>209</v>
      </c>
      <c r="C246" s="31">
        <v>901210</v>
      </c>
      <c r="D246" s="33" t="s">
        <v>460</v>
      </c>
      <c r="E246" s="32" t="s">
        <v>461</v>
      </c>
      <c r="F246" s="32" t="s">
        <v>189</v>
      </c>
      <c r="G246" s="32" t="s">
        <v>40</v>
      </c>
      <c r="H246" s="32" t="s">
        <v>28</v>
      </c>
      <c r="I246" s="31" t="s">
        <v>12</v>
      </c>
      <c r="J246" s="31" t="s">
        <v>21</v>
      </c>
      <c r="K246" s="31" t="s">
        <v>21</v>
      </c>
      <c r="L246" s="31" t="s">
        <v>29</v>
      </c>
      <c r="M246" s="31" t="s">
        <v>29</v>
      </c>
      <c r="N246" s="34" t="s">
        <v>21</v>
      </c>
      <c r="O246" s="31" t="s">
        <v>21</v>
      </c>
      <c r="P246" s="25">
        <f>VLOOKUP(C246, [1]Sheet1!$A$2:$B$313, 2, FALSE)</f>
        <v>2.8537103839540001</v>
      </c>
      <c r="Q246" s="59">
        <v>4.0051775230263547E-4</v>
      </c>
    </row>
    <row r="247" spans="2:18" ht="32.1" hidden="1">
      <c r="B247" s="43">
        <v>191</v>
      </c>
      <c r="C247" s="43">
        <v>853610</v>
      </c>
      <c r="D247" s="47" t="s">
        <v>462</v>
      </c>
      <c r="E247" s="44" t="s">
        <v>249</v>
      </c>
      <c r="F247" s="44" t="s">
        <v>54</v>
      </c>
      <c r="G247" s="44" t="s">
        <v>51</v>
      </c>
      <c r="H247" s="44" t="s">
        <v>20</v>
      </c>
      <c r="I247" s="43" t="s">
        <v>11</v>
      </c>
      <c r="J247" s="43" t="s">
        <v>21</v>
      </c>
      <c r="K247" s="43" t="s">
        <v>21</v>
      </c>
      <c r="L247" s="43" t="s">
        <v>29</v>
      </c>
      <c r="M247" s="43" t="s">
        <v>21</v>
      </c>
      <c r="N247" s="43" t="s">
        <v>29</v>
      </c>
      <c r="O247" s="43" t="s">
        <v>29</v>
      </c>
      <c r="P247" s="25">
        <f>VLOOKUP(C247, [1]Sheet1!$A$2:$B$313, 2, FALSE)</f>
        <v>2.9657034081629998</v>
      </c>
      <c r="Q247" s="45">
        <v>5.0104115012930995E-4</v>
      </c>
    </row>
    <row r="248" spans="2:18" ht="48" hidden="1">
      <c r="B248" s="43">
        <v>324</v>
      </c>
      <c r="C248" s="43">
        <v>853010</v>
      </c>
      <c r="D248" s="44" t="s">
        <v>463</v>
      </c>
      <c r="E248" s="44" t="s">
        <v>464</v>
      </c>
      <c r="F248" s="44" t="s">
        <v>189</v>
      </c>
      <c r="G248" s="44" t="s">
        <v>51</v>
      </c>
      <c r="H248" s="44" t="s">
        <v>20</v>
      </c>
      <c r="I248" s="47" t="s">
        <v>103</v>
      </c>
      <c r="J248" s="43" t="s">
        <v>29</v>
      </c>
      <c r="K248" s="43" t="s">
        <v>21</v>
      </c>
      <c r="L248" s="43" t="s">
        <v>29</v>
      </c>
      <c r="M248" s="43" t="s">
        <v>29</v>
      </c>
      <c r="N248" s="43" t="s">
        <v>29</v>
      </c>
      <c r="O248" s="43" t="s">
        <v>29</v>
      </c>
      <c r="P248" s="25">
        <v>0.62966837226799988</v>
      </c>
      <c r="Q248" s="62">
        <f>P248/SUM($P$3:$P$425)</f>
        <v>1.4155043923679553E-4</v>
      </c>
    </row>
    <row r="249" spans="2:18" ht="63.95" hidden="1">
      <c r="B249" s="31">
        <v>284</v>
      </c>
      <c r="C249" s="31">
        <v>853080</v>
      </c>
      <c r="D249" s="32" t="s">
        <v>465</v>
      </c>
      <c r="E249" s="32" t="s">
        <v>464</v>
      </c>
      <c r="F249" s="32" t="s">
        <v>189</v>
      </c>
      <c r="G249" s="32" t="s">
        <v>51</v>
      </c>
      <c r="H249" s="32" t="s">
        <v>20</v>
      </c>
      <c r="I249" s="33" t="s">
        <v>103</v>
      </c>
      <c r="J249" s="31" t="s">
        <v>29</v>
      </c>
      <c r="K249" s="31" t="s">
        <v>21</v>
      </c>
      <c r="L249" s="31" t="s">
        <v>29</v>
      </c>
      <c r="M249" s="31" t="s">
        <v>29</v>
      </c>
      <c r="N249" s="34" t="s">
        <v>29</v>
      </c>
      <c r="O249" s="31" t="s">
        <v>29</v>
      </c>
      <c r="P249" s="21">
        <v>8.7767605816000002E-2</v>
      </c>
      <c r="Q249" s="19">
        <v>1.0507000718717064E-5</v>
      </c>
    </row>
    <row r="250" spans="2:18" ht="63.95" hidden="1">
      <c r="B250" s="43">
        <v>301</v>
      </c>
      <c r="C250" s="43">
        <v>853090</v>
      </c>
      <c r="D250" s="44" t="s">
        <v>466</v>
      </c>
      <c r="E250" s="44" t="s">
        <v>467</v>
      </c>
      <c r="F250" s="44" t="s">
        <v>189</v>
      </c>
      <c r="G250" s="44" t="s">
        <v>51</v>
      </c>
      <c r="H250" s="44" t="s">
        <v>20</v>
      </c>
      <c r="I250" s="47" t="s">
        <v>103</v>
      </c>
      <c r="J250" s="43" t="s">
        <v>29</v>
      </c>
      <c r="K250" s="43" t="s">
        <v>21</v>
      </c>
      <c r="L250" s="43" t="s">
        <v>29</v>
      </c>
      <c r="M250" s="43" t="s">
        <v>29</v>
      </c>
      <c r="N250" s="43" t="s">
        <v>29</v>
      </c>
      <c r="O250" s="43" t="s">
        <v>29</v>
      </c>
      <c r="P250" s="48">
        <v>2.9988055465E-2</v>
      </c>
      <c r="Q250" s="20">
        <v>3.5899865034969697E-6</v>
      </c>
    </row>
    <row r="251" spans="2:18" ht="63.95" hidden="1">
      <c r="B251" s="43">
        <v>192</v>
      </c>
      <c r="C251" s="43">
        <v>741021</v>
      </c>
      <c r="D251" s="47" t="s">
        <v>468</v>
      </c>
      <c r="E251" s="44" t="s">
        <v>160</v>
      </c>
      <c r="F251" s="44" t="s">
        <v>50</v>
      </c>
      <c r="G251" s="44" t="s">
        <v>51</v>
      </c>
      <c r="H251" s="44" t="s">
        <v>20</v>
      </c>
      <c r="I251" s="43" t="s">
        <v>11</v>
      </c>
      <c r="J251" s="43" t="s">
        <v>21</v>
      </c>
      <c r="K251" s="43" t="s">
        <v>29</v>
      </c>
      <c r="L251" s="43" t="s">
        <v>29</v>
      </c>
      <c r="M251" s="43" t="s">
        <v>21</v>
      </c>
      <c r="N251" s="43" t="s">
        <v>29</v>
      </c>
      <c r="O251" s="43" t="s">
        <v>29</v>
      </c>
      <c r="P251" s="25">
        <f>VLOOKUP(C251, [1]Sheet1!$A$2:$B$313, 2, FALSE)</f>
        <v>2.2127888473150001</v>
      </c>
      <c r="Q251" s="45">
        <v>7.1071357371919983E-4</v>
      </c>
    </row>
    <row r="252" spans="2:18" ht="32.1" hidden="1">
      <c r="B252" s="31">
        <v>194</v>
      </c>
      <c r="C252" s="31">
        <v>591190</v>
      </c>
      <c r="D252" s="33" t="s">
        <v>469</v>
      </c>
      <c r="E252" s="32" t="s">
        <v>470</v>
      </c>
      <c r="F252" s="32" t="s">
        <v>50</v>
      </c>
      <c r="G252" s="32" t="s">
        <v>51</v>
      </c>
      <c r="H252" s="32" t="s">
        <v>20</v>
      </c>
      <c r="I252" s="31" t="s">
        <v>11</v>
      </c>
      <c r="J252" s="31" t="s">
        <v>21</v>
      </c>
      <c r="K252" s="31" t="s">
        <v>29</v>
      </c>
      <c r="L252" s="31" t="s">
        <v>29</v>
      </c>
      <c r="M252" s="31" t="s">
        <v>21</v>
      </c>
      <c r="N252" s="34" t="s">
        <v>29</v>
      </c>
      <c r="O252" s="31" t="s">
        <v>29</v>
      </c>
      <c r="P252" s="25">
        <f>VLOOKUP(C252, [1]Sheet1!$A$2:$B$313, 2, FALSE)</f>
        <v>3.0218510123660001</v>
      </c>
      <c r="Q252" s="59">
        <v>4.9637894373241362E-4</v>
      </c>
    </row>
    <row r="253" spans="2:18" ht="48" hidden="1">
      <c r="B253" s="43">
        <v>195</v>
      </c>
      <c r="C253" s="43">
        <v>851770</v>
      </c>
      <c r="D253" s="47" t="s">
        <v>471</v>
      </c>
      <c r="E253" s="44" t="s">
        <v>427</v>
      </c>
      <c r="F253" s="44" t="s">
        <v>26</v>
      </c>
      <c r="G253" s="44" t="s">
        <v>51</v>
      </c>
      <c r="H253" s="44" t="s">
        <v>20</v>
      </c>
      <c r="I253" s="43" t="s">
        <v>11</v>
      </c>
      <c r="J253" s="43" t="s">
        <v>21</v>
      </c>
      <c r="K253" s="43" t="s">
        <v>21</v>
      </c>
      <c r="L253" s="43" t="s">
        <v>29</v>
      </c>
      <c r="M253" s="43" t="s">
        <v>21</v>
      </c>
      <c r="N253" s="43" t="s">
        <v>29</v>
      </c>
      <c r="O253" s="43" t="s">
        <v>21</v>
      </c>
      <c r="P253" s="25">
        <f>VLOOKUP(C253, [1]Sheet1!$A$2:$B$313, 2, FALSE)</f>
        <v>0.155911278397</v>
      </c>
      <c r="Q253" s="45">
        <v>4.0142004866774983E-4</v>
      </c>
    </row>
    <row r="254" spans="2:18" ht="48">
      <c r="B254" s="35">
        <v>208</v>
      </c>
      <c r="C254" s="35">
        <v>903033</v>
      </c>
      <c r="D254" s="37" t="s">
        <v>472</v>
      </c>
      <c r="E254" s="36" t="s">
        <v>473</v>
      </c>
      <c r="F254" s="36" t="s">
        <v>189</v>
      </c>
      <c r="G254" s="36" t="s">
        <v>40</v>
      </c>
      <c r="H254" s="36" t="s">
        <v>28</v>
      </c>
      <c r="I254" s="35" t="s">
        <v>12</v>
      </c>
      <c r="J254" s="35" t="s">
        <v>21</v>
      </c>
      <c r="K254" s="35" t="s">
        <v>21</v>
      </c>
      <c r="L254" s="35" t="s">
        <v>29</v>
      </c>
      <c r="M254" s="35" t="s">
        <v>29</v>
      </c>
      <c r="N254" s="38" t="s">
        <v>21</v>
      </c>
      <c r="O254" s="35" t="s">
        <v>21</v>
      </c>
      <c r="P254" s="25">
        <f>VLOOKUP(C254, [1]Sheet1!$A$2:$B$313, 2, FALSE)</f>
        <v>2.8185271245500001</v>
      </c>
      <c r="Q254" s="59">
        <v>3.3327355517709649E-4</v>
      </c>
    </row>
    <row r="255" spans="2:18" ht="48">
      <c r="B255" s="26">
        <v>199</v>
      </c>
      <c r="C255" s="26">
        <v>901420</v>
      </c>
      <c r="D255" s="28" t="s">
        <v>474</v>
      </c>
      <c r="E255" s="27" t="s">
        <v>475</v>
      </c>
      <c r="F255" s="27" t="s">
        <v>189</v>
      </c>
      <c r="G255" s="27" t="s">
        <v>40</v>
      </c>
      <c r="H255" s="27" t="s">
        <v>28</v>
      </c>
      <c r="I255" s="26" t="s">
        <v>12</v>
      </c>
      <c r="J255" s="26" t="s">
        <v>21</v>
      </c>
      <c r="K255" s="26" t="s">
        <v>21</v>
      </c>
      <c r="L255" s="26" t="s">
        <v>29</v>
      </c>
      <c r="M255" s="26" t="s">
        <v>21</v>
      </c>
      <c r="N255" s="29" t="s">
        <v>21</v>
      </c>
      <c r="O255" s="26" t="s">
        <v>21</v>
      </c>
      <c r="P255" s="25">
        <f>VLOOKUP(C255, [1]Sheet1!$A$2:$B$313, 2, FALSE)</f>
        <v>2.946595719412</v>
      </c>
      <c r="Q255" s="59">
        <v>4.317790974583338E-4</v>
      </c>
    </row>
    <row r="256" spans="2:18" ht="32.1">
      <c r="B256" s="43">
        <v>187</v>
      </c>
      <c r="C256" s="43">
        <v>902720</v>
      </c>
      <c r="D256" s="47" t="s">
        <v>476</v>
      </c>
      <c r="E256" s="44" t="s">
        <v>477</v>
      </c>
      <c r="F256" s="44" t="s">
        <v>189</v>
      </c>
      <c r="G256" s="44" t="s">
        <v>40</v>
      </c>
      <c r="H256" s="44" t="s">
        <v>28</v>
      </c>
      <c r="I256" s="43" t="s">
        <v>12</v>
      </c>
      <c r="J256" s="43" t="s">
        <v>21</v>
      </c>
      <c r="K256" s="43" t="s">
        <v>21</v>
      </c>
      <c r="L256" s="43" t="s">
        <v>29</v>
      </c>
      <c r="M256" s="43" t="s">
        <v>29</v>
      </c>
      <c r="N256" s="43" t="s">
        <v>21</v>
      </c>
      <c r="O256" s="43" t="s">
        <v>21</v>
      </c>
      <c r="P256" s="25">
        <f>VLOOKUP(C256, [1]Sheet1!$A$2:$B$313, 2, FALSE)</f>
        <v>2.7884775283660002</v>
      </c>
      <c r="Q256" s="45">
        <v>3.9267169169641291E-4</v>
      </c>
      <c r="R256" s="16"/>
    </row>
    <row r="257" spans="2:18" ht="63.95" hidden="1">
      <c r="B257" s="43">
        <v>202</v>
      </c>
      <c r="C257" s="43">
        <v>854140</v>
      </c>
      <c r="D257" s="47" t="s">
        <v>478</v>
      </c>
      <c r="E257" s="44" t="s">
        <v>479</v>
      </c>
      <c r="F257" s="44" t="s">
        <v>54</v>
      </c>
      <c r="G257" s="44" t="s">
        <v>51</v>
      </c>
      <c r="H257" s="44" t="s">
        <v>20</v>
      </c>
      <c r="I257" s="43" t="s">
        <v>11</v>
      </c>
      <c r="J257" s="43" t="s">
        <v>21</v>
      </c>
      <c r="K257" s="43" t="s">
        <v>21</v>
      </c>
      <c r="L257" s="43" t="s">
        <v>29</v>
      </c>
      <c r="M257" s="43" t="s">
        <v>21</v>
      </c>
      <c r="N257" s="43" t="s">
        <v>29</v>
      </c>
      <c r="O257" s="43" t="s">
        <v>21</v>
      </c>
      <c r="P257" s="25">
        <f>VLOOKUP(C257, [1]Sheet1!$A$2:$B$313, 2, FALSE)</f>
        <v>0.28663828375400002</v>
      </c>
      <c r="Q257" s="45">
        <v>4.5819558126952291E-4</v>
      </c>
    </row>
    <row r="258" spans="2:18" ht="32.1" hidden="1">
      <c r="B258" s="43">
        <v>207</v>
      </c>
      <c r="C258" s="43">
        <v>903281</v>
      </c>
      <c r="D258" s="47" t="s">
        <v>480</v>
      </c>
      <c r="E258" s="44" t="s">
        <v>481</v>
      </c>
      <c r="F258" s="44" t="s">
        <v>54</v>
      </c>
      <c r="G258" s="44" t="s">
        <v>40</v>
      </c>
      <c r="H258" s="44" t="s">
        <v>20</v>
      </c>
      <c r="I258" s="43" t="s">
        <v>12</v>
      </c>
      <c r="J258" s="43" t="s">
        <v>21</v>
      </c>
      <c r="K258" s="43" t="s">
        <v>21</v>
      </c>
      <c r="L258" s="43" t="s">
        <v>21</v>
      </c>
      <c r="M258" s="43" t="s">
        <v>29</v>
      </c>
      <c r="N258" s="43" t="s">
        <v>21</v>
      </c>
      <c r="O258" s="43" t="s">
        <v>21</v>
      </c>
      <c r="P258" s="25">
        <f>VLOOKUP(C258, [1]Sheet1!$A$2:$B$313, 2, FALSE)</f>
        <v>2.785854387478</v>
      </c>
      <c r="Q258" s="45">
        <v>3.5864031946535079E-5</v>
      </c>
      <c r="R258" s="16"/>
    </row>
    <row r="259" spans="2:18" ht="32.1" hidden="1">
      <c r="B259" s="43">
        <v>216</v>
      </c>
      <c r="C259" s="43">
        <v>901590</v>
      </c>
      <c r="D259" s="47" t="s">
        <v>482</v>
      </c>
      <c r="E259" s="44" t="s">
        <v>483</v>
      </c>
      <c r="F259" s="44" t="s">
        <v>189</v>
      </c>
      <c r="G259" s="44" t="s">
        <v>40</v>
      </c>
      <c r="H259" s="44" t="s">
        <v>20</v>
      </c>
      <c r="I259" s="43" t="s">
        <v>12</v>
      </c>
      <c r="J259" s="43" t="s">
        <v>21</v>
      </c>
      <c r="K259" s="43" t="s">
        <v>21</v>
      </c>
      <c r="L259" s="43" t="s">
        <v>29</v>
      </c>
      <c r="M259" s="43" t="s">
        <v>29</v>
      </c>
      <c r="N259" s="43" t="s">
        <v>21</v>
      </c>
      <c r="O259" s="43" t="s">
        <v>21</v>
      </c>
      <c r="P259" s="25">
        <f>VLOOKUP(C259, [1]Sheet1!$A$2:$B$313, 2, FALSE)</f>
        <v>2.638866281511</v>
      </c>
      <c r="Q259" s="45">
        <v>3.0249824861794411E-4</v>
      </c>
    </row>
    <row r="260" spans="2:18" ht="48" hidden="1">
      <c r="B260" s="43">
        <v>201</v>
      </c>
      <c r="C260" s="43">
        <v>854159</v>
      </c>
      <c r="D260" s="47" t="s">
        <v>484</v>
      </c>
      <c r="E260" s="44" t="s">
        <v>63</v>
      </c>
      <c r="F260" s="44" t="s">
        <v>18</v>
      </c>
      <c r="G260" s="44" t="s">
        <v>19</v>
      </c>
      <c r="H260" s="44" t="s">
        <v>20</v>
      </c>
      <c r="I260" s="43" t="s">
        <v>12</v>
      </c>
      <c r="J260" s="43" t="s">
        <v>21</v>
      </c>
      <c r="K260" s="43" t="s">
        <v>29</v>
      </c>
      <c r="L260" s="43" t="s">
        <v>29</v>
      </c>
      <c r="M260" s="43" t="s">
        <v>29</v>
      </c>
      <c r="N260" s="43" t="s">
        <v>21</v>
      </c>
      <c r="O260" s="43" t="s">
        <v>29</v>
      </c>
      <c r="P260" s="25">
        <f>VLOOKUP(C260, [1]Sheet1!$A$2:$B$313, 2, FALSE)</f>
        <v>2.5483147061899998</v>
      </c>
      <c r="Q260" s="45">
        <v>3.8177932781493183E-4</v>
      </c>
    </row>
    <row r="261" spans="2:18" ht="15.95" hidden="1">
      <c r="B261" s="43">
        <v>206</v>
      </c>
      <c r="C261" s="43">
        <v>750890</v>
      </c>
      <c r="D261" s="47" t="s">
        <v>485</v>
      </c>
      <c r="E261" s="44" t="s">
        <v>160</v>
      </c>
      <c r="F261" s="44" t="s">
        <v>50</v>
      </c>
      <c r="G261" s="44" t="s">
        <v>51</v>
      </c>
      <c r="H261" s="44" t="s">
        <v>20</v>
      </c>
      <c r="I261" s="43" t="s">
        <v>11</v>
      </c>
      <c r="J261" s="43" t="s">
        <v>21</v>
      </c>
      <c r="K261" s="43" t="s">
        <v>29</v>
      </c>
      <c r="L261" s="43" t="s">
        <v>29</v>
      </c>
      <c r="M261" s="43" t="s">
        <v>21</v>
      </c>
      <c r="N261" s="43" t="s">
        <v>29</v>
      </c>
      <c r="O261" s="43" t="s">
        <v>29</v>
      </c>
      <c r="P261" s="25">
        <f>VLOOKUP(C261, [1]Sheet1!$A$2:$B$313, 2, FALSE)</f>
        <v>2.9794597851529998</v>
      </c>
      <c r="Q261" s="45">
        <v>4.5154456181068972E-4</v>
      </c>
      <c r="R261" s="16"/>
    </row>
    <row r="262" spans="2:18" ht="32.1">
      <c r="B262" s="31">
        <v>181</v>
      </c>
      <c r="C262" s="31">
        <v>851718</v>
      </c>
      <c r="D262" s="33" t="s">
        <v>486</v>
      </c>
      <c r="E262" s="32" t="s">
        <v>487</v>
      </c>
      <c r="F262" s="32" t="s">
        <v>26</v>
      </c>
      <c r="G262" s="32" t="s">
        <v>27</v>
      </c>
      <c r="H262" s="32" t="s">
        <v>28</v>
      </c>
      <c r="I262" s="31" t="s">
        <v>12</v>
      </c>
      <c r="J262" s="31" t="s">
        <v>21</v>
      </c>
      <c r="K262" s="31" t="s">
        <v>21</v>
      </c>
      <c r="L262" s="31" t="s">
        <v>21</v>
      </c>
      <c r="M262" s="31" t="s">
        <v>29</v>
      </c>
      <c r="N262" s="34" t="s">
        <v>21</v>
      </c>
      <c r="O262" s="31" t="s">
        <v>21</v>
      </c>
      <c r="P262" s="25">
        <f>VLOOKUP(C262, [1]Sheet1!$A$2:$B$313, 2, FALSE)</f>
        <v>2.4277364576320002</v>
      </c>
      <c r="Q262" s="59">
        <v>6.7001875629290719E-4</v>
      </c>
    </row>
    <row r="263" spans="2:18" ht="63.95">
      <c r="B263" s="43">
        <v>339</v>
      </c>
      <c r="C263" s="43">
        <v>847321</v>
      </c>
      <c r="D263" s="47" t="s">
        <v>488</v>
      </c>
      <c r="E263" s="44" t="s">
        <v>489</v>
      </c>
      <c r="F263" s="44" t="s">
        <v>36</v>
      </c>
      <c r="G263" s="44" t="s">
        <v>37</v>
      </c>
      <c r="H263" s="44" t="s">
        <v>28</v>
      </c>
      <c r="I263" s="43" t="s">
        <v>12</v>
      </c>
      <c r="J263" s="43" t="s">
        <v>21</v>
      </c>
      <c r="K263" s="43" t="s">
        <v>21</v>
      </c>
      <c r="L263" s="43" t="s">
        <v>21</v>
      </c>
      <c r="M263" s="43" t="s">
        <v>29</v>
      </c>
      <c r="N263" s="43" t="s">
        <v>21</v>
      </c>
      <c r="O263" s="43" t="s">
        <v>21</v>
      </c>
      <c r="P263" s="25">
        <f>VLOOKUP(C263, [1]Sheet1!$A$2:$B$313, 2, FALSE)</f>
        <v>0.28605842175899998</v>
      </c>
      <c r="Q263" s="46">
        <f>P263/SUM($P$3:$P$425)</f>
        <v>6.430638258282545E-5</v>
      </c>
    </row>
    <row r="264" spans="2:18" ht="63.95">
      <c r="B264" s="43">
        <v>221</v>
      </c>
      <c r="C264" s="43">
        <v>852560</v>
      </c>
      <c r="D264" s="47" t="s">
        <v>490</v>
      </c>
      <c r="E264" s="44" t="s">
        <v>491</v>
      </c>
      <c r="F264" s="44" t="s">
        <v>266</v>
      </c>
      <c r="G264" s="44" t="s">
        <v>27</v>
      </c>
      <c r="H264" s="44" t="s">
        <v>28</v>
      </c>
      <c r="I264" s="43" t="s">
        <v>12</v>
      </c>
      <c r="J264" s="43" t="s">
        <v>21</v>
      </c>
      <c r="K264" s="43" t="s">
        <v>21</v>
      </c>
      <c r="L264" s="43" t="s">
        <v>21</v>
      </c>
      <c r="M264" s="43" t="s">
        <v>29</v>
      </c>
      <c r="N264" s="43" t="s">
        <v>21</v>
      </c>
      <c r="O264" s="43" t="s">
        <v>21</v>
      </c>
      <c r="P264" s="25">
        <f>VLOOKUP(C264, [1]Sheet1!$A$2:$B$313, 2, FALSE)</f>
        <v>2.325747968445</v>
      </c>
      <c r="Q264" s="45">
        <v>2.5862051864824158E-4</v>
      </c>
    </row>
    <row r="265" spans="2:18" ht="48">
      <c r="B265" s="35">
        <v>212</v>
      </c>
      <c r="C265" s="35">
        <v>852862</v>
      </c>
      <c r="D265" s="37" t="s">
        <v>492</v>
      </c>
      <c r="E265" s="36" t="s">
        <v>493</v>
      </c>
      <c r="F265" s="36" t="s">
        <v>36</v>
      </c>
      <c r="G265" s="36" t="s">
        <v>37</v>
      </c>
      <c r="H265" s="36" t="s">
        <v>28</v>
      </c>
      <c r="I265" s="35" t="s">
        <v>12</v>
      </c>
      <c r="J265" s="35" t="s">
        <v>21</v>
      </c>
      <c r="K265" s="35" t="s">
        <v>21</v>
      </c>
      <c r="L265" s="35" t="s">
        <v>21</v>
      </c>
      <c r="M265" s="35" t="s">
        <v>29</v>
      </c>
      <c r="N265" s="38" t="s">
        <v>21</v>
      </c>
      <c r="O265" s="35" t="s">
        <v>21</v>
      </c>
      <c r="P265" s="25">
        <f>VLOOKUP(C265, [1]Sheet1!$A$2:$B$313, 2, FALSE)</f>
        <v>2.3042678079029999</v>
      </c>
      <c r="Q265" s="59">
        <v>5.5255440853492098E-4</v>
      </c>
    </row>
    <row r="266" spans="2:18" ht="32.1" hidden="1">
      <c r="B266" s="26">
        <v>213</v>
      </c>
      <c r="C266" s="26">
        <v>853225</v>
      </c>
      <c r="D266" s="28" t="s">
        <v>494</v>
      </c>
      <c r="E266" s="27" t="s">
        <v>166</v>
      </c>
      <c r="F266" s="27" t="s">
        <v>54</v>
      </c>
      <c r="G266" s="27" t="s">
        <v>19</v>
      </c>
      <c r="H266" s="27" t="s">
        <v>20</v>
      </c>
      <c r="I266" s="26" t="s">
        <v>12</v>
      </c>
      <c r="J266" s="26" t="s">
        <v>21</v>
      </c>
      <c r="K266" s="26" t="s">
        <v>21</v>
      </c>
      <c r="L266" s="26" t="s">
        <v>21</v>
      </c>
      <c r="M266" s="26" t="s">
        <v>21</v>
      </c>
      <c r="N266" s="29" t="s">
        <v>21</v>
      </c>
      <c r="O266" s="26" t="s">
        <v>21</v>
      </c>
      <c r="P266" s="25">
        <f>VLOOKUP(C266, [1]Sheet1!$A$2:$B$313, 2, FALSE)</f>
        <v>2.3669892399619998</v>
      </c>
      <c r="Q266" s="59">
        <v>2.8068074987894654E-4</v>
      </c>
    </row>
    <row r="267" spans="2:18" ht="32.1" hidden="1">
      <c r="B267" s="43">
        <v>214</v>
      </c>
      <c r="C267" s="43">
        <v>853229</v>
      </c>
      <c r="D267" s="47" t="s">
        <v>495</v>
      </c>
      <c r="E267" s="44" t="s">
        <v>166</v>
      </c>
      <c r="F267" s="44" t="s">
        <v>54</v>
      </c>
      <c r="G267" s="44" t="s">
        <v>51</v>
      </c>
      <c r="H267" s="44" t="s">
        <v>20</v>
      </c>
      <c r="I267" s="43" t="s">
        <v>11</v>
      </c>
      <c r="J267" s="43" t="s">
        <v>21</v>
      </c>
      <c r="K267" s="43" t="s">
        <v>21</v>
      </c>
      <c r="L267" s="43" t="s">
        <v>29</v>
      </c>
      <c r="M267" s="43" t="s">
        <v>21</v>
      </c>
      <c r="N267" s="43" t="s">
        <v>29</v>
      </c>
      <c r="O267" s="43" t="s">
        <v>21</v>
      </c>
      <c r="P267" s="25">
        <f>VLOOKUP(C267, [1]Sheet1!$A$2:$B$313, 2, FALSE)</f>
        <v>2.1929548775829999</v>
      </c>
      <c r="Q267" s="45">
        <v>3.2306669972735684E-4</v>
      </c>
    </row>
    <row r="268" spans="2:18" ht="48">
      <c r="B268" s="43">
        <v>204</v>
      </c>
      <c r="C268" s="43">
        <v>852791</v>
      </c>
      <c r="D268" s="47" t="s">
        <v>496</v>
      </c>
      <c r="E268" s="44" t="s">
        <v>407</v>
      </c>
      <c r="F268" s="44" t="s">
        <v>266</v>
      </c>
      <c r="G268" s="44" t="s">
        <v>27</v>
      </c>
      <c r="H268" s="44" t="s">
        <v>28</v>
      </c>
      <c r="I268" s="43" t="s">
        <v>12</v>
      </c>
      <c r="J268" s="43" t="s">
        <v>21</v>
      </c>
      <c r="K268" s="43" t="s">
        <v>21</v>
      </c>
      <c r="L268" s="43" t="s">
        <v>21</v>
      </c>
      <c r="M268" s="43" t="s">
        <v>29</v>
      </c>
      <c r="N268" s="43" t="s">
        <v>21</v>
      </c>
      <c r="O268" s="43" t="s">
        <v>21</v>
      </c>
      <c r="P268" s="25">
        <f>VLOOKUP(C268, [1]Sheet1!$A$2:$B$313, 2, FALSE)</f>
        <v>2.1888732179399999</v>
      </c>
      <c r="Q268" s="45">
        <v>3.275516062735126E-4</v>
      </c>
    </row>
    <row r="269" spans="2:18" ht="48">
      <c r="B269" s="31">
        <v>226</v>
      </c>
      <c r="C269" s="31">
        <v>901480</v>
      </c>
      <c r="D269" s="33" t="s">
        <v>497</v>
      </c>
      <c r="E269" s="32" t="s">
        <v>498</v>
      </c>
      <c r="F269" s="32" t="s">
        <v>189</v>
      </c>
      <c r="G269" s="32" t="s">
        <v>40</v>
      </c>
      <c r="H269" s="32" t="s">
        <v>28</v>
      </c>
      <c r="I269" s="31" t="s">
        <v>12</v>
      </c>
      <c r="J269" s="31" t="s">
        <v>21</v>
      </c>
      <c r="K269" s="31" t="s">
        <v>21</v>
      </c>
      <c r="L269" s="31" t="s">
        <v>29</v>
      </c>
      <c r="M269" s="31" t="s">
        <v>29</v>
      </c>
      <c r="N269" s="34" t="s">
        <v>21</v>
      </c>
      <c r="O269" s="31" t="s">
        <v>21</v>
      </c>
      <c r="P269" s="25">
        <f>VLOOKUP(C269, [1]Sheet1!$A$2:$B$313, 2, FALSE)</f>
        <v>2.1232719352379998</v>
      </c>
      <c r="Q269" s="59">
        <v>2.4217647356827089E-4</v>
      </c>
    </row>
    <row r="270" spans="2:18" ht="48">
      <c r="B270" s="43">
        <v>229</v>
      </c>
      <c r="C270" s="43">
        <v>903089</v>
      </c>
      <c r="D270" s="47" t="s">
        <v>499</v>
      </c>
      <c r="E270" s="44" t="s">
        <v>253</v>
      </c>
      <c r="F270" s="44" t="s">
        <v>189</v>
      </c>
      <c r="G270" s="44" t="s">
        <v>40</v>
      </c>
      <c r="H270" s="44" t="s">
        <v>28</v>
      </c>
      <c r="I270" s="43" t="s">
        <v>12</v>
      </c>
      <c r="J270" s="43" t="s">
        <v>21</v>
      </c>
      <c r="K270" s="43" t="s">
        <v>21</v>
      </c>
      <c r="L270" s="43" t="s">
        <v>29</v>
      </c>
      <c r="M270" s="43" t="s">
        <v>29</v>
      </c>
      <c r="N270" s="43" t="s">
        <v>21</v>
      </c>
      <c r="O270" s="43" t="s">
        <v>21</v>
      </c>
      <c r="P270" s="25">
        <f>VLOOKUP(C270, [1]Sheet1!$A$2:$B$313, 2, FALSE)</f>
        <v>2.1040435166920002</v>
      </c>
      <c r="Q270" s="45">
        <v>3.3325757169068551E-4</v>
      </c>
    </row>
    <row r="271" spans="2:18" ht="32.1">
      <c r="B271" s="35">
        <v>238</v>
      </c>
      <c r="C271" s="35">
        <v>903010</v>
      </c>
      <c r="D271" s="37" t="s">
        <v>500</v>
      </c>
      <c r="E271" s="36" t="s">
        <v>501</v>
      </c>
      <c r="F271" s="36" t="s">
        <v>189</v>
      </c>
      <c r="G271" s="36" t="s">
        <v>40</v>
      </c>
      <c r="H271" s="36" t="s">
        <v>28</v>
      </c>
      <c r="I271" s="35" t="s">
        <v>12</v>
      </c>
      <c r="J271" s="35" t="s">
        <v>21</v>
      </c>
      <c r="K271" s="35" t="s">
        <v>21</v>
      </c>
      <c r="L271" s="35" t="s">
        <v>29</v>
      </c>
      <c r="M271" s="35" t="s">
        <v>29</v>
      </c>
      <c r="N271" s="38" t="s">
        <v>21</v>
      </c>
      <c r="O271" s="35" t="s">
        <v>21</v>
      </c>
      <c r="P271" s="25">
        <f>VLOOKUP(C271, [1]Sheet1!$A$2:$B$313, 2, FALSE)</f>
        <v>2.0457154409989999</v>
      </c>
      <c r="Q271" s="59">
        <v>3.0440505786808272E-4</v>
      </c>
    </row>
    <row r="272" spans="2:18" ht="32.1" hidden="1">
      <c r="B272" s="5">
        <v>329</v>
      </c>
      <c r="C272" s="5">
        <v>853510</v>
      </c>
      <c r="D272" s="6" t="s">
        <v>502</v>
      </c>
      <c r="E272" s="6" t="s">
        <v>249</v>
      </c>
      <c r="F272" s="6" t="s">
        <v>54</v>
      </c>
      <c r="G272" s="6" t="s">
        <v>51</v>
      </c>
      <c r="H272" s="6" t="s">
        <v>20</v>
      </c>
      <c r="I272" s="10" t="s">
        <v>103</v>
      </c>
      <c r="J272" s="5" t="s">
        <v>29</v>
      </c>
      <c r="K272" s="5" t="s">
        <v>21</v>
      </c>
      <c r="L272" s="5" t="s">
        <v>29</v>
      </c>
      <c r="M272" s="5" t="s">
        <v>29</v>
      </c>
      <c r="N272" s="7" t="s">
        <v>29</v>
      </c>
      <c r="O272" s="5" t="s">
        <v>29</v>
      </c>
      <c r="P272" s="55">
        <v>0.57490913343700001</v>
      </c>
      <c r="Q272" s="60">
        <f>P272/SUM($P$3:$P$425)</f>
        <v>1.2924047632587209E-4</v>
      </c>
    </row>
    <row r="273" spans="2:17" ht="32.1" hidden="1">
      <c r="B273" s="26">
        <v>285</v>
      </c>
      <c r="C273" s="26">
        <v>853521</v>
      </c>
      <c r="D273" s="27" t="s">
        <v>503</v>
      </c>
      <c r="E273" s="27" t="s">
        <v>249</v>
      </c>
      <c r="F273" s="27" t="s">
        <v>54</v>
      </c>
      <c r="G273" s="27" t="s">
        <v>51</v>
      </c>
      <c r="H273" s="27" t="s">
        <v>20</v>
      </c>
      <c r="I273" s="28" t="s">
        <v>103</v>
      </c>
      <c r="J273" s="26" t="s">
        <v>29</v>
      </c>
      <c r="K273" s="26" t="s">
        <v>21</v>
      </c>
      <c r="L273" s="26" t="s">
        <v>29</v>
      </c>
      <c r="M273" s="26" t="s">
        <v>29</v>
      </c>
      <c r="N273" s="29" t="s">
        <v>29</v>
      </c>
      <c r="O273" s="26" t="s">
        <v>29</v>
      </c>
      <c r="P273" s="21">
        <v>0.25852874462600001</v>
      </c>
      <c r="Q273" s="19">
        <v>3.0949479370430888E-5</v>
      </c>
    </row>
    <row r="274" spans="2:17" ht="32.1" hidden="1">
      <c r="B274" s="43">
        <v>309</v>
      </c>
      <c r="C274" s="43">
        <v>853529</v>
      </c>
      <c r="D274" s="44" t="s">
        <v>504</v>
      </c>
      <c r="E274" s="44" t="s">
        <v>249</v>
      </c>
      <c r="F274" s="44" t="s">
        <v>54</v>
      </c>
      <c r="G274" s="44" t="s">
        <v>51</v>
      </c>
      <c r="H274" s="44" t="s">
        <v>20</v>
      </c>
      <c r="I274" s="47" t="s">
        <v>103</v>
      </c>
      <c r="J274" s="43" t="s">
        <v>29</v>
      </c>
      <c r="K274" s="43" t="s">
        <v>21</v>
      </c>
      <c r="L274" s="43" t="s">
        <v>29</v>
      </c>
      <c r="M274" s="43" t="s">
        <v>29</v>
      </c>
      <c r="N274" s="43" t="s">
        <v>29</v>
      </c>
      <c r="O274" s="43" t="s">
        <v>29</v>
      </c>
      <c r="P274" s="48">
        <v>1.6523306622000002E-2</v>
      </c>
      <c r="Q274" s="20">
        <v>1.9780691627489663E-6</v>
      </c>
    </row>
    <row r="275" spans="2:17" ht="32.1" hidden="1">
      <c r="B275" s="43">
        <v>225</v>
      </c>
      <c r="C275" s="43">
        <v>853530</v>
      </c>
      <c r="D275" s="44" t="s">
        <v>505</v>
      </c>
      <c r="E275" s="44" t="s">
        <v>249</v>
      </c>
      <c r="F275" s="44" t="s">
        <v>54</v>
      </c>
      <c r="G275" s="44" t="s">
        <v>51</v>
      </c>
      <c r="H275" s="44" t="s">
        <v>20</v>
      </c>
      <c r="I275" s="47" t="s">
        <v>103</v>
      </c>
      <c r="J275" s="43" t="s">
        <v>29</v>
      </c>
      <c r="K275" s="43" t="s">
        <v>21</v>
      </c>
      <c r="L275" s="43" t="s">
        <v>29</v>
      </c>
      <c r="M275" s="43" t="s">
        <v>29</v>
      </c>
      <c r="N275" s="43" t="s">
        <v>29</v>
      </c>
      <c r="O275" s="43" t="s">
        <v>29</v>
      </c>
      <c r="P275" s="48">
        <v>2.2128163461480002</v>
      </c>
      <c r="Q275" s="20">
        <v>2.6490483274784084E-4</v>
      </c>
    </row>
    <row r="276" spans="2:17" ht="48" hidden="1">
      <c r="B276" s="31">
        <v>331</v>
      </c>
      <c r="C276" s="31">
        <v>853540</v>
      </c>
      <c r="D276" s="32" t="s">
        <v>506</v>
      </c>
      <c r="E276" s="32" t="s">
        <v>249</v>
      </c>
      <c r="F276" s="32" t="s">
        <v>54</v>
      </c>
      <c r="G276" s="32" t="s">
        <v>51</v>
      </c>
      <c r="H276" s="32" t="s">
        <v>20</v>
      </c>
      <c r="I276" s="33" t="s">
        <v>103</v>
      </c>
      <c r="J276" s="31" t="s">
        <v>29</v>
      </c>
      <c r="K276" s="31" t="s">
        <v>21</v>
      </c>
      <c r="L276" s="31" t="s">
        <v>29</v>
      </c>
      <c r="M276" s="31" t="s">
        <v>29</v>
      </c>
      <c r="N276" s="34" t="s">
        <v>29</v>
      </c>
      <c r="O276" s="31" t="s">
        <v>29</v>
      </c>
      <c r="P276" s="55">
        <v>0.56377071048100003</v>
      </c>
      <c r="Q276" s="60">
        <f>P276/SUM($P$3:$P$425)</f>
        <v>1.2673654134792793E-4</v>
      </c>
    </row>
    <row r="277" spans="2:17" ht="48" hidden="1">
      <c r="B277" s="43">
        <v>176</v>
      </c>
      <c r="C277" s="43">
        <v>853590</v>
      </c>
      <c r="D277" s="44" t="s">
        <v>507</v>
      </c>
      <c r="E277" s="44" t="s">
        <v>249</v>
      </c>
      <c r="F277" s="44" t="s">
        <v>54</v>
      </c>
      <c r="G277" s="44" t="s">
        <v>51</v>
      </c>
      <c r="H277" s="44" t="s">
        <v>20</v>
      </c>
      <c r="I277" s="47" t="s">
        <v>103</v>
      </c>
      <c r="J277" s="43" t="s">
        <v>29</v>
      </c>
      <c r="K277" s="43" t="s">
        <v>21</v>
      </c>
      <c r="L277" s="43" t="s">
        <v>29</v>
      </c>
      <c r="M277" s="43" t="s">
        <v>29</v>
      </c>
      <c r="N277" s="43" t="s">
        <v>29</v>
      </c>
      <c r="O277" s="43" t="s">
        <v>29</v>
      </c>
      <c r="P277" s="48">
        <v>3.0188392722769999</v>
      </c>
      <c r="Q277" s="20">
        <v>3.6139696541344395E-4</v>
      </c>
    </row>
    <row r="278" spans="2:17" ht="32.1" hidden="1">
      <c r="B278" s="43">
        <v>205</v>
      </c>
      <c r="C278" s="43">
        <v>853221</v>
      </c>
      <c r="D278" s="47" t="s">
        <v>508</v>
      </c>
      <c r="E278" s="44" t="s">
        <v>166</v>
      </c>
      <c r="F278" s="44" t="s">
        <v>54</v>
      </c>
      <c r="G278" s="44" t="s">
        <v>19</v>
      </c>
      <c r="H278" s="44" t="s">
        <v>20</v>
      </c>
      <c r="I278" s="43" t="s">
        <v>12</v>
      </c>
      <c r="J278" s="43" t="s">
        <v>21</v>
      </c>
      <c r="K278" s="43" t="s">
        <v>21</v>
      </c>
      <c r="L278" s="43" t="s">
        <v>21</v>
      </c>
      <c r="M278" s="43" t="s">
        <v>29</v>
      </c>
      <c r="N278" s="43" t="s">
        <v>21</v>
      </c>
      <c r="O278" s="43" t="s">
        <v>21</v>
      </c>
      <c r="P278" s="25">
        <f>VLOOKUP(C278, [1]Sheet1!$A$2:$B$313, 2, FALSE)</f>
        <v>2.0035033360279999</v>
      </c>
      <c r="Q278" s="45">
        <v>3.136324199623333E-4</v>
      </c>
    </row>
    <row r="279" spans="2:17" ht="48">
      <c r="B279" s="43">
        <v>245</v>
      </c>
      <c r="C279" s="43">
        <v>903039</v>
      </c>
      <c r="D279" s="47" t="s">
        <v>509</v>
      </c>
      <c r="E279" s="44" t="s">
        <v>473</v>
      </c>
      <c r="F279" s="44" t="s">
        <v>189</v>
      </c>
      <c r="G279" s="44" t="s">
        <v>40</v>
      </c>
      <c r="H279" s="44" t="s">
        <v>28</v>
      </c>
      <c r="I279" s="43" t="s">
        <v>12</v>
      </c>
      <c r="J279" s="43" t="s">
        <v>21</v>
      </c>
      <c r="K279" s="43" t="s">
        <v>21</v>
      </c>
      <c r="L279" s="43" t="s">
        <v>29</v>
      </c>
      <c r="M279" s="43" t="s">
        <v>29</v>
      </c>
      <c r="N279" s="43" t="s">
        <v>21</v>
      </c>
      <c r="O279" s="43" t="s">
        <v>21</v>
      </c>
      <c r="P279" s="25">
        <f>VLOOKUP(C279, [1]Sheet1!$A$2:$B$313, 2, FALSE)</f>
        <v>1.9530956421650001</v>
      </c>
      <c r="Q279" s="45">
        <v>1.1920644295459242E-4</v>
      </c>
    </row>
    <row r="280" spans="2:17" ht="48" hidden="1">
      <c r="B280" s="31">
        <v>144</v>
      </c>
      <c r="C280" s="31">
        <v>853630</v>
      </c>
      <c r="D280" s="32" t="s">
        <v>510</v>
      </c>
      <c r="E280" s="32" t="s">
        <v>249</v>
      </c>
      <c r="F280" s="32" t="s">
        <v>54</v>
      </c>
      <c r="G280" s="32" t="s">
        <v>51</v>
      </c>
      <c r="H280" s="32" t="s">
        <v>20</v>
      </c>
      <c r="I280" s="33" t="s">
        <v>103</v>
      </c>
      <c r="J280" s="31" t="s">
        <v>29</v>
      </c>
      <c r="K280" s="31" t="s">
        <v>21</v>
      </c>
      <c r="L280" s="31" t="s">
        <v>29</v>
      </c>
      <c r="M280" s="31" t="s">
        <v>29</v>
      </c>
      <c r="N280" s="34" t="s">
        <v>29</v>
      </c>
      <c r="O280" s="31" t="s">
        <v>29</v>
      </c>
      <c r="P280" s="21">
        <v>7.8793560792350004</v>
      </c>
      <c r="Q280" s="19">
        <v>9.4326829606257206E-4</v>
      </c>
    </row>
    <row r="281" spans="2:17" ht="48" hidden="1">
      <c r="B281" s="43">
        <v>223</v>
      </c>
      <c r="C281" s="43">
        <v>850750</v>
      </c>
      <c r="D281" s="47" t="s">
        <v>511</v>
      </c>
      <c r="E281" s="44" t="s">
        <v>42</v>
      </c>
      <c r="F281" s="44" t="s">
        <v>26</v>
      </c>
      <c r="G281" s="44" t="s">
        <v>43</v>
      </c>
      <c r="H281" s="44" t="s">
        <v>20</v>
      </c>
      <c r="I281" s="43" t="s">
        <v>12</v>
      </c>
      <c r="J281" s="43" t="s">
        <v>21</v>
      </c>
      <c r="K281" s="43" t="s">
        <v>21</v>
      </c>
      <c r="L281" s="43" t="s">
        <v>29</v>
      </c>
      <c r="M281" s="43" t="s">
        <v>29</v>
      </c>
      <c r="N281" s="43" t="s">
        <v>21</v>
      </c>
      <c r="O281" s="43" t="s">
        <v>29</v>
      </c>
      <c r="P281" s="25">
        <f>VLOOKUP(C281, [1]Sheet1!$A$2:$B$313, 2, FALSE)</f>
        <v>1.943289555387</v>
      </c>
      <c r="Q281" s="45">
        <v>2.1435691437652986E-4</v>
      </c>
    </row>
    <row r="282" spans="2:17" ht="32.1" hidden="1">
      <c r="B282" s="43">
        <v>227</v>
      </c>
      <c r="C282" s="43">
        <v>850421</v>
      </c>
      <c r="D282" s="47" t="s">
        <v>512</v>
      </c>
      <c r="E282" s="44" t="s">
        <v>213</v>
      </c>
      <c r="F282" s="44" t="s">
        <v>54</v>
      </c>
      <c r="G282" s="44" t="s">
        <v>40</v>
      </c>
      <c r="H282" s="44" t="s">
        <v>20</v>
      </c>
      <c r="I282" s="43" t="s">
        <v>12</v>
      </c>
      <c r="J282" s="43" t="s">
        <v>21</v>
      </c>
      <c r="K282" s="43" t="s">
        <v>21</v>
      </c>
      <c r="L282" s="43" t="s">
        <v>21</v>
      </c>
      <c r="M282" s="43" t="s">
        <v>21</v>
      </c>
      <c r="N282" s="43" t="s">
        <v>21</v>
      </c>
      <c r="O282" s="43" t="s">
        <v>21</v>
      </c>
      <c r="P282" s="25">
        <f>VLOOKUP(C282, [1]Sheet1!$A$2:$B$313, 2, FALSE)</f>
        <v>2.9954998294980002</v>
      </c>
      <c r="Q282" s="45">
        <v>2.3282480609137284E-4</v>
      </c>
    </row>
    <row r="283" spans="2:17" ht="32.1" hidden="1">
      <c r="B283" s="43">
        <v>228</v>
      </c>
      <c r="C283" s="43">
        <v>902230</v>
      </c>
      <c r="D283" s="81" t="s">
        <v>513</v>
      </c>
      <c r="E283" s="44" t="s">
        <v>513</v>
      </c>
      <c r="F283" s="44" t="s">
        <v>198</v>
      </c>
      <c r="G283" s="44" t="s">
        <v>19</v>
      </c>
      <c r="H283" s="44" t="s">
        <v>20</v>
      </c>
      <c r="I283" s="43" t="s">
        <v>12</v>
      </c>
      <c r="J283" s="43" t="s">
        <v>21</v>
      </c>
      <c r="K283" s="43" t="s">
        <v>21</v>
      </c>
      <c r="L283" s="43" t="s">
        <v>29</v>
      </c>
      <c r="M283" s="43" t="s">
        <v>21</v>
      </c>
      <c r="N283" s="43" t="s">
        <v>21</v>
      </c>
      <c r="O283" s="43" t="s">
        <v>21</v>
      </c>
      <c r="P283" s="25">
        <f>VLOOKUP(C283, [1]Sheet1!$A$2:$B$313, 2, FALSE)</f>
        <v>2.4020038453749999</v>
      </c>
      <c r="Q283" s="45">
        <v>2.0392612848893122E-4</v>
      </c>
    </row>
    <row r="284" spans="2:17" ht="32.1" hidden="1">
      <c r="B284" s="35">
        <v>335</v>
      </c>
      <c r="C284" s="35">
        <v>853661</v>
      </c>
      <c r="D284" s="36" t="s">
        <v>514</v>
      </c>
      <c r="E284" s="36" t="s">
        <v>515</v>
      </c>
      <c r="F284" s="36" t="s">
        <v>54</v>
      </c>
      <c r="G284" s="36" t="s">
        <v>51</v>
      </c>
      <c r="H284" s="36" t="s">
        <v>20</v>
      </c>
      <c r="I284" s="37" t="s">
        <v>103</v>
      </c>
      <c r="J284" s="35" t="s">
        <v>29</v>
      </c>
      <c r="K284" s="35" t="s">
        <v>21</v>
      </c>
      <c r="L284" s="35" t="s">
        <v>29</v>
      </c>
      <c r="M284" s="35" t="s">
        <v>29</v>
      </c>
      <c r="N284" s="38" t="s">
        <v>29</v>
      </c>
      <c r="O284" s="35" t="s">
        <v>29</v>
      </c>
      <c r="P284" s="55">
        <v>0.51433813846800014</v>
      </c>
      <c r="Q284" s="60">
        <f>P284/SUM($P$3:$P$425)</f>
        <v>1.1562402150539325E-4</v>
      </c>
    </row>
    <row r="285" spans="2:17" ht="32.1" hidden="1">
      <c r="B285" s="5">
        <v>230</v>
      </c>
      <c r="C285" s="5">
        <v>854320</v>
      </c>
      <c r="D285" s="10" t="s">
        <v>516</v>
      </c>
      <c r="E285" s="6" t="s">
        <v>517</v>
      </c>
      <c r="F285" s="6" t="s">
        <v>54</v>
      </c>
      <c r="G285" s="6" t="s">
        <v>19</v>
      </c>
      <c r="H285" s="6" t="s">
        <v>20</v>
      </c>
      <c r="I285" s="5" t="s">
        <v>12</v>
      </c>
      <c r="J285" s="5" t="s">
        <v>21</v>
      </c>
      <c r="K285" s="5" t="s">
        <v>21</v>
      </c>
      <c r="L285" s="5" t="s">
        <v>21</v>
      </c>
      <c r="M285" s="5" t="s">
        <v>29</v>
      </c>
      <c r="N285" s="7" t="s">
        <v>21</v>
      </c>
      <c r="O285" s="5" t="s">
        <v>21</v>
      </c>
      <c r="P285" s="25">
        <f>VLOOKUP(C285, [1]Sheet1!$A$2:$B$313, 2, FALSE)</f>
        <v>1.9177217162439999</v>
      </c>
      <c r="Q285" s="59">
        <v>1.3815978677618579E-4</v>
      </c>
    </row>
    <row r="286" spans="2:17" ht="32.1" hidden="1">
      <c r="B286" s="5">
        <v>218</v>
      </c>
      <c r="C286" s="5">
        <v>853670</v>
      </c>
      <c r="D286" s="6" t="s">
        <v>518</v>
      </c>
      <c r="E286" s="6" t="s">
        <v>519</v>
      </c>
      <c r="F286" s="6" t="s">
        <v>54</v>
      </c>
      <c r="G286" s="6" t="s">
        <v>51</v>
      </c>
      <c r="H286" s="6" t="s">
        <v>20</v>
      </c>
      <c r="I286" s="10" t="s">
        <v>103</v>
      </c>
      <c r="J286" s="5" t="s">
        <v>29</v>
      </c>
      <c r="K286" s="5" t="s">
        <v>21</v>
      </c>
      <c r="L286" s="5" t="s">
        <v>29</v>
      </c>
      <c r="M286" s="5" t="s">
        <v>29</v>
      </c>
      <c r="N286" s="7" t="s">
        <v>29</v>
      </c>
      <c r="O286" s="5" t="s">
        <v>29</v>
      </c>
      <c r="P286" s="21">
        <v>2.816825527137</v>
      </c>
      <c r="Q286" s="19">
        <v>3.3721311596645627E-4</v>
      </c>
    </row>
    <row r="287" spans="2:17" ht="48" hidden="1">
      <c r="B287" s="5">
        <v>246</v>
      </c>
      <c r="C287" s="5">
        <v>847329</v>
      </c>
      <c r="D287" s="10" t="s">
        <v>520</v>
      </c>
      <c r="E287" s="6" t="s">
        <v>521</v>
      </c>
      <c r="F287" s="6" t="s">
        <v>36</v>
      </c>
      <c r="G287" s="6" t="s">
        <v>37</v>
      </c>
      <c r="H287" s="6" t="s">
        <v>20</v>
      </c>
      <c r="I287" s="5" t="s">
        <v>12</v>
      </c>
      <c r="J287" s="5" t="s">
        <v>21</v>
      </c>
      <c r="K287" s="5" t="s">
        <v>21</v>
      </c>
      <c r="L287" s="5" t="s">
        <v>21</v>
      </c>
      <c r="M287" s="5" t="s">
        <v>29</v>
      </c>
      <c r="N287" s="7" t="s">
        <v>21</v>
      </c>
      <c r="O287" s="5" t="s">
        <v>21</v>
      </c>
      <c r="P287" s="25">
        <f>VLOOKUP(C287, [1]Sheet1!$A$2:$B$313, 2, FALSE)</f>
        <v>1.4866739984220001</v>
      </c>
      <c r="Q287" s="59">
        <v>1.3318967804635759E-4</v>
      </c>
    </row>
    <row r="288" spans="2:17" ht="32.1" hidden="1">
      <c r="B288" s="26">
        <v>232</v>
      </c>
      <c r="C288" s="26">
        <v>350699</v>
      </c>
      <c r="D288" s="28" t="s">
        <v>522</v>
      </c>
      <c r="E288" s="27" t="s">
        <v>523</v>
      </c>
      <c r="F288" s="27" t="s">
        <v>50</v>
      </c>
      <c r="G288" s="27" t="s">
        <v>51</v>
      </c>
      <c r="H288" s="27" t="s">
        <v>20</v>
      </c>
      <c r="I288" s="26" t="s">
        <v>11</v>
      </c>
      <c r="J288" s="26" t="s">
        <v>21</v>
      </c>
      <c r="K288" s="26" t="s">
        <v>29</v>
      </c>
      <c r="L288" s="26" t="s">
        <v>29</v>
      </c>
      <c r="M288" s="26" t="s">
        <v>21</v>
      </c>
      <c r="N288" s="29" t="s">
        <v>29</v>
      </c>
      <c r="O288" s="26" t="s">
        <v>29</v>
      </c>
      <c r="P288" s="25">
        <f>VLOOKUP(C288, [1]Sheet1!$A$2:$B$313, 2, FALSE)</f>
        <v>1.6991903286950001</v>
      </c>
      <c r="Q288" s="59">
        <v>1.9135774856279426E-4</v>
      </c>
    </row>
    <row r="289" spans="2:18" ht="32.1">
      <c r="B289" s="43">
        <v>217</v>
      </c>
      <c r="C289" s="43">
        <v>852869</v>
      </c>
      <c r="D289" s="47" t="s">
        <v>524</v>
      </c>
      <c r="E289" s="44" t="s">
        <v>525</v>
      </c>
      <c r="F289" s="44" t="s">
        <v>66</v>
      </c>
      <c r="G289" s="44" t="s">
        <v>67</v>
      </c>
      <c r="H289" s="44" t="s">
        <v>28</v>
      </c>
      <c r="I289" s="43" t="s">
        <v>12</v>
      </c>
      <c r="J289" s="43" t="s">
        <v>21</v>
      </c>
      <c r="K289" s="43" t="s">
        <v>21</v>
      </c>
      <c r="L289" s="43" t="s">
        <v>21</v>
      </c>
      <c r="M289" s="43" t="s">
        <v>29</v>
      </c>
      <c r="N289" s="43" t="s">
        <v>21</v>
      </c>
      <c r="O289" s="43" t="s">
        <v>21</v>
      </c>
      <c r="P289" s="25">
        <f>VLOOKUP(C289, [1]Sheet1!$A$2:$B$313, 2, FALSE)</f>
        <v>1.7700690900180001</v>
      </c>
      <c r="Q289" s="45">
        <v>2.1990952310775431E-4</v>
      </c>
    </row>
    <row r="290" spans="2:18" ht="48">
      <c r="B290" s="43">
        <v>236</v>
      </c>
      <c r="C290" s="43">
        <v>851981</v>
      </c>
      <c r="D290" s="47" t="s">
        <v>526</v>
      </c>
      <c r="E290" s="44" t="s">
        <v>527</v>
      </c>
      <c r="F290" s="44" t="s">
        <v>66</v>
      </c>
      <c r="G290" s="44" t="s">
        <v>40</v>
      </c>
      <c r="H290" s="44" t="s">
        <v>28</v>
      </c>
      <c r="I290" s="43" t="s">
        <v>12</v>
      </c>
      <c r="J290" s="43" t="s">
        <v>21</v>
      </c>
      <c r="K290" s="43" t="s">
        <v>21</v>
      </c>
      <c r="L290" s="43" t="s">
        <v>21</v>
      </c>
      <c r="M290" s="43" t="s">
        <v>29</v>
      </c>
      <c r="N290" s="43" t="s">
        <v>21</v>
      </c>
      <c r="O290" s="43" t="s">
        <v>21</v>
      </c>
      <c r="P290" s="25">
        <f>VLOOKUP(C290, [1]Sheet1!$A$2:$B$313, 2, FALSE)</f>
        <v>1.72957833223</v>
      </c>
      <c r="Q290" s="45">
        <v>1.5814429521473627E-4</v>
      </c>
    </row>
    <row r="291" spans="2:18" ht="32.1">
      <c r="B291" s="43">
        <v>251</v>
      </c>
      <c r="C291" s="43">
        <v>852380</v>
      </c>
      <c r="D291" s="47" t="s">
        <v>528</v>
      </c>
      <c r="E291" s="44" t="s">
        <v>529</v>
      </c>
      <c r="F291" s="44" t="s">
        <v>66</v>
      </c>
      <c r="G291" s="44" t="s">
        <v>67</v>
      </c>
      <c r="H291" s="44" t="s">
        <v>28</v>
      </c>
      <c r="I291" s="43" t="s">
        <v>12</v>
      </c>
      <c r="J291" s="43" t="s">
        <v>21</v>
      </c>
      <c r="K291" s="43" t="s">
        <v>21</v>
      </c>
      <c r="L291" s="43" t="s">
        <v>21</v>
      </c>
      <c r="M291" s="43" t="s">
        <v>29</v>
      </c>
      <c r="N291" s="43" t="s">
        <v>21</v>
      </c>
      <c r="O291" s="43" t="s">
        <v>21</v>
      </c>
      <c r="P291" s="25">
        <f>VLOOKUP(C291, [1]Sheet1!$A$2:$B$313, 2, FALSE)</f>
        <v>1.6556662940810001</v>
      </c>
      <c r="Q291" s="45">
        <v>1.5131463911568086E-4</v>
      </c>
    </row>
    <row r="292" spans="2:18" ht="32.1" hidden="1">
      <c r="B292" s="31">
        <v>300</v>
      </c>
      <c r="C292" s="31">
        <v>853910</v>
      </c>
      <c r="D292" s="32" t="s">
        <v>530</v>
      </c>
      <c r="E292" s="32" t="s">
        <v>316</v>
      </c>
      <c r="F292" s="32" t="s">
        <v>66</v>
      </c>
      <c r="G292" s="32" t="s">
        <v>51</v>
      </c>
      <c r="H292" s="32" t="s">
        <v>28</v>
      </c>
      <c r="I292" s="33" t="s">
        <v>103</v>
      </c>
      <c r="J292" s="31" t="s">
        <v>29</v>
      </c>
      <c r="K292" s="31" t="s">
        <v>21</v>
      </c>
      <c r="L292" s="31" t="s">
        <v>29</v>
      </c>
      <c r="M292" s="31" t="s">
        <v>29</v>
      </c>
      <c r="N292" s="34" t="s">
        <v>29</v>
      </c>
      <c r="O292" s="31" t="s">
        <v>29</v>
      </c>
      <c r="P292" s="21">
        <v>5.8424484325999997E-2</v>
      </c>
      <c r="Q292" s="19">
        <v>6.9942217643590798E-6</v>
      </c>
    </row>
    <row r="293" spans="2:18" ht="32.1" hidden="1">
      <c r="B293" s="43">
        <v>264</v>
      </c>
      <c r="C293" s="43">
        <v>853921</v>
      </c>
      <c r="D293" s="44" t="s">
        <v>531</v>
      </c>
      <c r="E293" s="44" t="s">
        <v>316</v>
      </c>
      <c r="F293" s="44" t="s">
        <v>66</v>
      </c>
      <c r="G293" s="44" t="s">
        <v>51</v>
      </c>
      <c r="H293" s="44" t="s">
        <v>28</v>
      </c>
      <c r="I293" s="47" t="s">
        <v>103</v>
      </c>
      <c r="J293" s="43" t="s">
        <v>29</v>
      </c>
      <c r="K293" s="43" t="s">
        <v>21</v>
      </c>
      <c r="L293" s="43" t="s">
        <v>29</v>
      </c>
      <c r="M293" s="43" t="s">
        <v>29</v>
      </c>
      <c r="N293" s="43" t="s">
        <v>29</v>
      </c>
      <c r="O293" s="43" t="s">
        <v>29</v>
      </c>
      <c r="P293" s="48">
        <v>0.59905949183500007</v>
      </c>
      <c r="Q293" s="20">
        <v>7.1715736720223631E-5</v>
      </c>
      <c r="R293" s="16"/>
    </row>
    <row r="294" spans="2:18" ht="48" hidden="1">
      <c r="B294" s="31">
        <v>356</v>
      </c>
      <c r="C294" s="31">
        <v>853922</v>
      </c>
      <c r="D294" s="32" t="s">
        <v>532</v>
      </c>
      <c r="E294" s="32" t="s">
        <v>316</v>
      </c>
      <c r="F294" s="32" t="s">
        <v>66</v>
      </c>
      <c r="G294" s="32" t="s">
        <v>51</v>
      </c>
      <c r="H294" s="32" t="s">
        <v>28</v>
      </c>
      <c r="I294" s="33" t="s">
        <v>103</v>
      </c>
      <c r="J294" s="31" t="s">
        <v>29</v>
      </c>
      <c r="K294" s="31" t="s">
        <v>21</v>
      </c>
      <c r="L294" s="31" t="s">
        <v>29</v>
      </c>
      <c r="M294" s="31" t="s">
        <v>29</v>
      </c>
      <c r="N294" s="34" t="s">
        <v>29</v>
      </c>
      <c r="O294" s="31" t="s">
        <v>29</v>
      </c>
      <c r="P294" s="55">
        <v>0.35035568919200005</v>
      </c>
      <c r="Q294" s="60">
        <f>P294/SUM($P$3:$P$425)</f>
        <v>7.8760509306841951E-5</v>
      </c>
    </row>
    <row r="295" spans="2:18" ht="32.1" hidden="1">
      <c r="B295" s="43">
        <v>318</v>
      </c>
      <c r="C295" s="43">
        <v>853929</v>
      </c>
      <c r="D295" s="44" t="s">
        <v>533</v>
      </c>
      <c r="E295" s="44" t="s">
        <v>316</v>
      </c>
      <c r="F295" s="44" t="s">
        <v>66</v>
      </c>
      <c r="G295" s="44" t="s">
        <v>51</v>
      </c>
      <c r="H295" s="44" t="s">
        <v>28</v>
      </c>
      <c r="I295" s="47" t="s">
        <v>103</v>
      </c>
      <c r="J295" s="43" t="s">
        <v>29</v>
      </c>
      <c r="K295" s="43" t="s">
        <v>21</v>
      </c>
      <c r="L295" s="43" t="s">
        <v>29</v>
      </c>
      <c r="M295" s="43" t="s">
        <v>29</v>
      </c>
      <c r="N295" s="43" t="s">
        <v>29</v>
      </c>
      <c r="O295" s="43" t="s">
        <v>29</v>
      </c>
      <c r="P295" s="25">
        <v>0.66458018112200024</v>
      </c>
      <c r="Q295" s="62">
        <f>P295/SUM($P$3:$P$425)</f>
        <v>1.4939866871040719E-4</v>
      </c>
    </row>
    <row r="296" spans="2:18" ht="32.1" hidden="1">
      <c r="B296" s="43">
        <v>243</v>
      </c>
      <c r="C296" s="43">
        <v>854130</v>
      </c>
      <c r="D296" s="47" t="s">
        <v>534</v>
      </c>
      <c r="E296" s="44" t="s">
        <v>535</v>
      </c>
      <c r="F296" s="44" t="s">
        <v>54</v>
      </c>
      <c r="G296" s="44" t="s">
        <v>19</v>
      </c>
      <c r="H296" s="44" t="s">
        <v>20</v>
      </c>
      <c r="I296" s="43" t="s">
        <v>12</v>
      </c>
      <c r="J296" s="43" t="s">
        <v>21</v>
      </c>
      <c r="K296" s="43" t="s">
        <v>21</v>
      </c>
      <c r="L296" s="43" t="s">
        <v>21</v>
      </c>
      <c r="M296" s="43" t="s">
        <v>29</v>
      </c>
      <c r="N296" s="43" t="s">
        <v>21</v>
      </c>
      <c r="O296" s="43" t="s">
        <v>21</v>
      </c>
      <c r="P296" s="25">
        <f>VLOOKUP(C296, [1]Sheet1!$A$2:$B$313, 2, FALSE)</f>
        <v>1.6413502713699999</v>
      </c>
      <c r="Q296" s="45">
        <v>1.2081232865330697E-4</v>
      </c>
    </row>
    <row r="297" spans="2:18" ht="32.1" hidden="1">
      <c r="B297" s="31">
        <v>345</v>
      </c>
      <c r="C297" s="31">
        <v>853932</v>
      </c>
      <c r="D297" s="32" t="s">
        <v>536</v>
      </c>
      <c r="E297" s="32" t="s">
        <v>316</v>
      </c>
      <c r="F297" s="32" t="s">
        <v>66</v>
      </c>
      <c r="G297" s="32" t="s">
        <v>51</v>
      </c>
      <c r="H297" s="32" t="s">
        <v>28</v>
      </c>
      <c r="I297" s="33" t="s">
        <v>103</v>
      </c>
      <c r="J297" s="31" t="s">
        <v>29</v>
      </c>
      <c r="K297" s="31" t="s">
        <v>21</v>
      </c>
      <c r="L297" s="31" t="s">
        <v>29</v>
      </c>
      <c r="M297" s="31" t="s">
        <v>29</v>
      </c>
      <c r="N297" s="34" t="s">
        <v>29</v>
      </c>
      <c r="O297" s="31" t="s">
        <v>29</v>
      </c>
      <c r="P297" s="55">
        <v>0.44935833794400004</v>
      </c>
      <c r="Q297" s="60">
        <f>P297/SUM($P$3:$P$425)</f>
        <v>1.010164602703234E-4</v>
      </c>
    </row>
    <row r="298" spans="2:18" ht="32.1" hidden="1">
      <c r="B298" s="43">
        <v>353</v>
      </c>
      <c r="C298" s="43">
        <v>853939</v>
      </c>
      <c r="D298" s="44" t="s">
        <v>537</v>
      </c>
      <c r="E298" s="44" t="s">
        <v>316</v>
      </c>
      <c r="F298" s="44" t="s">
        <v>66</v>
      </c>
      <c r="G298" s="44" t="s">
        <v>51</v>
      </c>
      <c r="H298" s="44" t="s">
        <v>28</v>
      </c>
      <c r="I298" s="47" t="s">
        <v>103</v>
      </c>
      <c r="J298" s="43" t="s">
        <v>29</v>
      </c>
      <c r="K298" s="43" t="s">
        <v>21</v>
      </c>
      <c r="L298" s="43" t="s">
        <v>29</v>
      </c>
      <c r="M298" s="43" t="s">
        <v>29</v>
      </c>
      <c r="N298" s="43" t="s">
        <v>29</v>
      </c>
      <c r="O298" s="43" t="s">
        <v>29</v>
      </c>
      <c r="P298" s="25">
        <v>0.39186683622899998</v>
      </c>
      <c r="Q298" s="62">
        <f>P298/SUM($P$3:$P$425)</f>
        <v>8.8092280370943662E-5</v>
      </c>
    </row>
    <row r="299" spans="2:18" ht="32.1" hidden="1">
      <c r="B299" s="43">
        <v>322</v>
      </c>
      <c r="C299" s="43">
        <v>853941</v>
      </c>
      <c r="D299" s="44" t="s">
        <v>538</v>
      </c>
      <c r="E299" s="44" t="s">
        <v>316</v>
      </c>
      <c r="F299" s="44" t="s">
        <v>66</v>
      </c>
      <c r="G299" s="44" t="s">
        <v>51</v>
      </c>
      <c r="H299" s="44" t="s">
        <v>28</v>
      </c>
      <c r="I299" s="47" t="s">
        <v>103</v>
      </c>
      <c r="J299" s="43" t="s">
        <v>29</v>
      </c>
      <c r="K299" s="43" t="s">
        <v>21</v>
      </c>
      <c r="L299" s="43" t="s">
        <v>29</v>
      </c>
      <c r="M299" s="43" t="s">
        <v>29</v>
      </c>
      <c r="N299" s="43" t="s">
        <v>29</v>
      </c>
      <c r="O299" s="43" t="s">
        <v>29</v>
      </c>
      <c r="P299" s="25">
        <v>0.64071078476499999</v>
      </c>
      <c r="Q299" s="62">
        <f>P299/SUM($P$3:$P$425)</f>
        <v>1.4403279091273292E-4</v>
      </c>
    </row>
    <row r="300" spans="2:18" ht="32.1" hidden="1">
      <c r="B300" s="43">
        <v>263</v>
      </c>
      <c r="C300" s="43">
        <v>853949</v>
      </c>
      <c r="D300" s="44" t="s">
        <v>539</v>
      </c>
      <c r="E300" s="44" t="s">
        <v>316</v>
      </c>
      <c r="F300" s="44" t="s">
        <v>66</v>
      </c>
      <c r="G300" s="44" t="s">
        <v>51</v>
      </c>
      <c r="H300" s="44" t="s">
        <v>28</v>
      </c>
      <c r="I300" s="47" t="s">
        <v>103</v>
      </c>
      <c r="J300" s="43" t="s">
        <v>29</v>
      </c>
      <c r="K300" s="43" t="s">
        <v>21</v>
      </c>
      <c r="L300" s="43" t="s">
        <v>29</v>
      </c>
      <c r="M300" s="43" t="s">
        <v>29</v>
      </c>
      <c r="N300" s="43" t="s">
        <v>29</v>
      </c>
      <c r="O300" s="43" t="s">
        <v>29</v>
      </c>
      <c r="P300" s="48">
        <v>0.55057236228499995</v>
      </c>
      <c r="Q300" s="20">
        <v>6.5911154263019296E-5</v>
      </c>
    </row>
    <row r="301" spans="2:18" ht="48">
      <c r="B301" s="43">
        <v>255</v>
      </c>
      <c r="C301" s="43">
        <v>903084</v>
      </c>
      <c r="D301" s="47" t="s">
        <v>540</v>
      </c>
      <c r="E301" s="44" t="s">
        <v>432</v>
      </c>
      <c r="F301" s="44" t="s">
        <v>189</v>
      </c>
      <c r="G301" s="44" t="s">
        <v>40</v>
      </c>
      <c r="H301" s="44" t="s">
        <v>28</v>
      </c>
      <c r="I301" s="43" t="s">
        <v>12</v>
      </c>
      <c r="J301" s="43" t="s">
        <v>21</v>
      </c>
      <c r="K301" s="43" t="s">
        <v>21</v>
      </c>
      <c r="L301" s="43" t="s">
        <v>29</v>
      </c>
      <c r="M301" s="43" t="s">
        <v>29</v>
      </c>
      <c r="N301" s="43" t="s">
        <v>21</v>
      </c>
      <c r="O301" s="43" t="s">
        <v>21</v>
      </c>
      <c r="P301" s="25">
        <f>VLOOKUP(C301, [1]Sheet1!$A$2:$B$313, 2, FALSE)</f>
        <v>1.590326776867</v>
      </c>
      <c r="Q301" s="45">
        <v>1.1909521162413222E-4</v>
      </c>
      <c r="R301" s="16"/>
    </row>
    <row r="302" spans="2:18" ht="32.1" hidden="1">
      <c r="B302" s="35">
        <v>317</v>
      </c>
      <c r="C302" s="35">
        <v>853990</v>
      </c>
      <c r="D302" s="36" t="s">
        <v>541</v>
      </c>
      <c r="E302" s="36" t="s">
        <v>542</v>
      </c>
      <c r="F302" s="36" t="s">
        <v>66</v>
      </c>
      <c r="G302" s="36" t="s">
        <v>51</v>
      </c>
      <c r="H302" s="36" t="s">
        <v>20</v>
      </c>
      <c r="I302" s="37" t="s">
        <v>103</v>
      </c>
      <c r="J302" s="35" t="s">
        <v>29</v>
      </c>
      <c r="K302" s="35" t="s">
        <v>21</v>
      </c>
      <c r="L302" s="35" t="s">
        <v>29</v>
      </c>
      <c r="M302" s="35" t="s">
        <v>29</v>
      </c>
      <c r="N302" s="38" t="s">
        <v>29</v>
      </c>
      <c r="O302" s="35" t="s">
        <v>29</v>
      </c>
      <c r="P302" s="55">
        <v>0.67687340179400013</v>
      </c>
      <c r="Q302" s="60">
        <f>P302/SUM($P$3:$P$425)</f>
        <v>1.5216220402898886E-4</v>
      </c>
    </row>
    <row r="303" spans="2:18" ht="63.95">
      <c r="B303" s="26">
        <v>259</v>
      </c>
      <c r="C303" s="26">
        <v>852550</v>
      </c>
      <c r="D303" s="28" t="s">
        <v>543</v>
      </c>
      <c r="E303" s="27" t="s">
        <v>491</v>
      </c>
      <c r="F303" s="27" t="s">
        <v>266</v>
      </c>
      <c r="G303" s="27" t="s">
        <v>27</v>
      </c>
      <c r="H303" s="27" t="s">
        <v>28</v>
      </c>
      <c r="I303" s="26" t="s">
        <v>12</v>
      </c>
      <c r="J303" s="26" t="s">
        <v>21</v>
      </c>
      <c r="K303" s="26" t="s">
        <v>21</v>
      </c>
      <c r="L303" s="26" t="s">
        <v>21</v>
      </c>
      <c r="M303" s="26" t="s">
        <v>29</v>
      </c>
      <c r="N303" s="29" t="s">
        <v>21</v>
      </c>
      <c r="O303" s="26" t="s">
        <v>21</v>
      </c>
      <c r="P303" s="25">
        <f>VLOOKUP(C303, [1]Sheet1!$A$2:$B$313, 2, FALSE)</f>
        <v>1.5627640513859999</v>
      </c>
      <c r="Q303" s="59">
        <v>1.4910073800528163E-4</v>
      </c>
    </row>
    <row r="304" spans="2:18" ht="48">
      <c r="B304" s="43">
        <v>241</v>
      </c>
      <c r="C304" s="43">
        <v>852290</v>
      </c>
      <c r="D304" s="47" t="s">
        <v>544</v>
      </c>
      <c r="E304" s="44" t="s">
        <v>527</v>
      </c>
      <c r="F304" s="44" t="s">
        <v>66</v>
      </c>
      <c r="G304" s="44" t="s">
        <v>67</v>
      </c>
      <c r="H304" s="44" t="s">
        <v>28</v>
      </c>
      <c r="I304" s="43" t="s">
        <v>12</v>
      </c>
      <c r="J304" s="43" t="s">
        <v>21</v>
      </c>
      <c r="K304" s="43" t="s">
        <v>21</v>
      </c>
      <c r="L304" s="43" t="s">
        <v>21</v>
      </c>
      <c r="M304" s="43" t="s">
        <v>29</v>
      </c>
      <c r="N304" s="43" t="s">
        <v>21</v>
      </c>
      <c r="O304" s="43" t="s">
        <v>21</v>
      </c>
      <c r="P304" s="25">
        <f>VLOOKUP(C304, [1]Sheet1!$A$2:$B$313, 2, FALSE)</f>
        <v>1.531553771732</v>
      </c>
      <c r="Q304" s="45">
        <v>1.5261703161864183E-4</v>
      </c>
    </row>
    <row r="305" spans="2:17" ht="48" hidden="1">
      <c r="B305" s="31">
        <v>7</v>
      </c>
      <c r="C305" s="31">
        <v>847330</v>
      </c>
      <c r="D305" s="33" t="s">
        <v>545</v>
      </c>
      <c r="E305" s="32" t="s">
        <v>546</v>
      </c>
      <c r="F305" s="32" t="s">
        <v>36</v>
      </c>
      <c r="G305" s="32" t="s">
        <v>37</v>
      </c>
      <c r="H305" s="32" t="s">
        <v>20</v>
      </c>
      <c r="I305" s="31" t="s">
        <v>12</v>
      </c>
      <c r="J305" s="31" t="s">
        <v>21</v>
      </c>
      <c r="K305" s="31" t="s">
        <v>21</v>
      </c>
      <c r="L305" s="31" t="s">
        <v>21</v>
      </c>
      <c r="M305" s="31" t="s">
        <v>21</v>
      </c>
      <c r="N305" s="34" t="s">
        <v>21</v>
      </c>
      <c r="O305" s="31" t="s">
        <v>21</v>
      </c>
      <c r="P305" s="25">
        <f>VLOOKUP(C305, [1]Sheet1!$A$2:$B$313, 2, FALSE)</f>
        <v>101.489021800598</v>
      </c>
      <c r="Q305" s="59">
        <v>2.637640784081783E-2</v>
      </c>
    </row>
    <row r="306" spans="2:17" ht="63.95">
      <c r="B306" s="43">
        <v>248</v>
      </c>
      <c r="C306" s="43">
        <v>844339</v>
      </c>
      <c r="D306" s="47" t="s">
        <v>547</v>
      </c>
      <c r="E306" s="44" t="s">
        <v>153</v>
      </c>
      <c r="F306" s="44" t="s">
        <v>36</v>
      </c>
      <c r="G306" s="44" t="s">
        <v>37</v>
      </c>
      <c r="H306" s="44" t="s">
        <v>28</v>
      </c>
      <c r="I306" s="43" t="s">
        <v>12</v>
      </c>
      <c r="J306" s="43" t="s">
        <v>21</v>
      </c>
      <c r="K306" s="43" t="s">
        <v>21</v>
      </c>
      <c r="L306" s="43" t="s">
        <v>21</v>
      </c>
      <c r="M306" s="43" t="s">
        <v>29</v>
      </c>
      <c r="N306" s="43" t="s">
        <v>21</v>
      </c>
      <c r="O306" s="43" t="s">
        <v>21</v>
      </c>
      <c r="P306" s="25">
        <f>VLOOKUP(C306, [1]Sheet1!$A$2:$B$313, 2, FALSE)</f>
        <v>1.459932682779</v>
      </c>
      <c r="Q306" s="45">
        <v>1.3726217901024893E-4</v>
      </c>
    </row>
    <row r="307" spans="2:17" ht="32.1">
      <c r="B307" s="35">
        <v>265</v>
      </c>
      <c r="C307" s="35">
        <v>854330</v>
      </c>
      <c r="D307" s="37" t="s">
        <v>548</v>
      </c>
      <c r="E307" s="36" t="s">
        <v>517</v>
      </c>
      <c r="F307" s="36" t="s">
        <v>54</v>
      </c>
      <c r="G307" s="36" t="s">
        <v>40</v>
      </c>
      <c r="H307" s="36" t="s">
        <v>28</v>
      </c>
      <c r="I307" s="35" t="s">
        <v>12</v>
      </c>
      <c r="J307" s="35" t="s">
        <v>21</v>
      </c>
      <c r="K307" s="35" t="s">
        <v>21</v>
      </c>
      <c r="L307" s="35" t="s">
        <v>21</v>
      </c>
      <c r="M307" s="35" t="s">
        <v>29</v>
      </c>
      <c r="N307" s="38" t="s">
        <v>21</v>
      </c>
      <c r="O307" s="35" t="s">
        <v>21</v>
      </c>
      <c r="P307" s="25">
        <f>VLOOKUP(C307, [1]Sheet1!$A$2:$B$313, 2, FALSE)</f>
        <v>1.4523595142279999</v>
      </c>
      <c r="Q307" s="59">
        <v>6.9913869263566773E-5</v>
      </c>
    </row>
    <row r="308" spans="2:17" ht="32.1">
      <c r="B308" s="26">
        <v>254</v>
      </c>
      <c r="C308" s="26">
        <v>852580</v>
      </c>
      <c r="D308" s="28" t="s">
        <v>549</v>
      </c>
      <c r="E308" s="27" t="s">
        <v>550</v>
      </c>
      <c r="F308" s="27" t="s">
        <v>266</v>
      </c>
      <c r="G308" s="27" t="s">
        <v>27</v>
      </c>
      <c r="H308" s="27" t="s">
        <v>28</v>
      </c>
      <c r="I308" s="26" t="s">
        <v>12</v>
      </c>
      <c r="J308" s="26" t="s">
        <v>21</v>
      </c>
      <c r="K308" s="26" t="s">
        <v>21</v>
      </c>
      <c r="L308" s="26" t="s">
        <v>21</v>
      </c>
      <c r="M308" s="26" t="s">
        <v>21</v>
      </c>
      <c r="N308" s="29" t="s">
        <v>21</v>
      </c>
      <c r="O308" s="26" t="s">
        <v>21</v>
      </c>
      <c r="P308" s="25">
        <f>VLOOKUP(C308, [1]Sheet1!$A$2:$B$313, 2, FALSE)</f>
        <v>4.5455717012999997E-2</v>
      </c>
      <c r="Q308" s="59">
        <v>5.1419334616000561E-5</v>
      </c>
    </row>
    <row r="309" spans="2:17" ht="32.1">
      <c r="B309" s="43">
        <v>237</v>
      </c>
      <c r="C309" s="43">
        <v>851711</v>
      </c>
      <c r="D309" s="47" t="s">
        <v>551</v>
      </c>
      <c r="E309" s="44" t="s">
        <v>487</v>
      </c>
      <c r="F309" s="44" t="s">
        <v>26</v>
      </c>
      <c r="G309" s="44" t="s">
        <v>27</v>
      </c>
      <c r="H309" s="44" t="s">
        <v>28</v>
      </c>
      <c r="I309" s="43" t="s">
        <v>12</v>
      </c>
      <c r="J309" s="43" t="s">
        <v>21</v>
      </c>
      <c r="K309" s="43" t="s">
        <v>21</v>
      </c>
      <c r="L309" s="43" t="s">
        <v>21</v>
      </c>
      <c r="M309" s="43" t="s">
        <v>29</v>
      </c>
      <c r="N309" s="43" t="s">
        <v>21</v>
      </c>
      <c r="O309" s="43" t="s">
        <v>21</v>
      </c>
      <c r="P309" s="25">
        <f>VLOOKUP(C309, [1]Sheet1!$A$2:$B$313, 2, FALSE)</f>
        <v>1.3967776739090001</v>
      </c>
      <c r="Q309" s="45">
        <v>2.1170716876495446E-4</v>
      </c>
    </row>
    <row r="310" spans="2:17" ht="48">
      <c r="B310" s="43">
        <v>256</v>
      </c>
      <c r="C310" s="43">
        <v>852581</v>
      </c>
      <c r="D310" s="47" t="s">
        <v>552</v>
      </c>
      <c r="E310" s="44" t="s">
        <v>550</v>
      </c>
      <c r="F310" s="44" t="s">
        <v>266</v>
      </c>
      <c r="G310" s="44" t="s">
        <v>27</v>
      </c>
      <c r="H310" s="44" t="s">
        <v>28</v>
      </c>
      <c r="I310" s="43" t="s">
        <v>12</v>
      </c>
      <c r="J310" s="43" t="s">
        <v>21</v>
      </c>
      <c r="K310" s="43" t="s">
        <v>29</v>
      </c>
      <c r="L310" s="43" t="s">
        <v>21</v>
      </c>
      <c r="M310" s="43" t="s">
        <v>21</v>
      </c>
      <c r="N310" s="43" t="s">
        <v>21</v>
      </c>
      <c r="O310" s="43" t="s">
        <v>29</v>
      </c>
      <c r="P310" s="25">
        <f>VLOOKUP(C310, [1]Sheet1!$A$2:$B$313, 2, FALSE)</f>
        <v>1.63044668368</v>
      </c>
      <c r="Q310" s="45">
        <v>2.0751813928328536E-4</v>
      </c>
    </row>
    <row r="311" spans="2:17" ht="48">
      <c r="B311" s="35">
        <v>261</v>
      </c>
      <c r="C311" s="35">
        <v>852583</v>
      </c>
      <c r="D311" s="37" t="s">
        <v>553</v>
      </c>
      <c r="E311" s="36" t="s">
        <v>550</v>
      </c>
      <c r="F311" s="36" t="s">
        <v>66</v>
      </c>
      <c r="G311" s="36" t="s">
        <v>67</v>
      </c>
      <c r="H311" s="36" t="s">
        <v>28</v>
      </c>
      <c r="I311" s="35" t="s">
        <v>12</v>
      </c>
      <c r="J311" s="35" t="s">
        <v>21</v>
      </c>
      <c r="K311" s="35" t="s">
        <v>29</v>
      </c>
      <c r="L311" s="35" t="s">
        <v>21</v>
      </c>
      <c r="M311" s="35" t="s">
        <v>29</v>
      </c>
      <c r="N311" s="38" t="s">
        <v>21</v>
      </c>
      <c r="O311" s="35" t="s">
        <v>29</v>
      </c>
      <c r="P311" s="25">
        <f>VLOOKUP(C311, [1]Sheet1!$A$2:$B$313, 2, FALSE)</f>
        <v>1.382219788422</v>
      </c>
      <c r="Q311" s="59">
        <v>5.1033418882453718E-5</v>
      </c>
    </row>
    <row r="312" spans="2:17" ht="32.1" hidden="1">
      <c r="B312" s="26">
        <v>258</v>
      </c>
      <c r="C312" s="26">
        <v>854690</v>
      </c>
      <c r="D312" s="28" t="s">
        <v>554</v>
      </c>
      <c r="E312" s="27" t="s">
        <v>555</v>
      </c>
      <c r="F312" s="27" t="s">
        <v>54</v>
      </c>
      <c r="G312" s="27" t="s">
        <v>51</v>
      </c>
      <c r="H312" s="27" t="s">
        <v>20</v>
      </c>
      <c r="I312" s="26" t="s">
        <v>11</v>
      </c>
      <c r="J312" s="26" t="s">
        <v>21</v>
      </c>
      <c r="K312" s="26" t="s">
        <v>21</v>
      </c>
      <c r="L312" s="26" t="s">
        <v>29</v>
      </c>
      <c r="M312" s="26" t="s">
        <v>21</v>
      </c>
      <c r="N312" s="29" t="s">
        <v>29</v>
      </c>
      <c r="O312" s="26" t="s">
        <v>29</v>
      </c>
      <c r="P312" s="25">
        <f>VLOOKUP(C312, [1]Sheet1!$A$2:$B$313, 2, FALSE)</f>
        <v>1.496600751321</v>
      </c>
      <c r="Q312" s="59">
        <v>8.9072880575374178E-5</v>
      </c>
    </row>
    <row r="313" spans="2:17" ht="63.95" hidden="1">
      <c r="B313" s="43">
        <v>219</v>
      </c>
      <c r="C313" s="43">
        <v>847340</v>
      </c>
      <c r="D313" s="47" t="s">
        <v>556</v>
      </c>
      <c r="E313" s="44" t="s">
        <v>557</v>
      </c>
      <c r="F313" s="44" t="s">
        <v>36</v>
      </c>
      <c r="G313" s="44" t="s">
        <v>37</v>
      </c>
      <c r="H313" s="44" t="s">
        <v>20</v>
      </c>
      <c r="I313" s="43" t="s">
        <v>12</v>
      </c>
      <c r="J313" s="43" t="s">
        <v>21</v>
      </c>
      <c r="K313" s="43" t="s">
        <v>21</v>
      </c>
      <c r="L313" s="43" t="s">
        <v>21</v>
      </c>
      <c r="M313" s="43" t="s">
        <v>29</v>
      </c>
      <c r="N313" s="43" t="s">
        <v>21</v>
      </c>
      <c r="O313" s="43" t="s">
        <v>21</v>
      </c>
      <c r="P313" s="25">
        <f>VLOOKUP(C313, [1]Sheet1!$A$2:$B$313, 2, FALSE)</f>
        <v>1.8880518161269999</v>
      </c>
      <c r="Q313" s="45">
        <v>3.0729700194881204E-4</v>
      </c>
    </row>
    <row r="314" spans="2:17" ht="32.1" hidden="1">
      <c r="B314" s="35">
        <v>266</v>
      </c>
      <c r="C314" s="35">
        <v>831110</v>
      </c>
      <c r="D314" s="37" t="s">
        <v>558</v>
      </c>
      <c r="E314" s="36" t="s">
        <v>559</v>
      </c>
      <c r="F314" s="36" t="s">
        <v>54</v>
      </c>
      <c r="G314" s="36" t="s">
        <v>559</v>
      </c>
      <c r="H314" s="36" t="s">
        <v>20</v>
      </c>
      <c r="I314" s="35" t="s">
        <v>12</v>
      </c>
      <c r="J314" s="35" t="s">
        <v>21</v>
      </c>
      <c r="K314" s="35" t="s">
        <v>29</v>
      </c>
      <c r="L314" s="35" t="s">
        <v>29</v>
      </c>
      <c r="M314" s="35" t="s">
        <v>29</v>
      </c>
      <c r="N314" s="38" t="s">
        <v>21</v>
      </c>
      <c r="O314" s="35" t="s">
        <v>29</v>
      </c>
      <c r="P314" s="25">
        <f>VLOOKUP(C314, [1]Sheet1!$A$2:$B$313, 2, FALSE)</f>
        <v>1.358832157076</v>
      </c>
      <c r="Q314" s="59">
        <v>7.2621695600560382E-5</v>
      </c>
    </row>
    <row r="315" spans="2:17" ht="32.1" hidden="1">
      <c r="B315" s="26">
        <v>262</v>
      </c>
      <c r="C315" s="26">
        <v>482190</v>
      </c>
      <c r="D315" s="28" t="s">
        <v>560</v>
      </c>
      <c r="E315" s="27" t="s">
        <v>251</v>
      </c>
      <c r="F315" s="27" t="s">
        <v>50</v>
      </c>
      <c r="G315" s="27" t="s">
        <v>51</v>
      </c>
      <c r="H315" s="27" t="s">
        <v>20</v>
      </c>
      <c r="I315" s="26" t="s">
        <v>11</v>
      </c>
      <c r="J315" s="26" t="s">
        <v>21</v>
      </c>
      <c r="K315" s="26" t="s">
        <v>29</v>
      </c>
      <c r="L315" s="26" t="s">
        <v>29</v>
      </c>
      <c r="M315" s="26" t="s">
        <v>21</v>
      </c>
      <c r="N315" s="29" t="s">
        <v>29</v>
      </c>
      <c r="O315" s="26" t="s">
        <v>29</v>
      </c>
      <c r="P315" s="25">
        <f>VLOOKUP(C315, [1]Sheet1!$A$2:$B$313, 2, FALSE)</f>
        <v>1.333836487348</v>
      </c>
      <c r="Q315" s="68">
        <v>2.7045861079397514E-4</v>
      </c>
    </row>
    <row r="316" spans="2:17" ht="32.1">
      <c r="B316" s="43">
        <v>272</v>
      </c>
      <c r="C316" s="43">
        <v>901811</v>
      </c>
      <c r="D316" s="47" t="s">
        <v>561</v>
      </c>
      <c r="E316" s="44" t="s">
        <v>197</v>
      </c>
      <c r="F316" s="44" t="s">
        <v>198</v>
      </c>
      <c r="G316" s="44" t="s">
        <v>40</v>
      </c>
      <c r="H316" s="44" t="s">
        <v>28</v>
      </c>
      <c r="I316" s="43" t="s">
        <v>12</v>
      </c>
      <c r="J316" s="43" t="s">
        <v>21</v>
      </c>
      <c r="K316" s="43" t="s">
        <v>21</v>
      </c>
      <c r="L316" s="43" t="s">
        <v>29</v>
      </c>
      <c r="M316" s="43" t="s">
        <v>29</v>
      </c>
      <c r="N316" s="43" t="s">
        <v>21</v>
      </c>
      <c r="O316" s="43" t="s">
        <v>21</v>
      </c>
      <c r="P316" s="25">
        <f>VLOOKUP(C316, [1]Sheet1!$A$2:$B$313, 2, FALSE)</f>
        <v>1.2893688192470001</v>
      </c>
      <c r="Q316" s="45">
        <v>6.2956335510795861E-5</v>
      </c>
    </row>
    <row r="317" spans="2:17" ht="48">
      <c r="B317" s="31">
        <v>273</v>
      </c>
      <c r="C317" s="31">
        <v>852359</v>
      </c>
      <c r="D317" s="33" t="s">
        <v>562</v>
      </c>
      <c r="E317" s="32" t="s">
        <v>563</v>
      </c>
      <c r="F317" s="32" t="s">
        <v>66</v>
      </c>
      <c r="G317" s="32" t="s">
        <v>67</v>
      </c>
      <c r="H317" s="32" t="s">
        <v>28</v>
      </c>
      <c r="I317" s="31" t="s">
        <v>12</v>
      </c>
      <c r="J317" s="31" t="s">
        <v>21</v>
      </c>
      <c r="K317" s="31" t="s">
        <v>21</v>
      </c>
      <c r="L317" s="31" t="s">
        <v>21</v>
      </c>
      <c r="M317" s="31" t="s">
        <v>29</v>
      </c>
      <c r="N317" s="34" t="s">
        <v>21</v>
      </c>
      <c r="O317" s="31" t="s">
        <v>21</v>
      </c>
      <c r="P317" s="25">
        <f>VLOOKUP(C317, [1]Sheet1!$A$2:$B$313, 2, FALSE)</f>
        <v>1.263181517991</v>
      </c>
      <c r="Q317" s="67">
        <v>4.0487852517379838E-5</v>
      </c>
    </row>
    <row r="318" spans="2:17" ht="63.95">
      <c r="B318" s="43">
        <v>291</v>
      </c>
      <c r="C318" s="43">
        <v>852729</v>
      </c>
      <c r="D318" s="47" t="s">
        <v>564</v>
      </c>
      <c r="E318" s="44" t="s">
        <v>407</v>
      </c>
      <c r="F318" s="44" t="s">
        <v>266</v>
      </c>
      <c r="G318" s="44" t="s">
        <v>27</v>
      </c>
      <c r="H318" s="44" t="s">
        <v>28</v>
      </c>
      <c r="I318" s="43" t="s">
        <v>12</v>
      </c>
      <c r="J318" s="43" t="s">
        <v>21</v>
      </c>
      <c r="K318" s="43" t="s">
        <v>21</v>
      </c>
      <c r="L318" s="43" t="s">
        <v>21</v>
      </c>
      <c r="M318" s="43" t="s">
        <v>29</v>
      </c>
      <c r="N318" s="43" t="s">
        <v>21</v>
      </c>
      <c r="O318" s="43" t="s">
        <v>21</v>
      </c>
      <c r="P318" s="25">
        <f>VLOOKUP(C318, [1]Sheet1!$A$2:$B$313, 2, FALSE)</f>
        <v>1.229424253296</v>
      </c>
      <c r="Q318" s="45">
        <v>2.2566281270949135E-5</v>
      </c>
    </row>
    <row r="319" spans="2:17" ht="48" hidden="1">
      <c r="B319" s="35">
        <v>257</v>
      </c>
      <c r="C319" s="35">
        <v>850519</v>
      </c>
      <c r="D319" s="37" t="s">
        <v>565</v>
      </c>
      <c r="E319" s="36" t="s">
        <v>363</v>
      </c>
      <c r="F319" s="36" t="s">
        <v>189</v>
      </c>
      <c r="G319" s="36" t="s">
        <v>40</v>
      </c>
      <c r="H319" s="36" t="s">
        <v>20</v>
      </c>
      <c r="I319" s="35" t="s">
        <v>12</v>
      </c>
      <c r="J319" s="35" t="s">
        <v>21</v>
      </c>
      <c r="K319" s="35" t="s">
        <v>21</v>
      </c>
      <c r="L319" s="35" t="s">
        <v>29</v>
      </c>
      <c r="M319" s="35" t="s">
        <v>29</v>
      </c>
      <c r="N319" s="38" t="s">
        <v>21</v>
      </c>
      <c r="O319" s="35" t="s">
        <v>21</v>
      </c>
      <c r="P319" s="25">
        <f>VLOOKUP(C319, [1]Sheet1!$A$2:$B$313, 2, FALSE)</f>
        <v>1.208454785557</v>
      </c>
      <c r="Q319" s="61">
        <v>1.2529782163586594E-4</v>
      </c>
    </row>
    <row r="320" spans="2:17" ht="32.1">
      <c r="B320" s="26">
        <v>280</v>
      </c>
      <c r="C320" s="26">
        <v>851850</v>
      </c>
      <c r="D320" s="28" t="s">
        <v>566</v>
      </c>
      <c r="E320" s="27" t="s">
        <v>100</v>
      </c>
      <c r="F320" s="27" t="s">
        <v>189</v>
      </c>
      <c r="G320" s="27" t="s">
        <v>40</v>
      </c>
      <c r="H320" s="27" t="s">
        <v>28</v>
      </c>
      <c r="I320" s="26" t="s">
        <v>12</v>
      </c>
      <c r="J320" s="26" t="s">
        <v>21</v>
      </c>
      <c r="K320" s="26" t="s">
        <v>21</v>
      </c>
      <c r="L320" s="26" t="s">
        <v>21</v>
      </c>
      <c r="M320" s="26" t="s">
        <v>29</v>
      </c>
      <c r="N320" s="29" t="s">
        <v>21</v>
      </c>
      <c r="O320" s="26" t="s">
        <v>21</v>
      </c>
      <c r="P320" s="25">
        <f>VLOOKUP(C320, [1]Sheet1!$A$2:$B$313, 2, FALSE)</f>
        <v>1.2061600622049999</v>
      </c>
      <c r="Q320" s="68">
        <v>3.2639313426434156E-5</v>
      </c>
    </row>
    <row r="321" spans="2:17" ht="48">
      <c r="B321" s="43">
        <v>275</v>
      </c>
      <c r="C321" s="43">
        <v>910212</v>
      </c>
      <c r="D321" s="47" t="s">
        <v>567</v>
      </c>
      <c r="E321" s="44" t="s">
        <v>568</v>
      </c>
      <c r="F321" s="44" t="s">
        <v>66</v>
      </c>
      <c r="G321" s="44" t="s">
        <v>67</v>
      </c>
      <c r="H321" s="44" t="s">
        <v>28</v>
      </c>
      <c r="I321" s="43" t="s">
        <v>12</v>
      </c>
      <c r="J321" s="43" t="s">
        <v>21</v>
      </c>
      <c r="K321" s="43" t="s">
        <v>29</v>
      </c>
      <c r="L321" s="43" t="s">
        <v>29</v>
      </c>
      <c r="M321" s="43" t="s">
        <v>29</v>
      </c>
      <c r="N321" s="43" t="s">
        <v>21</v>
      </c>
      <c r="O321" s="43" t="s">
        <v>29</v>
      </c>
      <c r="P321" s="25">
        <f>VLOOKUP(C321, [1]Sheet1!$A$2:$B$313, 2, FALSE)</f>
        <v>1.1923573025</v>
      </c>
      <c r="Q321" s="45">
        <v>3.7276775441785226E-5</v>
      </c>
    </row>
    <row r="322" spans="2:17" ht="32.1">
      <c r="B322" s="43">
        <v>276</v>
      </c>
      <c r="C322" s="43">
        <v>851989</v>
      </c>
      <c r="D322" s="47" t="s">
        <v>569</v>
      </c>
      <c r="E322" s="44" t="s">
        <v>527</v>
      </c>
      <c r="F322" s="44" t="s">
        <v>66</v>
      </c>
      <c r="G322" s="44" t="s">
        <v>67</v>
      </c>
      <c r="H322" s="44" t="s">
        <v>28</v>
      </c>
      <c r="I322" s="43" t="s">
        <v>12</v>
      </c>
      <c r="J322" s="43" t="s">
        <v>21</v>
      </c>
      <c r="K322" s="43" t="s">
        <v>21</v>
      </c>
      <c r="L322" s="43" t="s">
        <v>21</v>
      </c>
      <c r="M322" s="43" t="s">
        <v>21</v>
      </c>
      <c r="N322" s="43" t="s">
        <v>21</v>
      </c>
      <c r="O322" s="43" t="s">
        <v>21</v>
      </c>
      <c r="P322" s="25">
        <f>VLOOKUP(C322, [1]Sheet1!$A$2:$B$313, 2, FALSE)</f>
        <v>0.97728734585499999</v>
      </c>
      <c r="Q322" s="45">
        <v>4.6135569492142054E-5</v>
      </c>
    </row>
    <row r="323" spans="2:17" ht="32.1" hidden="1">
      <c r="B323" s="35">
        <v>287</v>
      </c>
      <c r="C323" s="35">
        <v>901290</v>
      </c>
      <c r="D323" s="37" t="s">
        <v>570</v>
      </c>
      <c r="E323" s="36" t="s">
        <v>571</v>
      </c>
      <c r="F323" s="36" t="s">
        <v>189</v>
      </c>
      <c r="G323" s="36" t="s">
        <v>40</v>
      </c>
      <c r="H323" s="36" t="s">
        <v>20</v>
      </c>
      <c r="I323" s="35" t="s">
        <v>12</v>
      </c>
      <c r="J323" s="35" t="s">
        <v>21</v>
      </c>
      <c r="K323" s="35" t="s">
        <v>21</v>
      </c>
      <c r="L323" s="35" t="s">
        <v>29</v>
      </c>
      <c r="M323" s="35" t="s">
        <v>29</v>
      </c>
      <c r="N323" s="38" t="s">
        <v>21</v>
      </c>
      <c r="O323" s="35" t="s">
        <v>21</v>
      </c>
      <c r="P323" s="25">
        <f>VLOOKUP(C323, [1]Sheet1!$A$2:$B$313, 2, FALSE)</f>
        <v>1.0499207706710001</v>
      </c>
      <c r="Q323" s="61">
        <v>3.81829331209082E-5</v>
      </c>
    </row>
    <row r="324" spans="2:17" ht="32.1">
      <c r="B324" s="5">
        <v>294</v>
      </c>
      <c r="C324" s="5">
        <v>903020</v>
      </c>
      <c r="D324" s="10" t="s">
        <v>572</v>
      </c>
      <c r="E324" s="6" t="s">
        <v>572</v>
      </c>
      <c r="F324" s="6" t="s">
        <v>189</v>
      </c>
      <c r="G324" s="6" t="s">
        <v>40</v>
      </c>
      <c r="H324" s="6" t="s">
        <v>28</v>
      </c>
      <c r="I324" s="5" t="s">
        <v>12</v>
      </c>
      <c r="J324" s="5" t="s">
        <v>21</v>
      </c>
      <c r="K324" s="5" t="s">
        <v>21</v>
      </c>
      <c r="L324" s="5" t="s">
        <v>29</v>
      </c>
      <c r="M324" s="5" t="s">
        <v>29</v>
      </c>
      <c r="N324" s="7" t="s">
        <v>21</v>
      </c>
      <c r="O324" s="5" t="s">
        <v>21</v>
      </c>
      <c r="P324" s="25">
        <f>VLOOKUP(C324, [1]Sheet1!$A$2:$B$313, 2, FALSE)</f>
        <v>1.044370143604</v>
      </c>
      <c r="Q324" s="69">
        <v>1.3004025731600557E-5</v>
      </c>
    </row>
    <row r="325" spans="2:17" ht="32.1" hidden="1">
      <c r="B325" s="5">
        <v>268</v>
      </c>
      <c r="C325" s="5">
        <v>853290</v>
      </c>
      <c r="D325" s="10" t="s">
        <v>573</v>
      </c>
      <c r="E325" s="6" t="s">
        <v>574</v>
      </c>
      <c r="F325" s="6" t="s">
        <v>54</v>
      </c>
      <c r="G325" s="6" t="s">
        <v>19</v>
      </c>
      <c r="H325" s="6" t="s">
        <v>20</v>
      </c>
      <c r="I325" s="5" t="s">
        <v>12</v>
      </c>
      <c r="J325" s="5" t="s">
        <v>21</v>
      </c>
      <c r="K325" s="5" t="s">
        <v>21</v>
      </c>
      <c r="L325" s="5" t="s">
        <v>21</v>
      </c>
      <c r="M325" s="5" t="s">
        <v>29</v>
      </c>
      <c r="N325" s="7" t="s">
        <v>21</v>
      </c>
      <c r="O325" s="5" t="s">
        <v>21</v>
      </c>
      <c r="P325" s="25">
        <f>VLOOKUP(C325, [1]Sheet1!$A$2:$B$313, 2, FALSE)</f>
        <v>1.042181544905</v>
      </c>
      <c r="Q325" s="69">
        <v>8.2193608700152502E-5</v>
      </c>
    </row>
    <row r="326" spans="2:17" ht="32.1" hidden="1">
      <c r="B326" s="26">
        <v>277</v>
      </c>
      <c r="C326" s="26">
        <v>831120</v>
      </c>
      <c r="D326" s="28" t="s">
        <v>575</v>
      </c>
      <c r="E326" s="27" t="s">
        <v>576</v>
      </c>
      <c r="F326" s="27" t="s">
        <v>54</v>
      </c>
      <c r="G326" s="27" t="s">
        <v>559</v>
      </c>
      <c r="H326" s="27" t="s">
        <v>20</v>
      </c>
      <c r="I326" s="26" t="s">
        <v>12</v>
      </c>
      <c r="J326" s="26" t="s">
        <v>21</v>
      </c>
      <c r="K326" s="26" t="s">
        <v>29</v>
      </c>
      <c r="L326" s="26" t="s">
        <v>29</v>
      </c>
      <c r="M326" s="26" t="s">
        <v>29</v>
      </c>
      <c r="N326" s="29" t="s">
        <v>21</v>
      </c>
      <c r="O326" s="26" t="s">
        <v>29</v>
      </c>
      <c r="P326" s="25">
        <f>VLOOKUP(C326, [1]Sheet1!$A$2:$B$313, 2, FALSE)</f>
        <v>1.0360941828900001</v>
      </c>
      <c r="Q326" s="68">
        <v>6.3207503549427436E-5</v>
      </c>
    </row>
    <row r="327" spans="2:17" ht="63.95" hidden="1">
      <c r="B327" s="43">
        <v>281</v>
      </c>
      <c r="C327" s="43">
        <v>853329</v>
      </c>
      <c r="D327" s="47" t="s">
        <v>577</v>
      </c>
      <c r="E327" s="44" t="s">
        <v>334</v>
      </c>
      <c r="F327" s="44" t="s">
        <v>54</v>
      </c>
      <c r="G327" s="44" t="s">
        <v>19</v>
      </c>
      <c r="H327" s="44" t="s">
        <v>20</v>
      </c>
      <c r="I327" s="43" t="s">
        <v>12</v>
      </c>
      <c r="J327" s="43" t="s">
        <v>21</v>
      </c>
      <c r="K327" s="43" t="s">
        <v>21</v>
      </c>
      <c r="L327" s="43" t="s">
        <v>21</v>
      </c>
      <c r="M327" s="43" t="s">
        <v>29</v>
      </c>
      <c r="N327" s="43" t="s">
        <v>21</v>
      </c>
      <c r="O327" s="43" t="s">
        <v>21</v>
      </c>
      <c r="P327" s="25">
        <f>VLOOKUP(C327, [1]Sheet1!$A$2:$B$313, 2, FALSE)</f>
        <v>0.978599796011</v>
      </c>
      <c r="Q327" s="45">
        <v>3.7887044843660271E-5</v>
      </c>
    </row>
    <row r="328" spans="2:17" ht="32.1">
      <c r="B328" s="43">
        <v>288</v>
      </c>
      <c r="C328" s="43">
        <v>903220</v>
      </c>
      <c r="D328" s="47" t="s">
        <v>578</v>
      </c>
      <c r="E328" s="44" t="s">
        <v>481</v>
      </c>
      <c r="F328" s="44" t="s">
        <v>54</v>
      </c>
      <c r="G328" s="44" t="s">
        <v>40</v>
      </c>
      <c r="H328" s="44" t="s">
        <v>28</v>
      </c>
      <c r="I328" s="43" t="s">
        <v>12</v>
      </c>
      <c r="J328" s="43" t="s">
        <v>21</v>
      </c>
      <c r="K328" s="43" t="s">
        <v>21</v>
      </c>
      <c r="L328" s="43" t="s">
        <v>21</v>
      </c>
      <c r="M328" s="43" t="s">
        <v>29</v>
      </c>
      <c r="N328" s="43" t="s">
        <v>21</v>
      </c>
      <c r="O328" s="43" t="s">
        <v>21</v>
      </c>
      <c r="P328" s="25">
        <f>VLOOKUP(C328, [1]Sheet1!$A$2:$B$313, 2, FALSE)</f>
        <v>0.96344479481599998</v>
      </c>
      <c r="Q328" s="45">
        <v>2.4850491538406905E-5</v>
      </c>
    </row>
    <row r="329" spans="2:17" ht="63.95" hidden="1">
      <c r="B329" s="31">
        <v>289</v>
      </c>
      <c r="C329" s="31">
        <v>340391</v>
      </c>
      <c r="D329" s="33" t="s">
        <v>579</v>
      </c>
      <c r="E329" s="32" t="s">
        <v>580</v>
      </c>
      <c r="F329" s="32" t="s">
        <v>50</v>
      </c>
      <c r="G329" s="32" t="s">
        <v>51</v>
      </c>
      <c r="H329" s="32" t="s">
        <v>20</v>
      </c>
      <c r="I329" s="31" t="s">
        <v>11</v>
      </c>
      <c r="J329" s="31" t="s">
        <v>21</v>
      </c>
      <c r="K329" s="31" t="s">
        <v>29</v>
      </c>
      <c r="L329" s="31" t="s">
        <v>29</v>
      </c>
      <c r="M329" s="31" t="s">
        <v>21</v>
      </c>
      <c r="N329" s="34" t="s">
        <v>29</v>
      </c>
      <c r="O329" s="31" t="s">
        <v>29</v>
      </c>
      <c r="P329" s="25">
        <f>VLOOKUP(C329, [1]Sheet1!$A$2:$B$313, 2, FALSE)</f>
        <v>0.87775538727500002</v>
      </c>
      <c r="Q329" s="67">
        <v>2.624678179943439E-5</v>
      </c>
    </row>
    <row r="330" spans="2:17" ht="32.1">
      <c r="B330" s="43">
        <v>279</v>
      </c>
      <c r="C330" s="43">
        <v>847090</v>
      </c>
      <c r="D330" s="47" t="s">
        <v>581</v>
      </c>
      <c r="E330" s="44" t="s">
        <v>582</v>
      </c>
      <c r="F330" s="44" t="s">
        <v>66</v>
      </c>
      <c r="G330" s="44" t="s">
        <v>40</v>
      </c>
      <c r="H330" s="44" t="s">
        <v>28</v>
      </c>
      <c r="I330" s="43" t="s">
        <v>12</v>
      </c>
      <c r="J330" s="43" t="s">
        <v>21</v>
      </c>
      <c r="K330" s="43" t="s">
        <v>21</v>
      </c>
      <c r="L330" s="43" t="s">
        <v>21</v>
      </c>
      <c r="M330" s="43" t="s">
        <v>29</v>
      </c>
      <c r="N330" s="43" t="s">
        <v>21</v>
      </c>
      <c r="O330" s="43" t="s">
        <v>21</v>
      </c>
      <c r="P330" s="25">
        <f>VLOOKUP(C330, [1]Sheet1!$A$2:$B$313, 2, FALSE)</f>
        <v>0.93628640761699999</v>
      </c>
      <c r="Q330" s="45">
        <v>2.0849576487369699E-4</v>
      </c>
    </row>
    <row r="331" spans="2:17" ht="63.95">
      <c r="B331" s="31">
        <v>296</v>
      </c>
      <c r="C331" s="31">
        <v>903031</v>
      </c>
      <c r="D331" s="33" t="s">
        <v>583</v>
      </c>
      <c r="E331" s="32" t="s">
        <v>473</v>
      </c>
      <c r="F331" s="32" t="s">
        <v>189</v>
      </c>
      <c r="G331" s="32" t="s">
        <v>40</v>
      </c>
      <c r="H331" s="32" t="s">
        <v>28</v>
      </c>
      <c r="I331" s="31" t="s">
        <v>12</v>
      </c>
      <c r="J331" s="31" t="s">
        <v>21</v>
      </c>
      <c r="K331" s="31" t="s">
        <v>21</v>
      </c>
      <c r="L331" s="31" t="s">
        <v>29</v>
      </c>
      <c r="M331" s="31" t="s">
        <v>29</v>
      </c>
      <c r="N331" s="34" t="s">
        <v>21</v>
      </c>
      <c r="O331" s="31" t="s">
        <v>21</v>
      </c>
      <c r="P331" s="25">
        <f>VLOOKUP(C331, [1]Sheet1!$A$2:$B$313, 2, FALSE)</f>
        <v>0.895597514737</v>
      </c>
      <c r="Q331" s="67">
        <v>2.1500220901422626E-5</v>
      </c>
    </row>
    <row r="332" spans="2:17" ht="63.95" hidden="1">
      <c r="B332" s="43">
        <v>351</v>
      </c>
      <c r="C332" s="43">
        <v>852499</v>
      </c>
      <c r="D332" s="47" t="s">
        <v>584</v>
      </c>
      <c r="E332" s="44" t="s">
        <v>88</v>
      </c>
      <c r="F332" s="44" t="s">
        <v>89</v>
      </c>
      <c r="G332" s="44" t="s">
        <v>67</v>
      </c>
      <c r="H332" s="44" t="s">
        <v>20</v>
      </c>
      <c r="I332" s="43" t="s">
        <v>12</v>
      </c>
      <c r="J332" s="43" t="s">
        <v>21</v>
      </c>
      <c r="K332" s="43" t="s">
        <v>29</v>
      </c>
      <c r="L332" s="43" t="s">
        <v>29</v>
      </c>
      <c r="M332" s="43" t="s">
        <v>29</v>
      </c>
      <c r="N332" s="43" t="s">
        <v>21</v>
      </c>
      <c r="O332" s="43" t="s">
        <v>29</v>
      </c>
      <c r="P332" s="25">
        <f>VLOOKUP(C332, [1]Sheet1!$A$2:$B$313, 2, FALSE)</f>
        <v>0.84997151753</v>
      </c>
      <c r="Q332" s="46">
        <f>P332/SUM($P$3:$P$425)</f>
        <v>1.9107493236761953E-4</v>
      </c>
    </row>
    <row r="333" spans="2:17" ht="48" hidden="1">
      <c r="B333" s="31">
        <v>311</v>
      </c>
      <c r="C333" s="31">
        <v>850730</v>
      </c>
      <c r="D333" s="33" t="s">
        <v>585</v>
      </c>
      <c r="E333" s="32" t="s">
        <v>42</v>
      </c>
      <c r="F333" s="32" t="s">
        <v>26</v>
      </c>
      <c r="G333" s="32" t="s">
        <v>43</v>
      </c>
      <c r="H333" s="32" t="s">
        <v>20</v>
      </c>
      <c r="I333" s="31" t="s">
        <v>12</v>
      </c>
      <c r="J333" s="31" t="s">
        <v>21</v>
      </c>
      <c r="K333" s="31" t="s">
        <v>21</v>
      </c>
      <c r="L333" s="31" t="s">
        <v>29</v>
      </c>
      <c r="M333" s="31" t="s">
        <v>29</v>
      </c>
      <c r="N333" s="34" t="s">
        <v>21</v>
      </c>
      <c r="O333" s="31" t="s">
        <v>29</v>
      </c>
      <c r="P333" s="25">
        <f>VLOOKUP(C333, [1]Sheet1!$A$2:$B$313, 2, FALSE)</f>
        <v>0.80974356439400008</v>
      </c>
      <c r="Q333" s="67">
        <v>4.7562532267577632E-8</v>
      </c>
    </row>
    <row r="334" spans="2:17" ht="63.95" hidden="1">
      <c r="B334" s="43">
        <v>54</v>
      </c>
      <c r="C334" s="43">
        <v>852412</v>
      </c>
      <c r="D334" s="47" t="s">
        <v>586</v>
      </c>
      <c r="E334" s="44" t="s">
        <v>88</v>
      </c>
      <c r="F334" s="44" t="s">
        <v>89</v>
      </c>
      <c r="G334" s="44" t="s">
        <v>67</v>
      </c>
      <c r="H334" s="44" t="s">
        <v>20</v>
      </c>
      <c r="I334" s="43" t="s">
        <v>12</v>
      </c>
      <c r="J334" s="43" t="s">
        <v>21</v>
      </c>
      <c r="K334" s="43" t="s">
        <v>29</v>
      </c>
      <c r="L334" s="43" t="s">
        <v>29</v>
      </c>
      <c r="M334" s="43" t="s">
        <v>29</v>
      </c>
      <c r="N334" s="43" t="s">
        <v>21</v>
      </c>
      <c r="O334" s="43" t="s">
        <v>29</v>
      </c>
      <c r="P334" s="25">
        <f>VLOOKUP(C334, [1]Sheet1!$A$2:$B$313, 2, FALSE)</f>
        <v>0.79812529696199996</v>
      </c>
      <c r="Q334" s="45">
        <v>3.0296605017752598E-3</v>
      </c>
    </row>
    <row r="335" spans="2:17" ht="48" hidden="1">
      <c r="B335" s="43">
        <v>298</v>
      </c>
      <c r="C335" s="43">
        <v>854151</v>
      </c>
      <c r="D335" s="47" t="s">
        <v>587</v>
      </c>
      <c r="E335" s="44" t="s">
        <v>63</v>
      </c>
      <c r="F335" s="44" t="s">
        <v>18</v>
      </c>
      <c r="G335" s="44" t="s">
        <v>19</v>
      </c>
      <c r="H335" s="44" t="s">
        <v>20</v>
      </c>
      <c r="I335" s="43" t="s">
        <v>12</v>
      </c>
      <c r="J335" s="43" t="s">
        <v>21</v>
      </c>
      <c r="K335" s="43" t="s">
        <v>29</v>
      </c>
      <c r="L335" s="43" t="s">
        <v>29</v>
      </c>
      <c r="M335" s="43" t="s">
        <v>29</v>
      </c>
      <c r="N335" s="43" t="s">
        <v>21</v>
      </c>
      <c r="O335" s="43" t="s">
        <v>29</v>
      </c>
      <c r="P335" s="25">
        <f>VLOOKUP(C335, [1]Sheet1!$A$2:$B$313, 2, FALSE)</f>
        <v>0.69362673334500002</v>
      </c>
      <c r="Q335" s="45">
        <v>5.8528383720312479E-6</v>
      </c>
    </row>
    <row r="336" spans="2:17" ht="32.1">
      <c r="B336" s="43">
        <v>316</v>
      </c>
      <c r="C336" s="43">
        <v>901820</v>
      </c>
      <c r="D336" s="47" t="s">
        <v>588</v>
      </c>
      <c r="E336" s="44" t="s">
        <v>197</v>
      </c>
      <c r="F336" s="44" t="s">
        <v>198</v>
      </c>
      <c r="G336" s="44" t="s">
        <v>40</v>
      </c>
      <c r="H336" s="44" t="s">
        <v>28</v>
      </c>
      <c r="I336" s="43" t="s">
        <v>12</v>
      </c>
      <c r="J336" s="43" t="s">
        <v>21</v>
      </c>
      <c r="K336" s="43" t="s">
        <v>21</v>
      </c>
      <c r="L336" s="43" t="s">
        <v>29</v>
      </c>
      <c r="M336" s="43" t="s">
        <v>29</v>
      </c>
      <c r="N336" s="43" t="s">
        <v>21</v>
      </c>
      <c r="O336" s="43" t="s">
        <v>21</v>
      </c>
      <c r="P336" s="25">
        <f>VLOOKUP(C336, [1]Sheet1!$A$2:$B$313, 2, FALSE)</f>
        <v>0.67803698868399997</v>
      </c>
      <c r="Q336" s="46">
        <f>P336/SUM($P$3:$P$425)</f>
        <v>1.5242378018974853E-4</v>
      </c>
    </row>
    <row r="337" spans="2:18" ht="63.95" hidden="1">
      <c r="B337" s="35">
        <v>307</v>
      </c>
      <c r="C337" s="35">
        <v>850780</v>
      </c>
      <c r="D337" s="37" t="s">
        <v>589</v>
      </c>
      <c r="E337" s="36" t="s">
        <v>42</v>
      </c>
      <c r="F337" s="36" t="s">
        <v>26</v>
      </c>
      <c r="G337" s="36" t="s">
        <v>43</v>
      </c>
      <c r="H337" s="36" t="s">
        <v>20</v>
      </c>
      <c r="I337" s="35" t="s">
        <v>12</v>
      </c>
      <c r="J337" s="35" t="s">
        <v>21</v>
      </c>
      <c r="K337" s="35" t="s">
        <v>21</v>
      </c>
      <c r="L337" s="35" t="s">
        <v>29</v>
      </c>
      <c r="M337" s="35" t="s">
        <v>29</v>
      </c>
      <c r="N337" s="38" t="s">
        <v>21</v>
      </c>
      <c r="O337" s="35" t="s">
        <v>29</v>
      </c>
      <c r="P337" s="25">
        <f>VLOOKUP(C337, [1]Sheet1!$A$2:$B$313, 2, FALSE)</f>
        <v>0.66649505784299989</v>
      </c>
      <c r="Q337" s="61">
        <v>3.5853707228015535E-6</v>
      </c>
    </row>
    <row r="338" spans="2:18" ht="48">
      <c r="B338" s="26">
        <v>304</v>
      </c>
      <c r="C338" s="26">
        <v>850432</v>
      </c>
      <c r="D338" s="28" t="s">
        <v>590</v>
      </c>
      <c r="E338" s="27" t="s">
        <v>213</v>
      </c>
      <c r="F338" s="27" t="s">
        <v>54</v>
      </c>
      <c r="G338" s="27" t="s">
        <v>40</v>
      </c>
      <c r="H338" s="27" t="s">
        <v>28</v>
      </c>
      <c r="I338" s="26" t="s">
        <v>12</v>
      </c>
      <c r="J338" s="26" t="s">
        <v>21</v>
      </c>
      <c r="K338" s="26" t="s">
        <v>21</v>
      </c>
      <c r="L338" s="26" t="s">
        <v>21</v>
      </c>
      <c r="M338" s="26" t="s">
        <v>21</v>
      </c>
      <c r="N338" s="29" t="s">
        <v>21</v>
      </c>
      <c r="O338" s="26" t="s">
        <v>21</v>
      </c>
      <c r="P338" s="25">
        <f>VLOOKUP(C338, [1]Sheet1!$A$2:$B$313, 2, FALSE)</f>
        <v>0.88106283707499999</v>
      </c>
      <c r="Q338" s="68">
        <v>1.822934125350448E-5</v>
      </c>
    </row>
    <row r="339" spans="2:18" ht="32.1" hidden="1">
      <c r="B339" s="43">
        <v>112</v>
      </c>
      <c r="C339" s="43">
        <v>854411</v>
      </c>
      <c r="D339" s="44" t="s">
        <v>591</v>
      </c>
      <c r="E339" s="44" t="s">
        <v>79</v>
      </c>
      <c r="F339" s="44" t="s">
        <v>54</v>
      </c>
      <c r="G339" s="44" t="s">
        <v>51</v>
      </c>
      <c r="H339" s="44" t="s">
        <v>20</v>
      </c>
      <c r="I339" s="47" t="s">
        <v>103</v>
      </c>
      <c r="J339" s="43" t="s">
        <v>29</v>
      </c>
      <c r="K339" s="43" t="s">
        <v>21</v>
      </c>
      <c r="L339" s="43" t="s">
        <v>29</v>
      </c>
      <c r="M339" s="43" t="s">
        <v>29</v>
      </c>
      <c r="N339" s="43" t="s">
        <v>29</v>
      </c>
      <c r="O339" s="43" t="s">
        <v>29</v>
      </c>
      <c r="P339" s="48">
        <v>15.389252794880999</v>
      </c>
      <c r="Q339" s="20">
        <v>1.8423071778364076E-3</v>
      </c>
      <c r="R339" s="16"/>
    </row>
    <row r="340" spans="2:18" ht="32.1" hidden="1">
      <c r="B340" s="43">
        <v>278</v>
      </c>
      <c r="C340" s="43">
        <v>854419</v>
      </c>
      <c r="D340" s="44" t="s">
        <v>592</v>
      </c>
      <c r="E340" s="44" t="s">
        <v>79</v>
      </c>
      <c r="F340" s="44" t="s">
        <v>54</v>
      </c>
      <c r="G340" s="44" t="s">
        <v>51</v>
      </c>
      <c r="H340" s="44" t="s">
        <v>20</v>
      </c>
      <c r="I340" s="47" t="s">
        <v>103</v>
      </c>
      <c r="J340" s="43" t="s">
        <v>29</v>
      </c>
      <c r="K340" s="43" t="s">
        <v>21</v>
      </c>
      <c r="L340" s="43" t="s">
        <v>29</v>
      </c>
      <c r="M340" s="43" t="s">
        <v>29</v>
      </c>
      <c r="N340" s="43" t="s">
        <v>29</v>
      </c>
      <c r="O340" s="43" t="s">
        <v>29</v>
      </c>
      <c r="P340" s="48">
        <v>0.54442774739300004</v>
      </c>
      <c r="Q340" s="20">
        <v>6.5175558567019201E-5</v>
      </c>
      <c r="R340" s="16"/>
    </row>
    <row r="341" spans="2:18" ht="63.95">
      <c r="B341" s="43">
        <v>302</v>
      </c>
      <c r="C341" s="43">
        <v>847010</v>
      </c>
      <c r="D341" s="47" t="s">
        <v>593</v>
      </c>
      <c r="E341" s="44" t="s">
        <v>594</v>
      </c>
      <c r="F341" s="44" t="s">
        <v>66</v>
      </c>
      <c r="G341" s="44" t="s">
        <v>67</v>
      </c>
      <c r="H341" s="44" t="s">
        <v>28</v>
      </c>
      <c r="I341" s="43" t="s">
        <v>12</v>
      </c>
      <c r="J341" s="43" t="s">
        <v>21</v>
      </c>
      <c r="K341" s="43" t="s">
        <v>21</v>
      </c>
      <c r="L341" s="43" t="s">
        <v>21</v>
      </c>
      <c r="M341" s="43" t="s">
        <v>29</v>
      </c>
      <c r="N341" s="43" t="s">
        <v>21</v>
      </c>
      <c r="O341" s="43" t="s">
        <v>21</v>
      </c>
      <c r="P341" s="25">
        <f>VLOOKUP(C341, [1]Sheet1!$A$2:$B$313, 2, FALSE)</f>
        <v>0.66161057732899997</v>
      </c>
      <c r="Q341" s="45">
        <v>4.8002391565894074E-6</v>
      </c>
    </row>
    <row r="342" spans="2:18" ht="48" hidden="1">
      <c r="B342" s="43">
        <v>27</v>
      </c>
      <c r="C342" s="43">
        <v>854430</v>
      </c>
      <c r="D342" s="44" t="s">
        <v>595</v>
      </c>
      <c r="E342" s="44" t="s">
        <v>79</v>
      </c>
      <c r="F342" s="44" t="s">
        <v>54</v>
      </c>
      <c r="G342" s="44" t="s">
        <v>51</v>
      </c>
      <c r="H342" s="44" t="s">
        <v>20</v>
      </c>
      <c r="I342" s="47" t="s">
        <v>306</v>
      </c>
      <c r="J342" s="43" t="s">
        <v>29</v>
      </c>
      <c r="K342" s="43" t="s">
        <v>21</v>
      </c>
      <c r="L342" s="43" t="s">
        <v>29</v>
      </c>
      <c r="M342" s="43" t="s">
        <v>29</v>
      </c>
      <c r="N342" s="43" t="s">
        <v>29</v>
      </c>
      <c r="O342" s="43" t="s">
        <v>29</v>
      </c>
      <c r="P342" s="48">
        <v>74.133102967768991</v>
      </c>
      <c r="Q342" s="20">
        <v>8.8747614671867772E-3</v>
      </c>
    </row>
    <row r="343" spans="2:18" ht="32.1" hidden="1">
      <c r="B343" s="43">
        <v>326</v>
      </c>
      <c r="C343" s="43">
        <v>850690</v>
      </c>
      <c r="D343" s="47" t="s">
        <v>596</v>
      </c>
      <c r="E343" s="44" t="s">
        <v>597</v>
      </c>
      <c r="F343" s="44" t="s">
        <v>66</v>
      </c>
      <c r="G343" s="44" t="s">
        <v>43</v>
      </c>
      <c r="H343" s="44" t="s">
        <v>20</v>
      </c>
      <c r="I343" s="43" t="s">
        <v>12</v>
      </c>
      <c r="J343" s="43" t="s">
        <v>21</v>
      </c>
      <c r="K343" s="43" t="s">
        <v>21</v>
      </c>
      <c r="L343" s="43" t="s">
        <v>29</v>
      </c>
      <c r="M343" s="43" t="s">
        <v>29</v>
      </c>
      <c r="N343" s="43" t="s">
        <v>21</v>
      </c>
      <c r="O343" s="43" t="s">
        <v>29</v>
      </c>
      <c r="P343" s="25">
        <f>VLOOKUP(C343, [1]Sheet1!$A$2:$B$313, 2, FALSE)</f>
        <v>0.64828004260200001</v>
      </c>
      <c r="Q343" s="46">
        <f>P343/SUM($P$3:$P$425)</f>
        <v>1.4573437196509662E-4</v>
      </c>
    </row>
    <row r="344" spans="2:18" ht="63.95">
      <c r="B344" s="43">
        <v>299</v>
      </c>
      <c r="C344" s="43">
        <v>852799</v>
      </c>
      <c r="D344" s="47" t="s">
        <v>598</v>
      </c>
      <c r="E344" s="44" t="s">
        <v>407</v>
      </c>
      <c r="F344" s="44" t="s">
        <v>266</v>
      </c>
      <c r="G344" s="44" t="s">
        <v>27</v>
      </c>
      <c r="H344" s="44" t="s">
        <v>28</v>
      </c>
      <c r="I344" s="43" t="s">
        <v>12</v>
      </c>
      <c r="J344" s="43" t="s">
        <v>21</v>
      </c>
      <c r="K344" s="43" t="s">
        <v>21</v>
      </c>
      <c r="L344" s="43" t="s">
        <v>21</v>
      </c>
      <c r="M344" s="43" t="s">
        <v>29</v>
      </c>
      <c r="N344" s="43" t="s">
        <v>21</v>
      </c>
      <c r="O344" s="43" t="s">
        <v>21</v>
      </c>
      <c r="P344" s="25">
        <f>VLOOKUP(C344, [1]Sheet1!$A$2:$B$313, 2, FALSE)</f>
        <v>0.64533531540300004</v>
      </c>
      <c r="Q344" s="45">
        <v>8.4158270393070167E-6</v>
      </c>
    </row>
    <row r="345" spans="2:18" ht="48">
      <c r="B345" s="43">
        <v>308</v>
      </c>
      <c r="C345" s="43">
        <v>910521</v>
      </c>
      <c r="D345" s="47" t="s">
        <v>599</v>
      </c>
      <c r="E345" s="44" t="s">
        <v>600</v>
      </c>
      <c r="F345" s="44" t="s">
        <v>66</v>
      </c>
      <c r="G345" s="44" t="s">
        <v>67</v>
      </c>
      <c r="H345" s="44" t="s">
        <v>28</v>
      </c>
      <c r="I345" s="43" t="s">
        <v>12</v>
      </c>
      <c r="J345" s="43" t="s">
        <v>21</v>
      </c>
      <c r="K345" s="43" t="s">
        <v>21</v>
      </c>
      <c r="L345" s="43" t="s">
        <v>21</v>
      </c>
      <c r="M345" s="43" t="s">
        <v>29</v>
      </c>
      <c r="N345" s="43" t="s">
        <v>21</v>
      </c>
      <c r="O345" s="43" t="s">
        <v>21</v>
      </c>
      <c r="P345" s="25">
        <f>VLOOKUP(C345, [1]Sheet1!$A$2:$B$313, 2, FALSE)</f>
        <v>0.63793828958999987</v>
      </c>
      <c r="Q345" s="45">
        <v>3.9537304920765244E-6</v>
      </c>
    </row>
    <row r="346" spans="2:18" ht="32.1" hidden="1">
      <c r="B346" s="43">
        <v>320</v>
      </c>
      <c r="C346" s="43">
        <v>854520</v>
      </c>
      <c r="D346" s="47" t="s">
        <v>601</v>
      </c>
      <c r="E346" s="44" t="s">
        <v>602</v>
      </c>
      <c r="F346" s="44" t="s">
        <v>54</v>
      </c>
      <c r="G346" s="44" t="s">
        <v>559</v>
      </c>
      <c r="H346" s="44" t="s">
        <v>20</v>
      </c>
      <c r="I346" s="43" t="s">
        <v>12</v>
      </c>
      <c r="J346" s="43" t="s">
        <v>21</v>
      </c>
      <c r="K346" s="43" t="s">
        <v>21</v>
      </c>
      <c r="L346" s="43" t="s">
        <v>29</v>
      </c>
      <c r="M346" s="43" t="s">
        <v>29</v>
      </c>
      <c r="N346" s="43" t="s">
        <v>21</v>
      </c>
      <c r="O346" s="43" t="s">
        <v>29</v>
      </c>
      <c r="P346" s="25">
        <f>VLOOKUP(C346, [1]Sheet1!$A$2:$B$313, 2, FALSE)</f>
        <v>0.63275115046200003</v>
      </c>
      <c r="Q346" s="46">
        <f>P346/SUM($P$3:$P$425)</f>
        <v>1.4224345261756703E-4</v>
      </c>
    </row>
    <row r="347" spans="2:18" ht="32.1" hidden="1">
      <c r="B347" s="35">
        <v>188</v>
      </c>
      <c r="C347" s="35">
        <v>854511</v>
      </c>
      <c r="D347" s="36" t="s">
        <v>603</v>
      </c>
      <c r="E347" s="36" t="s">
        <v>604</v>
      </c>
      <c r="F347" s="36" t="s">
        <v>54</v>
      </c>
      <c r="G347" s="36" t="s">
        <v>51</v>
      </c>
      <c r="H347" s="36" t="s">
        <v>20</v>
      </c>
      <c r="I347" s="37" t="s">
        <v>103</v>
      </c>
      <c r="J347" s="35" t="s">
        <v>29</v>
      </c>
      <c r="K347" s="35" t="s">
        <v>21</v>
      </c>
      <c r="L347" s="35" t="s">
        <v>29</v>
      </c>
      <c r="M347" s="35" t="s">
        <v>29</v>
      </c>
      <c r="N347" s="38" t="s">
        <v>29</v>
      </c>
      <c r="O347" s="35" t="s">
        <v>29</v>
      </c>
      <c r="P347" s="58">
        <v>4.0896525417480003</v>
      </c>
      <c r="Q347" s="66">
        <v>4.8958817773306395E-4</v>
      </c>
    </row>
    <row r="348" spans="2:18" ht="32.1" hidden="1">
      <c r="B348" s="26">
        <v>186</v>
      </c>
      <c r="C348" s="26">
        <v>854519</v>
      </c>
      <c r="D348" s="27" t="s">
        <v>605</v>
      </c>
      <c r="E348" s="27" t="s">
        <v>604</v>
      </c>
      <c r="F348" s="27" t="s">
        <v>54</v>
      </c>
      <c r="G348" s="27" t="s">
        <v>51</v>
      </c>
      <c r="H348" s="27" t="s">
        <v>20</v>
      </c>
      <c r="I348" s="28" t="s">
        <v>103</v>
      </c>
      <c r="J348" s="26" t="s">
        <v>29</v>
      </c>
      <c r="K348" s="26" t="s">
        <v>21</v>
      </c>
      <c r="L348" s="26" t="s">
        <v>29</v>
      </c>
      <c r="M348" s="26" t="s">
        <v>29</v>
      </c>
      <c r="N348" s="29" t="s">
        <v>29</v>
      </c>
      <c r="O348" s="26" t="s">
        <v>29</v>
      </c>
      <c r="P348" s="56">
        <v>5.4502262809130002</v>
      </c>
      <c r="Q348" s="64">
        <v>6.524677404414743E-4</v>
      </c>
    </row>
    <row r="349" spans="2:18" ht="32.1" hidden="1">
      <c r="B349" s="43">
        <v>342</v>
      </c>
      <c r="C349" s="43">
        <v>854020</v>
      </c>
      <c r="D349" s="47" t="s">
        <v>606</v>
      </c>
      <c r="E349" s="44" t="s">
        <v>607</v>
      </c>
      <c r="F349" s="44" t="s">
        <v>189</v>
      </c>
      <c r="G349" s="44" t="s">
        <v>19</v>
      </c>
      <c r="H349" s="44" t="s">
        <v>20</v>
      </c>
      <c r="I349" s="43" t="s">
        <v>12</v>
      </c>
      <c r="J349" s="43" t="s">
        <v>21</v>
      </c>
      <c r="K349" s="43" t="s">
        <v>21</v>
      </c>
      <c r="L349" s="43" t="s">
        <v>29</v>
      </c>
      <c r="M349" s="43" t="s">
        <v>29</v>
      </c>
      <c r="N349" s="43" t="s">
        <v>21</v>
      </c>
      <c r="O349" s="43" t="s">
        <v>21</v>
      </c>
      <c r="P349" s="25">
        <f>VLOOKUP(C349, [1]Sheet1!$A$2:$B$313, 2, FALSE)</f>
        <v>0.60484443136300003</v>
      </c>
      <c r="Q349" s="46">
        <f>P349/SUM($P$3:$P$425)</f>
        <v>1.359699783252295E-4</v>
      </c>
    </row>
    <row r="350" spans="2:18" ht="48">
      <c r="B350" s="31">
        <v>344</v>
      </c>
      <c r="C350" s="31">
        <v>903032</v>
      </c>
      <c r="D350" s="33" t="s">
        <v>608</v>
      </c>
      <c r="E350" s="32" t="s">
        <v>473</v>
      </c>
      <c r="F350" s="32" t="s">
        <v>189</v>
      </c>
      <c r="G350" s="32" t="s">
        <v>40</v>
      </c>
      <c r="H350" s="32" t="s">
        <v>28</v>
      </c>
      <c r="I350" s="31" t="s">
        <v>12</v>
      </c>
      <c r="J350" s="31" t="s">
        <v>21</v>
      </c>
      <c r="K350" s="31" t="s">
        <v>21</v>
      </c>
      <c r="L350" s="31" t="s">
        <v>29</v>
      </c>
      <c r="M350" s="31" t="s">
        <v>29</v>
      </c>
      <c r="N350" s="34" t="s">
        <v>21</v>
      </c>
      <c r="O350" s="31" t="s">
        <v>21</v>
      </c>
      <c r="P350" s="25">
        <f>VLOOKUP(C350, [1]Sheet1!$A$2:$B$313, 2, FALSE)</f>
        <v>0.59689258846599991</v>
      </c>
      <c r="Q350" s="71">
        <f>P350/SUM($P$3:$P$425)</f>
        <v>1.3418239155037193E-4</v>
      </c>
    </row>
    <row r="351" spans="2:18" ht="32.1" hidden="1">
      <c r="B351" s="43">
        <v>379</v>
      </c>
      <c r="C351" s="43">
        <v>854610</v>
      </c>
      <c r="D351" s="44" t="s">
        <v>609</v>
      </c>
      <c r="E351" s="44" t="s">
        <v>555</v>
      </c>
      <c r="F351" s="44" t="s">
        <v>54</v>
      </c>
      <c r="G351" s="44" t="s">
        <v>51</v>
      </c>
      <c r="H351" s="44" t="s">
        <v>20</v>
      </c>
      <c r="I351" s="47" t="s">
        <v>103</v>
      </c>
      <c r="J351" s="43" t="s">
        <v>29</v>
      </c>
      <c r="K351" s="43" t="s">
        <v>21</v>
      </c>
      <c r="L351" s="43" t="s">
        <v>29</v>
      </c>
      <c r="M351" s="43" t="s">
        <v>29</v>
      </c>
      <c r="N351" s="43" t="s">
        <v>29</v>
      </c>
      <c r="O351" s="43" t="s">
        <v>29</v>
      </c>
      <c r="P351" s="25">
        <v>0.20340548868700004</v>
      </c>
      <c r="Q351" s="62">
        <f>P351/SUM($P$3:$P$425)</f>
        <v>4.5725873388103681E-5</v>
      </c>
    </row>
    <row r="352" spans="2:18" ht="32.1" hidden="1">
      <c r="B352" s="31">
        <v>313</v>
      </c>
      <c r="C352" s="31">
        <v>854620</v>
      </c>
      <c r="D352" s="32" t="s">
        <v>610</v>
      </c>
      <c r="E352" s="32" t="s">
        <v>555</v>
      </c>
      <c r="F352" s="32" t="s">
        <v>54</v>
      </c>
      <c r="G352" s="32" t="s">
        <v>51</v>
      </c>
      <c r="H352" s="32" t="s">
        <v>20</v>
      </c>
      <c r="I352" s="33" t="s">
        <v>103</v>
      </c>
      <c r="J352" s="31" t="s">
        <v>29</v>
      </c>
      <c r="K352" s="31" t="s">
        <v>21</v>
      </c>
      <c r="L352" s="31" t="s">
        <v>29</v>
      </c>
      <c r="M352" s="31" t="s">
        <v>29</v>
      </c>
      <c r="N352" s="34" t="s">
        <v>29</v>
      </c>
      <c r="O352" s="31" t="s">
        <v>29</v>
      </c>
      <c r="P352" s="23">
        <v>0.69773331534799998</v>
      </c>
      <c r="Q352" s="39">
        <f>P352/SUM($P$3:$P$425)</f>
        <v>1.5685154536492865E-4</v>
      </c>
    </row>
    <row r="353" spans="2:17" ht="48" hidden="1">
      <c r="B353" s="43">
        <v>314</v>
      </c>
      <c r="C353" s="43">
        <v>853210</v>
      </c>
      <c r="D353" s="47" t="s">
        <v>611</v>
      </c>
      <c r="E353" s="44" t="s">
        <v>166</v>
      </c>
      <c r="F353" s="44" t="s">
        <v>54</v>
      </c>
      <c r="G353" s="44" t="s">
        <v>19</v>
      </c>
      <c r="H353" s="44" t="s">
        <v>20</v>
      </c>
      <c r="I353" s="43" t="s">
        <v>12</v>
      </c>
      <c r="J353" s="43" t="s">
        <v>21</v>
      </c>
      <c r="K353" s="43" t="s">
        <v>21</v>
      </c>
      <c r="L353" s="43" t="s">
        <v>21</v>
      </c>
      <c r="M353" s="43" t="s">
        <v>29</v>
      </c>
      <c r="N353" s="43" t="s">
        <v>21</v>
      </c>
      <c r="O353" s="43" t="s">
        <v>21</v>
      </c>
      <c r="P353" s="25">
        <f>VLOOKUP(C353, [1]Sheet1!$A$2:$B$313, 2, FALSE)</f>
        <v>0.566891379034</v>
      </c>
      <c r="Q353" s="46">
        <f>P353/SUM($P$3:$P$425)</f>
        <v>1.2743807254092485E-4</v>
      </c>
    </row>
    <row r="354" spans="2:17" ht="63.95" hidden="1">
      <c r="B354" s="43">
        <v>306</v>
      </c>
      <c r="C354" s="43">
        <v>854710</v>
      </c>
      <c r="D354" s="44" t="s">
        <v>612</v>
      </c>
      <c r="E354" s="44" t="s">
        <v>613</v>
      </c>
      <c r="F354" s="44" t="s">
        <v>54</v>
      </c>
      <c r="G354" s="44" t="s">
        <v>51</v>
      </c>
      <c r="H354" s="44" t="s">
        <v>20</v>
      </c>
      <c r="I354" s="47" t="s">
        <v>103</v>
      </c>
      <c r="J354" s="43" t="s">
        <v>29</v>
      </c>
      <c r="K354" s="43" t="s">
        <v>21</v>
      </c>
      <c r="L354" s="43" t="s">
        <v>29</v>
      </c>
      <c r="M354" s="43" t="s">
        <v>29</v>
      </c>
      <c r="N354" s="43" t="s">
        <v>29</v>
      </c>
      <c r="O354" s="43" t="s">
        <v>29</v>
      </c>
      <c r="P354" s="48">
        <v>1.5583212345E-2</v>
      </c>
      <c r="Q354" s="20">
        <v>1.8655268283390634E-6</v>
      </c>
    </row>
    <row r="355" spans="2:17" ht="48" hidden="1">
      <c r="B355" s="31">
        <v>162</v>
      </c>
      <c r="C355" s="31">
        <v>854720</v>
      </c>
      <c r="D355" s="32" t="s">
        <v>614</v>
      </c>
      <c r="E355" s="32" t="s">
        <v>613</v>
      </c>
      <c r="F355" s="32" t="s">
        <v>54</v>
      </c>
      <c r="G355" s="32" t="s">
        <v>51</v>
      </c>
      <c r="H355" s="32" t="s">
        <v>20</v>
      </c>
      <c r="I355" s="33" t="s">
        <v>103</v>
      </c>
      <c r="J355" s="31" t="s">
        <v>29</v>
      </c>
      <c r="K355" s="31" t="s">
        <v>21</v>
      </c>
      <c r="L355" s="31" t="s">
        <v>29</v>
      </c>
      <c r="M355" s="31" t="s">
        <v>29</v>
      </c>
      <c r="N355" s="34" t="s">
        <v>29</v>
      </c>
      <c r="O355" s="31" t="s">
        <v>29</v>
      </c>
      <c r="P355" s="57">
        <v>6.4538098485980004</v>
      </c>
      <c r="Q355" s="65">
        <v>7.7261062424150893E-4</v>
      </c>
    </row>
    <row r="356" spans="2:17" ht="63.95" hidden="1">
      <c r="B356" s="43">
        <v>260</v>
      </c>
      <c r="C356" s="43">
        <v>854790</v>
      </c>
      <c r="D356" s="44" t="s">
        <v>615</v>
      </c>
      <c r="E356" s="44" t="s">
        <v>613</v>
      </c>
      <c r="F356" s="44" t="s">
        <v>54</v>
      </c>
      <c r="G356" s="44" t="s">
        <v>51</v>
      </c>
      <c r="H356" s="44" t="s">
        <v>20</v>
      </c>
      <c r="I356" s="47" t="s">
        <v>103</v>
      </c>
      <c r="J356" s="43" t="s">
        <v>29</v>
      </c>
      <c r="K356" s="43" t="s">
        <v>21</v>
      </c>
      <c r="L356" s="43" t="s">
        <v>29</v>
      </c>
      <c r="M356" s="43" t="s">
        <v>29</v>
      </c>
      <c r="N356" s="43" t="s">
        <v>29</v>
      </c>
      <c r="O356" s="43" t="s">
        <v>29</v>
      </c>
      <c r="P356" s="48">
        <v>0.75387717770700002</v>
      </c>
      <c r="Q356" s="20">
        <v>9.0249562744114948E-5</v>
      </c>
    </row>
    <row r="357" spans="2:17" ht="48" hidden="1">
      <c r="B357" s="35">
        <v>417</v>
      </c>
      <c r="C357" s="35">
        <v>854810</v>
      </c>
      <c r="D357" s="36" t="s">
        <v>616</v>
      </c>
      <c r="E357" s="36" t="s">
        <v>617</v>
      </c>
      <c r="F357" s="36" t="s">
        <v>66</v>
      </c>
      <c r="G357" s="36" t="s">
        <v>51</v>
      </c>
      <c r="H357" s="36" t="s">
        <v>20</v>
      </c>
      <c r="I357" s="37" t="s">
        <v>103</v>
      </c>
      <c r="J357" s="35" t="s">
        <v>29</v>
      </c>
      <c r="K357" s="35" t="s">
        <v>21</v>
      </c>
      <c r="L357" s="35" t="s">
        <v>29</v>
      </c>
      <c r="M357" s="35" t="s">
        <v>29</v>
      </c>
      <c r="N357" s="38" t="s">
        <v>29</v>
      </c>
      <c r="O357" s="35" t="s">
        <v>29</v>
      </c>
      <c r="P357" s="24">
        <v>8.6094195380000006E-3</v>
      </c>
      <c r="Q357" s="40">
        <f>P357/SUM($P$3:$P$425)</f>
        <v>1.935411036746593E-6</v>
      </c>
    </row>
    <row r="358" spans="2:17" ht="32.1" hidden="1">
      <c r="B358" s="26">
        <v>355</v>
      </c>
      <c r="C358" s="26">
        <v>854890</v>
      </c>
      <c r="D358" s="27" t="s">
        <v>618</v>
      </c>
      <c r="E358" s="27" t="s">
        <v>619</v>
      </c>
      <c r="F358" s="27" t="s">
        <v>54</v>
      </c>
      <c r="G358" s="27" t="s">
        <v>51</v>
      </c>
      <c r="H358" s="27" t="s">
        <v>20</v>
      </c>
      <c r="I358" s="28" t="s">
        <v>103</v>
      </c>
      <c r="J358" s="26" t="s">
        <v>29</v>
      </c>
      <c r="K358" s="26" t="s">
        <v>21</v>
      </c>
      <c r="L358" s="26" t="s">
        <v>29</v>
      </c>
      <c r="M358" s="26" t="s">
        <v>29</v>
      </c>
      <c r="N358" s="29" t="s">
        <v>29</v>
      </c>
      <c r="O358" s="26" t="s">
        <v>29</v>
      </c>
      <c r="P358" s="22">
        <v>0.36822669899399996</v>
      </c>
      <c r="Q358" s="30">
        <f>P358/SUM($P$3:$P$425)</f>
        <v>8.277794038403999E-5</v>
      </c>
    </row>
    <row r="359" spans="2:17" ht="48" hidden="1">
      <c r="B359" s="43">
        <v>328</v>
      </c>
      <c r="C359" s="43">
        <v>850680</v>
      </c>
      <c r="D359" s="47" t="s">
        <v>620</v>
      </c>
      <c r="E359" s="44" t="s">
        <v>439</v>
      </c>
      <c r="F359" s="44" t="s">
        <v>66</v>
      </c>
      <c r="G359" s="44" t="s">
        <v>67</v>
      </c>
      <c r="H359" s="44" t="s">
        <v>20</v>
      </c>
      <c r="I359" s="43" t="s">
        <v>12</v>
      </c>
      <c r="J359" s="43" t="s">
        <v>21</v>
      </c>
      <c r="K359" s="43" t="s">
        <v>21</v>
      </c>
      <c r="L359" s="43" t="s">
        <v>21</v>
      </c>
      <c r="M359" s="43" t="s">
        <v>29</v>
      </c>
      <c r="N359" s="43" t="s">
        <v>21</v>
      </c>
      <c r="O359" s="43" t="s">
        <v>21</v>
      </c>
      <c r="P359" s="25">
        <f>VLOOKUP(C359, [1]Sheet1!$A$2:$B$313, 2, FALSE)</f>
        <v>0.56293520028300004</v>
      </c>
      <c r="Q359" s="46">
        <f>P359/SUM($P$3:$P$425)</f>
        <v>1.2654871734290806E-4</v>
      </c>
    </row>
    <row r="360" spans="2:17" ht="48" hidden="1">
      <c r="B360" s="31">
        <v>293</v>
      </c>
      <c r="C360" s="31">
        <v>853931</v>
      </c>
      <c r="D360" s="33" t="s">
        <v>621</v>
      </c>
      <c r="E360" s="32" t="s">
        <v>316</v>
      </c>
      <c r="F360" s="32" t="s">
        <v>66</v>
      </c>
      <c r="G360" s="32" t="s">
        <v>51</v>
      </c>
      <c r="H360" s="32" t="s">
        <v>28</v>
      </c>
      <c r="I360" s="31" t="s">
        <v>96</v>
      </c>
      <c r="J360" s="31" t="s">
        <v>21</v>
      </c>
      <c r="K360" s="31" t="s">
        <v>21</v>
      </c>
      <c r="L360" s="31" t="s">
        <v>29</v>
      </c>
      <c r="M360" s="31" t="s">
        <v>29</v>
      </c>
      <c r="N360" s="34" t="s">
        <v>29</v>
      </c>
      <c r="O360" s="31" t="s">
        <v>21</v>
      </c>
      <c r="P360" s="25">
        <f>VLOOKUP(C360, [1]Sheet1!$A$2:$B$313, 2, FALSE)</f>
        <v>0.56237027355400004</v>
      </c>
      <c r="Q360" s="67">
        <v>1.478986110698925E-5</v>
      </c>
    </row>
    <row r="361" spans="2:17" ht="32.1">
      <c r="B361" s="43">
        <v>340</v>
      </c>
      <c r="C361" s="43">
        <v>901600</v>
      </c>
      <c r="D361" s="47" t="s">
        <v>622</v>
      </c>
      <c r="E361" s="44" t="s">
        <v>623</v>
      </c>
      <c r="F361" s="44" t="s">
        <v>189</v>
      </c>
      <c r="G361" s="44" t="s">
        <v>40</v>
      </c>
      <c r="H361" s="44" t="s">
        <v>28</v>
      </c>
      <c r="I361" s="43" t="s">
        <v>12</v>
      </c>
      <c r="J361" s="43" t="s">
        <v>21</v>
      </c>
      <c r="K361" s="43" t="s">
        <v>21</v>
      </c>
      <c r="L361" s="43" t="s">
        <v>29</v>
      </c>
      <c r="M361" s="43" t="s">
        <v>29</v>
      </c>
      <c r="N361" s="43" t="s">
        <v>21</v>
      </c>
      <c r="O361" s="43" t="s">
        <v>21</v>
      </c>
      <c r="P361" s="25">
        <f>VLOOKUP(C361, [1]Sheet1!$A$2:$B$313, 2, FALSE)</f>
        <v>0.55035926279700009</v>
      </c>
      <c r="Q361" s="46">
        <f t="shared" ref="Q361:Q366" si="0">P361/SUM($P$3:$P$425)</f>
        <v>1.2372162684041714E-4</v>
      </c>
    </row>
    <row r="362" spans="2:17" ht="32.1" hidden="1">
      <c r="B362" s="43">
        <v>332</v>
      </c>
      <c r="C362" s="43">
        <v>831130</v>
      </c>
      <c r="D362" s="47" t="s">
        <v>624</v>
      </c>
      <c r="E362" s="44" t="s">
        <v>625</v>
      </c>
      <c r="F362" s="44" t="s">
        <v>54</v>
      </c>
      <c r="G362" s="44" t="s">
        <v>559</v>
      </c>
      <c r="H362" s="44" t="s">
        <v>20</v>
      </c>
      <c r="I362" s="43" t="s">
        <v>12</v>
      </c>
      <c r="J362" s="43" t="s">
        <v>21</v>
      </c>
      <c r="K362" s="43" t="s">
        <v>29</v>
      </c>
      <c r="L362" s="43" t="s">
        <v>29</v>
      </c>
      <c r="M362" s="43" t="s">
        <v>21</v>
      </c>
      <c r="N362" s="43" t="s">
        <v>21</v>
      </c>
      <c r="O362" s="43" t="s">
        <v>29</v>
      </c>
      <c r="P362" s="25">
        <f>VLOOKUP(C362, [1]Sheet1!$A$2:$B$313, 2, FALSE)</f>
        <v>0.488274200464</v>
      </c>
      <c r="Q362" s="46">
        <f t="shared" si="0"/>
        <v>1.0976480729805085E-4</v>
      </c>
    </row>
    <row r="363" spans="2:17" ht="48" hidden="1">
      <c r="B363" s="43">
        <v>330</v>
      </c>
      <c r="C363" s="43">
        <v>854590</v>
      </c>
      <c r="D363" s="47" t="s">
        <v>626</v>
      </c>
      <c r="E363" s="44" t="s">
        <v>627</v>
      </c>
      <c r="F363" s="44" t="s">
        <v>54</v>
      </c>
      <c r="G363" s="44" t="s">
        <v>559</v>
      </c>
      <c r="H363" s="44" t="s">
        <v>20</v>
      </c>
      <c r="I363" s="43" t="s">
        <v>12</v>
      </c>
      <c r="J363" s="43" t="s">
        <v>21</v>
      </c>
      <c r="K363" s="43" t="s">
        <v>21</v>
      </c>
      <c r="L363" s="43" t="s">
        <v>29</v>
      </c>
      <c r="M363" s="43" t="s">
        <v>29</v>
      </c>
      <c r="N363" s="43" t="s">
        <v>21</v>
      </c>
      <c r="O363" s="43" t="s">
        <v>29</v>
      </c>
      <c r="P363" s="25">
        <f>VLOOKUP(C363, [1]Sheet1!$A$2:$B$313, 2, FALSE)</f>
        <v>0.54376332937799998</v>
      </c>
      <c r="Q363" s="46">
        <f t="shared" si="0"/>
        <v>1.2223885064622275E-4</v>
      </c>
    </row>
    <row r="364" spans="2:17" ht="32.1" hidden="1">
      <c r="B364" s="43">
        <v>334</v>
      </c>
      <c r="C364" s="43">
        <v>853223</v>
      </c>
      <c r="D364" s="47" t="s">
        <v>628</v>
      </c>
      <c r="E364" s="44" t="s">
        <v>166</v>
      </c>
      <c r="F364" s="44" t="s">
        <v>54</v>
      </c>
      <c r="G364" s="44" t="s">
        <v>19</v>
      </c>
      <c r="H364" s="44" t="s">
        <v>20</v>
      </c>
      <c r="I364" s="43" t="s">
        <v>12</v>
      </c>
      <c r="J364" s="43" t="s">
        <v>21</v>
      </c>
      <c r="K364" s="43" t="s">
        <v>21</v>
      </c>
      <c r="L364" s="43" t="s">
        <v>29</v>
      </c>
      <c r="M364" s="43" t="s">
        <v>21</v>
      </c>
      <c r="N364" s="43" t="s">
        <v>21</v>
      </c>
      <c r="O364" s="43" t="s">
        <v>29</v>
      </c>
      <c r="P364" s="25">
        <f>VLOOKUP(C364, [1]Sheet1!$A$2:$B$313, 2, FALSE)</f>
        <v>0.55859561527099999</v>
      </c>
      <c r="Q364" s="46">
        <f t="shared" si="0"/>
        <v>1.2557317181512257E-4</v>
      </c>
    </row>
    <row r="365" spans="2:17" ht="63.95">
      <c r="B365" s="43">
        <v>337</v>
      </c>
      <c r="C365" s="43">
        <v>852713</v>
      </c>
      <c r="D365" s="47" t="s">
        <v>629</v>
      </c>
      <c r="E365" s="44" t="s">
        <v>407</v>
      </c>
      <c r="F365" s="44" t="s">
        <v>266</v>
      </c>
      <c r="G365" s="44" t="s">
        <v>27</v>
      </c>
      <c r="H365" s="44" t="s">
        <v>28</v>
      </c>
      <c r="I365" s="43" t="s">
        <v>12</v>
      </c>
      <c r="J365" s="43" t="s">
        <v>21</v>
      </c>
      <c r="K365" s="43" t="s">
        <v>21</v>
      </c>
      <c r="L365" s="43" t="s">
        <v>21</v>
      </c>
      <c r="M365" s="43" t="s">
        <v>21</v>
      </c>
      <c r="N365" s="43" t="s">
        <v>21</v>
      </c>
      <c r="O365" s="43" t="s">
        <v>21</v>
      </c>
      <c r="P365" s="25">
        <f>VLOOKUP(C365, [1]Sheet1!$A$2:$B$313, 2, FALSE)</f>
        <v>0.54554590077199994</v>
      </c>
      <c r="Q365" s="46">
        <f t="shared" si="0"/>
        <v>1.2263957549584921E-4</v>
      </c>
    </row>
    <row r="366" spans="2:17" ht="63.95" hidden="1">
      <c r="B366" s="43">
        <v>325</v>
      </c>
      <c r="C366" s="43">
        <v>910811</v>
      </c>
      <c r="D366" s="47" t="s">
        <v>630</v>
      </c>
      <c r="E366" s="44" t="s">
        <v>631</v>
      </c>
      <c r="F366" s="44" t="s">
        <v>66</v>
      </c>
      <c r="G366" s="44" t="s">
        <v>67</v>
      </c>
      <c r="H366" s="44" t="s">
        <v>20</v>
      </c>
      <c r="I366" s="43" t="s">
        <v>12</v>
      </c>
      <c r="J366" s="43" t="s">
        <v>21</v>
      </c>
      <c r="K366" s="43" t="s">
        <v>21</v>
      </c>
      <c r="L366" s="43" t="s">
        <v>21</v>
      </c>
      <c r="M366" s="43" t="s">
        <v>29</v>
      </c>
      <c r="N366" s="43" t="s">
        <v>21</v>
      </c>
      <c r="O366" s="43" t="s">
        <v>21</v>
      </c>
      <c r="P366" s="25">
        <f>VLOOKUP(C366, [1]Sheet1!$A$2:$B$313, 2, FALSE)</f>
        <v>0.54048831499299999</v>
      </c>
      <c r="Q366" s="46">
        <f t="shared" si="0"/>
        <v>1.2150262226772914E-4</v>
      </c>
    </row>
    <row r="367" spans="2:17" ht="48">
      <c r="B367" s="43">
        <v>297</v>
      </c>
      <c r="C367" s="43">
        <v>902213</v>
      </c>
      <c r="D367" s="47" t="s">
        <v>632</v>
      </c>
      <c r="E367" s="44" t="s">
        <v>391</v>
      </c>
      <c r="F367" s="44" t="s">
        <v>198</v>
      </c>
      <c r="G367" s="44" t="s">
        <v>40</v>
      </c>
      <c r="H367" s="44" t="s">
        <v>28</v>
      </c>
      <c r="I367" s="43" t="s">
        <v>12</v>
      </c>
      <c r="J367" s="43" t="s">
        <v>21</v>
      </c>
      <c r="K367" s="43" t="s">
        <v>21</v>
      </c>
      <c r="L367" s="43" t="s">
        <v>29</v>
      </c>
      <c r="M367" s="43" t="s">
        <v>29</v>
      </c>
      <c r="N367" s="43" t="s">
        <v>21</v>
      </c>
      <c r="O367" s="43" t="s">
        <v>21</v>
      </c>
      <c r="P367" s="25">
        <f>VLOOKUP(C367, [1]Sheet1!$A$2:$B$313, 2, FALSE)</f>
        <v>0.518087418824</v>
      </c>
      <c r="Q367" s="45">
        <v>1.0529815733653972E-5</v>
      </c>
    </row>
    <row r="368" spans="2:17" ht="48">
      <c r="B368" s="43">
        <v>338</v>
      </c>
      <c r="C368" s="43">
        <v>852719</v>
      </c>
      <c r="D368" s="47" t="s">
        <v>633</v>
      </c>
      <c r="E368" s="44" t="s">
        <v>407</v>
      </c>
      <c r="F368" s="44" t="s">
        <v>266</v>
      </c>
      <c r="G368" s="44" t="s">
        <v>27</v>
      </c>
      <c r="H368" s="44" t="s">
        <v>28</v>
      </c>
      <c r="I368" s="43" t="s">
        <v>12</v>
      </c>
      <c r="J368" s="43" t="s">
        <v>21</v>
      </c>
      <c r="K368" s="43" t="s">
        <v>21</v>
      </c>
      <c r="L368" s="43" t="s">
        <v>21</v>
      </c>
      <c r="M368" s="43" t="s">
        <v>29</v>
      </c>
      <c r="N368" s="43" t="s">
        <v>21</v>
      </c>
      <c r="O368" s="43" t="s">
        <v>21</v>
      </c>
      <c r="P368" s="25">
        <f>VLOOKUP(C368, [1]Sheet1!$A$2:$B$313, 2, FALSE)</f>
        <v>0.49018123995599999</v>
      </c>
      <c r="Q368" s="46">
        <f t="shared" ref="Q368:Q379" si="1">P368/SUM($P$3:$P$425)</f>
        <v>1.1019351277163564E-4</v>
      </c>
    </row>
    <row r="369" spans="2:18" ht="32.1">
      <c r="B369" s="43">
        <v>333</v>
      </c>
      <c r="C369" s="43">
        <v>961380</v>
      </c>
      <c r="D369" s="47" t="s">
        <v>634</v>
      </c>
      <c r="E369" s="44" t="s">
        <v>635</v>
      </c>
      <c r="F369" s="44" t="s">
        <v>66</v>
      </c>
      <c r="G369" s="44" t="s">
        <v>67</v>
      </c>
      <c r="H369" s="44" t="s">
        <v>28</v>
      </c>
      <c r="I369" s="43" t="s">
        <v>12</v>
      </c>
      <c r="J369" s="43" t="s">
        <v>21</v>
      </c>
      <c r="K369" s="43" t="s">
        <v>21</v>
      </c>
      <c r="L369" s="43" t="s">
        <v>21</v>
      </c>
      <c r="M369" s="43" t="s">
        <v>29</v>
      </c>
      <c r="N369" s="43" t="s">
        <v>21</v>
      </c>
      <c r="O369" s="43" t="s">
        <v>21</v>
      </c>
      <c r="P369" s="25">
        <f>VLOOKUP(C369, [1]Sheet1!$A$2:$B$313, 2, FALSE)</f>
        <v>0.45999678818200002</v>
      </c>
      <c r="Q369" s="46">
        <f t="shared" si="1"/>
        <v>1.0340800059585011E-4</v>
      </c>
    </row>
    <row r="370" spans="2:18" ht="48" hidden="1">
      <c r="B370" s="43">
        <v>319</v>
      </c>
      <c r="C370" s="43">
        <v>853310</v>
      </c>
      <c r="D370" s="47" t="s">
        <v>636</v>
      </c>
      <c r="E370" s="44" t="s">
        <v>334</v>
      </c>
      <c r="F370" s="44" t="s">
        <v>54</v>
      </c>
      <c r="G370" s="44" t="s">
        <v>19</v>
      </c>
      <c r="H370" s="44" t="s">
        <v>20</v>
      </c>
      <c r="I370" s="43" t="s">
        <v>12</v>
      </c>
      <c r="J370" s="43" t="s">
        <v>21</v>
      </c>
      <c r="K370" s="43" t="s">
        <v>21</v>
      </c>
      <c r="L370" s="43" t="s">
        <v>21</v>
      </c>
      <c r="M370" s="43" t="s">
        <v>29</v>
      </c>
      <c r="N370" s="43" t="s">
        <v>21</v>
      </c>
      <c r="O370" s="43" t="s">
        <v>21</v>
      </c>
      <c r="P370" s="25">
        <f>VLOOKUP(C370, [1]Sheet1!$A$2:$B$313, 2, FALSE)</f>
        <v>0.45215555374400002</v>
      </c>
      <c r="Q370" s="46">
        <f t="shared" si="1"/>
        <v>1.0164527877633147E-4</v>
      </c>
    </row>
    <row r="371" spans="2:18" ht="63.95">
      <c r="B371" s="35">
        <v>343</v>
      </c>
      <c r="C371" s="35">
        <v>901720</v>
      </c>
      <c r="D371" s="37" t="s">
        <v>637</v>
      </c>
      <c r="E371" s="36" t="s">
        <v>638</v>
      </c>
      <c r="F371" s="36" t="s">
        <v>189</v>
      </c>
      <c r="G371" s="36" t="s">
        <v>40</v>
      </c>
      <c r="H371" s="36" t="s">
        <v>28</v>
      </c>
      <c r="I371" s="35" t="s">
        <v>12</v>
      </c>
      <c r="J371" s="35" t="s">
        <v>21</v>
      </c>
      <c r="K371" s="35" t="s">
        <v>21</v>
      </c>
      <c r="L371" s="35" t="s">
        <v>29</v>
      </c>
      <c r="M371" s="35" t="s">
        <v>29</v>
      </c>
      <c r="N371" s="38" t="s">
        <v>21</v>
      </c>
      <c r="O371" s="35" t="s">
        <v>21</v>
      </c>
      <c r="P371" s="25">
        <f>VLOOKUP(C371, [1]Sheet1!$A$2:$B$313, 2, FALSE)</f>
        <v>0.43276439627399998</v>
      </c>
      <c r="Q371" s="70">
        <f t="shared" si="1"/>
        <v>9.7286116115355195E-5</v>
      </c>
    </row>
    <row r="372" spans="2:18" ht="32.1" hidden="1">
      <c r="B372" s="5">
        <v>347</v>
      </c>
      <c r="C372" s="5">
        <v>853390</v>
      </c>
      <c r="D372" s="10" t="s">
        <v>639</v>
      </c>
      <c r="E372" s="6" t="s">
        <v>640</v>
      </c>
      <c r="F372" s="6" t="s">
        <v>54</v>
      </c>
      <c r="G372" s="6" t="s">
        <v>19</v>
      </c>
      <c r="H372" s="6" t="s">
        <v>20</v>
      </c>
      <c r="I372" s="5" t="s">
        <v>12</v>
      </c>
      <c r="J372" s="5" t="s">
        <v>21</v>
      </c>
      <c r="K372" s="5" t="s">
        <v>21</v>
      </c>
      <c r="L372" s="5" t="s">
        <v>21</v>
      </c>
      <c r="M372" s="5" t="s">
        <v>29</v>
      </c>
      <c r="N372" s="7" t="s">
        <v>21</v>
      </c>
      <c r="O372" s="5" t="s">
        <v>21</v>
      </c>
      <c r="P372" s="25">
        <f>VLOOKUP(C372, [1]Sheet1!$A$2:$B$313, 2, FALSE)</f>
        <v>0.40798261612199999</v>
      </c>
      <c r="Q372" s="9">
        <f t="shared" si="1"/>
        <v>9.1715133007294183E-5</v>
      </c>
    </row>
    <row r="373" spans="2:18" ht="32.1">
      <c r="B373" s="26">
        <v>349</v>
      </c>
      <c r="C373" s="26">
        <v>852110</v>
      </c>
      <c r="D373" s="28" t="s">
        <v>641</v>
      </c>
      <c r="E373" s="27" t="s">
        <v>450</v>
      </c>
      <c r="F373" s="27" t="s">
        <v>66</v>
      </c>
      <c r="G373" s="27" t="s">
        <v>67</v>
      </c>
      <c r="H373" s="27" t="s">
        <v>28</v>
      </c>
      <c r="I373" s="26" t="s">
        <v>12</v>
      </c>
      <c r="J373" s="26" t="s">
        <v>21</v>
      </c>
      <c r="K373" s="26" t="s">
        <v>21</v>
      </c>
      <c r="L373" s="26" t="s">
        <v>21</v>
      </c>
      <c r="M373" s="26" t="s">
        <v>29</v>
      </c>
      <c r="N373" s="29" t="s">
        <v>21</v>
      </c>
      <c r="O373" s="26" t="s">
        <v>21</v>
      </c>
      <c r="P373" s="25">
        <f>VLOOKUP(C373, [1]Sheet1!$A$2:$B$313, 2, FALSE)</f>
        <v>0.38054519863800002</v>
      </c>
      <c r="Q373" s="63">
        <f t="shared" si="1"/>
        <v>8.5547158455238215E-5</v>
      </c>
    </row>
    <row r="374" spans="2:18" ht="32.1">
      <c r="B374" s="43">
        <v>341</v>
      </c>
      <c r="C374" s="43">
        <v>852341</v>
      </c>
      <c r="D374" s="47" t="s">
        <v>642</v>
      </c>
      <c r="E374" s="44" t="s">
        <v>282</v>
      </c>
      <c r="F374" s="44" t="s">
        <v>66</v>
      </c>
      <c r="G374" s="44" t="s">
        <v>67</v>
      </c>
      <c r="H374" s="44" t="s">
        <v>28</v>
      </c>
      <c r="I374" s="43" t="s">
        <v>12</v>
      </c>
      <c r="J374" s="43" t="s">
        <v>21</v>
      </c>
      <c r="K374" s="43" t="s">
        <v>21</v>
      </c>
      <c r="L374" s="43" t="s">
        <v>29</v>
      </c>
      <c r="M374" s="43" t="s">
        <v>29</v>
      </c>
      <c r="N374" s="43" t="s">
        <v>21</v>
      </c>
      <c r="O374" s="43" t="s">
        <v>29</v>
      </c>
      <c r="P374" s="25">
        <f>VLOOKUP(C374, [1]Sheet1!$A$2:$B$313, 2, FALSE)</f>
        <v>0.379127301887</v>
      </c>
      <c r="Q374" s="46">
        <f t="shared" si="1"/>
        <v>8.5228413038228366E-5</v>
      </c>
    </row>
    <row r="375" spans="2:18" ht="63.95" hidden="1">
      <c r="B375" s="43">
        <v>362</v>
      </c>
      <c r="C375" s="43">
        <v>854071</v>
      </c>
      <c r="D375" s="47" t="s">
        <v>643</v>
      </c>
      <c r="E375" s="44" t="s">
        <v>644</v>
      </c>
      <c r="F375" s="44" t="s">
        <v>189</v>
      </c>
      <c r="G375" s="44" t="s">
        <v>19</v>
      </c>
      <c r="H375" s="44" t="s">
        <v>20</v>
      </c>
      <c r="I375" s="43" t="s">
        <v>12</v>
      </c>
      <c r="J375" s="43" t="s">
        <v>21</v>
      </c>
      <c r="K375" s="43" t="s">
        <v>21</v>
      </c>
      <c r="L375" s="43" t="s">
        <v>29</v>
      </c>
      <c r="M375" s="43" t="s">
        <v>29</v>
      </c>
      <c r="N375" s="43" t="s">
        <v>21</v>
      </c>
      <c r="O375" s="43" t="s">
        <v>21</v>
      </c>
      <c r="P375" s="25">
        <f>VLOOKUP(C375, [1]Sheet1!$A$2:$B$313, 2, FALSE)</f>
        <v>0.37263523509800001</v>
      </c>
      <c r="Q375" s="46">
        <f t="shared" si="1"/>
        <v>8.3768986225622884E-5</v>
      </c>
    </row>
    <row r="376" spans="2:18" ht="48">
      <c r="B376" s="43">
        <v>352</v>
      </c>
      <c r="C376" s="43">
        <v>910511</v>
      </c>
      <c r="D376" s="47" t="s">
        <v>645</v>
      </c>
      <c r="E376" s="44" t="s">
        <v>646</v>
      </c>
      <c r="F376" s="44" t="s">
        <v>66</v>
      </c>
      <c r="G376" s="44" t="s">
        <v>67</v>
      </c>
      <c r="H376" s="44" t="s">
        <v>28</v>
      </c>
      <c r="I376" s="43" t="s">
        <v>12</v>
      </c>
      <c r="J376" s="43" t="s">
        <v>21</v>
      </c>
      <c r="K376" s="43" t="s">
        <v>21</v>
      </c>
      <c r="L376" s="43" t="s">
        <v>21</v>
      </c>
      <c r="M376" s="43" t="s">
        <v>29</v>
      </c>
      <c r="N376" s="43" t="s">
        <v>21</v>
      </c>
      <c r="O376" s="43" t="s">
        <v>21</v>
      </c>
      <c r="P376" s="25">
        <f>VLOOKUP(C376, [1]Sheet1!$A$2:$B$313, 2, FALSE)</f>
        <v>0.37247932053400001</v>
      </c>
      <c r="Q376" s="46">
        <f t="shared" si="1"/>
        <v>8.3733936386708291E-5</v>
      </c>
    </row>
    <row r="377" spans="2:18" ht="32.1" hidden="1">
      <c r="B377" s="35">
        <v>357</v>
      </c>
      <c r="C377" s="35">
        <v>850660</v>
      </c>
      <c r="D377" s="37" t="s">
        <v>647</v>
      </c>
      <c r="E377" s="36" t="s">
        <v>439</v>
      </c>
      <c r="F377" s="36" t="s">
        <v>66</v>
      </c>
      <c r="G377" s="36" t="s">
        <v>43</v>
      </c>
      <c r="H377" s="36" t="s">
        <v>20</v>
      </c>
      <c r="I377" s="35" t="s">
        <v>12</v>
      </c>
      <c r="J377" s="35" t="s">
        <v>21</v>
      </c>
      <c r="K377" s="35" t="s">
        <v>21</v>
      </c>
      <c r="L377" s="35" t="s">
        <v>29</v>
      </c>
      <c r="M377" s="35" t="s">
        <v>29</v>
      </c>
      <c r="N377" s="38" t="s">
        <v>21</v>
      </c>
      <c r="O377" s="35" t="s">
        <v>29</v>
      </c>
      <c r="P377" s="25">
        <f>VLOOKUP(C377, [1]Sheet1!$A$2:$B$313, 2, FALSE)</f>
        <v>0.30569915674999998</v>
      </c>
      <c r="Q377" s="70">
        <f t="shared" si="1"/>
        <v>6.8721650662585776E-5</v>
      </c>
    </row>
    <row r="378" spans="2:18" ht="63.95" hidden="1">
      <c r="B378" s="26">
        <v>387</v>
      </c>
      <c r="C378" s="26">
        <v>852419</v>
      </c>
      <c r="D378" s="28" t="s">
        <v>648</v>
      </c>
      <c r="E378" s="27" t="s">
        <v>88</v>
      </c>
      <c r="F378" s="27" t="s">
        <v>89</v>
      </c>
      <c r="G378" s="27" t="s">
        <v>67</v>
      </c>
      <c r="H378" s="27" t="s">
        <v>20</v>
      </c>
      <c r="I378" s="26" t="s">
        <v>12</v>
      </c>
      <c r="J378" s="26" t="s">
        <v>21</v>
      </c>
      <c r="K378" s="26" t="s">
        <v>29</v>
      </c>
      <c r="L378" s="26" t="s">
        <v>29</v>
      </c>
      <c r="M378" s="26" t="s">
        <v>29</v>
      </c>
      <c r="N378" s="29" t="s">
        <v>21</v>
      </c>
      <c r="O378" s="26" t="s">
        <v>29</v>
      </c>
      <c r="P378" s="25">
        <f>VLOOKUP(C378, [1]Sheet1!$A$2:$B$313, 2, FALSE)</f>
        <v>0.29630305189</v>
      </c>
      <c r="Q378" s="63">
        <f t="shared" si="1"/>
        <v>6.660939152964349E-5</v>
      </c>
    </row>
    <row r="379" spans="2:18" ht="63.95">
      <c r="B379" s="43">
        <v>361</v>
      </c>
      <c r="C379" s="43">
        <v>902229</v>
      </c>
      <c r="D379" s="47" t="s">
        <v>649</v>
      </c>
      <c r="E379" s="44" t="s">
        <v>650</v>
      </c>
      <c r="F379" s="44" t="s">
        <v>189</v>
      </c>
      <c r="G379" s="44" t="s">
        <v>40</v>
      </c>
      <c r="H379" s="44" t="s">
        <v>28</v>
      </c>
      <c r="I379" s="43" t="s">
        <v>12</v>
      </c>
      <c r="J379" s="43" t="s">
        <v>21</v>
      </c>
      <c r="K379" s="43" t="s">
        <v>21</v>
      </c>
      <c r="L379" s="43" t="s">
        <v>29</v>
      </c>
      <c r="M379" s="43" t="s">
        <v>29</v>
      </c>
      <c r="N379" s="43" t="s">
        <v>21</v>
      </c>
      <c r="O379" s="43" t="s">
        <v>21</v>
      </c>
      <c r="P379" s="25">
        <f>VLOOKUP(C379, [1]Sheet1!$A$2:$B$313, 2, FALSE)</f>
        <v>0.28652667382000002</v>
      </c>
      <c r="Q379" s="46">
        <f t="shared" si="1"/>
        <v>6.4411646381719068E-5</v>
      </c>
    </row>
    <row r="380" spans="2:18" ht="48" hidden="1">
      <c r="B380" s="43">
        <v>249</v>
      </c>
      <c r="C380" s="43">
        <v>961210</v>
      </c>
      <c r="D380" s="47" t="s">
        <v>651</v>
      </c>
      <c r="E380" s="44" t="s">
        <v>652</v>
      </c>
      <c r="F380" s="44" t="s">
        <v>36</v>
      </c>
      <c r="G380" s="44" t="s">
        <v>67</v>
      </c>
      <c r="H380" s="44" t="s">
        <v>20</v>
      </c>
      <c r="I380" s="43" t="s">
        <v>12</v>
      </c>
      <c r="J380" s="43" t="s">
        <v>21</v>
      </c>
      <c r="K380" s="43" t="s">
        <v>21</v>
      </c>
      <c r="L380" s="43" t="s">
        <v>21</v>
      </c>
      <c r="M380" s="43" t="s">
        <v>29</v>
      </c>
      <c r="N380" s="43" t="s">
        <v>21</v>
      </c>
      <c r="O380" s="43" t="s">
        <v>21</v>
      </c>
      <c r="P380" s="25">
        <f>VLOOKUP(C380, [1]Sheet1!$A$2:$B$313, 2, FALSE)</f>
        <v>1.3618430435569999</v>
      </c>
      <c r="Q380" s="45">
        <v>1.0675871757373033E-4</v>
      </c>
      <c r="R380" s="16"/>
    </row>
    <row r="381" spans="2:18" ht="32.1">
      <c r="B381" s="31">
        <v>360</v>
      </c>
      <c r="C381" s="31">
        <v>901814</v>
      </c>
      <c r="D381" s="33" t="s">
        <v>653</v>
      </c>
      <c r="E381" s="32" t="s">
        <v>197</v>
      </c>
      <c r="F381" s="32" t="s">
        <v>198</v>
      </c>
      <c r="G381" s="32" t="s">
        <v>40</v>
      </c>
      <c r="H381" s="32" t="s">
        <v>28</v>
      </c>
      <c r="I381" s="31" t="s">
        <v>12</v>
      </c>
      <c r="J381" s="31" t="s">
        <v>21</v>
      </c>
      <c r="K381" s="31" t="s">
        <v>21</v>
      </c>
      <c r="L381" s="31" t="s">
        <v>29</v>
      </c>
      <c r="M381" s="31" t="s">
        <v>29</v>
      </c>
      <c r="N381" s="34" t="s">
        <v>21</v>
      </c>
      <c r="O381" s="31" t="s">
        <v>21</v>
      </c>
      <c r="P381" s="25">
        <f>VLOOKUP(C381, [1]Sheet1!$A$2:$B$313, 2, FALSE)</f>
        <v>0.28134190835200001</v>
      </c>
      <c r="Q381" s="71">
        <f t="shared" ref="Q381:Q392" si="2">P381/SUM($P$3:$P$425)</f>
        <v>6.3246102959724213E-5</v>
      </c>
    </row>
    <row r="382" spans="2:18" ht="32.1" hidden="1">
      <c r="B382" s="43">
        <v>354</v>
      </c>
      <c r="C382" s="43">
        <v>853230</v>
      </c>
      <c r="D382" s="47" t="s">
        <v>654</v>
      </c>
      <c r="E382" s="44" t="s">
        <v>166</v>
      </c>
      <c r="F382" s="44" t="s">
        <v>54</v>
      </c>
      <c r="G382" s="44" t="s">
        <v>19</v>
      </c>
      <c r="H382" s="44" t="s">
        <v>20</v>
      </c>
      <c r="I382" s="43" t="s">
        <v>12</v>
      </c>
      <c r="J382" s="43" t="s">
        <v>21</v>
      </c>
      <c r="K382" s="43" t="s">
        <v>21</v>
      </c>
      <c r="L382" s="43" t="s">
        <v>21</v>
      </c>
      <c r="M382" s="43" t="s">
        <v>29</v>
      </c>
      <c r="N382" s="43" t="s">
        <v>21</v>
      </c>
      <c r="O382" s="43" t="s">
        <v>21</v>
      </c>
      <c r="P382" s="25">
        <f>VLOOKUP(C382, [1]Sheet1!$A$2:$B$313, 2, FALSE)</f>
        <v>0.26626991548200002</v>
      </c>
      <c r="Q382" s="46">
        <f t="shared" si="2"/>
        <v>5.9857895285837253E-5</v>
      </c>
    </row>
    <row r="383" spans="2:18" ht="48">
      <c r="B383" s="35">
        <v>359</v>
      </c>
      <c r="C383" s="35">
        <v>851930</v>
      </c>
      <c r="D383" s="37" t="s">
        <v>655</v>
      </c>
      <c r="E383" s="36" t="s">
        <v>656</v>
      </c>
      <c r="F383" s="36" t="s">
        <v>66</v>
      </c>
      <c r="G383" s="36" t="s">
        <v>40</v>
      </c>
      <c r="H383" s="36" t="s">
        <v>28</v>
      </c>
      <c r="I383" s="35" t="s">
        <v>12</v>
      </c>
      <c r="J383" s="35" t="s">
        <v>21</v>
      </c>
      <c r="K383" s="35" t="s">
        <v>21</v>
      </c>
      <c r="L383" s="35" t="s">
        <v>29</v>
      </c>
      <c r="M383" s="35" t="s">
        <v>29</v>
      </c>
      <c r="N383" s="38" t="s">
        <v>21</v>
      </c>
      <c r="O383" s="35" t="s">
        <v>29</v>
      </c>
      <c r="P383" s="25">
        <f>VLOOKUP(C383, [1]Sheet1!$A$2:$B$313, 2, FALSE)</f>
        <v>0.26067226916399999</v>
      </c>
      <c r="Q383" s="70">
        <f t="shared" si="2"/>
        <v>5.8599535600164655E-5</v>
      </c>
    </row>
    <row r="384" spans="2:18" ht="32.1" hidden="1">
      <c r="B384" s="26">
        <v>374</v>
      </c>
      <c r="C384" s="26">
        <v>854089</v>
      </c>
      <c r="D384" s="28" t="s">
        <v>657</v>
      </c>
      <c r="E384" s="27" t="s">
        <v>658</v>
      </c>
      <c r="F384" s="27" t="s">
        <v>189</v>
      </c>
      <c r="G384" s="27" t="s">
        <v>19</v>
      </c>
      <c r="H384" s="27" t="s">
        <v>20</v>
      </c>
      <c r="I384" s="26" t="s">
        <v>12</v>
      </c>
      <c r="J384" s="26" t="s">
        <v>21</v>
      </c>
      <c r="K384" s="26" t="s">
        <v>21</v>
      </c>
      <c r="L384" s="26" t="s">
        <v>29</v>
      </c>
      <c r="M384" s="26" t="s">
        <v>29</v>
      </c>
      <c r="N384" s="29" t="s">
        <v>21</v>
      </c>
      <c r="O384" s="26" t="s">
        <v>21</v>
      </c>
      <c r="P384" s="25">
        <f>VLOOKUP(C384, [1]Sheet1!$A$2:$B$313, 2, FALSE)</f>
        <v>0.24350147619000001</v>
      </c>
      <c r="Q384" s="63">
        <f t="shared" si="2"/>
        <v>5.4739514365877072E-5</v>
      </c>
    </row>
    <row r="385" spans="2:17" ht="48" hidden="1">
      <c r="B385" s="43">
        <v>373</v>
      </c>
      <c r="C385" s="43">
        <v>852321</v>
      </c>
      <c r="D385" s="47" t="s">
        <v>659</v>
      </c>
      <c r="E385" s="44" t="s">
        <v>456</v>
      </c>
      <c r="F385" s="44" t="s">
        <v>66</v>
      </c>
      <c r="G385" s="44" t="s">
        <v>67</v>
      </c>
      <c r="H385" s="44" t="s">
        <v>20</v>
      </c>
      <c r="I385" s="43" t="s">
        <v>12</v>
      </c>
      <c r="J385" s="43" t="s">
        <v>21</v>
      </c>
      <c r="K385" s="43" t="s">
        <v>21</v>
      </c>
      <c r="L385" s="43" t="s">
        <v>21</v>
      </c>
      <c r="M385" s="43" t="s">
        <v>29</v>
      </c>
      <c r="N385" s="43" t="s">
        <v>21</v>
      </c>
      <c r="O385" s="43" t="s">
        <v>21</v>
      </c>
      <c r="P385" s="25">
        <f>VLOOKUP(C385, [1]Sheet1!$A$2:$B$313, 2, FALSE)</f>
        <v>0.23965496985199999</v>
      </c>
      <c r="Q385" s="46">
        <f t="shared" si="2"/>
        <v>5.3874813698587906E-5</v>
      </c>
    </row>
    <row r="386" spans="2:17" ht="32.1" hidden="1">
      <c r="B386" s="43">
        <v>365</v>
      </c>
      <c r="C386" s="43">
        <v>854310</v>
      </c>
      <c r="D386" s="47" t="s">
        <v>660</v>
      </c>
      <c r="E386" s="44" t="s">
        <v>517</v>
      </c>
      <c r="F386" s="44" t="s">
        <v>54</v>
      </c>
      <c r="G386" s="44" t="s">
        <v>19</v>
      </c>
      <c r="H386" s="44" t="s">
        <v>20</v>
      </c>
      <c r="I386" s="43" t="s">
        <v>12</v>
      </c>
      <c r="J386" s="43" t="s">
        <v>21</v>
      </c>
      <c r="K386" s="43" t="s">
        <v>21</v>
      </c>
      <c r="L386" s="43" t="s">
        <v>21</v>
      </c>
      <c r="M386" s="43" t="s">
        <v>29</v>
      </c>
      <c r="N386" s="43" t="s">
        <v>21</v>
      </c>
      <c r="O386" s="43" t="s">
        <v>21</v>
      </c>
      <c r="P386" s="25">
        <f>VLOOKUP(C386, [1]Sheet1!$A$2:$B$313, 2, FALSE)</f>
        <v>0.239042950772</v>
      </c>
      <c r="Q386" s="46">
        <f t="shared" si="2"/>
        <v>5.3737230847978371E-5</v>
      </c>
    </row>
    <row r="387" spans="2:17" ht="63.95">
      <c r="B387" s="43">
        <v>363</v>
      </c>
      <c r="C387" s="43">
        <v>902221</v>
      </c>
      <c r="D387" s="47" t="s">
        <v>661</v>
      </c>
      <c r="E387" s="44" t="s">
        <v>391</v>
      </c>
      <c r="F387" s="44" t="s">
        <v>198</v>
      </c>
      <c r="G387" s="44" t="s">
        <v>40</v>
      </c>
      <c r="H387" s="44" t="s">
        <v>28</v>
      </c>
      <c r="I387" s="43" t="s">
        <v>12</v>
      </c>
      <c r="J387" s="43" t="s">
        <v>21</v>
      </c>
      <c r="K387" s="43" t="s">
        <v>21</v>
      </c>
      <c r="L387" s="43" t="s">
        <v>29</v>
      </c>
      <c r="M387" s="43" t="s">
        <v>29</v>
      </c>
      <c r="N387" s="43" t="s">
        <v>21</v>
      </c>
      <c r="O387" s="43" t="s">
        <v>21</v>
      </c>
      <c r="P387" s="25">
        <f>VLOOKUP(C387, [1]Sheet1!$A$2:$B$313, 2, FALSE)</f>
        <v>0.238768012541</v>
      </c>
      <c r="Q387" s="46">
        <f t="shared" si="2"/>
        <v>5.367542430174696E-5</v>
      </c>
    </row>
    <row r="388" spans="2:17" ht="32.1" hidden="1">
      <c r="B388" s="43">
        <v>367</v>
      </c>
      <c r="C388" s="43">
        <v>850640</v>
      </c>
      <c r="D388" s="47" t="s">
        <v>662</v>
      </c>
      <c r="E388" s="44" t="s">
        <v>439</v>
      </c>
      <c r="F388" s="44" t="s">
        <v>66</v>
      </c>
      <c r="G388" s="44" t="s">
        <v>43</v>
      </c>
      <c r="H388" s="44" t="s">
        <v>20</v>
      </c>
      <c r="I388" s="43" t="s">
        <v>12</v>
      </c>
      <c r="J388" s="43" t="s">
        <v>21</v>
      </c>
      <c r="K388" s="43" t="s">
        <v>21</v>
      </c>
      <c r="L388" s="43" t="s">
        <v>29</v>
      </c>
      <c r="M388" s="43" t="s">
        <v>29</v>
      </c>
      <c r="N388" s="43" t="s">
        <v>21</v>
      </c>
      <c r="O388" s="43" t="s">
        <v>29</v>
      </c>
      <c r="P388" s="25">
        <f>VLOOKUP(C388, [1]Sheet1!$A$2:$B$313, 2, FALSE)</f>
        <v>0.23692865362500001</v>
      </c>
      <c r="Q388" s="46">
        <f t="shared" si="2"/>
        <v>5.3261933527966921E-5</v>
      </c>
    </row>
    <row r="389" spans="2:17" ht="48">
      <c r="B389" s="43">
        <v>372</v>
      </c>
      <c r="C389" s="43">
        <v>910690</v>
      </c>
      <c r="D389" s="47" t="s">
        <v>663</v>
      </c>
      <c r="E389" s="44" t="s">
        <v>664</v>
      </c>
      <c r="F389" s="44" t="s">
        <v>66</v>
      </c>
      <c r="G389" s="44" t="s">
        <v>67</v>
      </c>
      <c r="H389" s="44" t="s">
        <v>28</v>
      </c>
      <c r="I389" s="43" t="s">
        <v>12</v>
      </c>
      <c r="J389" s="43" t="s">
        <v>21</v>
      </c>
      <c r="K389" s="43" t="s">
        <v>21</v>
      </c>
      <c r="L389" s="43" t="s">
        <v>21</v>
      </c>
      <c r="M389" s="43" t="s">
        <v>29</v>
      </c>
      <c r="N389" s="43" t="s">
        <v>21</v>
      </c>
      <c r="O389" s="43" t="s">
        <v>21</v>
      </c>
      <c r="P389" s="25">
        <f>VLOOKUP(C389, [1]Sheet1!$A$2:$B$313, 2, FALSE)</f>
        <v>0.23401285931400001</v>
      </c>
      <c r="Q389" s="46">
        <f t="shared" si="2"/>
        <v>5.2606458386410132E-5</v>
      </c>
    </row>
    <row r="390" spans="2:17" ht="48" hidden="1">
      <c r="B390" s="31">
        <v>364</v>
      </c>
      <c r="C390" s="31">
        <v>854079</v>
      </c>
      <c r="D390" s="33" t="s">
        <v>665</v>
      </c>
      <c r="E390" s="32" t="s">
        <v>658</v>
      </c>
      <c r="F390" s="32" t="s">
        <v>189</v>
      </c>
      <c r="G390" s="32" t="s">
        <v>19</v>
      </c>
      <c r="H390" s="32" t="s">
        <v>20</v>
      </c>
      <c r="I390" s="31" t="s">
        <v>12</v>
      </c>
      <c r="J390" s="31" t="s">
        <v>21</v>
      </c>
      <c r="K390" s="31" t="s">
        <v>21</v>
      </c>
      <c r="L390" s="31" t="s">
        <v>29</v>
      </c>
      <c r="M390" s="31" t="s">
        <v>29</v>
      </c>
      <c r="N390" s="34" t="s">
        <v>21</v>
      </c>
      <c r="O390" s="31" t="s">
        <v>21</v>
      </c>
      <c r="P390" s="25">
        <f>VLOOKUP(C390, [1]Sheet1!$A$2:$B$313, 2, FALSE)</f>
        <v>0.230852608027</v>
      </c>
      <c r="Q390" s="71">
        <f t="shared" si="2"/>
        <v>5.1896028932629173E-5</v>
      </c>
    </row>
    <row r="391" spans="2:17" ht="63.95" hidden="1">
      <c r="B391" s="43">
        <v>366</v>
      </c>
      <c r="C391" s="43">
        <v>854150</v>
      </c>
      <c r="D391" s="47" t="s">
        <v>666</v>
      </c>
      <c r="E391" s="44" t="s">
        <v>63</v>
      </c>
      <c r="F391" s="44" t="s">
        <v>18</v>
      </c>
      <c r="G391" s="44" t="s">
        <v>51</v>
      </c>
      <c r="H391" s="44" t="s">
        <v>20</v>
      </c>
      <c r="I391" s="43" t="s">
        <v>96</v>
      </c>
      <c r="J391" s="43" t="s">
        <v>21</v>
      </c>
      <c r="K391" s="43" t="s">
        <v>21</v>
      </c>
      <c r="L391" s="43" t="s">
        <v>29</v>
      </c>
      <c r="M391" s="43" t="s">
        <v>29</v>
      </c>
      <c r="N391" s="43" t="s">
        <v>29</v>
      </c>
      <c r="O391" s="43" t="s">
        <v>21</v>
      </c>
      <c r="P391" s="25">
        <f>VLOOKUP(C391, [1]Sheet1!$A$2:$B$313, 2, FALSE)</f>
        <v>0.22260736683099999</v>
      </c>
      <c r="Q391" s="46">
        <f t="shared" si="2"/>
        <v>5.0042485759254774E-5</v>
      </c>
    </row>
    <row r="392" spans="2:17" ht="32.1">
      <c r="B392" s="43">
        <v>377</v>
      </c>
      <c r="C392" s="43">
        <v>851712</v>
      </c>
      <c r="D392" s="47" t="s">
        <v>667</v>
      </c>
      <c r="E392" s="44" t="s">
        <v>668</v>
      </c>
      <c r="F392" s="44" t="s">
        <v>26</v>
      </c>
      <c r="G392" s="44" t="s">
        <v>27</v>
      </c>
      <c r="H392" s="44" t="s">
        <v>28</v>
      </c>
      <c r="I392" s="43" t="s">
        <v>12</v>
      </c>
      <c r="J392" s="43" t="s">
        <v>21</v>
      </c>
      <c r="K392" s="43" t="s">
        <v>21</v>
      </c>
      <c r="L392" s="43" t="s">
        <v>21</v>
      </c>
      <c r="M392" s="43" t="s">
        <v>21</v>
      </c>
      <c r="N392" s="43" t="s">
        <v>21</v>
      </c>
      <c r="O392" s="43" t="s">
        <v>21</v>
      </c>
      <c r="P392" s="25">
        <f>VLOOKUP(C392, [1]Sheet1!$A$2:$B$313, 2, FALSE)</f>
        <v>1.4761961932E-2</v>
      </c>
      <c r="Q392" s="46">
        <f t="shared" si="2"/>
        <v>3.3185122319945489E-6</v>
      </c>
    </row>
    <row r="393" spans="2:17" ht="48">
      <c r="B393" s="43">
        <v>368</v>
      </c>
      <c r="C393" s="43">
        <v>852849</v>
      </c>
      <c r="D393" s="47" t="s">
        <v>669</v>
      </c>
      <c r="E393" s="44" t="s">
        <v>109</v>
      </c>
      <c r="F393" s="44" t="s">
        <v>36</v>
      </c>
      <c r="G393" s="44" t="s">
        <v>37</v>
      </c>
      <c r="H393" s="44" t="s">
        <v>28</v>
      </c>
      <c r="I393" s="43" t="s">
        <v>12</v>
      </c>
      <c r="J393" s="43" t="s">
        <v>21</v>
      </c>
      <c r="K393" s="43" t="s">
        <v>21</v>
      </c>
      <c r="L393" s="43" t="s">
        <v>21</v>
      </c>
      <c r="M393" s="43" t="s">
        <v>29</v>
      </c>
      <c r="N393" s="43" t="s">
        <v>21</v>
      </c>
      <c r="O393" s="43" t="s">
        <v>21</v>
      </c>
      <c r="P393" s="25">
        <f>VLOOKUP(C393, [1]Sheet1!$A$2:$B$313, 2, FALSE)</f>
        <v>0.200068891134</v>
      </c>
      <c r="Q393" s="46">
        <f t="shared" ref="Q393:Q399" si="3">P393/SUM($P$3:$P$425)</f>
        <v>4.4975801016702202E-5</v>
      </c>
    </row>
    <row r="394" spans="2:17" ht="48">
      <c r="B394" s="35">
        <v>383</v>
      </c>
      <c r="C394" s="35">
        <v>910591</v>
      </c>
      <c r="D394" s="37" t="s">
        <v>670</v>
      </c>
      <c r="E394" s="36" t="s">
        <v>646</v>
      </c>
      <c r="F394" s="36" t="s">
        <v>66</v>
      </c>
      <c r="G394" s="36" t="s">
        <v>67</v>
      </c>
      <c r="H394" s="36" t="s">
        <v>28</v>
      </c>
      <c r="I394" s="35" t="s">
        <v>12</v>
      </c>
      <c r="J394" s="35" t="s">
        <v>21</v>
      </c>
      <c r="K394" s="35" t="s">
        <v>21</v>
      </c>
      <c r="L394" s="35" t="s">
        <v>21</v>
      </c>
      <c r="M394" s="35" t="s">
        <v>29</v>
      </c>
      <c r="N394" s="38" t="s">
        <v>21</v>
      </c>
      <c r="O394" s="35" t="s">
        <v>21</v>
      </c>
      <c r="P394" s="25">
        <f>VLOOKUP(C394, [1]Sheet1!$A$2:$B$313, 2, FALSE)</f>
        <v>0.17428054386399999</v>
      </c>
      <c r="Q394" s="70">
        <f t="shared" si="3"/>
        <v>3.917854003929066E-5</v>
      </c>
    </row>
    <row r="395" spans="2:17" ht="63.95" hidden="1">
      <c r="B395" s="26">
        <v>380</v>
      </c>
      <c r="C395" s="26">
        <v>851120</v>
      </c>
      <c r="D395" s="28" t="s">
        <v>671</v>
      </c>
      <c r="E395" s="27" t="s">
        <v>672</v>
      </c>
      <c r="F395" s="27" t="s">
        <v>66</v>
      </c>
      <c r="G395" s="27" t="s">
        <v>67</v>
      </c>
      <c r="H395" s="27" t="s">
        <v>20</v>
      </c>
      <c r="I395" s="26" t="s">
        <v>12</v>
      </c>
      <c r="J395" s="26" t="s">
        <v>21</v>
      </c>
      <c r="K395" s="26" t="s">
        <v>29</v>
      </c>
      <c r="L395" s="26" t="s">
        <v>29</v>
      </c>
      <c r="M395" s="26" t="s">
        <v>29</v>
      </c>
      <c r="N395" s="29" t="s">
        <v>21</v>
      </c>
      <c r="O395" s="26" t="s">
        <v>21</v>
      </c>
      <c r="P395" s="25">
        <f>VLOOKUP(C395, [1]Sheet1!$A$2:$B$313, 2, FALSE)</f>
        <v>0.163098253123</v>
      </c>
      <c r="Q395" s="63">
        <f t="shared" si="3"/>
        <v>3.6664743514366259E-5</v>
      </c>
    </row>
    <row r="396" spans="2:17" ht="48">
      <c r="B396" s="43">
        <v>386</v>
      </c>
      <c r="C396" s="43">
        <v>910610</v>
      </c>
      <c r="D396" s="47" t="s">
        <v>673</v>
      </c>
      <c r="E396" s="44" t="s">
        <v>664</v>
      </c>
      <c r="F396" s="44" t="s">
        <v>66</v>
      </c>
      <c r="G396" s="44" t="s">
        <v>67</v>
      </c>
      <c r="H396" s="44" t="s">
        <v>28</v>
      </c>
      <c r="I396" s="43" t="s">
        <v>12</v>
      </c>
      <c r="J396" s="43" t="s">
        <v>21</v>
      </c>
      <c r="K396" s="43" t="s">
        <v>21</v>
      </c>
      <c r="L396" s="43" t="s">
        <v>21</v>
      </c>
      <c r="M396" s="43" t="s">
        <v>29</v>
      </c>
      <c r="N396" s="43" t="s">
        <v>21</v>
      </c>
      <c r="O396" s="43" t="s">
        <v>21</v>
      </c>
      <c r="P396" s="25">
        <f>VLOOKUP(C396, [1]Sheet1!$A$2:$B$313, 2, FALSE)</f>
        <v>0.15892431199900001</v>
      </c>
      <c r="Q396" s="46">
        <f t="shared" si="3"/>
        <v>3.572643499281445E-5</v>
      </c>
    </row>
    <row r="397" spans="2:17" ht="48" hidden="1">
      <c r="B397" s="43">
        <v>389</v>
      </c>
      <c r="C397" s="43">
        <v>854099</v>
      </c>
      <c r="D397" s="47" t="s">
        <v>674</v>
      </c>
      <c r="E397" s="44" t="s">
        <v>675</v>
      </c>
      <c r="F397" s="44" t="s">
        <v>189</v>
      </c>
      <c r="G397" s="44" t="s">
        <v>19</v>
      </c>
      <c r="H397" s="44" t="s">
        <v>20</v>
      </c>
      <c r="I397" s="43" t="s">
        <v>12</v>
      </c>
      <c r="J397" s="43" t="s">
        <v>21</v>
      </c>
      <c r="K397" s="43" t="s">
        <v>21</v>
      </c>
      <c r="L397" s="43" t="s">
        <v>29</v>
      </c>
      <c r="M397" s="43" t="s">
        <v>29</v>
      </c>
      <c r="N397" s="43" t="s">
        <v>21</v>
      </c>
      <c r="O397" s="43" t="s">
        <v>21</v>
      </c>
      <c r="P397" s="25">
        <f>VLOOKUP(C397, [1]Sheet1!$A$2:$B$313, 2, FALSE)</f>
        <v>0.15362238865200001</v>
      </c>
      <c r="Q397" s="46">
        <f t="shared" si="3"/>
        <v>3.4534554295576179E-5</v>
      </c>
    </row>
    <row r="398" spans="2:17" ht="63.95">
      <c r="B398" s="43">
        <v>384</v>
      </c>
      <c r="C398" s="43">
        <v>852582</v>
      </c>
      <c r="D398" s="47" t="s">
        <v>676</v>
      </c>
      <c r="E398" s="44" t="s">
        <v>550</v>
      </c>
      <c r="F398" s="44" t="s">
        <v>66</v>
      </c>
      <c r="G398" s="44" t="s">
        <v>40</v>
      </c>
      <c r="H398" s="44" t="s">
        <v>28</v>
      </c>
      <c r="I398" s="43" t="s">
        <v>12</v>
      </c>
      <c r="J398" s="43" t="s">
        <v>21</v>
      </c>
      <c r="K398" s="43" t="s">
        <v>29</v>
      </c>
      <c r="L398" s="43" t="s">
        <v>21</v>
      </c>
      <c r="M398" s="43" t="s">
        <v>29</v>
      </c>
      <c r="N398" s="43" t="s">
        <v>21</v>
      </c>
      <c r="O398" s="43" t="s">
        <v>29</v>
      </c>
      <c r="P398" s="25">
        <f>VLOOKUP(C398, [1]Sheet1!$A$2:$B$313, 2, FALSE)</f>
        <v>0.14313913732299999</v>
      </c>
      <c r="Q398" s="46">
        <f t="shared" si="3"/>
        <v>3.2177902928595824E-5</v>
      </c>
    </row>
    <row r="399" spans="2:17" ht="32.1" hidden="1">
      <c r="B399" s="31">
        <v>391</v>
      </c>
      <c r="C399" s="31">
        <v>854081</v>
      </c>
      <c r="D399" s="33" t="s">
        <v>677</v>
      </c>
      <c r="E399" s="32" t="s">
        <v>658</v>
      </c>
      <c r="F399" s="32" t="s">
        <v>189</v>
      </c>
      <c r="G399" s="32" t="s">
        <v>19</v>
      </c>
      <c r="H399" s="32" t="s">
        <v>20</v>
      </c>
      <c r="I399" s="31" t="s">
        <v>12</v>
      </c>
      <c r="J399" s="31" t="s">
        <v>21</v>
      </c>
      <c r="K399" s="31" t="s">
        <v>21</v>
      </c>
      <c r="L399" s="31" t="s">
        <v>29</v>
      </c>
      <c r="M399" s="31" t="s">
        <v>29</v>
      </c>
      <c r="N399" s="34" t="s">
        <v>21</v>
      </c>
      <c r="O399" s="31" t="s">
        <v>29</v>
      </c>
      <c r="P399" s="25">
        <f>VLOOKUP(C399, [1]Sheet1!$A$2:$B$313, 2, FALSE)</f>
        <v>0.138223512194</v>
      </c>
      <c r="Q399" s="71">
        <f t="shared" si="3"/>
        <v>3.1072862677602839E-5</v>
      </c>
    </row>
    <row r="400" spans="2:17" ht="48">
      <c r="B400" s="43">
        <v>378</v>
      </c>
      <c r="C400" s="43">
        <v>852792</v>
      </c>
      <c r="D400" s="47" t="s">
        <v>678</v>
      </c>
      <c r="E400" s="44" t="s">
        <v>407</v>
      </c>
      <c r="F400" s="44" t="s">
        <v>266</v>
      </c>
      <c r="G400" s="44" t="s">
        <v>27</v>
      </c>
      <c r="H400" s="44" t="s">
        <v>28</v>
      </c>
      <c r="I400" s="43" t="s">
        <v>12</v>
      </c>
      <c r="J400" s="43" t="s">
        <v>21</v>
      </c>
      <c r="K400" s="43" t="s">
        <v>21</v>
      </c>
      <c r="L400" s="43" t="s">
        <v>29</v>
      </c>
      <c r="M400" s="43" t="s">
        <v>29</v>
      </c>
      <c r="N400" s="43" t="s">
        <v>21</v>
      </c>
      <c r="O400" s="43" t="s">
        <v>29</v>
      </c>
      <c r="P400" s="25">
        <f>VLOOKUP(C400, [1]Sheet1!$A$2:$B$313, 2, FALSE)</f>
        <v>0.13578457753199999</v>
      </c>
      <c r="Q400" s="46">
        <f t="shared" ref="Q400:Q425" si="4">P400/SUM($P$3:$P$425)</f>
        <v>3.0524586334243786E-5</v>
      </c>
    </row>
    <row r="401" spans="2:17" ht="32.1">
      <c r="B401" s="43">
        <v>394</v>
      </c>
      <c r="C401" s="43">
        <v>847021</v>
      </c>
      <c r="D401" s="47" t="s">
        <v>679</v>
      </c>
      <c r="E401" s="44" t="s">
        <v>594</v>
      </c>
      <c r="F401" s="44" t="s">
        <v>66</v>
      </c>
      <c r="G401" s="44" t="s">
        <v>67</v>
      </c>
      <c r="H401" s="44" t="s">
        <v>28</v>
      </c>
      <c r="I401" s="43" t="s">
        <v>12</v>
      </c>
      <c r="J401" s="43" t="s">
        <v>21</v>
      </c>
      <c r="K401" s="43" t="s">
        <v>21</v>
      </c>
      <c r="L401" s="43" t="s">
        <v>21</v>
      </c>
      <c r="M401" s="43" t="s">
        <v>29</v>
      </c>
      <c r="N401" s="43" t="s">
        <v>21</v>
      </c>
      <c r="O401" s="43" t="s">
        <v>21</v>
      </c>
      <c r="P401" s="25">
        <f>VLOOKUP(C401, [1]Sheet1!$A$2:$B$313, 2, FALSE)</f>
        <v>0.11060272900900001</v>
      </c>
      <c r="Q401" s="46">
        <f t="shared" si="4"/>
        <v>2.4863667227911453E-5</v>
      </c>
    </row>
    <row r="402" spans="2:17" ht="63.95" hidden="1">
      <c r="B402" s="31">
        <v>390</v>
      </c>
      <c r="C402" s="31">
        <v>852873</v>
      </c>
      <c r="D402" s="33" t="s">
        <v>680</v>
      </c>
      <c r="E402" s="32" t="s">
        <v>681</v>
      </c>
      <c r="F402" s="32" t="s">
        <v>66</v>
      </c>
      <c r="G402" s="32" t="s">
        <v>67</v>
      </c>
      <c r="H402" s="32" t="s">
        <v>20</v>
      </c>
      <c r="I402" s="31" t="s">
        <v>12</v>
      </c>
      <c r="J402" s="31" t="s">
        <v>21</v>
      </c>
      <c r="K402" s="31" t="s">
        <v>21</v>
      </c>
      <c r="L402" s="31" t="s">
        <v>21</v>
      </c>
      <c r="M402" s="31" t="s">
        <v>29</v>
      </c>
      <c r="N402" s="34" t="s">
        <v>21</v>
      </c>
      <c r="O402" s="31" t="s">
        <v>21</v>
      </c>
      <c r="P402" s="25">
        <f>VLOOKUP(C402, [1]Sheet1!$A$2:$B$313, 2, FALSE)</f>
        <v>8.941672790699999E-2</v>
      </c>
      <c r="Q402" s="71">
        <f t="shared" si="4"/>
        <v>2.0101020898927746E-5</v>
      </c>
    </row>
    <row r="403" spans="2:17" ht="63.95">
      <c r="B403" s="43">
        <v>396</v>
      </c>
      <c r="C403" s="43">
        <v>852842</v>
      </c>
      <c r="D403" s="47" t="s">
        <v>682</v>
      </c>
      <c r="E403" s="44" t="s">
        <v>109</v>
      </c>
      <c r="F403" s="44" t="s">
        <v>36</v>
      </c>
      <c r="G403" s="44" t="s">
        <v>37</v>
      </c>
      <c r="H403" s="44" t="s">
        <v>28</v>
      </c>
      <c r="I403" s="43" t="s">
        <v>12</v>
      </c>
      <c r="J403" s="43" t="s">
        <v>21</v>
      </c>
      <c r="K403" s="43" t="s">
        <v>21</v>
      </c>
      <c r="L403" s="43" t="s">
        <v>29</v>
      </c>
      <c r="M403" s="43" t="s">
        <v>29</v>
      </c>
      <c r="N403" s="43" t="s">
        <v>21</v>
      </c>
      <c r="O403" s="43" t="s">
        <v>29</v>
      </c>
      <c r="P403" s="25">
        <f>VLOOKUP(C403, [1]Sheet1!$A$2:$B$313, 2, FALSE)</f>
        <v>8.4117534867999999E-2</v>
      </c>
      <c r="Q403" s="46">
        <f t="shared" si="4"/>
        <v>1.8909753979216939E-5</v>
      </c>
    </row>
    <row r="404" spans="2:17" ht="48" hidden="1">
      <c r="B404" s="43">
        <v>395</v>
      </c>
      <c r="C404" s="43">
        <v>853331</v>
      </c>
      <c r="D404" s="47" t="s">
        <v>683</v>
      </c>
      <c r="E404" s="44" t="s">
        <v>334</v>
      </c>
      <c r="F404" s="44" t="s">
        <v>54</v>
      </c>
      <c r="G404" s="44" t="s">
        <v>19</v>
      </c>
      <c r="H404" s="44" t="s">
        <v>20</v>
      </c>
      <c r="I404" s="43" t="s">
        <v>12</v>
      </c>
      <c r="J404" s="43" t="s">
        <v>21</v>
      </c>
      <c r="K404" s="43" t="s">
        <v>21</v>
      </c>
      <c r="L404" s="43" t="s">
        <v>21</v>
      </c>
      <c r="M404" s="43" t="s">
        <v>21</v>
      </c>
      <c r="N404" s="43" t="s">
        <v>21</v>
      </c>
      <c r="O404" s="43" t="s">
        <v>21</v>
      </c>
      <c r="P404" s="25">
        <f>VLOOKUP(C404, [1]Sheet1!$A$2:$B$313, 2, FALSE)</f>
        <v>9.0479827250000006E-2</v>
      </c>
      <c r="Q404" s="46">
        <f t="shared" si="4"/>
        <v>2.0340007301265185E-5</v>
      </c>
    </row>
    <row r="405" spans="2:17" ht="32.1">
      <c r="B405" s="43">
        <v>398</v>
      </c>
      <c r="C405" s="43">
        <v>847029</v>
      </c>
      <c r="D405" s="47" t="s">
        <v>684</v>
      </c>
      <c r="E405" s="44" t="s">
        <v>594</v>
      </c>
      <c r="F405" s="44" t="s">
        <v>66</v>
      </c>
      <c r="G405" s="44" t="s">
        <v>67</v>
      </c>
      <c r="H405" s="44" t="s">
        <v>28</v>
      </c>
      <c r="I405" s="43" t="s">
        <v>12</v>
      </c>
      <c r="J405" s="43" t="s">
        <v>21</v>
      </c>
      <c r="K405" s="43" t="s">
        <v>21</v>
      </c>
      <c r="L405" s="43" t="s">
        <v>21</v>
      </c>
      <c r="M405" s="43" t="s">
        <v>29</v>
      </c>
      <c r="N405" s="43" t="s">
        <v>21</v>
      </c>
      <c r="O405" s="43" t="s">
        <v>21</v>
      </c>
      <c r="P405" s="25">
        <f>VLOOKUP(C405, [1]Sheet1!$A$2:$B$313, 2, FALSE)</f>
        <v>7.7261274374000002E-2</v>
      </c>
      <c r="Q405" s="46">
        <f t="shared" si="4"/>
        <v>1.736845584961274E-5</v>
      </c>
    </row>
    <row r="406" spans="2:17" ht="48">
      <c r="B406" s="43">
        <v>401</v>
      </c>
      <c r="C406" s="43">
        <v>910291</v>
      </c>
      <c r="D406" s="47" t="s">
        <v>685</v>
      </c>
      <c r="E406" s="44" t="s">
        <v>686</v>
      </c>
      <c r="F406" s="44" t="s">
        <v>66</v>
      </c>
      <c r="G406" s="44" t="s">
        <v>67</v>
      </c>
      <c r="H406" s="44" t="s">
        <v>28</v>
      </c>
      <c r="I406" s="43" t="s">
        <v>12</v>
      </c>
      <c r="J406" s="43" t="s">
        <v>21</v>
      </c>
      <c r="K406" s="43" t="s">
        <v>21</v>
      </c>
      <c r="L406" s="43" t="s">
        <v>21</v>
      </c>
      <c r="M406" s="43" t="s">
        <v>29</v>
      </c>
      <c r="N406" s="43" t="s">
        <v>21</v>
      </c>
      <c r="O406" s="43" t="s">
        <v>21</v>
      </c>
      <c r="P406" s="25">
        <f>VLOOKUP(C406, [1]Sheet1!$A$2:$B$313, 2, FALSE)</f>
        <v>6.4936900418000001E-2</v>
      </c>
      <c r="Q406" s="46">
        <f t="shared" si="4"/>
        <v>1.4597917223848923E-5</v>
      </c>
    </row>
    <row r="407" spans="2:17" ht="32.1" hidden="1">
      <c r="B407" s="43">
        <v>399</v>
      </c>
      <c r="C407" s="43">
        <v>852210</v>
      </c>
      <c r="D407" s="47" t="s">
        <v>687</v>
      </c>
      <c r="E407" s="44" t="s">
        <v>527</v>
      </c>
      <c r="F407" s="44" t="s">
        <v>66</v>
      </c>
      <c r="G407" s="44" t="s">
        <v>67</v>
      </c>
      <c r="H407" s="44" t="s">
        <v>20</v>
      </c>
      <c r="I407" s="43" t="s">
        <v>12</v>
      </c>
      <c r="J407" s="43" t="s">
        <v>21</v>
      </c>
      <c r="K407" s="43" t="s">
        <v>21</v>
      </c>
      <c r="L407" s="43" t="s">
        <v>21</v>
      </c>
      <c r="M407" s="43" t="s">
        <v>29</v>
      </c>
      <c r="N407" s="43" t="s">
        <v>21</v>
      </c>
      <c r="O407" s="43" t="s">
        <v>21</v>
      </c>
      <c r="P407" s="25">
        <f>VLOOKUP(C407, [1]Sheet1!$A$2:$B$313, 2, FALSE)</f>
        <v>6.3850237781999997E-2</v>
      </c>
      <c r="Q407" s="46">
        <f t="shared" si="4"/>
        <v>1.4353633756229326E-5</v>
      </c>
    </row>
    <row r="408" spans="2:17" ht="48" hidden="1">
      <c r="B408" s="35">
        <v>402</v>
      </c>
      <c r="C408" s="35">
        <v>853339</v>
      </c>
      <c r="D408" s="37" t="s">
        <v>688</v>
      </c>
      <c r="E408" s="36" t="s">
        <v>334</v>
      </c>
      <c r="F408" s="36" t="s">
        <v>54</v>
      </c>
      <c r="G408" s="36" t="s">
        <v>19</v>
      </c>
      <c r="H408" s="36" t="s">
        <v>20</v>
      </c>
      <c r="I408" s="35" t="s">
        <v>12</v>
      </c>
      <c r="J408" s="35" t="s">
        <v>21</v>
      </c>
      <c r="K408" s="35" t="s">
        <v>21</v>
      </c>
      <c r="L408" s="35" t="s">
        <v>21</v>
      </c>
      <c r="M408" s="35" t="s">
        <v>29</v>
      </c>
      <c r="N408" s="38" t="s">
        <v>21</v>
      </c>
      <c r="O408" s="35" t="s">
        <v>21</v>
      </c>
      <c r="P408" s="25">
        <f>VLOOKUP(C408, [1]Sheet1!$A$2:$B$313, 2, FALSE)</f>
        <v>5.9530910298999998E-2</v>
      </c>
      <c r="Q408" s="70">
        <f t="shared" si="4"/>
        <v>1.3382642152785749E-5</v>
      </c>
    </row>
    <row r="409" spans="2:17" ht="63.95">
      <c r="B409" s="26">
        <v>385</v>
      </c>
      <c r="C409" s="26">
        <v>910191</v>
      </c>
      <c r="D409" s="28" t="s">
        <v>689</v>
      </c>
      <c r="E409" s="27" t="s">
        <v>690</v>
      </c>
      <c r="F409" s="27" t="s">
        <v>66</v>
      </c>
      <c r="G409" s="27" t="s">
        <v>67</v>
      </c>
      <c r="H409" s="27" t="s">
        <v>28</v>
      </c>
      <c r="I409" s="26" t="s">
        <v>12</v>
      </c>
      <c r="J409" s="26" t="s">
        <v>21</v>
      </c>
      <c r="K409" s="26" t="s">
        <v>21</v>
      </c>
      <c r="L409" s="26" t="s">
        <v>21</v>
      </c>
      <c r="M409" s="26" t="s">
        <v>29</v>
      </c>
      <c r="N409" s="29" t="s">
        <v>21</v>
      </c>
      <c r="O409" s="26" t="s">
        <v>21</v>
      </c>
      <c r="P409" s="25">
        <f>VLOOKUP(C409, [1]Sheet1!$A$2:$B$313, 2, FALSE)</f>
        <v>4.4910853340000001E-2</v>
      </c>
      <c r="Q409" s="63">
        <f t="shared" si="4"/>
        <v>1.0096030381641228E-5</v>
      </c>
    </row>
    <row r="410" spans="2:17" ht="32.1" hidden="1">
      <c r="B410" s="43">
        <v>403</v>
      </c>
      <c r="C410" s="43">
        <v>854091</v>
      </c>
      <c r="D410" s="47" t="s">
        <v>691</v>
      </c>
      <c r="E410" s="44" t="s">
        <v>607</v>
      </c>
      <c r="F410" s="44" t="s">
        <v>189</v>
      </c>
      <c r="G410" s="44" t="s">
        <v>19</v>
      </c>
      <c r="H410" s="44" t="s">
        <v>20</v>
      </c>
      <c r="I410" s="43" t="s">
        <v>12</v>
      </c>
      <c r="J410" s="43" t="s">
        <v>21</v>
      </c>
      <c r="K410" s="43" t="s">
        <v>21</v>
      </c>
      <c r="L410" s="43" t="s">
        <v>29</v>
      </c>
      <c r="M410" s="43" t="s">
        <v>29</v>
      </c>
      <c r="N410" s="43" t="s">
        <v>21</v>
      </c>
      <c r="O410" s="43" t="s">
        <v>21</v>
      </c>
      <c r="P410" s="25">
        <f>VLOOKUP(C410, [1]Sheet1!$A$2:$B$313, 2, FALSE)</f>
        <v>3.8547438231999999E-2</v>
      </c>
      <c r="Q410" s="46">
        <f t="shared" si="4"/>
        <v>8.6655246690244834E-6</v>
      </c>
    </row>
    <row r="411" spans="2:17" ht="32.1" hidden="1">
      <c r="B411" s="43">
        <v>404</v>
      </c>
      <c r="C411" s="43">
        <v>910910</v>
      </c>
      <c r="D411" s="47" t="s">
        <v>692</v>
      </c>
      <c r="E411" s="44" t="s">
        <v>693</v>
      </c>
      <c r="F411" s="44" t="s">
        <v>66</v>
      </c>
      <c r="G411" s="44" t="s">
        <v>67</v>
      </c>
      <c r="H411" s="44" t="s">
        <v>20</v>
      </c>
      <c r="I411" s="43" t="s">
        <v>12</v>
      </c>
      <c r="J411" s="43" t="s">
        <v>21</v>
      </c>
      <c r="K411" s="43" t="s">
        <v>29</v>
      </c>
      <c r="L411" s="43" t="s">
        <v>29</v>
      </c>
      <c r="M411" s="43" t="s">
        <v>29</v>
      </c>
      <c r="N411" s="43" t="s">
        <v>21</v>
      </c>
      <c r="O411" s="43" t="s">
        <v>29</v>
      </c>
      <c r="P411" s="25">
        <f>VLOOKUP(C411, [1]Sheet1!$A$2:$B$313, 2, FALSE)</f>
        <v>3.2622591940000001E-2</v>
      </c>
      <c r="Q411" s="46">
        <f t="shared" si="4"/>
        <v>7.3336099151957079E-6</v>
      </c>
    </row>
    <row r="412" spans="2:17" ht="63.95" hidden="1">
      <c r="B412" s="43">
        <v>405</v>
      </c>
      <c r="C412" s="43">
        <v>851920</v>
      </c>
      <c r="D412" s="47" t="s">
        <v>694</v>
      </c>
      <c r="E412" s="44" t="s">
        <v>695</v>
      </c>
      <c r="F412" s="44" t="s">
        <v>66</v>
      </c>
      <c r="G412" s="44" t="s">
        <v>67</v>
      </c>
      <c r="H412" s="44" t="s">
        <v>20</v>
      </c>
      <c r="I412" s="43" t="s">
        <v>12</v>
      </c>
      <c r="J412" s="43" t="s">
        <v>21</v>
      </c>
      <c r="K412" s="43" t="s">
        <v>21</v>
      </c>
      <c r="L412" s="43" t="s">
        <v>21</v>
      </c>
      <c r="M412" s="43" t="s">
        <v>29</v>
      </c>
      <c r="N412" s="43" t="s">
        <v>21</v>
      </c>
      <c r="O412" s="43" t="s">
        <v>21</v>
      </c>
      <c r="P412" s="25">
        <f>VLOOKUP(C412, [1]Sheet1!$A$2:$B$313, 2, FALSE)</f>
        <v>3.1648326768000001E-2</v>
      </c>
      <c r="Q412" s="46">
        <f t="shared" si="4"/>
        <v>7.1145935740493628E-6</v>
      </c>
    </row>
    <row r="413" spans="2:17" ht="32.1">
      <c r="B413" s="43">
        <v>411</v>
      </c>
      <c r="C413" s="43">
        <v>847030</v>
      </c>
      <c r="D413" s="47" t="s">
        <v>696</v>
      </c>
      <c r="E413" s="44" t="s">
        <v>594</v>
      </c>
      <c r="F413" s="44" t="s">
        <v>66</v>
      </c>
      <c r="G413" s="44" t="s">
        <v>67</v>
      </c>
      <c r="H413" s="44" t="s">
        <v>28</v>
      </c>
      <c r="I413" s="43" t="s">
        <v>12</v>
      </c>
      <c r="J413" s="43" t="s">
        <v>21</v>
      </c>
      <c r="K413" s="43" t="s">
        <v>21</v>
      </c>
      <c r="L413" s="43" t="s">
        <v>21</v>
      </c>
      <c r="M413" s="43" t="s">
        <v>29</v>
      </c>
      <c r="N413" s="43" t="s">
        <v>21</v>
      </c>
      <c r="O413" s="43" t="s">
        <v>21</v>
      </c>
      <c r="P413" s="25">
        <f>VLOOKUP(C413, [1]Sheet1!$A$2:$B$313, 2, FALSE)</f>
        <v>2.9651200833000001E-2</v>
      </c>
      <c r="Q413" s="46">
        <f t="shared" si="4"/>
        <v>6.6656365265606798E-6</v>
      </c>
    </row>
    <row r="414" spans="2:17" ht="32.1">
      <c r="B414" s="43">
        <v>408</v>
      </c>
      <c r="C414" s="43">
        <v>910310</v>
      </c>
      <c r="D414" s="47" t="s">
        <v>697</v>
      </c>
      <c r="E414" s="44" t="s">
        <v>698</v>
      </c>
      <c r="F414" s="44" t="s">
        <v>66</v>
      </c>
      <c r="G414" s="44" t="s">
        <v>67</v>
      </c>
      <c r="H414" s="44" t="s">
        <v>28</v>
      </c>
      <c r="I414" s="43" t="s">
        <v>12</v>
      </c>
      <c r="J414" s="43" t="s">
        <v>21</v>
      </c>
      <c r="K414" s="43" t="s">
        <v>21</v>
      </c>
      <c r="L414" s="43" t="s">
        <v>21</v>
      </c>
      <c r="M414" s="43" t="s">
        <v>29</v>
      </c>
      <c r="N414" s="43" t="s">
        <v>21</v>
      </c>
      <c r="O414" s="43" t="s">
        <v>21</v>
      </c>
      <c r="P414" s="25">
        <f>VLOOKUP(C414, [1]Sheet1!$A$2:$B$313, 2, FALSE)</f>
        <v>2.8306242023999999E-2</v>
      </c>
      <c r="Q414" s="46">
        <f t="shared" si="4"/>
        <v>6.3632876734912132E-6</v>
      </c>
    </row>
    <row r="415" spans="2:17" ht="63.95" hidden="1">
      <c r="B415" s="43">
        <v>410</v>
      </c>
      <c r="C415" s="43">
        <v>910819</v>
      </c>
      <c r="D415" s="47" t="s">
        <v>699</v>
      </c>
      <c r="E415" s="44" t="s">
        <v>631</v>
      </c>
      <c r="F415" s="44" t="s">
        <v>66</v>
      </c>
      <c r="G415" s="44" t="s">
        <v>67</v>
      </c>
      <c r="H415" s="44" t="s">
        <v>20</v>
      </c>
      <c r="I415" s="43" t="s">
        <v>12</v>
      </c>
      <c r="J415" s="43" t="s">
        <v>21</v>
      </c>
      <c r="K415" s="43" t="s">
        <v>21</v>
      </c>
      <c r="L415" s="43" t="s">
        <v>21</v>
      </c>
      <c r="M415" s="43" t="s">
        <v>29</v>
      </c>
      <c r="N415" s="43" t="s">
        <v>21</v>
      </c>
      <c r="O415" s="43" t="s">
        <v>21</v>
      </c>
      <c r="P415" s="25">
        <f>VLOOKUP(C415, [1]Sheet1!$A$2:$B$313, 2, FALSE)</f>
        <v>2.0480510285999998E-2</v>
      </c>
      <c r="Q415" s="46">
        <f t="shared" si="4"/>
        <v>4.6040508852858873E-6</v>
      </c>
    </row>
    <row r="416" spans="2:17" ht="48" hidden="1">
      <c r="B416" s="43">
        <v>409</v>
      </c>
      <c r="C416" s="43">
        <v>854040</v>
      </c>
      <c r="D416" s="47" t="s">
        <v>700</v>
      </c>
      <c r="E416" s="44" t="s">
        <v>701</v>
      </c>
      <c r="F416" s="44" t="s">
        <v>189</v>
      </c>
      <c r="G416" s="44" t="s">
        <v>19</v>
      </c>
      <c r="H416" s="44" t="s">
        <v>20</v>
      </c>
      <c r="I416" s="43" t="s">
        <v>12</v>
      </c>
      <c r="J416" s="43" t="s">
        <v>21</v>
      </c>
      <c r="K416" s="43" t="s">
        <v>21</v>
      </c>
      <c r="L416" s="43" t="s">
        <v>29</v>
      </c>
      <c r="M416" s="43" t="s">
        <v>29</v>
      </c>
      <c r="N416" s="43" t="s">
        <v>21</v>
      </c>
      <c r="O416" s="43" t="s">
        <v>29</v>
      </c>
      <c r="P416" s="25">
        <f>VLOOKUP(C416, [1]Sheet1!$A$2:$B$313, 2, FALSE)</f>
        <v>1.881960878E-2</v>
      </c>
      <c r="Q416" s="46">
        <f t="shared" si="4"/>
        <v>4.230677617613979E-6</v>
      </c>
    </row>
    <row r="417" spans="2:18" ht="48">
      <c r="B417" s="43">
        <v>415</v>
      </c>
      <c r="C417" s="43">
        <v>852712</v>
      </c>
      <c r="D417" s="47" t="s">
        <v>702</v>
      </c>
      <c r="E417" s="44" t="s">
        <v>703</v>
      </c>
      <c r="F417" s="44" t="s">
        <v>266</v>
      </c>
      <c r="G417" s="44" t="s">
        <v>27</v>
      </c>
      <c r="H417" s="44" t="s">
        <v>28</v>
      </c>
      <c r="I417" s="43" t="s">
        <v>12</v>
      </c>
      <c r="J417" s="43" t="s">
        <v>21</v>
      </c>
      <c r="K417" s="43" t="s">
        <v>21</v>
      </c>
      <c r="L417" s="43" t="s">
        <v>21</v>
      </c>
      <c r="M417" s="43" t="s">
        <v>29</v>
      </c>
      <c r="N417" s="43" t="s">
        <v>21</v>
      </c>
      <c r="O417" s="43" t="s">
        <v>21</v>
      </c>
      <c r="P417" s="25">
        <f>VLOOKUP(C417, [1]Sheet1!$A$2:$B$313, 2, FALSE)</f>
        <v>1.5478665242999999E-2</v>
      </c>
      <c r="Q417" s="46">
        <f t="shared" si="4"/>
        <v>3.4796282621821607E-6</v>
      </c>
      <c r="R417" s="16"/>
    </row>
    <row r="418" spans="2:18" ht="48" hidden="1">
      <c r="B418" s="43">
        <v>416</v>
      </c>
      <c r="C418" s="43">
        <v>910812</v>
      </c>
      <c r="D418" s="47" t="s">
        <v>704</v>
      </c>
      <c r="E418" s="44" t="s">
        <v>705</v>
      </c>
      <c r="F418" s="44" t="s">
        <v>66</v>
      </c>
      <c r="G418" s="44" t="s">
        <v>67</v>
      </c>
      <c r="H418" s="44" t="s">
        <v>20</v>
      </c>
      <c r="I418" s="43" t="s">
        <v>12</v>
      </c>
      <c r="J418" s="43" t="s">
        <v>21</v>
      </c>
      <c r="K418" s="43" t="s">
        <v>29</v>
      </c>
      <c r="L418" s="43" t="s">
        <v>29</v>
      </c>
      <c r="M418" s="43" t="s">
        <v>29</v>
      </c>
      <c r="N418" s="43" t="s">
        <v>21</v>
      </c>
      <c r="O418" s="43" t="s">
        <v>29</v>
      </c>
      <c r="P418" s="25">
        <f>VLOOKUP(C418, [1]Sheet1!$A$2:$B$313, 2, FALSE)</f>
        <v>1.0954632202000001E-2</v>
      </c>
      <c r="Q418" s="46">
        <f t="shared" si="4"/>
        <v>2.4626185277266288E-6</v>
      </c>
    </row>
    <row r="419" spans="2:18" ht="32.1" hidden="1">
      <c r="B419" s="31">
        <v>414</v>
      </c>
      <c r="C419" s="31">
        <v>854011</v>
      </c>
      <c r="D419" s="33" t="s">
        <v>706</v>
      </c>
      <c r="E419" s="32" t="s">
        <v>607</v>
      </c>
      <c r="F419" s="32" t="s">
        <v>189</v>
      </c>
      <c r="G419" s="32" t="s">
        <v>19</v>
      </c>
      <c r="H419" s="32" t="s">
        <v>20</v>
      </c>
      <c r="I419" s="31" t="s">
        <v>12</v>
      </c>
      <c r="J419" s="31" t="s">
        <v>21</v>
      </c>
      <c r="K419" s="31" t="s">
        <v>21</v>
      </c>
      <c r="L419" s="31" t="s">
        <v>29</v>
      </c>
      <c r="M419" s="31" t="s">
        <v>29</v>
      </c>
      <c r="N419" s="34" t="s">
        <v>21</v>
      </c>
      <c r="O419" s="31" t="s">
        <v>21</v>
      </c>
      <c r="P419" s="25">
        <f>VLOOKUP(C419, [1]Sheet1!$A$2:$B$313, 2, FALSE)</f>
        <v>1.0881792115E-2</v>
      </c>
      <c r="Q419" s="71">
        <f t="shared" si="4"/>
        <v>2.446243961743969E-6</v>
      </c>
    </row>
    <row r="420" spans="2:18" ht="32.1" hidden="1">
      <c r="B420" s="43">
        <v>413</v>
      </c>
      <c r="C420" s="43">
        <v>854060</v>
      </c>
      <c r="D420" s="47" t="s">
        <v>707</v>
      </c>
      <c r="E420" s="44" t="s">
        <v>607</v>
      </c>
      <c r="F420" s="44" t="s">
        <v>189</v>
      </c>
      <c r="G420" s="44" t="s">
        <v>19</v>
      </c>
      <c r="H420" s="44" t="s">
        <v>20</v>
      </c>
      <c r="I420" s="43" t="s">
        <v>12</v>
      </c>
      <c r="J420" s="43" t="s">
        <v>21</v>
      </c>
      <c r="K420" s="43" t="s">
        <v>21</v>
      </c>
      <c r="L420" s="43" t="s">
        <v>29</v>
      </c>
      <c r="M420" s="43" t="s">
        <v>29</v>
      </c>
      <c r="N420" s="43" t="s">
        <v>21</v>
      </c>
      <c r="O420" s="43" t="s">
        <v>21</v>
      </c>
      <c r="P420" s="25">
        <f>VLOOKUP(C420, [1]Sheet1!$A$2:$B$313, 2, FALSE)</f>
        <v>9.4006358630000005E-3</v>
      </c>
      <c r="Q420" s="46">
        <f t="shared" si="4"/>
        <v>2.1132777095344791E-6</v>
      </c>
    </row>
    <row r="421" spans="2:18" ht="32.1" hidden="1">
      <c r="B421" s="43">
        <v>418</v>
      </c>
      <c r="C421" s="43">
        <v>850630</v>
      </c>
      <c r="D421" s="47" t="s">
        <v>708</v>
      </c>
      <c r="E421" s="44" t="s">
        <v>439</v>
      </c>
      <c r="F421" s="44" t="s">
        <v>66</v>
      </c>
      <c r="G421" s="44" t="s">
        <v>43</v>
      </c>
      <c r="H421" s="44" t="s">
        <v>20</v>
      </c>
      <c r="I421" s="43" t="s">
        <v>12</v>
      </c>
      <c r="J421" s="43" t="s">
        <v>21</v>
      </c>
      <c r="K421" s="43" t="s">
        <v>21</v>
      </c>
      <c r="L421" s="43" t="s">
        <v>29</v>
      </c>
      <c r="M421" s="43" t="s">
        <v>29</v>
      </c>
      <c r="N421" s="43" t="s">
        <v>21</v>
      </c>
      <c r="O421" s="43" t="s">
        <v>29</v>
      </c>
      <c r="P421" s="25">
        <f>VLOOKUP(C421, [1]Sheet1!$A$2:$B$313, 2, FALSE)</f>
        <v>7.7720484970000003E-3</v>
      </c>
      <c r="Q421" s="46">
        <f t="shared" si="4"/>
        <v>1.7471687112971041E-6</v>
      </c>
    </row>
    <row r="422" spans="2:18" ht="48" hidden="1">
      <c r="B422" s="43">
        <v>419</v>
      </c>
      <c r="C422" s="43">
        <v>854012</v>
      </c>
      <c r="D422" s="47" t="s">
        <v>709</v>
      </c>
      <c r="E422" s="44" t="s">
        <v>607</v>
      </c>
      <c r="F422" s="44" t="s">
        <v>189</v>
      </c>
      <c r="G422" s="44" t="s">
        <v>19</v>
      </c>
      <c r="H422" s="44" t="s">
        <v>20</v>
      </c>
      <c r="I422" s="43" t="s">
        <v>12</v>
      </c>
      <c r="J422" s="43" t="s">
        <v>21</v>
      </c>
      <c r="K422" s="43" t="s">
        <v>21</v>
      </c>
      <c r="L422" s="43" t="s">
        <v>29</v>
      </c>
      <c r="M422" s="43" t="s">
        <v>29</v>
      </c>
      <c r="N422" s="43" t="s">
        <v>21</v>
      </c>
      <c r="O422" s="43" t="s">
        <v>29</v>
      </c>
      <c r="P422" s="25">
        <f>VLOOKUP(C422, [1]Sheet1!$A$2:$B$313, 2, FALSE)</f>
        <v>1.861926768E-3</v>
      </c>
      <c r="Q422" s="46">
        <f t="shared" si="4"/>
        <v>4.1856406236165848E-7</v>
      </c>
    </row>
    <row r="423" spans="2:18" ht="48" hidden="1">
      <c r="B423" s="43">
        <v>412</v>
      </c>
      <c r="C423" s="43">
        <v>853950</v>
      </c>
      <c r="D423" s="47" t="s">
        <v>710</v>
      </c>
      <c r="E423" s="44" t="s">
        <v>711</v>
      </c>
      <c r="F423" s="44" t="s">
        <v>66</v>
      </c>
      <c r="G423" s="44" t="s">
        <v>51</v>
      </c>
      <c r="H423" s="44" t="s">
        <v>28</v>
      </c>
      <c r="I423" s="43" t="s">
        <v>96</v>
      </c>
      <c r="J423" s="43" t="s">
        <v>21</v>
      </c>
      <c r="K423" s="43" t="s">
        <v>21</v>
      </c>
      <c r="L423" s="43" t="s">
        <v>29</v>
      </c>
      <c r="M423" s="43" t="s">
        <v>29</v>
      </c>
      <c r="N423" s="43" t="s">
        <v>29</v>
      </c>
      <c r="O423" s="43" t="s">
        <v>21</v>
      </c>
      <c r="P423" s="25">
        <f>VLOOKUP(C423, [1]Sheet1!$A$2:$B$313, 2, FALSE)</f>
        <v>1.2085702829999999E-3</v>
      </c>
      <c r="Q423" s="46">
        <f t="shared" si="4"/>
        <v>2.7168849817086854E-7</v>
      </c>
      <c r="R423" s="16"/>
    </row>
    <row r="424" spans="2:18" ht="48" hidden="1">
      <c r="B424" s="35">
        <v>420</v>
      </c>
      <c r="C424" s="35">
        <v>850740</v>
      </c>
      <c r="D424" s="37" t="s">
        <v>712</v>
      </c>
      <c r="E424" s="36" t="s">
        <v>42</v>
      </c>
      <c r="F424" s="36" t="s">
        <v>26</v>
      </c>
      <c r="G424" s="36" t="s">
        <v>43</v>
      </c>
      <c r="H424" s="36" t="s">
        <v>20</v>
      </c>
      <c r="I424" s="35" t="s">
        <v>12</v>
      </c>
      <c r="J424" s="35" t="s">
        <v>21</v>
      </c>
      <c r="K424" s="35" t="s">
        <v>21</v>
      </c>
      <c r="L424" s="35" t="s">
        <v>29</v>
      </c>
      <c r="M424" s="35" t="s">
        <v>29</v>
      </c>
      <c r="N424" s="38" t="s">
        <v>21</v>
      </c>
      <c r="O424" s="35" t="s">
        <v>29</v>
      </c>
      <c r="P424" s="25">
        <f>VLOOKUP(C424, [1]Sheet1!$A$2:$B$313, 2, FALSE)</f>
        <v>1.4374333000000001E-4</v>
      </c>
      <c r="Q424" s="70">
        <f t="shared" si="4"/>
        <v>3.2313726391516415E-8</v>
      </c>
    </row>
    <row r="425" spans="2:18" ht="32.1">
      <c r="B425" s="5">
        <v>421</v>
      </c>
      <c r="C425" s="5">
        <v>851950</v>
      </c>
      <c r="D425" s="10" t="s">
        <v>713</v>
      </c>
      <c r="E425" s="6" t="s">
        <v>714</v>
      </c>
      <c r="F425" s="6" t="s">
        <v>266</v>
      </c>
      <c r="G425" s="6" t="s">
        <v>27</v>
      </c>
      <c r="H425" s="6" t="s">
        <v>28</v>
      </c>
      <c r="I425" s="5" t="s">
        <v>12</v>
      </c>
      <c r="J425" s="5" t="s">
        <v>21</v>
      </c>
      <c r="K425" s="5" t="s">
        <v>21</v>
      </c>
      <c r="L425" s="5" t="s">
        <v>29</v>
      </c>
      <c r="M425" s="5" t="s">
        <v>29</v>
      </c>
      <c r="N425" s="7" t="s">
        <v>21</v>
      </c>
      <c r="O425" s="5" t="s">
        <v>29</v>
      </c>
      <c r="P425" s="25">
        <f>VLOOKUP(C425, [1]Sheet1!$A$2:$B$313, 2, FALSE)</f>
        <v>9.7697999999999992E-8</v>
      </c>
      <c r="Q425" s="9">
        <f t="shared" si="4"/>
        <v>2.1962663874548962E-11</v>
      </c>
    </row>
    <row r="426" spans="2:18">
      <c r="Q426" s="14"/>
    </row>
    <row r="427" spans="2:18">
      <c r="P427" s="15"/>
    </row>
  </sheetData>
  <autoFilter ref="B2:Q425" xr:uid="{6B6DA2D0-1701-457E-8FD6-00776406C4B4}">
    <filterColumn colId="6">
      <filters>
        <filter val="Final Goods"/>
      </filters>
    </filterColumn>
    <filterColumn colId="7">
      <filters>
        <filter val="Included in DGCIS"/>
      </filters>
    </filterColumn>
  </autoFilter>
  <sortState xmlns:xlrd2="http://schemas.microsoft.com/office/spreadsheetml/2017/richdata2" ref="S3:S22">
    <sortCondition ref="S3:S22"/>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5C4B-6DDB-4084-A455-6FF3A4D56B29}">
  <sheetPr filterMode="1"/>
  <dimension ref="A1:P428"/>
  <sheetViews>
    <sheetView showGridLines="0" zoomScale="80" zoomScaleNormal="80" workbookViewId="0">
      <pane xSplit="3" ySplit="3" topLeftCell="D71" activePane="bottomRight" state="frozen"/>
      <selection pane="bottomRight" activeCell="A71" sqref="A71"/>
      <selection pane="bottomLeft" activeCell="A3" sqref="A3"/>
      <selection pane="topRight" activeCell="D1" sqref="D1"/>
    </sheetView>
  </sheetViews>
  <sheetFormatPr defaultColWidth="15.42578125" defaultRowHeight="15"/>
  <cols>
    <col min="1" max="2" width="9.7109375" style="4" customWidth="1"/>
    <col min="3" max="3" width="9.7109375" style="12" customWidth="1"/>
    <col min="4" max="4" width="40.42578125" style="4" customWidth="1"/>
    <col min="5" max="8" width="15.42578125" style="12" customWidth="1"/>
    <col min="9" max="9" width="15.42578125" style="13" customWidth="1"/>
    <col min="10" max="10" width="15.42578125" style="12" customWidth="1"/>
    <col min="11" max="15" width="10.42578125" style="12" customWidth="1"/>
    <col min="16" max="16384" width="15.42578125" style="4"/>
  </cols>
  <sheetData>
    <row r="1" spans="2:16">
      <c r="B1" s="18" t="s">
        <v>715</v>
      </c>
    </row>
    <row r="3" spans="2:16" ht="63.95">
      <c r="B3" s="42" t="s">
        <v>716</v>
      </c>
      <c r="C3" s="42" t="s">
        <v>1</v>
      </c>
      <c r="D3" s="42" t="s">
        <v>2</v>
      </c>
      <c r="E3" s="42" t="s">
        <v>3</v>
      </c>
      <c r="F3" s="42" t="s">
        <v>4</v>
      </c>
      <c r="G3" s="42" t="s">
        <v>5</v>
      </c>
      <c r="H3" s="42" t="s">
        <v>6</v>
      </c>
      <c r="I3" s="42" t="s">
        <v>7</v>
      </c>
      <c r="J3" s="42" t="s">
        <v>8</v>
      </c>
      <c r="K3" s="42" t="s">
        <v>9</v>
      </c>
      <c r="L3" s="42" t="s">
        <v>11</v>
      </c>
      <c r="M3" s="42" t="s">
        <v>12</v>
      </c>
      <c r="N3" s="42" t="s">
        <v>13</v>
      </c>
      <c r="O3" s="42" t="s">
        <v>717</v>
      </c>
      <c r="P3" s="42" t="s">
        <v>15</v>
      </c>
    </row>
    <row r="4" spans="2:16" ht="48" hidden="1">
      <c r="B4" s="43">
        <v>85</v>
      </c>
      <c r="C4" s="43">
        <v>320890</v>
      </c>
      <c r="D4" s="44" t="s">
        <v>271</v>
      </c>
      <c r="E4" s="43" t="s">
        <v>272</v>
      </c>
      <c r="F4" s="43" t="s">
        <v>50</v>
      </c>
      <c r="G4" s="43" t="s">
        <v>51</v>
      </c>
      <c r="H4" s="43" t="s">
        <v>20</v>
      </c>
      <c r="I4" s="43" t="s">
        <v>11</v>
      </c>
      <c r="J4" s="43" t="s">
        <v>21</v>
      </c>
      <c r="K4" s="43" t="s">
        <v>29</v>
      </c>
      <c r="L4" s="43" t="s">
        <v>21</v>
      </c>
      <c r="M4" s="43" t="s">
        <v>29</v>
      </c>
      <c r="N4" s="43" t="s">
        <v>29</v>
      </c>
      <c r="O4" s="25">
        <v>9.1643355417770032</v>
      </c>
      <c r="P4" s="46">
        <f t="shared" ref="P4:P67" si="0">O4/SUM($O$4:$O$426)</f>
        <v>1.9312976813496375E-3</v>
      </c>
    </row>
    <row r="5" spans="2:16" ht="63.95" hidden="1">
      <c r="B5" s="43">
        <v>289</v>
      </c>
      <c r="C5" s="43">
        <v>340391</v>
      </c>
      <c r="D5" s="44" t="s">
        <v>579</v>
      </c>
      <c r="E5" s="43" t="s">
        <v>580</v>
      </c>
      <c r="F5" s="43" t="s">
        <v>50</v>
      </c>
      <c r="G5" s="43" t="s">
        <v>51</v>
      </c>
      <c r="H5" s="43" t="s">
        <v>20</v>
      </c>
      <c r="I5" s="43" t="s">
        <v>11</v>
      </c>
      <c r="J5" s="43" t="s">
        <v>21</v>
      </c>
      <c r="K5" s="43" t="s">
        <v>29</v>
      </c>
      <c r="L5" s="43" t="s">
        <v>21</v>
      </c>
      <c r="M5" s="43" t="s">
        <v>29</v>
      </c>
      <c r="N5" s="43" t="s">
        <v>29</v>
      </c>
      <c r="O5" s="25">
        <v>0.96259559527800032</v>
      </c>
      <c r="P5" s="46">
        <f t="shared" si="0"/>
        <v>2.0285798493114722E-4</v>
      </c>
    </row>
    <row r="6" spans="2:16" ht="32.1" hidden="1">
      <c r="B6" s="43">
        <v>232</v>
      </c>
      <c r="C6" s="43">
        <v>350699</v>
      </c>
      <c r="D6" s="44" t="s">
        <v>522</v>
      </c>
      <c r="E6" s="43" t="s">
        <v>523</v>
      </c>
      <c r="F6" s="43" t="s">
        <v>50</v>
      </c>
      <c r="G6" s="43" t="s">
        <v>51</v>
      </c>
      <c r="H6" s="43" t="s">
        <v>20</v>
      </c>
      <c r="I6" s="43" t="s">
        <v>11</v>
      </c>
      <c r="J6" s="43" t="s">
        <v>21</v>
      </c>
      <c r="K6" s="43" t="s">
        <v>29</v>
      </c>
      <c r="L6" s="43" t="s">
        <v>21</v>
      </c>
      <c r="M6" s="43" t="s">
        <v>29</v>
      </c>
      <c r="N6" s="43" t="s">
        <v>29</v>
      </c>
      <c r="O6" s="25">
        <v>1.9326786438499994</v>
      </c>
      <c r="P6" s="46">
        <f t="shared" si="0"/>
        <v>4.0729388035236683E-4</v>
      </c>
    </row>
    <row r="7" spans="2:16" ht="32.1" hidden="1">
      <c r="B7" s="43">
        <v>151</v>
      </c>
      <c r="C7" s="43">
        <v>390390</v>
      </c>
      <c r="D7" s="44" t="s">
        <v>410</v>
      </c>
      <c r="E7" s="43" t="s">
        <v>411</v>
      </c>
      <c r="F7" s="43" t="s">
        <v>50</v>
      </c>
      <c r="G7" s="43" t="s">
        <v>51</v>
      </c>
      <c r="H7" s="43" t="s">
        <v>20</v>
      </c>
      <c r="I7" s="43" t="s">
        <v>11</v>
      </c>
      <c r="J7" s="43" t="s">
        <v>21</v>
      </c>
      <c r="K7" s="43" t="s">
        <v>29</v>
      </c>
      <c r="L7" s="43" t="s">
        <v>21</v>
      </c>
      <c r="M7" s="43" t="s">
        <v>29</v>
      </c>
      <c r="N7" s="43" t="s">
        <v>29</v>
      </c>
      <c r="O7" s="25">
        <v>4.848218915004999</v>
      </c>
      <c r="P7" s="46">
        <f t="shared" si="0"/>
        <v>1.0217166216296154E-3</v>
      </c>
    </row>
    <row r="8" spans="2:16" ht="32.1" hidden="1">
      <c r="B8" s="43">
        <v>70</v>
      </c>
      <c r="C8" s="43">
        <v>390799</v>
      </c>
      <c r="D8" s="44" t="s">
        <v>240</v>
      </c>
      <c r="E8" s="43" t="s">
        <v>241</v>
      </c>
      <c r="F8" s="43" t="s">
        <v>50</v>
      </c>
      <c r="G8" s="43" t="s">
        <v>51</v>
      </c>
      <c r="H8" s="43" t="s">
        <v>20</v>
      </c>
      <c r="I8" s="43" t="s">
        <v>11</v>
      </c>
      <c r="J8" s="43" t="s">
        <v>21</v>
      </c>
      <c r="K8" s="43" t="s">
        <v>29</v>
      </c>
      <c r="L8" s="43" t="s">
        <v>21</v>
      </c>
      <c r="M8" s="43" t="s">
        <v>29</v>
      </c>
      <c r="N8" s="43" t="s">
        <v>29</v>
      </c>
      <c r="O8" s="25">
        <v>11.828392334739997</v>
      </c>
      <c r="P8" s="46">
        <f t="shared" si="0"/>
        <v>2.4927226405055446E-3</v>
      </c>
    </row>
    <row r="9" spans="2:16" ht="32.1" hidden="1">
      <c r="B9" s="43">
        <v>155</v>
      </c>
      <c r="C9" s="43">
        <v>390890</v>
      </c>
      <c r="D9" s="44" t="s">
        <v>417</v>
      </c>
      <c r="E9" s="43" t="s">
        <v>418</v>
      </c>
      <c r="F9" s="43" t="s">
        <v>50</v>
      </c>
      <c r="G9" s="43" t="s">
        <v>51</v>
      </c>
      <c r="H9" s="43" t="s">
        <v>20</v>
      </c>
      <c r="I9" s="43" t="s">
        <v>11</v>
      </c>
      <c r="J9" s="43" t="s">
        <v>21</v>
      </c>
      <c r="K9" s="43" t="s">
        <v>29</v>
      </c>
      <c r="L9" s="43" t="s">
        <v>21</v>
      </c>
      <c r="M9" s="43" t="s">
        <v>29</v>
      </c>
      <c r="N9" s="43" t="s">
        <v>29</v>
      </c>
      <c r="O9" s="25">
        <v>4.6811928002740011</v>
      </c>
      <c r="P9" s="46">
        <f t="shared" si="0"/>
        <v>9.8651743597842449E-4</v>
      </c>
    </row>
    <row r="10" spans="2:16" ht="48" hidden="1">
      <c r="B10" s="43">
        <v>101</v>
      </c>
      <c r="C10" s="43">
        <v>391910</v>
      </c>
      <c r="D10" s="44" t="s">
        <v>344</v>
      </c>
      <c r="E10" s="43" t="s">
        <v>49</v>
      </c>
      <c r="F10" s="43" t="s">
        <v>50</v>
      </c>
      <c r="G10" s="43" t="s">
        <v>51</v>
      </c>
      <c r="H10" s="43" t="s">
        <v>20</v>
      </c>
      <c r="I10" s="43" t="s">
        <v>11</v>
      </c>
      <c r="J10" s="43" t="s">
        <v>21</v>
      </c>
      <c r="K10" s="43" t="s">
        <v>29</v>
      </c>
      <c r="L10" s="43" t="s">
        <v>21</v>
      </c>
      <c r="M10" s="43" t="s">
        <v>29</v>
      </c>
      <c r="N10" s="43" t="s">
        <v>29</v>
      </c>
      <c r="O10" s="25">
        <v>7.8713190259550014</v>
      </c>
      <c r="P10" s="46">
        <f t="shared" si="0"/>
        <v>1.6588065893801262E-3</v>
      </c>
    </row>
    <row r="11" spans="2:16" ht="48" hidden="1">
      <c r="B11" s="43">
        <v>46</v>
      </c>
      <c r="C11" s="43">
        <v>391990</v>
      </c>
      <c r="D11" s="44" t="s">
        <v>167</v>
      </c>
      <c r="E11" s="43" t="s">
        <v>49</v>
      </c>
      <c r="F11" s="43" t="s">
        <v>50</v>
      </c>
      <c r="G11" s="43" t="s">
        <v>51</v>
      </c>
      <c r="H11" s="43" t="s">
        <v>20</v>
      </c>
      <c r="I11" s="43" t="s">
        <v>11</v>
      </c>
      <c r="J11" s="43" t="s">
        <v>21</v>
      </c>
      <c r="K11" s="43" t="s">
        <v>29</v>
      </c>
      <c r="L11" s="43" t="s">
        <v>21</v>
      </c>
      <c r="M11" s="43" t="s">
        <v>29</v>
      </c>
      <c r="N11" s="43" t="s">
        <v>29</v>
      </c>
      <c r="O11" s="25">
        <v>19.468839714086997</v>
      </c>
      <c r="P11" s="46">
        <f t="shared" si="0"/>
        <v>4.1028751977683631E-3</v>
      </c>
    </row>
    <row r="12" spans="2:16" ht="63.95" hidden="1">
      <c r="B12" s="43">
        <v>107</v>
      </c>
      <c r="C12" s="43">
        <v>392099</v>
      </c>
      <c r="D12" s="44" t="s">
        <v>353</v>
      </c>
      <c r="E12" s="43" t="s">
        <v>354</v>
      </c>
      <c r="F12" s="43" t="s">
        <v>50</v>
      </c>
      <c r="G12" s="43" t="s">
        <v>51</v>
      </c>
      <c r="H12" s="43" t="s">
        <v>20</v>
      </c>
      <c r="I12" s="43" t="s">
        <v>11</v>
      </c>
      <c r="J12" s="43" t="s">
        <v>21</v>
      </c>
      <c r="K12" s="43" t="s">
        <v>29</v>
      </c>
      <c r="L12" s="43" t="s">
        <v>21</v>
      </c>
      <c r="M12" s="43" t="s">
        <v>29</v>
      </c>
      <c r="N12" s="43" t="s">
        <v>29</v>
      </c>
      <c r="O12" s="25">
        <v>7.4934778091629992</v>
      </c>
      <c r="P12" s="46">
        <f t="shared" si="0"/>
        <v>1.5791801000856036E-3</v>
      </c>
    </row>
    <row r="13" spans="2:16" ht="48" hidden="1">
      <c r="B13" s="43">
        <v>109</v>
      </c>
      <c r="C13" s="43">
        <v>392329</v>
      </c>
      <c r="D13" s="44" t="s">
        <v>356</v>
      </c>
      <c r="E13" s="43" t="s">
        <v>49</v>
      </c>
      <c r="F13" s="43" t="s">
        <v>50</v>
      </c>
      <c r="G13" s="43" t="s">
        <v>51</v>
      </c>
      <c r="H13" s="43" t="s">
        <v>20</v>
      </c>
      <c r="I13" s="43" t="s">
        <v>11</v>
      </c>
      <c r="J13" s="43" t="s">
        <v>21</v>
      </c>
      <c r="K13" s="43" t="s">
        <v>29</v>
      </c>
      <c r="L13" s="43" t="s">
        <v>21</v>
      </c>
      <c r="M13" s="43" t="s">
        <v>29</v>
      </c>
      <c r="N13" s="43" t="s">
        <v>29</v>
      </c>
      <c r="O13" s="25">
        <v>7.1215882553499972</v>
      </c>
      <c r="P13" s="46">
        <f t="shared" si="0"/>
        <v>1.5008078678901493E-3</v>
      </c>
    </row>
    <row r="14" spans="2:16" ht="32.1" hidden="1">
      <c r="B14" s="43">
        <v>82</v>
      </c>
      <c r="C14" s="43">
        <v>392350</v>
      </c>
      <c r="D14" s="44" t="s">
        <v>267</v>
      </c>
      <c r="E14" s="43" t="s">
        <v>49</v>
      </c>
      <c r="F14" s="43" t="s">
        <v>50</v>
      </c>
      <c r="G14" s="43" t="s">
        <v>51</v>
      </c>
      <c r="H14" s="43" t="s">
        <v>20</v>
      </c>
      <c r="I14" s="43" t="s">
        <v>11</v>
      </c>
      <c r="J14" s="43" t="s">
        <v>21</v>
      </c>
      <c r="K14" s="43" t="s">
        <v>29</v>
      </c>
      <c r="L14" s="43" t="s">
        <v>21</v>
      </c>
      <c r="M14" s="43" t="s">
        <v>29</v>
      </c>
      <c r="N14" s="43" t="s">
        <v>29</v>
      </c>
      <c r="O14" s="25">
        <v>10.454278897201993</v>
      </c>
      <c r="P14" s="46">
        <f t="shared" si="0"/>
        <v>2.2031411336160731E-3</v>
      </c>
    </row>
    <row r="15" spans="2:16" ht="32.1" hidden="1">
      <c r="B15" s="43">
        <v>78</v>
      </c>
      <c r="C15" s="43">
        <v>392390</v>
      </c>
      <c r="D15" s="44" t="s">
        <v>261</v>
      </c>
      <c r="E15" s="43" t="s">
        <v>49</v>
      </c>
      <c r="F15" s="43" t="s">
        <v>50</v>
      </c>
      <c r="G15" s="43" t="s">
        <v>51</v>
      </c>
      <c r="H15" s="43" t="s">
        <v>20</v>
      </c>
      <c r="I15" s="43" t="s">
        <v>11</v>
      </c>
      <c r="J15" s="43" t="s">
        <v>21</v>
      </c>
      <c r="K15" s="43" t="s">
        <v>29</v>
      </c>
      <c r="L15" s="43" t="s">
        <v>21</v>
      </c>
      <c r="M15" s="43" t="s">
        <v>29</v>
      </c>
      <c r="N15" s="43" t="s">
        <v>29</v>
      </c>
      <c r="O15" s="25">
        <v>11.000523106121001</v>
      </c>
      <c r="P15" s="46">
        <f t="shared" si="0"/>
        <v>2.3182569725469756E-3</v>
      </c>
    </row>
    <row r="16" spans="2:16" ht="15.95" hidden="1">
      <c r="B16" s="43">
        <v>11</v>
      </c>
      <c r="C16" s="43">
        <v>392690</v>
      </c>
      <c r="D16" s="44" t="s">
        <v>48</v>
      </c>
      <c r="E16" s="43" t="s">
        <v>49</v>
      </c>
      <c r="F16" s="43" t="s">
        <v>50</v>
      </c>
      <c r="G16" s="43" t="s">
        <v>51</v>
      </c>
      <c r="H16" s="43" t="s">
        <v>20</v>
      </c>
      <c r="I16" s="43" t="s">
        <v>11</v>
      </c>
      <c r="J16" s="43" t="s">
        <v>21</v>
      </c>
      <c r="K16" s="43" t="s">
        <v>29</v>
      </c>
      <c r="L16" s="43" t="s">
        <v>21</v>
      </c>
      <c r="M16" s="43" t="s">
        <v>29</v>
      </c>
      <c r="N16" s="43" t="s">
        <v>29</v>
      </c>
      <c r="O16" s="25">
        <v>81.476549746991992</v>
      </c>
      <c r="P16" s="46">
        <f t="shared" si="0"/>
        <v>1.7170417963572528E-2</v>
      </c>
    </row>
    <row r="17" spans="2:16" ht="48" hidden="1">
      <c r="B17" s="43">
        <v>68</v>
      </c>
      <c r="C17" s="43">
        <v>401693</v>
      </c>
      <c r="D17" s="44" t="s">
        <v>236</v>
      </c>
      <c r="E17" s="43" t="s">
        <v>204</v>
      </c>
      <c r="F17" s="43" t="s">
        <v>50</v>
      </c>
      <c r="G17" s="43" t="s">
        <v>51</v>
      </c>
      <c r="H17" s="43" t="s">
        <v>20</v>
      </c>
      <c r="I17" s="43" t="s">
        <v>11</v>
      </c>
      <c r="J17" s="43" t="s">
        <v>21</v>
      </c>
      <c r="K17" s="43" t="s">
        <v>29</v>
      </c>
      <c r="L17" s="43" t="s">
        <v>21</v>
      </c>
      <c r="M17" s="43" t="s">
        <v>29</v>
      </c>
      <c r="N17" s="43" t="s">
        <v>29</v>
      </c>
      <c r="O17" s="25">
        <v>12.506814945885001</v>
      </c>
      <c r="P17" s="46">
        <f t="shared" si="0"/>
        <v>2.6356938368248635E-3</v>
      </c>
    </row>
    <row r="18" spans="2:16" ht="32.1" hidden="1">
      <c r="B18" s="43">
        <v>55</v>
      </c>
      <c r="C18" s="43">
        <v>401699</v>
      </c>
      <c r="D18" s="44" t="s">
        <v>203</v>
      </c>
      <c r="E18" s="43" t="s">
        <v>204</v>
      </c>
      <c r="F18" s="43" t="s">
        <v>50</v>
      </c>
      <c r="G18" s="43" t="s">
        <v>51</v>
      </c>
      <c r="H18" s="43" t="s">
        <v>20</v>
      </c>
      <c r="I18" s="43" t="s">
        <v>11</v>
      </c>
      <c r="J18" s="43" t="s">
        <v>21</v>
      </c>
      <c r="K18" s="43" t="s">
        <v>29</v>
      </c>
      <c r="L18" s="43" t="s">
        <v>21</v>
      </c>
      <c r="M18" s="43" t="s">
        <v>29</v>
      </c>
      <c r="N18" s="43" t="s">
        <v>29</v>
      </c>
      <c r="O18" s="25">
        <v>14.672858477224993</v>
      </c>
      <c r="P18" s="46">
        <f t="shared" si="0"/>
        <v>3.0921671764040639E-3</v>
      </c>
    </row>
    <row r="19" spans="2:16" ht="48" hidden="1">
      <c r="B19" s="43">
        <v>168</v>
      </c>
      <c r="C19" s="43">
        <v>420231</v>
      </c>
      <c r="D19" s="44" t="s">
        <v>433</v>
      </c>
      <c r="E19" s="43" t="s">
        <v>434</v>
      </c>
      <c r="F19" s="43" t="s">
        <v>50</v>
      </c>
      <c r="G19" s="43" t="s">
        <v>51</v>
      </c>
      <c r="H19" s="43" t="s">
        <v>20</v>
      </c>
      <c r="I19" s="43" t="s">
        <v>11</v>
      </c>
      <c r="J19" s="43" t="s">
        <v>21</v>
      </c>
      <c r="K19" s="43" t="s">
        <v>29</v>
      </c>
      <c r="L19" s="43" t="s">
        <v>21</v>
      </c>
      <c r="M19" s="43" t="s">
        <v>29</v>
      </c>
      <c r="N19" s="43" t="s">
        <v>29</v>
      </c>
      <c r="O19" s="25">
        <v>4.2639628129480007</v>
      </c>
      <c r="P19" s="46">
        <f t="shared" si="0"/>
        <v>8.985901330726215E-4</v>
      </c>
    </row>
    <row r="20" spans="2:16" ht="32.1" hidden="1">
      <c r="B20" s="43">
        <v>74</v>
      </c>
      <c r="C20" s="43">
        <v>481910</v>
      </c>
      <c r="D20" s="44" t="s">
        <v>250</v>
      </c>
      <c r="E20" s="43" t="s">
        <v>251</v>
      </c>
      <c r="F20" s="43" t="s">
        <v>50</v>
      </c>
      <c r="G20" s="43" t="s">
        <v>51</v>
      </c>
      <c r="H20" s="43" t="s">
        <v>20</v>
      </c>
      <c r="I20" s="43" t="s">
        <v>11</v>
      </c>
      <c r="J20" s="43" t="s">
        <v>21</v>
      </c>
      <c r="K20" s="43" t="s">
        <v>29</v>
      </c>
      <c r="L20" s="43" t="s">
        <v>21</v>
      </c>
      <c r="M20" s="43" t="s">
        <v>29</v>
      </c>
      <c r="N20" s="43" t="s">
        <v>29</v>
      </c>
      <c r="O20" s="25">
        <v>11.570214343988003</v>
      </c>
      <c r="P20" s="46">
        <f t="shared" si="0"/>
        <v>2.4383140527097567E-3</v>
      </c>
    </row>
    <row r="21" spans="2:16" ht="32.1" hidden="1">
      <c r="B21" s="43">
        <v>77</v>
      </c>
      <c r="C21" s="43">
        <v>481920</v>
      </c>
      <c r="D21" s="44" t="s">
        <v>256</v>
      </c>
      <c r="E21" s="43" t="s">
        <v>251</v>
      </c>
      <c r="F21" s="43" t="s">
        <v>50</v>
      </c>
      <c r="G21" s="43" t="s">
        <v>51</v>
      </c>
      <c r="H21" s="43" t="s">
        <v>20</v>
      </c>
      <c r="I21" s="43" t="s">
        <v>11</v>
      </c>
      <c r="J21" s="43" t="s">
        <v>21</v>
      </c>
      <c r="K21" s="43" t="s">
        <v>29</v>
      </c>
      <c r="L21" s="43" t="s">
        <v>21</v>
      </c>
      <c r="M21" s="43" t="s">
        <v>29</v>
      </c>
      <c r="N21" s="43" t="s">
        <v>29</v>
      </c>
      <c r="O21" s="25">
        <v>11.213452696057997</v>
      </c>
      <c r="P21" s="46">
        <f t="shared" si="0"/>
        <v>2.3631298846595226E-3</v>
      </c>
    </row>
    <row r="22" spans="2:16" ht="32.1" hidden="1">
      <c r="B22" s="43">
        <v>164</v>
      </c>
      <c r="C22" s="43">
        <v>482110</v>
      </c>
      <c r="D22" s="44" t="s">
        <v>430</v>
      </c>
      <c r="E22" s="43" t="s">
        <v>251</v>
      </c>
      <c r="F22" s="43" t="s">
        <v>50</v>
      </c>
      <c r="G22" s="43" t="s">
        <v>51</v>
      </c>
      <c r="H22" s="43" t="s">
        <v>20</v>
      </c>
      <c r="I22" s="43" t="s">
        <v>11</v>
      </c>
      <c r="J22" s="43" t="s">
        <v>21</v>
      </c>
      <c r="K22" s="43" t="s">
        <v>29</v>
      </c>
      <c r="L22" s="43" t="s">
        <v>21</v>
      </c>
      <c r="M22" s="43" t="s">
        <v>29</v>
      </c>
      <c r="N22" s="43" t="s">
        <v>29</v>
      </c>
      <c r="O22" s="25">
        <v>4.4692385054860022</v>
      </c>
      <c r="P22" s="46">
        <f t="shared" si="0"/>
        <v>9.4185005816253267E-4</v>
      </c>
    </row>
    <row r="23" spans="2:16" ht="32.1" hidden="1">
      <c r="B23" s="43">
        <v>262</v>
      </c>
      <c r="C23" s="43">
        <v>482190</v>
      </c>
      <c r="D23" s="44" t="s">
        <v>560</v>
      </c>
      <c r="E23" s="43" t="s">
        <v>251</v>
      </c>
      <c r="F23" s="43" t="s">
        <v>50</v>
      </c>
      <c r="G23" s="43" t="s">
        <v>51</v>
      </c>
      <c r="H23" s="43" t="s">
        <v>20</v>
      </c>
      <c r="I23" s="43" t="s">
        <v>11</v>
      </c>
      <c r="J23" s="43" t="s">
        <v>21</v>
      </c>
      <c r="K23" s="43" t="s">
        <v>29</v>
      </c>
      <c r="L23" s="43" t="s">
        <v>21</v>
      </c>
      <c r="M23" s="43" t="s">
        <v>29</v>
      </c>
      <c r="N23" s="43" t="s">
        <v>29</v>
      </c>
      <c r="O23" s="25">
        <v>1.3612602904239999</v>
      </c>
      <c r="P23" s="46">
        <f t="shared" si="0"/>
        <v>2.8687282679955555E-4</v>
      </c>
    </row>
    <row r="24" spans="2:16" ht="48" hidden="1">
      <c r="B24" s="43">
        <v>117</v>
      </c>
      <c r="C24" s="43">
        <v>482390</v>
      </c>
      <c r="D24" s="44" t="s">
        <v>364</v>
      </c>
      <c r="E24" s="43" t="s">
        <v>251</v>
      </c>
      <c r="F24" s="43" t="s">
        <v>50</v>
      </c>
      <c r="G24" s="43" t="s">
        <v>51</v>
      </c>
      <c r="H24" s="43" t="s">
        <v>20</v>
      </c>
      <c r="I24" s="43" t="s">
        <v>11</v>
      </c>
      <c r="J24" s="43" t="s">
        <v>21</v>
      </c>
      <c r="K24" s="43" t="s">
        <v>29</v>
      </c>
      <c r="L24" s="43" t="s">
        <v>21</v>
      </c>
      <c r="M24" s="43" t="s">
        <v>29</v>
      </c>
      <c r="N24" s="43" t="s">
        <v>29</v>
      </c>
      <c r="O24" s="25">
        <v>6.4038498686269998</v>
      </c>
      <c r="P24" s="46">
        <f t="shared" si="0"/>
        <v>1.3495512409612566E-3</v>
      </c>
    </row>
    <row r="25" spans="2:16" ht="32.1" hidden="1">
      <c r="B25" s="43">
        <v>65</v>
      </c>
      <c r="C25" s="43">
        <v>490199</v>
      </c>
      <c r="D25" s="44" t="s">
        <v>224</v>
      </c>
      <c r="E25" s="43" t="s">
        <v>225</v>
      </c>
      <c r="F25" s="43" t="s">
        <v>50</v>
      </c>
      <c r="G25" s="43" t="s">
        <v>51</v>
      </c>
      <c r="H25" s="43" t="s">
        <v>20</v>
      </c>
      <c r="I25" s="43" t="s">
        <v>11</v>
      </c>
      <c r="J25" s="43" t="s">
        <v>21</v>
      </c>
      <c r="K25" s="43" t="s">
        <v>29</v>
      </c>
      <c r="L25" s="43" t="s">
        <v>21</v>
      </c>
      <c r="M25" s="43" t="s">
        <v>29</v>
      </c>
      <c r="N25" s="43" t="s">
        <v>29</v>
      </c>
      <c r="O25" s="25">
        <v>12.768022887362999</v>
      </c>
      <c r="P25" s="46">
        <f t="shared" si="0"/>
        <v>2.6907409582912116E-3</v>
      </c>
    </row>
    <row r="26" spans="2:16" ht="32.1" hidden="1">
      <c r="B26" s="43">
        <v>172</v>
      </c>
      <c r="C26" s="43">
        <v>491110</v>
      </c>
      <c r="D26" s="44" t="s">
        <v>440</v>
      </c>
      <c r="E26" s="43" t="s">
        <v>441</v>
      </c>
      <c r="F26" s="43" t="s">
        <v>50</v>
      </c>
      <c r="G26" s="43" t="s">
        <v>51</v>
      </c>
      <c r="H26" s="43" t="s">
        <v>20</v>
      </c>
      <c r="I26" s="43" t="s">
        <v>11</v>
      </c>
      <c r="J26" s="43" t="s">
        <v>21</v>
      </c>
      <c r="K26" s="43" t="s">
        <v>29</v>
      </c>
      <c r="L26" s="43" t="s">
        <v>21</v>
      </c>
      <c r="M26" s="43" t="s">
        <v>29</v>
      </c>
      <c r="N26" s="43" t="s">
        <v>29</v>
      </c>
      <c r="O26" s="25">
        <v>4.0463667403210017</v>
      </c>
      <c r="P26" s="46">
        <f t="shared" si="0"/>
        <v>8.5273380354173841E-4</v>
      </c>
    </row>
    <row r="27" spans="2:16" ht="32.1" hidden="1">
      <c r="B27" s="43">
        <v>194</v>
      </c>
      <c r="C27" s="43">
        <v>591190</v>
      </c>
      <c r="D27" s="44" t="s">
        <v>469</v>
      </c>
      <c r="E27" s="43" t="s">
        <v>470</v>
      </c>
      <c r="F27" s="43" t="s">
        <v>50</v>
      </c>
      <c r="G27" s="43" t="s">
        <v>51</v>
      </c>
      <c r="H27" s="43" t="s">
        <v>20</v>
      </c>
      <c r="I27" s="43" t="s">
        <v>11</v>
      </c>
      <c r="J27" s="43" t="s">
        <v>21</v>
      </c>
      <c r="K27" s="43" t="s">
        <v>29</v>
      </c>
      <c r="L27" s="43" t="s">
        <v>21</v>
      </c>
      <c r="M27" s="43" t="s">
        <v>29</v>
      </c>
      <c r="N27" s="43" t="s">
        <v>29</v>
      </c>
      <c r="O27" s="25">
        <v>3.0412925013920011</v>
      </c>
      <c r="P27" s="46">
        <f t="shared" si="0"/>
        <v>6.409238432473946E-4</v>
      </c>
    </row>
    <row r="28" spans="2:16" ht="32.1" hidden="1">
      <c r="B28" s="43">
        <v>39</v>
      </c>
      <c r="C28" s="43">
        <v>731815</v>
      </c>
      <c r="D28" s="44" t="s">
        <v>118</v>
      </c>
      <c r="E28" s="43" t="s">
        <v>61</v>
      </c>
      <c r="F28" s="43" t="s">
        <v>50</v>
      </c>
      <c r="G28" s="43" t="s">
        <v>51</v>
      </c>
      <c r="H28" s="43" t="s">
        <v>20</v>
      </c>
      <c r="I28" s="43" t="s">
        <v>11</v>
      </c>
      <c r="J28" s="43" t="s">
        <v>21</v>
      </c>
      <c r="K28" s="43" t="s">
        <v>29</v>
      </c>
      <c r="L28" s="43" t="s">
        <v>21</v>
      </c>
      <c r="M28" s="43" t="s">
        <v>29</v>
      </c>
      <c r="N28" s="43" t="s">
        <v>29</v>
      </c>
      <c r="O28" s="25">
        <v>23.068260738795004</v>
      </c>
      <c r="P28" s="46">
        <f t="shared" si="0"/>
        <v>4.8614193876367947E-3</v>
      </c>
    </row>
    <row r="29" spans="2:16" ht="15.95" hidden="1">
      <c r="B29" s="43">
        <v>104</v>
      </c>
      <c r="C29" s="43">
        <v>731816</v>
      </c>
      <c r="D29" s="44" t="s">
        <v>349</v>
      </c>
      <c r="E29" s="43" t="s">
        <v>61</v>
      </c>
      <c r="F29" s="43" t="s">
        <v>50</v>
      </c>
      <c r="G29" s="43" t="s">
        <v>51</v>
      </c>
      <c r="H29" s="43" t="s">
        <v>20</v>
      </c>
      <c r="I29" s="43" t="s">
        <v>11</v>
      </c>
      <c r="J29" s="43" t="s">
        <v>21</v>
      </c>
      <c r="K29" s="43" t="s">
        <v>29</v>
      </c>
      <c r="L29" s="43" t="s">
        <v>21</v>
      </c>
      <c r="M29" s="43" t="s">
        <v>29</v>
      </c>
      <c r="N29" s="43" t="s">
        <v>29</v>
      </c>
      <c r="O29" s="25">
        <v>7.7385925441609995</v>
      </c>
      <c r="P29" s="46">
        <f t="shared" si="0"/>
        <v>1.6308357293680815E-3</v>
      </c>
    </row>
    <row r="30" spans="2:16" ht="15.95" hidden="1">
      <c r="B30" s="31">
        <v>16</v>
      </c>
      <c r="C30" s="31">
        <v>732690</v>
      </c>
      <c r="D30" s="32" t="s">
        <v>60</v>
      </c>
      <c r="E30" s="31" t="s">
        <v>61</v>
      </c>
      <c r="F30" s="31" t="s">
        <v>50</v>
      </c>
      <c r="G30" s="31" t="s">
        <v>51</v>
      </c>
      <c r="H30" s="31" t="s">
        <v>20</v>
      </c>
      <c r="I30" s="31" t="s">
        <v>11</v>
      </c>
      <c r="J30" s="31" t="s">
        <v>21</v>
      </c>
      <c r="K30" s="31" t="s">
        <v>29</v>
      </c>
      <c r="L30" s="31" t="s">
        <v>21</v>
      </c>
      <c r="M30" s="34" t="s">
        <v>29</v>
      </c>
      <c r="N30" s="31" t="s">
        <v>29</v>
      </c>
      <c r="O30" s="23">
        <v>57.448669347698001</v>
      </c>
      <c r="P30" s="71">
        <f t="shared" si="0"/>
        <v>1.2106767741321417E-2</v>
      </c>
    </row>
    <row r="31" spans="2:16" ht="63.95" hidden="1">
      <c r="B31" s="43">
        <v>192</v>
      </c>
      <c r="C31" s="43">
        <v>741021</v>
      </c>
      <c r="D31" s="44" t="s">
        <v>468</v>
      </c>
      <c r="E31" s="43" t="s">
        <v>160</v>
      </c>
      <c r="F31" s="43" t="s">
        <v>50</v>
      </c>
      <c r="G31" s="43" t="s">
        <v>51</v>
      </c>
      <c r="H31" s="43" t="s">
        <v>20</v>
      </c>
      <c r="I31" s="43" t="s">
        <v>11</v>
      </c>
      <c r="J31" s="43" t="s">
        <v>21</v>
      </c>
      <c r="K31" s="43" t="s">
        <v>29</v>
      </c>
      <c r="L31" s="43" t="s">
        <v>21</v>
      </c>
      <c r="M31" s="43" t="s">
        <v>29</v>
      </c>
      <c r="N31" s="43" t="s">
        <v>29</v>
      </c>
      <c r="O31" s="25">
        <v>3.0947998647250015</v>
      </c>
      <c r="P31" s="46">
        <f t="shared" si="0"/>
        <v>6.5220001774679733E-4</v>
      </c>
    </row>
    <row r="32" spans="2:16" ht="15.95" hidden="1">
      <c r="B32" s="43">
        <v>206</v>
      </c>
      <c r="C32" s="43">
        <v>750890</v>
      </c>
      <c r="D32" s="44" t="s">
        <v>485</v>
      </c>
      <c r="E32" s="43" t="s">
        <v>160</v>
      </c>
      <c r="F32" s="43" t="s">
        <v>50</v>
      </c>
      <c r="G32" s="43" t="s">
        <v>51</v>
      </c>
      <c r="H32" s="43" t="s">
        <v>20</v>
      </c>
      <c r="I32" s="43" t="s">
        <v>11</v>
      </c>
      <c r="J32" s="43" t="s">
        <v>21</v>
      </c>
      <c r="K32" s="43" t="s">
        <v>29</v>
      </c>
      <c r="L32" s="43" t="s">
        <v>21</v>
      </c>
      <c r="M32" s="43" t="s">
        <v>29</v>
      </c>
      <c r="N32" s="43" t="s">
        <v>29</v>
      </c>
      <c r="O32" s="25">
        <v>2.5597324379609989</v>
      </c>
      <c r="P32" s="46">
        <f t="shared" si="0"/>
        <v>5.3943958072828768E-4</v>
      </c>
    </row>
    <row r="33" spans="2:16" ht="15.95" hidden="1">
      <c r="B33" s="43">
        <v>42</v>
      </c>
      <c r="C33" s="43">
        <v>761699</v>
      </c>
      <c r="D33" s="44" t="s">
        <v>159</v>
      </c>
      <c r="E33" s="43" t="s">
        <v>160</v>
      </c>
      <c r="F33" s="43" t="s">
        <v>50</v>
      </c>
      <c r="G33" s="43" t="s">
        <v>51</v>
      </c>
      <c r="H33" s="43" t="s">
        <v>20</v>
      </c>
      <c r="I33" s="43" t="s">
        <v>11</v>
      </c>
      <c r="J33" s="43" t="s">
        <v>21</v>
      </c>
      <c r="K33" s="43" t="s">
        <v>29</v>
      </c>
      <c r="L33" s="43" t="s">
        <v>21</v>
      </c>
      <c r="M33" s="43" t="s">
        <v>29</v>
      </c>
      <c r="N33" s="43" t="s">
        <v>29</v>
      </c>
      <c r="O33" s="25">
        <v>21.888631400268</v>
      </c>
      <c r="P33" s="46">
        <f t="shared" si="0"/>
        <v>4.6128235788120715E-3</v>
      </c>
    </row>
    <row r="34" spans="2:16" ht="32.1" hidden="1">
      <c r="B34" s="43">
        <v>266</v>
      </c>
      <c r="C34" s="43">
        <v>831110</v>
      </c>
      <c r="D34" s="44" t="s">
        <v>558</v>
      </c>
      <c r="E34" s="43" t="s">
        <v>559</v>
      </c>
      <c r="F34" s="43" t="s">
        <v>54</v>
      </c>
      <c r="G34" s="43" t="s">
        <v>559</v>
      </c>
      <c r="H34" s="43" t="s">
        <v>20</v>
      </c>
      <c r="I34" s="43" t="s">
        <v>12</v>
      </c>
      <c r="J34" s="43" t="s">
        <v>21</v>
      </c>
      <c r="K34" s="43" t="s">
        <v>29</v>
      </c>
      <c r="L34" s="43" t="s">
        <v>29</v>
      </c>
      <c r="M34" s="43" t="s">
        <v>21</v>
      </c>
      <c r="N34" s="43" t="s">
        <v>29</v>
      </c>
      <c r="O34" s="25">
        <v>1.267177267079</v>
      </c>
      <c r="P34" s="46">
        <f t="shared" si="0"/>
        <v>2.6704571287381102E-4</v>
      </c>
    </row>
    <row r="35" spans="2:16" ht="32.1" hidden="1">
      <c r="B35" s="43">
        <v>277</v>
      </c>
      <c r="C35" s="43">
        <v>831120</v>
      </c>
      <c r="D35" s="44" t="s">
        <v>575</v>
      </c>
      <c r="E35" s="43" t="s">
        <v>576</v>
      </c>
      <c r="F35" s="43" t="s">
        <v>54</v>
      </c>
      <c r="G35" s="43" t="s">
        <v>559</v>
      </c>
      <c r="H35" s="43" t="s">
        <v>20</v>
      </c>
      <c r="I35" s="43" t="s">
        <v>12</v>
      </c>
      <c r="J35" s="43" t="s">
        <v>21</v>
      </c>
      <c r="K35" s="43" t="s">
        <v>29</v>
      </c>
      <c r="L35" s="43" t="s">
        <v>29</v>
      </c>
      <c r="M35" s="43" t="s">
        <v>21</v>
      </c>
      <c r="N35" s="43" t="s">
        <v>29</v>
      </c>
      <c r="O35" s="25">
        <v>1.0992761598090004</v>
      </c>
      <c r="P35" s="46">
        <f t="shared" si="0"/>
        <v>2.3166213075938855E-4</v>
      </c>
    </row>
    <row r="36" spans="2:16" ht="32.1" hidden="1">
      <c r="B36" s="43">
        <v>332</v>
      </c>
      <c r="C36" s="43">
        <v>831130</v>
      </c>
      <c r="D36" s="44" t="s">
        <v>624</v>
      </c>
      <c r="E36" s="43" t="s">
        <v>625</v>
      </c>
      <c r="F36" s="43" t="s">
        <v>54</v>
      </c>
      <c r="G36" s="43" t="s">
        <v>559</v>
      </c>
      <c r="H36" s="43" t="s">
        <v>20</v>
      </c>
      <c r="I36" s="43" t="s">
        <v>12</v>
      </c>
      <c r="J36" s="43" t="s">
        <v>21</v>
      </c>
      <c r="K36" s="43" t="s">
        <v>29</v>
      </c>
      <c r="L36" s="43" t="s">
        <v>21</v>
      </c>
      <c r="M36" s="43" t="s">
        <v>21</v>
      </c>
      <c r="N36" s="43" t="s">
        <v>29</v>
      </c>
      <c r="O36" s="25">
        <v>0.56244927828600011</v>
      </c>
      <c r="P36" s="46">
        <f t="shared" si="0"/>
        <v>1.1853090516804661E-4</v>
      </c>
    </row>
    <row r="37" spans="2:16" ht="32.1" hidden="1">
      <c r="B37" s="43">
        <v>51</v>
      </c>
      <c r="C37" s="43">
        <v>841430</v>
      </c>
      <c r="D37" s="44" t="s">
        <v>199</v>
      </c>
      <c r="E37" s="43" t="s">
        <v>200</v>
      </c>
      <c r="F37" s="43" t="s">
        <v>112</v>
      </c>
      <c r="G37" s="43" t="s">
        <v>51</v>
      </c>
      <c r="H37" s="43" t="s">
        <v>20</v>
      </c>
      <c r="I37" s="43" t="s">
        <v>129</v>
      </c>
      <c r="J37" s="43" t="s">
        <v>21</v>
      </c>
      <c r="K37" s="43" t="s">
        <v>21</v>
      </c>
      <c r="L37" s="43" t="s">
        <v>29</v>
      </c>
      <c r="M37" s="43" t="s">
        <v>29</v>
      </c>
      <c r="N37" s="43" t="s">
        <v>29</v>
      </c>
      <c r="O37" s="25">
        <v>16.545230897985999</v>
      </c>
      <c r="P37" s="46">
        <f t="shared" si="0"/>
        <v>3.4867520863906269E-3</v>
      </c>
    </row>
    <row r="38" spans="2:16" ht="48" hidden="1">
      <c r="B38" s="43">
        <v>110</v>
      </c>
      <c r="C38" s="43">
        <v>841451</v>
      </c>
      <c r="D38" s="44" t="s">
        <v>101</v>
      </c>
      <c r="E38" s="44" t="s">
        <v>102</v>
      </c>
      <c r="F38" s="44" t="s">
        <v>66</v>
      </c>
      <c r="G38" s="44" t="s">
        <v>51</v>
      </c>
      <c r="H38" s="44" t="s">
        <v>28</v>
      </c>
      <c r="I38" s="47" t="s">
        <v>103</v>
      </c>
      <c r="J38" s="43" t="s">
        <v>29</v>
      </c>
      <c r="K38" s="43" t="s">
        <v>21</v>
      </c>
      <c r="L38" s="43" t="s">
        <v>29</v>
      </c>
      <c r="M38" s="43" t="s">
        <v>29</v>
      </c>
      <c r="N38" s="43" t="s">
        <v>29</v>
      </c>
      <c r="O38" s="25">
        <v>7.0941172499840031</v>
      </c>
      <c r="P38" s="62">
        <f t="shared" si="0"/>
        <v>1.4950186114049595E-3</v>
      </c>
    </row>
    <row r="39" spans="2:16" ht="48" hidden="1">
      <c r="B39" s="43">
        <v>53</v>
      </c>
      <c r="C39" s="43">
        <v>841459</v>
      </c>
      <c r="D39" s="44" t="s">
        <v>104</v>
      </c>
      <c r="E39" s="44" t="s">
        <v>105</v>
      </c>
      <c r="F39" s="44" t="s">
        <v>66</v>
      </c>
      <c r="G39" s="44" t="s">
        <v>51</v>
      </c>
      <c r="H39" s="44" t="s">
        <v>28</v>
      </c>
      <c r="I39" s="47" t="s">
        <v>96</v>
      </c>
      <c r="J39" s="43" t="s">
        <v>29</v>
      </c>
      <c r="K39" s="43" t="s">
        <v>21</v>
      </c>
      <c r="L39" s="43" t="s">
        <v>29</v>
      </c>
      <c r="M39" s="43" t="s">
        <v>29</v>
      </c>
      <c r="N39" s="43" t="s">
        <v>29</v>
      </c>
      <c r="O39" s="25">
        <v>15.302803886116003</v>
      </c>
      <c r="P39" s="62">
        <f t="shared" si="0"/>
        <v>3.2249222574486139E-3</v>
      </c>
    </row>
    <row r="40" spans="2:16" ht="48" hidden="1">
      <c r="B40" s="31">
        <v>211</v>
      </c>
      <c r="C40" s="31">
        <v>841460</v>
      </c>
      <c r="D40" s="32" t="s">
        <v>106</v>
      </c>
      <c r="E40" s="32" t="s">
        <v>107</v>
      </c>
      <c r="F40" s="32" t="s">
        <v>66</v>
      </c>
      <c r="G40" s="32" t="s">
        <v>51</v>
      </c>
      <c r="H40" s="32" t="s">
        <v>28</v>
      </c>
      <c r="I40" s="33" t="s">
        <v>103</v>
      </c>
      <c r="J40" s="31" t="s">
        <v>29</v>
      </c>
      <c r="K40" s="31" t="s">
        <v>21</v>
      </c>
      <c r="L40" s="31" t="s">
        <v>29</v>
      </c>
      <c r="M40" s="34" t="s">
        <v>29</v>
      </c>
      <c r="N40" s="31" t="s">
        <v>29</v>
      </c>
      <c r="O40" s="23">
        <v>2.3728197939650006</v>
      </c>
      <c r="P40" s="39">
        <f t="shared" si="0"/>
        <v>5.0004949572771107E-4</v>
      </c>
    </row>
    <row r="41" spans="2:16" ht="80.099999999999994" hidden="1">
      <c r="B41" s="43">
        <v>44</v>
      </c>
      <c r="C41" s="43">
        <v>841510</v>
      </c>
      <c r="D41" s="44" t="s">
        <v>127</v>
      </c>
      <c r="E41" s="43" t="s">
        <v>128</v>
      </c>
      <c r="F41" s="43" t="s">
        <v>112</v>
      </c>
      <c r="G41" s="43" t="s">
        <v>51</v>
      </c>
      <c r="H41" s="43" t="s">
        <v>28</v>
      </c>
      <c r="I41" s="43" t="s">
        <v>129</v>
      </c>
      <c r="J41" s="43" t="s">
        <v>21</v>
      </c>
      <c r="K41" s="43" t="s">
        <v>21</v>
      </c>
      <c r="L41" s="43" t="s">
        <v>29</v>
      </c>
      <c r="M41" s="43" t="s">
        <v>29</v>
      </c>
      <c r="N41" s="43" t="s">
        <v>29</v>
      </c>
      <c r="O41" s="25">
        <v>20.501175731573994</v>
      </c>
      <c r="P41" s="46">
        <f t="shared" si="0"/>
        <v>4.3204303219623163E-3</v>
      </c>
    </row>
    <row r="42" spans="2:16" ht="63.95" hidden="1">
      <c r="B42" s="43">
        <v>193</v>
      </c>
      <c r="C42" s="43">
        <v>841581</v>
      </c>
      <c r="D42" s="44" t="s">
        <v>110</v>
      </c>
      <c r="E42" s="44" t="s">
        <v>111</v>
      </c>
      <c r="F42" s="44" t="s">
        <v>112</v>
      </c>
      <c r="G42" s="44" t="s">
        <v>51</v>
      </c>
      <c r="H42" s="44" t="s">
        <v>28</v>
      </c>
      <c r="I42" s="47" t="s">
        <v>103</v>
      </c>
      <c r="J42" s="43" t="s">
        <v>29</v>
      </c>
      <c r="K42" s="43" t="s">
        <v>21</v>
      </c>
      <c r="L42" s="43" t="s">
        <v>29</v>
      </c>
      <c r="M42" s="43" t="s">
        <v>29</v>
      </c>
      <c r="N42" s="43" t="s">
        <v>29</v>
      </c>
      <c r="O42" s="25">
        <v>3.0474565427019993</v>
      </c>
      <c r="P42" s="62">
        <f t="shared" si="0"/>
        <v>6.4222285708592916E-4</v>
      </c>
    </row>
    <row r="43" spans="2:16" ht="48" hidden="1">
      <c r="B43" s="43">
        <v>126</v>
      </c>
      <c r="C43" s="43">
        <v>841582</v>
      </c>
      <c r="D43" s="44" t="s">
        <v>113</v>
      </c>
      <c r="E43" s="44" t="s">
        <v>114</v>
      </c>
      <c r="F43" s="44" t="s">
        <v>112</v>
      </c>
      <c r="G43" s="44" t="s">
        <v>51</v>
      </c>
      <c r="H43" s="44" t="s">
        <v>28</v>
      </c>
      <c r="I43" s="47" t="s">
        <v>103</v>
      </c>
      <c r="J43" s="43" t="s">
        <v>29</v>
      </c>
      <c r="K43" s="43" t="s">
        <v>21</v>
      </c>
      <c r="L43" s="43" t="s">
        <v>29</v>
      </c>
      <c r="M43" s="43" t="s">
        <v>29</v>
      </c>
      <c r="N43" s="43" t="s">
        <v>29</v>
      </c>
      <c r="O43" s="25">
        <v>5.8367035219629981</v>
      </c>
      <c r="P43" s="62">
        <f t="shared" si="0"/>
        <v>1.2300304727282643E-3</v>
      </c>
    </row>
    <row r="44" spans="2:16" ht="48" hidden="1">
      <c r="B44" s="43">
        <v>200</v>
      </c>
      <c r="C44" s="43">
        <v>841583</v>
      </c>
      <c r="D44" s="44" t="s">
        <v>115</v>
      </c>
      <c r="E44" s="44" t="s">
        <v>111</v>
      </c>
      <c r="F44" s="44" t="s">
        <v>112</v>
      </c>
      <c r="G44" s="44" t="s">
        <v>51</v>
      </c>
      <c r="H44" s="44" t="s">
        <v>28</v>
      </c>
      <c r="I44" s="47" t="s">
        <v>103</v>
      </c>
      <c r="J44" s="43" t="s">
        <v>29</v>
      </c>
      <c r="K44" s="43" t="s">
        <v>21</v>
      </c>
      <c r="L44" s="43" t="s">
        <v>29</v>
      </c>
      <c r="M44" s="43" t="s">
        <v>29</v>
      </c>
      <c r="N44" s="43" t="s">
        <v>29</v>
      </c>
      <c r="O44" s="25">
        <v>2.8526464070359987</v>
      </c>
      <c r="P44" s="62">
        <f t="shared" si="0"/>
        <v>6.011684498569462E-4</v>
      </c>
    </row>
    <row r="45" spans="2:16" ht="48" hidden="1">
      <c r="B45" s="43">
        <v>33</v>
      </c>
      <c r="C45" s="43">
        <v>841590</v>
      </c>
      <c r="D45" s="44" t="s">
        <v>94</v>
      </c>
      <c r="E45" s="43" t="s">
        <v>95</v>
      </c>
      <c r="F45" s="43" t="s">
        <v>66</v>
      </c>
      <c r="G45" s="43" t="s">
        <v>51</v>
      </c>
      <c r="H45" s="43" t="s">
        <v>20</v>
      </c>
      <c r="I45" s="43" t="s">
        <v>96</v>
      </c>
      <c r="J45" s="43" t="s">
        <v>21</v>
      </c>
      <c r="K45" s="43" t="s">
        <v>21</v>
      </c>
      <c r="L45" s="43" t="s">
        <v>29</v>
      </c>
      <c r="M45" s="43" t="s">
        <v>29</v>
      </c>
      <c r="N45" s="43" t="s">
        <v>29</v>
      </c>
      <c r="O45" s="25">
        <v>26.015526601627002</v>
      </c>
      <c r="P45" s="46">
        <f t="shared" si="0"/>
        <v>5.4825279995225464E-3</v>
      </c>
    </row>
    <row r="46" spans="2:16" ht="48" hidden="1">
      <c r="B46" s="43">
        <v>47</v>
      </c>
      <c r="C46" s="43">
        <v>841810</v>
      </c>
      <c r="D46" s="44" t="s">
        <v>194</v>
      </c>
      <c r="E46" s="43" t="s">
        <v>195</v>
      </c>
      <c r="F46" s="43" t="s">
        <v>112</v>
      </c>
      <c r="G46" s="43" t="s">
        <v>51</v>
      </c>
      <c r="H46" s="43" t="s">
        <v>28</v>
      </c>
      <c r="I46" s="43" t="s">
        <v>129</v>
      </c>
      <c r="J46" s="43" t="s">
        <v>21</v>
      </c>
      <c r="K46" s="43" t="s">
        <v>21</v>
      </c>
      <c r="L46" s="43" t="s">
        <v>29</v>
      </c>
      <c r="M46" s="43" t="s">
        <v>29</v>
      </c>
      <c r="N46" s="43" t="s">
        <v>29</v>
      </c>
      <c r="O46" s="25">
        <v>17.881006262867999</v>
      </c>
      <c r="P46" s="46">
        <f t="shared" si="0"/>
        <v>3.7682542043827342E-3</v>
      </c>
    </row>
    <row r="47" spans="2:16" ht="32.1" hidden="1">
      <c r="B47" s="43">
        <v>167</v>
      </c>
      <c r="C47" s="43">
        <v>841821</v>
      </c>
      <c r="D47" s="44" t="s">
        <v>119</v>
      </c>
      <c r="E47" s="44" t="s">
        <v>120</v>
      </c>
      <c r="F47" s="44" t="s">
        <v>112</v>
      </c>
      <c r="G47" s="44" t="s">
        <v>51</v>
      </c>
      <c r="H47" s="44" t="s">
        <v>28</v>
      </c>
      <c r="I47" s="47" t="s">
        <v>103</v>
      </c>
      <c r="J47" s="43" t="s">
        <v>29</v>
      </c>
      <c r="K47" s="43" t="s">
        <v>21</v>
      </c>
      <c r="L47" s="43" t="s">
        <v>29</v>
      </c>
      <c r="M47" s="43" t="s">
        <v>29</v>
      </c>
      <c r="N47" s="43" t="s">
        <v>29</v>
      </c>
      <c r="O47" s="25">
        <v>4.4027284049889994</v>
      </c>
      <c r="P47" s="62">
        <f t="shared" si="0"/>
        <v>9.2783367887451658E-4</v>
      </c>
    </row>
    <row r="48" spans="2:16" ht="32.1" hidden="1">
      <c r="B48" s="43">
        <v>235</v>
      </c>
      <c r="C48" s="43">
        <v>841830</v>
      </c>
      <c r="D48" s="44" t="s">
        <v>121</v>
      </c>
      <c r="E48" s="44" t="s">
        <v>122</v>
      </c>
      <c r="F48" s="44" t="s">
        <v>112</v>
      </c>
      <c r="G48" s="44" t="s">
        <v>51</v>
      </c>
      <c r="H48" s="44" t="s">
        <v>28</v>
      </c>
      <c r="I48" s="47" t="s">
        <v>103</v>
      </c>
      <c r="J48" s="43" t="s">
        <v>29</v>
      </c>
      <c r="K48" s="43" t="s">
        <v>21</v>
      </c>
      <c r="L48" s="43" t="s">
        <v>29</v>
      </c>
      <c r="M48" s="43" t="s">
        <v>29</v>
      </c>
      <c r="N48" s="43" t="s">
        <v>29</v>
      </c>
      <c r="O48" s="25">
        <v>1.8958813978809996</v>
      </c>
      <c r="P48" s="62">
        <f t="shared" si="0"/>
        <v>3.9953920621412577E-4</v>
      </c>
    </row>
    <row r="49" spans="2:16" ht="32.1" hidden="1">
      <c r="B49" s="43">
        <v>222</v>
      </c>
      <c r="C49" s="43">
        <v>841840</v>
      </c>
      <c r="D49" s="44" t="s">
        <v>123</v>
      </c>
      <c r="E49" s="44" t="s">
        <v>124</v>
      </c>
      <c r="F49" s="44" t="s">
        <v>112</v>
      </c>
      <c r="G49" s="44" t="s">
        <v>51</v>
      </c>
      <c r="H49" s="44" t="s">
        <v>28</v>
      </c>
      <c r="I49" s="47" t="s">
        <v>103</v>
      </c>
      <c r="J49" s="43" t="s">
        <v>29</v>
      </c>
      <c r="K49" s="43" t="s">
        <v>21</v>
      </c>
      <c r="L49" s="43" t="s">
        <v>29</v>
      </c>
      <c r="M49" s="43" t="s">
        <v>29</v>
      </c>
      <c r="N49" s="43" t="s">
        <v>29</v>
      </c>
      <c r="O49" s="25">
        <v>2.1169207250429998</v>
      </c>
      <c r="P49" s="62">
        <f t="shared" si="0"/>
        <v>4.4612116931325066E-4</v>
      </c>
    </row>
    <row r="50" spans="2:16" ht="32.1" hidden="1">
      <c r="B50" s="43">
        <v>133</v>
      </c>
      <c r="C50" s="43">
        <v>841861</v>
      </c>
      <c r="D50" s="44" t="s">
        <v>125</v>
      </c>
      <c r="E50" s="44" t="s">
        <v>126</v>
      </c>
      <c r="F50" s="44" t="s">
        <v>112</v>
      </c>
      <c r="G50" s="44" t="s">
        <v>51</v>
      </c>
      <c r="H50" s="44" t="s">
        <v>28</v>
      </c>
      <c r="I50" s="47" t="s">
        <v>103</v>
      </c>
      <c r="J50" s="43" t="s">
        <v>29</v>
      </c>
      <c r="K50" s="43" t="s">
        <v>21</v>
      </c>
      <c r="L50" s="43" t="s">
        <v>29</v>
      </c>
      <c r="M50" s="43" t="s">
        <v>29</v>
      </c>
      <c r="N50" s="43" t="s">
        <v>29</v>
      </c>
      <c r="O50" s="25">
        <v>5.5192667849739987</v>
      </c>
      <c r="P50" s="62">
        <f t="shared" si="0"/>
        <v>1.1631336604795966E-3</v>
      </c>
    </row>
    <row r="51" spans="2:16" ht="32.1" hidden="1">
      <c r="B51" s="43">
        <v>76</v>
      </c>
      <c r="C51" s="43">
        <v>841869</v>
      </c>
      <c r="D51" s="44" t="s">
        <v>211</v>
      </c>
      <c r="E51" s="43" t="s">
        <v>200</v>
      </c>
      <c r="F51" s="43" t="s">
        <v>112</v>
      </c>
      <c r="G51" s="43" t="s">
        <v>51</v>
      </c>
      <c r="H51" s="43" t="s">
        <v>20</v>
      </c>
      <c r="I51" s="43" t="s">
        <v>129</v>
      </c>
      <c r="J51" s="43" t="s">
        <v>21</v>
      </c>
      <c r="K51" s="43" t="s">
        <v>21</v>
      </c>
      <c r="L51" s="43" t="s">
        <v>29</v>
      </c>
      <c r="M51" s="43" t="s">
        <v>29</v>
      </c>
      <c r="N51" s="43" t="s">
        <v>29</v>
      </c>
      <c r="O51" s="25">
        <v>11.259152979877001</v>
      </c>
      <c r="P51" s="46">
        <f t="shared" si="0"/>
        <v>2.3727607904436149E-3</v>
      </c>
    </row>
    <row r="52" spans="2:16" ht="32.1" hidden="1">
      <c r="B52" s="43">
        <v>370</v>
      </c>
      <c r="C52" s="43">
        <v>841891</v>
      </c>
      <c r="D52" s="44" t="s">
        <v>130</v>
      </c>
      <c r="E52" s="44" t="s">
        <v>131</v>
      </c>
      <c r="F52" s="44" t="s">
        <v>112</v>
      </c>
      <c r="G52" s="44" t="s">
        <v>51</v>
      </c>
      <c r="H52" s="44" t="s">
        <v>20</v>
      </c>
      <c r="I52" s="47" t="s">
        <v>103</v>
      </c>
      <c r="J52" s="43" t="s">
        <v>29</v>
      </c>
      <c r="K52" s="43" t="s">
        <v>21</v>
      </c>
      <c r="L52" s="43" t="s">
        <v>29</v>
      </c>
      <c r="M52" s="43" t="s">
        <v>29</v>
      </c>
      <c r="N52" s="43" t="s">
        <v>29</v>
      </c>
      <c r="O52" s="25">
        <v>0.24441517764600007</v>
      </c>
      <c r="P52" s="62">
        <f t="shared" si="0"/>
        <v>5.150820413793464E-5</v>
      </c>
    </row>
    <row r="53" spans="2:16" ht="32.1" hidden="1">
      <c r="B53" s="43">
        <v>97</v>
      </c>
      <c r="C53" s="43">
        <v>841899</v>
      </c>
      <c r="D53" s="44" t="s">
        <v>285</v>
      </c>
      <c r="E53" s="43" t="s">
        <v>200</v>
      </c>
      <c r="F53" s="43" t="s">
        <v>112</v>
      </c>
      <c r="G53" s="43" t="s">
        <v>51</v>
      </c>
      <c r="H53" s="43" t="s">
        <v>20</v>
      </c>
      <c r="I53" s="43" t="s">
        <v>129</v>
      </c>
      <c r="J53" s="43" t="s">
        <v>21</v>
      </c>
      <c r="K53" s="43" t="s">
        <v>21</v>
      </c>
      <c r="L53" s="43" t="s">
        <v>29</v>
      </c>
      <c r="M53" s="43" t="s">
        <v>29</v>
      </c>
      <c r="N53" s="43" t="s">
        <v>29</v>
      </c>
      <c r="O53" s="25">
        <v>8.0026717866109998</v>
      </c>
      <c r="P53" s="46">
        <f t="shared" si="0"/>
        <v>1.6864879505587255E-3</v>
      </c>
    </row>
    <row r="54" spans="2:16" ht="32.1" hidden="1">
      <c r="B54" s="43">
        <v>239</v>
      </c>
      <c r="C54" s="43">
        <v>841911</v>
      </c>
      <c r="D54" s="44" t="s">
        <v>134</v>
      </c>
      <c r="E54" s="44" t="s">
        <v>135</v>
      </c>
      <c r="F54" s="44" t="s">
        <v>112</v>
      </c>
      <c r="G54" s="44" t="s">
        <v>51</v>
      </c>
      <c r="H54" s="44" t="s">
        <v>28</v>
      </c>
      <c r="I54" s="47" t="s">
        <v>103</v>
      </c>
      <c r="J54" s="43" t="s">
        <v>29</v>
      </c>
      <c r="K54" s="43" t="s">
        <v>21</v>
      </c>
      <c r="L54" s="43" t="s">
        <v>29</v>
      </c>
      <c r="M54" s="43" t="s">
        <v>29</v>
      </c>
      <c r="N54" s="43" t="s">
        <v>29</v>
      </c>
      <c r="O54" s="25">
        <v>1.8658773418990002</v>
      </c>
      <c r="P54" s="62">
        <f t="shared" si="0"/>
        <v>3.9321613309169798E-4</v>
      </c>
    </row>
    <row r="55" spans="2:16" ht="15.95" hidden="1">
      <c r="B55" s="43">
        <v>358</v>
      </c>
      <c r="C55" s="43">
        <v>841912</v>
      </c>
      <c r="D55" s="44" t="s">
        <v>136</v>
      </c>
      <c r="E55" s="44" t="s">
        <v>135</v>
      </c>
      <c r="F55" s="44" t="s">
        <v>112</v>
      </c>
      <c r="G55" s="44" t="s">
        <v>51</v>
      </c>
      <c r="H55" s="44" t="s">
        <v>28</v>
      </c>
      <c r="I55" s="47" t="s">
        <v>103</v>
      </c>
      <c r="J55" s="43" t="s">
        <v>29</v>
      </c>
      <c r="K55" s="43" t="s">
        <v>29</v>
      </c>
      <c r="L55" s="43" t="s">
        <v>29</v>
      </c>
      <c r="M55" s="43" t="s">
        <v>29</v>
      </c>
      <c r="N55" s="43" t="s">
        <v>29</v>
      </c>
      <c r="O55" s="25">
        <v>0.33818398212399997</v>
      </c>
      <c r="P55" s="62">
        <f t="shared" si="0"/>
        <v>7.1269099387321532E-5</v>
      </c>
    </row>
    <row r="56" spans="2:16" ht="15.95" hidden="1">
      <c r="B56" s="31">
        <v>124</v>
      </c>
      <c r="C56" s="31">
        <v>842211</v>
      </c>
      <c r="D56" s="32" t="s">
        <v>137</v>
      </c>
      <c r="E56" s="32" t="s">
        <v>138</v>
      </c>
      <c r="F56" s="32" t="s">
        <v>112</v>
      </c>
      <c r="G56" s="32" t="s">
        <v>51</v>
      </c>
      <c r="H56" s="32" t="s">
        <v>28</v>
      </c>
      <c r="I56" s="33" t="s">
        <v>103</v>
      </c>
      <c r="J56" s="31" t="s">
        <v>29</v>
      </c>
      <c r="K56" s="31" t="s">
        <v>21</v>
      </c>
      <c r="L56" s="31" t="s">
        <v>29</v>
      </c>
      <c r="M56" s="34" t="s">
        <v>29</v>
      </c>
      <c r="N56" s="31" t="s">
        <v>29</v>
      </c>
      <c r="O56" s="23">
        <v>6.0109306395830027</v>
      </c>
      <c r="P56" s="39">
        <f t="shared" si="0"/>
        <v>1.2667472021358499E-3</v>
      </c>
    </row>
    <row r="57" spans="2:16" ht="32.1" hidden="1">
      <c r="B57" s="43">
        <v>283</v>
      </c>
      <c r="C57" s="43">
        <v>842219</v>
      </c>
      <c r="D57" s="44" t="s">
        <v>139</v>
      </c>
      <c r="E57" s="44" t="s">
        <v>140</v>
      </c>
      <c r="F57" s="44" t="s">
        <v>112</v>
      </c>
      <c r="G57" s="44" t="s">
        <v>51</v>
      </c>
      <c r="H57" s="44" t="s">
        <v>28</v>
      </c>
      <c r="I57" s="47" t="s">
        <v>103</v>
      </c>
      <c r="J57" s="43" t="s">
        <v>29</v>
      </c>
      <c r="K57" s="43" t="s">
        <v>21</v>
      </c>
      <c r="L57" s="43" t="s">
        <v>29</v>
      </c>
      <c r="M57" s="43" t="s">
        <v>29</v>
      </c>
      <c r="N57" s="43" t="s">
        <v>29</v>
      </c>
      <c r="O57" s="25">
        <v>1.02322013402</v>
      </c>
      <c r="P57" s="62">
        <f t="shared" si="0"/>
        <v>2.1563403733249918E-4</v>
      </c>
    </row>
    <row r="58" spans="2:16" ht="32.1" hidden="1">
      <c r="B58" s="43">
        <v>267</v>
      </c>
      <c r="C58" s="43">
        <v>842310</v>
      </c>
      <c r="D58" s="44" t="s">
        <v>141</v>
      </c>
      <c r="E58" s="44" t="s">
        <v>142</v>
      </c>
      <c r="F58" s="44" t="s">
        <v>66</v>
      </c>
      <c r="G58" s="44" t="s">
        <v>51</v>
      </c>
      <c r="H58" s="44" t="s">
        <v>28</v>
      </c>
      <c r="I58" s="47" t="s">
        <v>103</v>
      </c>
      <c r="J58" s="43" t="s">
        <v>29</v>
      </c>
      <c r="K58" s="43" t="s">
        <v>21</v>
      </c>
      <c r="L58" s="43" t="s">
        <v>29</v>
      </c>
      <c r="M58" s="43" t="s">
        <v>29</v>
      </c>
      <c r="N58" s="43" t="s">
        <v>29</v>
      </c>
      <c r="O58" s="25">
        <v>1.2621129728219997</v>
      </c>
      <c r="P58" s="62">
        <f t="shared" si="0"/>
        <v>2.6597846040235469E-4</v>
      </c>
    </row>
    <row r="59" spans="2:16" ht="32.1" hidden="1">
      <c r="B59" s="43">
        <v>382</v>
      </c>
      <c r="C59" s="43">
        <v>842320</v>
      </c>
      <c r="D59" s="44" t="s">
        <v>143</v>
      </c>
      <c r="E59" s="44" t="s">
        <v>144</v>
      </c>
      <c r="F59" s="44" t="s">
        <v>66</v>
      </c>
      <c r="G59" s="44" t="s">
        <v>51</v>
      </c>
      <c r="H59" s="44" t="s">
        <v>28</v>
      </c>
      <c r="I59" s="47" t="s">
        <v>103</v>
      </c>
      <c r="J59" s="43" t="s">
        <v>29</v>
      </c>
      <c r="K59" s="43" t="s">
        <v>21</v>
      </c>
      <c r="L59" s="43" t="s">
        <v>29</v>
      </c>
      <c r="M59" s="43" t="s">
        <v>29</v>
      </c>
      <c r="N59" s="43" t="s">
        <v>29</v>
      </c>
      <c r="O59" s="25">
        <v>0.172656009315</v>
      </c>
      <c r="P59" s="62">
        <f t="shared" si="0"/>
        <v>3.638563308175025E-5</v>
      </c>
    </row>
    <row r="60" spans="2:16" ht="63.95" hidden="1">
      <c r="B60" s="43">
        <v>323</v>
      </c>
      <c r="C60" s="43">
        <v>842330</v>
      </c>
      <c r="D60" s="44" t="s">
        <v>145</v>
      </c>
      <c r="E60" s="44" t="s">
        <v>146</v>
      </c>
      <c r="F60" s="44" t="s">
        <v>66</v>
      </c>
      <c r="G60" s="44" t="s">
        <v>51</v>
      </c>
      <c r="H60" s="44" t="s">
        <v>28</v>
      </c>
      <c r="I60" s="47" t="s">
        <v>103</v>
      </c>
      <c r="J60" s="43" t="s">
        <v>29</v>
      </c>
      <c r="K60" s="43" t="s">
        <v>21</v>
      </c>
      <c r="L60" s="43" t="s">
        <v>29</v>
      </c>
      <c r="M60" s="43" t="s">
        <v>29</v>
      </c>
      <c r="N60" s="43" t="s">
        <v>29</v>
      </c>
      <c r="O60" s="25">
        <v>0.63374889342399998</v>
      </c>
      <c r="P60" s="62">
        <f t="shared" si="0"/>
        <v>1.3355662970305636E-4</v>
      </c>
    </row>
    <row r="61" spans="2:16" ht="63.95" hidden="1">
      <c r="B61" s="43">
        <v>305</v>
      </c>
      <c r="C61" s="43">
        <v>842381</v>
      </c>
      <c r="D61" s="44" t="s">
        <v>147</v>
      </c>
      <c r="E61" s="44" t="s">
        <v>146</v>
      </c>
      <c r="F61" s="44" t="s">
        <v>66</v>
      </c>
      <c r="G61" s="44" t="s">
        <v>51</v>
      </c>
      <c r="H61" s="44" t="s">
        <v>28</v>
      </c>
      <c r="I61" s="47" t="s">
        <v>103</v>
      </c>
      <c r="J61" s="43" t="s">
        <v>29</v>
      </c>
      <c r="K61" s="43" t="s">
        <v>21</v>
      </c>
      <c r="L61" s="43" t="s">
        <v>29</v>
      </c>
      <c r="M61" s="43" t="s">
        <v>29</v>
      </c>
      <c r="N61" s="43" t="s">
        <v>29</v>
      </c>
      <c r="O61" s="25">
        <v>0.77843405327500015</v>
      </c>
      <c r="P61" s="62">
        <f t="shared" si="0"/>
        <v>1.6404766884846022E-4</v>
      </c>
    </row>
    <row r="62" spans="2:16" ht="63.95" hidden="1">
      <c r="B62" s="43">
        <v>315</v>
      </c>
      <c r="C62" s="43">
        <v>842382</v>
      </c>
      <c r="D62" s="44" t="s">
        <v>148</v>
      </c>
      <c r="E62" s="44" t="s">
        <v>146</v>
      </c>
      <c r="F62" s="44" t="s">
        <v>66</v>
      </c>
      <c r="G62" s="44" t="s">
        <v>51</v>
      </c>
      <c r="H62" s="44" t="s">
        <v>28</v>
      </c>
      <c r="I62" s="47" t="s">
        <v>103</v>
      </c>
      <c r="J62" s="43" t="s">
        <v>29</v>
      </c>
      <c r="K62" s="43" t="s">
        <v>21</v>
      </c>
      <c r="L62" s="43" t="s">
        <v>29</v>
      </c>
      <c r="M62" s="43" t="s">
        <v>29</v>
      </c>
      <c r="N62" s="43" t="s">
        <v>29</v>
      </c>
      <c r="O62" s="25">
        <v>0.68147874005800002</v>
      </c>
      <c r="P62" s="62">
        <f t="shared" si="0"/>
        <v>1.436152467970289E-4</v>
      </c>
    </row>
    <row r="63" spans="2:16" ht="48" hidden="1">
      <c r="B63" s="43">
        <v>375</v>
      </c>
      <c r="C63" s="43">
        <v>842389</v>
      </c>
      <c r="D63" s="44" t="s">
        <v>149</v>
      </c>
      <c r="E63" s="44" t="s">
        <v>150</v>
      </c>
      <c r="F63" s="44" t="s">
        <v>66</v>
      </c>
      <c r="G63" s="44" t="s">
        <v>51</v>
      </c>
      <c r="H63" s="44" t="s">
        <v>28</v>
      </c>
      <c r="I63" s="47" t="s">
        <v>103</v>
      </c>
      <c r="J63" s="43" t="s">
        <v>29</v>
      </c>
      <c r="K63" s="43" t="s">
        <v>21</v>
      </c>
      <c r="L63" s="43" t="s">
        <v>29</v>
      </c>
      <c r="M63" s="43" t="s">
        <v>29</v>
      </c>
      <c r="N63" s="43" t="s">
        <v>29</v>
      </c>
      <c r="O63" s="25">
        <v>0.22190484761000004</v>
      </c>
      <c r="P63" s="62">
        <f t="shared" si="0"/>
        <v>4.6764363408101193E-5</v>
      </c>
    </row>
    <row r="64" spans="2:16" ht="32.1" hidden="1">
      <c r="B64" s="43">
        <v>286</v>
      </c>
      <c r="C64" s="43">
        <v>842390</v>
      </c>
      <c r="D64" s="44" t="s">
        <v>151</v>
      </c>
      <c r="E64" s="44" t="s">
        <v>142</v>
      </c>
      <c r="F64" s="44" t="s">
        <v>66</v>
      </c>
      <c r="G64" s="44" t="s">
        <v>51</v>
      </c>
      <c r="H64" s="44" t="s">
        <v>28</v>
      </c>
      <c r="I64" s="47" t="s">
        <v>103</v>
      </c>
      <c r="J64" s="43" t="s">
        <v>29</v>
      </c>
      <c r="K64" s="43" t="s">
        <v>21</v>
      </c>
      <c r="L64" s="43" t="s">
        <v>29</v>
      </c>
      <c r="M64" s="43" t="s">
        <v>29</v>
      </c>
      <c r="N64" s="43" t="s">
        <v>29</v>
      </c>
      <c r="O64" s="25">
        <v>1.0151835275700001</v>
      </c>
      <c r="P64" s="62">
        <f t="shared" si="0"/>
        <v>2.1394039797020725E-4</v>
      </c>
    </row>
    <row r="65" spans="1:16" ht="32.1" hidden="1">
      <c r="B65" s="43">
        <v>371</v>
      </c>
      <c r="C65" s="43">
        <v>844311</v>
      </c>
      <c r="D65" s="44" t="s">
        <v>152</v>
      </c>
      <c r="E65" s="44" t="s">
        <v>153</v>
      </c>
      <c r="F65" s="44" t="s">
        <v>36</v>
      </c>
      <c r="G65" s="44" t="s">
        <v>51</v>
      </c>
      <c r="H65" s="44" t="s">
        <v>28</v>
      </c>
      <c r="I65" s="47" t="s">
        <v>103</v>
      </c>
      <c r="J65" s="43" t="s">
        <v>29</v>
      </c>
      <c r="K65" s="43" t="s">
        <v>21</v>
      </c>
      <c r="L65" s="43" t="s">
        <v>29</v>
      </c>
      <c r="M65" s="43" t="s">
        <v>29</v>
      </c>
      <c r="N65" s="43" t="s">
        <v>29</v>
      </c>
      <c r="O65" s="25">
        <v>0.24014965173900002</v>
      </c>
      <c r="P65" s="62">
        <f t="shared" si="0"/>
        <v>5.0609284597464752E-5</v>
      </c>
    </row>
    <row r="66" spans="1:16" ht="48" hidden="1">
      <c r="B66" s="43">
        <v>407</v>
      </c>
      <c r="C66" s="43">
        <v>844312</v>
      </c>
      <c r="D66" s="44" t="s">
        <v>154</v>
      </c>
      <c r="E66" s="44" t="s">
        <v>153</v>
      </c>
      <c r="F66" s="44" t="s">
        <v>36</v>
      </c>
      <c r="G66" s="44" t="s">
        <v>51</v>
      </c>
      <c r="H66" s="44" t="s">
        <v>28</v>
      </c>
      <c r="I66" s="47" t="s">
        <v>103</v>
      </c>
      <c r="J66" s="43" t="s">
        <v>29</v>
      </c>
      <c r="K66" s="43" t="s">
        <v>21</v>
      </c>
      <c r="L66" s="43" t="s">
        <v>29</v>
      </c>
      <c r="M66" s="43" t="s">
        <v>29</v>
      </c>
      <c r="N66" s="43" t="s">
        <v>29</v>
      </c>
      <c r="O66" s="25">
        <v>2.2840186139000004E-2</v>
      </c>
      <c r="P66" s="62">
        <f t="shared" si="0"/>
        <v>4.8133548068768656E-6</v>
      </c>
    </row>
    <row r="67" spans="1:16" ht="32.1" hidden="1">
      <c r="B67" s="43">
        <v>210</v>
      </c>
      <c r="C67" s="43">
        <v>844313</v>
      </c>
      <c r="D67" s="44" t="s">
        <v>155</v>
      </c>
      <c r="E67" s="44" t="s">
        <v>153</v>
      </c>
      <c r="F67" s="44" t="s">
        <v>36</v>
      </c>
      <c r="G67" s="44" t="s">
        <v>51</v>
      </c>
      <c r="H67" s="44" t="s">
        <v>28</v>
      </c>
      <c r="I67" s="47" t="s">
        <v>103</v>
      </c>
      <c r="J67" s="43" t="s">
        <v>29</v>
      </c>
      <c r="K67" s="43" t="s">
        <v>21</v>
      </c>
      <c r="L67" s="43" t="s">
        <v>29</v>
      </c>
      <c r="M67" s="43" t="s">
        <v>29</v>
      </c>
      <c r="N67" s="43" t="s">
        <v>29</v>
      </c>
      <c r="O67" s="25">
        <v>2.3784743361409997</v>
      </c>
      <c r="P67" s="62">
        <f t="shared" si="0"/>
        <v>5.0124113740689417E-4</v>
      </c>
    </row>
    <row r="68" spans="1:16" ht="32.1" hidden="1">
      <c r="B68" s="43">
        <v>274</v>
      </c>
      <c r="C68" s="43">
        <v>844316</v>
      </c>
      <c r="D68" s="44" t="s">
        <v>156</v>
      </c>
      <c r="E68" s="44" t="s">
        <v>153</v>
      </c>
      <c r="F68" s="44" t="s">
        <v>36</v>
      </c>
      <c r="G68" s="44" t="s">
        <v>51</v>
      </c>
      <c r="H68" s="44" t="s">
        <v>28</v>
      </c>
      <c r="I68" s="47" t="s">
        <v>103</v>
      </c>
      <c r="J68" s="43" t="s">
        <v>29</v>
      </c>
      <c r="K68" s="43" t="s">
        <v>21</v>
      </c>
      <c r="L68" s="43" t="s">
        <v>29</v>
      </c>
      <c r="M68" s="43" t="s">
        <v>29</v>
      </c>
      <c r="N68" s="43" t="s">
        <v>29</v>
      </c>
      <c r="O68" s="25">
        <v>1.1784774466379999</v>
      </c>
      <c r="P68" s="62">
        <f t="shared" ref="P68:P70" si="1">O68/SUM($O$4:$O$426)</f>
        <v>2.4835305842298811E-4</v>
      </c>
    </row>
    <row r="69" spans="1:16" ht="32.1" hidden="1">
      <c r="B69" s="43">
        <v>376</v>
      </c>
      <c r="C69" s="43">
        <v>844317</v>
      </c>
      <c r="D69" s="44" t="s">
        <v>157</v>
      </c>
      <c r="E69" s="44" t="s">
        <v>153</v>
      </c>
      <c r="F69" s="44" t="s">
        <v>36</v>
      </c>
      <c r="G69" s="44" t="s">
        <v>51</v>
      </c>
      <c r="H69" s="44" t="s">
        <v>28</v>
      </c>
      <c r="I69" s="47" t="s">
        <v>103</v>
      </c>
      <c r="J69" s="43" t="s">
        <v>29</v>
      </c>
      <c r="K69" s="43" t="s">
        <v>21</v>
      </c>
      <c r="L69" s="43" t="s">
        <v>29</v>
      </c>
      <c r="M69" s="43" t="s">
        <v>29</v>
      </c>
      <c r="N69" s="43" t="s">
        <v>29</v>
      </c>
      <c r="O69" s="25">
        <v>0.22139201062799996</v>
      </c>
      <c r="P69" s="62">
        <f t="shared" si="1"/>
        <v>4.6656287828618973E-5</v>
      </c>
    </row>
    <row r="70" spans="1:16" ht="48" hidden="1">
      <c r="B70" s="43">
        <v>242</v>
      </c>
      <c r="C70" s="43">
        <v>844319</v>
      </c>
      <c r="D70" s="44" t="s">
        <v>158</v>
      </c>
      <c r="E70" s="44" t="s">
        <v>153</v>
      </c>
      <c r="F70" s="44" t="s">
        <v>36</v>
      </c>
      <c r="G70" s="44" t="s">
        <v>51</v>
      </c>
      <c r="H70" s="44" t="s">
        <v>28</v>
      </c>
      <c r="I70" s="47" t="s">
        <v>103</v>
      </c>
      <c r="J70" s="43" t="s">
        <v>29</v>
      </c>
      <c r="K70" s="43" t="s">
        <v>21</v>
      </c>
      <c r="L70" s="43" t="s">
        <v>29</v>
      </c>
      <c r="M70" s="43" t="s">
        <v>29</v>
      </c>
      <c r="N70" s="43" t="s">
        <v>29</v>
      </c>
      <c r="O70" s="25">
        <v>1.8193845673020004</v>
      </c>
      <c r="P70" s="62">
        <f t="shared" si="1"/>
        <v>3.8341821731598574E-4</v>
      </c>
    </row>
    <row r="71" spans="1:16" ht="80.099999999999994">
      <c r="A71" s="4" t="s">
        <v>718</v>
      </c>
      <c r="B71" s="43">
        <v>52</v>
      </c>
      <c r="C71" s="72">
        <v>844331</v>
      </c>
      <c r="D71" s="44" t="s">
        <v>201</v>
      </c>
      <c r="E71" s="43" t="s">
        <v>153</v>
      </c>
      <c r="F71" s="43" t="s">
        <v>36</v>
      </c>
      <c r="G71" s="43" t="s">
        <v>37</v>
      </c>
      <c r="H71" s="43" t="s">
        <v>28</v>
      </c>
      <c r="I71" s="43" t="s">
        <v>12</v>
      </c>
      <c r="J71" s="43" t="s">
        <v>21</v>
      </c>
      <c r="K71" s="43" t="s">
        <v>21</v>
      </c>
      <c r="L71" s="43" t="s">
        <v>29</v>
      </c>
      <c r="M71" s="43" t="s">
        <v>21</v>
      </c>
      <c r="N71" s="43" t="s">
        <v>21</v>
      </c>
      <c r="O71" s="25">
        <v>16.384845292273997</v>
      </c>
      <c r="P71" s="46">
        <f t="shared" ref="P71:P134" si="2">O71/SUM($O$4:$O$426)</f>
        <v>3.4529523256745997E-3</v>
      </c>
    </row>
    <row r="72" spans="1:16" ht="63.95">
      <c r="A72" s="4" t="s">
        <v>718</v>
      </c>
      <c r="B72" s="43">
        <v>69</v>
      </c>
      <c r="C72" s="72">
        <v>844332</v>
      </c>
      <c r="D72" s="44" t="s">
        <v>245</v>
      </c>
      <c r="E72" s="43" t="s">
        <v>153</v>
      </c>
      <c r="F72" s="43" t="s">
        <v>36</v>
      </c>
      <c r="G72" s="43" t="s">
        <v>37</v>
      </c>
      <c r="H72" s="43" t="s">
        <v>28</v>
      </c>
      <c r="I72" s="43" t="s">
        <v>12</v>
      </c>
      <c r="J72" s="43" t="s">
        <v>21</v>
      </c>
      <c r="K72" s="43" t="s">
        <v>21</v>
      </c>
      <c r="L72" s="43" t="s">
        <v>29</v>
      </c>
      <c r="M72" s="43" t="s">
        <v>21</v>
      </c>
      <c r="N72" s="43" t="s">
        <v>21</v>
      </c>
      <c r="O72" s="25">
        <v>11.97763236121299</v>
      </c>
      <c r="P72" s="46">
        <f t="shared" si="2"/>
        <v>2.5241735750307945E-3</v>
      </c>
    </row>
    <row r="73" spans="1:16" ht="63.95">
      <c r="A73" s="4" t="s">
        <v>718</v>
      </c>
      <c r="B73" s="43">
        <v>248</v>
      </c>
      <c r="C73" s="72">
        <v>844339</v>
      </c>
      <c r="D73" s="44" t="s">
        <v>547</v>
      </c>
      <c r="E73" s="43" t="s">
        <v>153</v>
      </c>
      <c r="F73" s="43" t="s">
        <v>36</v>
      </c>
      <c r="G73" s="43" t="s">
        <v>37</v>
      </c>
      <c r="H73" s="43" t="s">
        <v>28</v>
      </c>
      <c r="I73" s="43" t="s">
        <v>12</v>
      </c>
      <c r="J73" s="43" t="s">
        <v>21</v>
      </c>
      <c r="K73" s="43" t="s">
        <v>21</v>
      </c>
      <c r="L73" s="43" t="s">
        <v>29</v>
      </c>
      <c r="M73" s="43" t="s">
        <v>21</v>
      </c>
      <c r="N73" s="43" t="s">
        <v>21</v>
      </c>
      <c r="O73" s="25">
        <v>1.5914656014440001</v>
      </c>
      <c r="P73" s="46">
        <f t="shared" si="2"/>
        <v>3.353864349471998E-4</v>
      </c>
    </row>
    <row r="74" spans="1:16" ht="48">
      <c r="B74" s="43">
        <v>215</v>
      </c>
      <c r="C74" s="43">
        <v>844391</v>
      </c>
      <c r="D74" s="44" t="s">
        <v>38</v>
      </c>
      <c r="E74" s="43" t="s">
        <v>39</v>
      </c>
      <c r="F74" s="43" t="s">
        <v>36</v>
      </c>
      <c r="G74" s="43" t="s">
        <v>40</v>
      </c>
      <c r="H74" s="43" t="s">
        <v>20</v>
      </c>
      <c r="I74" s="43" t="s">
        <v>12</v>
      </c>
      <c r="J74" s="43" t="s">
        <v>21</v>
      </c>
      <c r="K74" s="43" t="s">
        <v>21</v>
      </c>
      <c r="L74" s="43" t="s">
        <v>29</v>
      </c>
      <c r="M74" s="43" t="s">
        <v>21</v>
      </c>
      <c r="N74" s="43" t="s">
        <v>21</v>
      </c>
      <c r="O74" s="25">
        <v>2.2696516601819989</v>
      </c>
      <c r="P74" s="46">
        <f t="shared" si="2"/>
        <v>4.7830778006747836E-4</v>
      </c>
    </row>
    <row r="75" spans="1:16" ht="32.1">
      <c r="B75" s="43">
        <v>23</v>
      </c>
      <c r="C75" s="43">
        <v>844399</v>
      </c>
      <c r="D75" s="44" t="s">
        <v>57</v>
      </c>
      <c r="E75" s="43" t="s">
        <v>39</v>
      </c>
      <c r="F75" s="43" t="s">
        <v>36</v>
      </c>
      <c r="G75" s="43" t="s">
        <v>40</v>
      </c>
      <c r="H75" s="43" t="s">
        <v>20</v>
      </c>
      <c r="I75" s="43" t="s">
        <v>12</v>
      </c>
      <c r="J75" s="43" t="s">
        <v>21</v>
      </c>
      <c r="K75" s="43" t="s">
        <v>29</v>
      </c>
      <c r="L75" s="43" t="s">
        <v>29</v>
      </c>
      <c r="M75" s="43" t="s">
        <v>21</v>
      </c>
      <c r="N75" s="43" t="s">
        <v>21</v>
      </c>
      <c r="O75" s="25">
        <v>39.956587402628017</v>
      </c>
      <c r="P75" s="46">
        <f t="shared" si="2"/>
        <v>8.4204756857229179E-3</v>
      </c>
    </row>
    <row r="76" spans="1:16" ht="48" hidden="1">
      <c r="B76" s="43">
        <v>96</v>
      </c>
      <c r="C76" s="43">
        <v>845011</v>
      </c>
      <c r="D76" s="44" t="s">
        <v>274</v>
      </c>
      <c r="E76" s="43" t="s">
        <v>173</v>
      </c>
      <c r="F76" s="43" t="s">
        <v>112</v>
      </c>
      <c r="G76" s="43" t="s">
        <v>51</v>
      </c>
      <c r="H76" s="43" t="s">
        <v>28</v>
      </c>
      <c r="I76" s="43" t="s">
        <v>129</v>
      </c>
      <c r="J76" s="43" t="s">
        <v>21</v>
      </c>
      <c r="K76" s="43" t="s">
        <v>21</v>
      </c>
      <c r="L76" s="43" t="s">
        <v>29</v>
      </c>
      <c r="M76" s="43" t="s">
        <v>29</v>
      </c>
      <c r="N76" s="43" t="s">
        <v>29</v>
      </c>
      <c r="O76" s="25">
        <v>8.1523284587809997</v>
      </c>
      <c r="P76" s="46">
        <f t="shared" si="2"/>
        <v>1.7180266892531818E-3</v>
      </c>
    </row>
    <row r="77" spans="1:16" ht="48" hidden="1">
      <c r="B77" s="43">
        <v>327</v>
      </c>
      <c r="C77" s="43">
        <v>845012</v>
      </c>
      <c r="D77" s="44" t="s">
        <v>169</v>
      </c>
      <c r="E77" s="44" t="s">
        <v>170</v>
      </c>
      <c r="F77" s="44" t="s">
        <v>66</v>
      </c>
      <c r="G77" s="44" t="s">
        <v>51</v>
      </c>
      <c r="H77" s="44" t="s">
        <v>28</v>
      </c>
      <c r="I77" s="47" t="s">
        <v>103</v>
      </c>
      <c r="J77" s="43" t="s">
        <v>29</v>
      </c>
      <c r="K77" s="43" t="s">
        <v>21</v>
      </c>
      <c r="L77" s="43" t="s">
        <v>29</v>
      </c>
      <c r="M77" s="43" t="s">
        <v>29</v>
      </c>
      <c r="N77" s="43" t="s">
        <v>29</v>
      </c>
      <c r="O77" s="25">
        <v>0.59952997902599992</v>
      </c>
      <c r="P77" s="62">
        <f t="shared" si="2"/>
        <v>1.2634531473822426E-4</v>
      </c>
    </row>
    <row r="78" spans="1:16" ht="48" hidden="1">
      <c r="B78" s="43">
        <v>388</v>
      </c>
      <c r="C78" s="43">
        <v>845019</v>
      </c>
      <c r="D78" s="44" t="s">
        <v>171</v>
      </c>
      <c r="E78" s="44" t="s">
        <v>170</v>
      </c>
      <c r="F78" s="44" t="s">
        <v>66</v>
      </c>
      <c r="G78" s="44" t="s">
        <v>51</v>
      </c>
      <c r="H78" s="44" t="s">
        <v>28</v>
      </c>
      <c r="I78" s="47" t="s">
        <v>103</v>
      </c>
      <c r="J78" s="43" t="s">
        <v>29</v>
      </c>
      <c r="K78" s="43" t="s">
        <v>21</v>
      </c>
      <c r="L78" s="43" t="s">
        <v>29</v>
      </c>
      <c r="M78" s="43" t="s">
        <v>29</v>
      </c>
      <c r="N78" s="43" t="s">
        <v>29</v>
      </c>
      <c r="O78" s="25">
        <v>0.15073780335799999</v>
      </c>
      <c r="P78" s="62">
        <f t="shared" si="2"/>
        <v>3.176657694275058E-5</v>
      </c>
    </row>
    <row r="79" spans="1:16" ht="32.1" hidden="1">
      <c r="B79" s="43">
        <v>183</v>
      </c>
      <c r="C79" s="43">
        <v>845020</v>
      </c>
      <c r="D79" s="44" t="s">
        <v>172</v>
      </c>
      <c r="E79" s="44" t="s">
        <v>173</v>
      </c>
      <c r="F79" s="44" t="s">
        <v>112</v>
      </c>
      <c r="G79" s="44" t="s">
        <v>51</v>
      </c>
      <c r="H79" s="44" t="s">
        <v>28</v>
      </c>
      <c r="I79" s="47" t="s">
        <v>103</v>
      </c>
      <c r="J79" s="43" t="s">
        <v>29</v>
      </c>
      <c r="K79" s="43" t="s">
        <v>21</v>
      </c>
      <c r="L79" s="43" t="s">
        <v>29</v>
      </c>
      <c r="M79" s="43" t="s">
        <v>29</v>
      </c>
      <c r="N79" s="43" t="s">
        <v>29</v>
      </c>
      <c r="O79" s="25">
        <v>3.3823109721349982</v>
      </c>
      <c r="P79" s="62">
        <f t="shared" si="2"/>
        <v>7.1279028450120779E-4</v>
      </c>
    </row>
    <row r="80" spans="1:16" ht="32.1" hidden="1">
      <c r="B80" s="43">
        <v>240</v>
      </c>
      <c r="C80" s="43">
        <v>845090</v>
      </c>
      <c r="D80" s="44" t="s">
        <v>174</v>
      </c>
      <c r="E80" s="44" t="s">
        <v>175</v>
      </c>
      <c r="F80" s="44" t="s">
        <v>112</v>
      </c>
      <c r="G80" s="44" t="s">
        <v>51</v>
      </c>
      <c r="H80" s="44" t="s">
        <v>20</v>
      </c>
      <c r="I80" s="47" t="s">
        <v>103</v>
      </c>
      <c r="J80" s="43" t="s">
        <v>29</v>
      </c>
      <c r="K80" s="43" t="s">
        <v>21</v>
      </c>
      <c r="L80" s="43" t="s">
        <v>29</v>
      </c>
      <c r="M80" s="43" t="s">
        <v>29</v>
      </c>
      <c r="N80" s="43" t="s">
        <v>29</v>
      </c>
      <c r="O80" s="25">
        <v>1.8437718090150002</v>
      </c>
      <c r="P80" s="62">
        <f t="shared" si="2"/>
        <v>3.8855759956144388E-4</v>
      </c>
    </row>
    <row r="81" spans="2:16" ht="32.1" hidden="1">
      <c r="B81" s="43">
        <v>400</v>
      </c>
      <c r="C81" s="43">
        <v>845110</v>
      </c>
      <c r="D81" s="44" t="s">
        <v>176</v>
      </c>
      <c r="E81" s="44" t="s">
        <v>177</v>
      </c>
      <c r="F81" s="44" t="s">
        <v>66</v>
      </c>
      <c r="G81" s="44" t="s">
        <v>51</v>
      </c>
      <c r="H81" s="44" t="s">
        <v>28</v>
      </c>
      <c r="I81" s="47" t="s">
        <v>103</v>
      </c>
      <c r="J81" s="43" t="s">
        <v>29</v>
      </c>
      <c r="K81" s="43" t="s">
        <v>21</v>
      </c>
      <c r="L81" s="43" t="s">
        <v>29</v>
      </c>
      <c r="M81" s="43" t="s">
        <v>29</v>
      </c>
      <c r="N81" s="43" t="s">
        <v>29</v>
      </c>
      <c r="O81" s="25">
        <v>5.6586921758999993E-2</v>
      </c>
      <c r="P81" s="62">
        <f t="shared" si="2"/>
        <v>1.1925162527023644E-5</v>
      </c>
    </row>
    <row r="82" spans="2:16" ht="32.1" hidden="1">
      <c r="B82" s="43">
        <v>198</v>
      </c>
      <c r="C82" s="43">
        <v>845121</v>
      </c>
      <c r="D82" s="44" t="s">
        <v>178</v>
      </c>
      <c r="E82" s="44" t="s">
        <v>179</v>
      </c>
      <c r="F82" s="44" t="s">
        <v>66</v>
      </c>
      <c r="G82" s="44" t="s">
        <v>51</v>
      </c>
      <c r="H82" s="44" t="s">
        <v>28</v>
      </c>
      <c r="I82" s="47" t="s">
        <v>103</v>
      </c>
      <c r="J82" s="43" t="s">
        <v>29</v>
      </c>
      <c r="K82" s="43" t="s">
        <v>21</v>
      </c>
      <c r="L82" s="43" t="s">
        <v>29</v>
      </c>
      <c r="M82" s="43" t="s">
        <v>29</v>
      </c>
      <c r="N82" s="43" t="s">
        <v>29</v>
      </c>
      <c r="O82" s="25">
        <v>2.9037783006189994</v>
      </c>
      <c r="P82" s="62">
        <f t="shared" si="2"/>
        <v>6.1194401640726455E-4</v>
      </c>
    </row>
    <row r="83" spans="2:16" ht="32.1" hidden="1">
      <c r="B83" s="43">
        <v>231</v>
      </c>
      <c r="C83" s="43">
        <v>845129</v>
      </c>
      <c r="D83" s="44" t="s">
        <v>180</v>
      </c>
      <c r="E83" s="44" t="s">
        <v>179</v>
      </c>
      <c r="F83" s="44" t="s">
        <v>66</v>
      </c>
      <c r="G83" s="44" t="s">
        <v>51</v>
      </c>
      <c r="H83" s="44" t="s">
        <v>28</v>
      </c>
      <c r="I83" s="47" t="s">
        <v>103</v>
      </c>
      <c r="J83" s="43" t="s">
        <v>29</v>
      </c>
      <c r="K83" s="43" t="s">
        <v>21</v>
      </c>
      <c r="L83" s="43" t="s">
        <v>29</v>
      </c>
      <c r="M83" s="43" t="s">
        <v>29</v>
      </c>
      <c r="N83" s="43" t="s">
        <v>29</v>
      </c>
      <c r="O83" s="25">
        <v>1.9534083682819996</v>
      </c>
      <c r="P83" s="62">
        <f t="shared" si="2"/>
        <v>4.1166247516734631E-4</v>
      </c>
    </row>
    <row r="84" spans="2:16" ht="32.1" hidden="1">
      <c r="B84" s="43">
        <v>346</v>
      </c>
      <c r="C84" s="43">
        <v>845130</v>
      </c>
      <c r="D84" s="44" t="s">
        <v>181</v>
      </c>
      <c r="E84" s="44" t="s">
        <v>182</v>
      </c>
      <c r="F84" s="44" t="s">
        <v>66</v>
      </c>
      <c r="G84" s="44" t="s">
        <v>51</v>
      </c>
      <c r="H84" s="44" t="s">
        <v>28</v>
      </c>
      <c r="I84" s="47" t="s">
        <v>103</v>
      </c>
      <c r="J84" s="43" t="s">
        <v>29</v>
      </c>
      <c r="K84" s="43" t="s">
        <v>21</v>
      </c>
      <c r="L84" s="43" t="s">
        <v>29</v>
      </c>
      <c r="M84" s="43" t="s">
        <v>29</v>
      </c>
      <c r="N84" s="43" t="s">
        <v>29</v>
      </c>
      <c r="O84" s="25">
        <v>0.44560305699700004</v>
      </c>
      <c r="P84" s="62">
        <f t="shared" si="2"/>
        <v>9.3906660974762179E-5</v>
      </c>
    </row>
    <row r="85" spans="2:16" ht="32.1" hidden="1">
      <c r="B85" s="43">
        <v>312</v>
      </c>
      <c r="C85" s="43">
        <v>845210</v>
      </c>
      <c r="D85" s="44" t="s">
        <v>183</v>
      </c>
      <c r="E85" s="44" t="s">
        <v>184</v>
      </c>
      <c r="F85" s="44" t="s">
        <v>66</v>
      </c>
      <c r="G85" s="44" t="s">
        <v>51</v>
      </c>
      <c r="H85" s="44" t="s">
        <v>28</v>
      </c>
      <c r="I85" s="47" t="s">
        <v>103</v>
      </c>
      <c r="J85" s="43" t="s">
        <v>29</v>
      </c>
      <c r="K85" s="43" t="s">
        <v>21</v>
      </c>
      <c r="L85" s="43" t="s">
        <v>29</v>
      </c>
      <c r="M85" s="43" t="s">
        <v>29</v>
      </c>
      <c r="N85" s="43" t="s">
        <v>29</v>
      </c>
      <c r="O85" s="25">
        <v>0.69853815129600039</v>
      </c>
      <c r="P85" s="62">
        <f t="shared" si="2"/>
        <v>1.4721035756299191E-4</v>
      </c>
    </row>
    <row r="86" spans="2:16" ht="32.1" hidden="1">
      <c r="B86" s="43">
        <v>247</v>
      </c>
      <c r="C86" s="43">
        <v>845221</v>
      </c>
      <c r="D86" s="44" t="s">
        <v>185</v>
      </c>
      <c r="E86" s="44" t="s">
        <v>186</v>
      </c>
      <c r="F86" s="44" t="s">
        <v>66</v>
      </c>
      <c r="G86" s="44" t="s">
        <v>51</v>
      </c>
      <c r="H86" s="44" t="s">
        <v>28</v>
      </c>
      <c r="I86" s="47" t="s">
        <v>103</v>
      </c>
      <c r="J86" s="43" t="s">
        <v>29</v>
      </c>
      <c r="K86" s="43" t="s">
        <v>21</v>
      </c>
      <c r="L86" s="43" t="s">
        <v>29</v>
      </c>
      <c r="M86" s="43" t="s">
        <v>29</v>
      </c>
      <c r="N86" s="43" t="s">
        <v>29</v>
      </c>
      <c r="O86" s="25">
        <v>1.6087537529620004</v>
      </c>
      <c r="P86" s="62">
        <f t="shared" si="2"/>
        <v>3.3902975057977658E-4</v>
      </c>
    </row>
    <row r="87" spans="2:16" ht="48" hidden="1">
      <c r="B87" s="43">
        <v>423</v>
      </c>
      <c r="C87" s="43">
        <v>845610</v>
      </c>
      <c r="D87" s="44" t="s">
        <v>187</v>
      </c>
      <c r="E87" s="44" t="s">
        <v>188</v>
      </c>
      <c r="F87" s="44" t="s">
        <v>189</v>
      </c>
      <c r="G87" s="44" t="s">
        <v>51</v>
      </c>
      <c r="H87" s="44" t="s">
        <v>28</v>
      </c>
      <c r="I87" s="47" t="s">
        <v>103</v>
      </c>
      <c r="J87" s="43" t="s">
        <v>29</v>
      </c>
      <c r="K87" s="43" t="s">
        <v>21</v>
      </c>
      <c r="L87" s="43" t="s">
        <v>29</v>
      </c>
      <c r="M87" s="43" t="s">
        <v>29</v>
      </c>
      <c r="N87" s="43" t="s">
        <v>29</v>
      </c>
      <c r="O87" s="25">
        <v>0</v>
      </c>
      <c r="P87" s="62">
        <f t="shared" si="2"/>
        <v>0</v>
      </c>
    </row>
    <row r="88" spans="2:16" ht="48" hidden="1">
      <c r="B88" s="43">
        <v>292</v>
      </c>
      <c r="C88" s="43">
        <v>845630</v>
      </c>
      <c r="D88" s="44" t="s">
        <v>190</v>
      </c>
      <c r="E88" s="44" t="s">
        <v>191</v>
      </c>
      <c r="F88" s="44" t="s">
        <v>189</v>
      </c>
      <c r="G88" s="44" t="s">
        <v>51</v>
      </c>
      <c r="H88" s="44" t="s">
        <v>28</v>
      </c>
      <c r="I88" s="47" t="s">
        <v>103</v>
      </c>
      <c r="J88" s="43" t="s">
        <v>29</v>
      </c>
      <c r="K88" s="43" t="s">
        <v>21</v>
      </c>
      <c r="L88" s="43" t="s">
        <v>29</v>
      </c>
      <c r="M88" s="43" t="s">
        <v>29</v>
      </c>
      <c r="N88" s="43" t="s">
        <v>29</v>
      </c>
      <c r="O88" s="25">
        <v>0.93255718514600006</v>
      </c>
      <c r="P88" s="62">
        <f t="shared" si="2"/>
        <v>1.9652767199412083E-4</v>
      </c>
    </row>
    <row r="89" spans="2:16" ht="63.95" hidden="1">
      <c r="B89" s="43">
        <v>302</v>
      </c>
      <c r="C89" s="43">
        <v>847010</v>
      </c>
      <c r="D89" s="44" t="s">
        <v>593</v>
      </c>
      <c r="E89" s="43" t="s">
        <v>594</v>
      </c>
      <c r="F89" s="43" t="s">
        <v>66</v>
      </c>
      <c r="G89" s="43" t="s">
        <v>67</v>
      </c>
      <c r="H89" s="43" t="s">
        <v>28</v>
      </c>
      <c r="I89" s="43" t="s">
        <v>12</v>
      </c>
      <c r="J89" s="43" t="s">
        <v>21</v>
      </c>
      <c r="K89" s="43" t="s">
        <v>21</v>
      </c>
      <c r="L89" s="43" t="s">
        <v>29</v>
      </c>
      <c r="M89" s="43" t="s">
        <v>21</v>
      </c>
      <c r="N89" s="43" t="s">
        <v>21</v>
      </c>
      <c r="O89" s="25">
        <v>0.80843204925500012</v>
      </c>
      <c r="P89" s="46">
        <f t="shared" si="2"/>
        <v>1.7036946488235748E-4</v>
      </c>
    </row>
    <row r="90" spans="2:16" ht="32.1" hidden="1">
      <c r="B90" s="43">
        <v>394</v>
      </c>
      <c r="C90" s="43">
        <v>847021</v>
      </c>
      <c r="D90" s="44" t="s">
        <v>679</v>
      </c>
      <c r="E90" s="43" t="s">
        <v>594</v>
      </c>
      <c r="F90" s="43" t="s">
        <v>66</v>
      </c>
      <c r="G90" s="43" t="s">
        <v>67</v>
      </c>
      <c r="H90" s="43" t="s">
        <v>28</v>
      </c>
      <c r="I90" s="43" t="s">
        <v>12</v>
      </c>
      <c r="J90" s="43" t="s">
        <v>21</v>
      </c>
      <c r="K90" s="43" t="s">
        <v>21</v>
      </c>
      <c r="L90" s="43" t="s">
        <v>29</v>
      </c>
      <c r="M90" s="43" t="s">
        <v>21</v>
      </c>
      <c r="N90" s="43" t="s">
        <v>21</v>
      </c>
      <c r="O90" s="25">
        <v>9.2660051776000021E-2</v>
      </c>
      <c r="P90" s="46">
        <f t="shared" si="2"/>
        <v>1.9527236026325838E-5</v>
      </c>
    </row>
    <row r="91" spans="2:16" ht="32.1" hidden="1">
      <c r="B91" s="43">
        <v>398</v>
      </c>
      <c r="C91" s="43">
        <v>847029</v>
      </c>
      <c r="D91" s="44" t="s">
        <v>684</v>
      </c>
      <c r="E91" s="43" t="s">
        <v>594</v>
      </c>
      <c r="F91" s="43" t="s">
        <v>66</v>
      </c>
      <c r="G91" s="43" t="s">
        <v>67</v>
      </c>
      <c r="H91" s="43" t="s">
        <v>28</v>
      </c>
      <c r="I91" s="43" t="s">
        <v>12</v>
      </c>
      <c r="J91" s="43" t="s">
        <v>21</v>
      </c>
      <c r="K91" s="43" t="s">
        <v>21</v>
      </c>
      <c r="L91" s="43" t="s">
        <v>29</v>
      </c>
      <c r="M91" s="43" t="s">
        <v>21</v>
      </c>
      <c r="N91" s="43" t="s">
        <v>21</v>
      </c>
      <c r="O91" s="25">
        <v>7.1574588893000002E-2</v>
      </c>
      <c r="P91" s="46">
        <f t="shared" si="2"/>
        <v>1.5083672672443495E-5</v>
      </c>
    </row>
    <row r="92" spans="2:16" ht="32.1" hidden="1">
      <c r="B92" s="31">
        <v>411</v>
      </c>
      <c r="C92" s="31">
        <v>847030</v>
      </c>
      <c r="D92" s="32" t="s">
        <v>696</v>
      </c>
      <c r="E92" s="31" t="s">
        <v>594</v>
      </c>
      <c r="F92" s="31" t="s">
        <v>66</v>
      </c>
      <c r="G92" s="31" t="s">
        <v>67</v>
      </c>
      <c r="H92" s="31" t="s">
        <v>28</v>
      </c>
      <c r="I92" s="31" t="s">
        <v>12</v>
      </c>
      <c r="J92" s="31" t="s">
        <v>21</v>
      </c>
      <c r="K92" s="31" t="s">
        <v>21</v>
      </c>
      <c r="L92" s="31" t="s">
        <v>29</v>
      </c>
      <c r="M92" s="34" t="s">
        <v>21</v>
      </c>
      <c r="N92" s="31" t="s">
        <v>21</v>
      </c>
      <c r="O92" s="23">
        <v>1.6354636185E-2</v>
      </c>
      <c r="P92" s="71">
        <f t="shared" si="2"/>
        <v>3.4465860399173892E-6</v>
      </c>
    </row>
    <row r="93" spans="2:16" ht="32.1" hidden="1">
      <c r="B93" s="43">
        <v>153</v>
      </c>
      <c r="C93" s="43">
        <v>847050</v>
      </c>
      <c r="D93" s="44" t="s">
        <v>435</v>
      </c>
      <c r="E93" s="43" t="s">
        <v>436</v>
      </c>
      <c r="F93" s="43" t="s">
        <v>66</v>
      </c>
      <c r="G93" s="43" t="s">
        <v>40</v>
      </c>
      <c r="H93" s="43" t="s">
        <v>28</v>
      </c>
      <c r="I93" s="43" t="s">
        <v>12</v>
      </c>
      <c r="J93" s="43" t="s">
        <v>21</v>
      </c>
      <c r="K93" s="43" t="s">
        <v>21</v>
      </c>
      <c r="L93" s="43" t="s">
        <v>29</v>
      </c>
      <c r="M93" s="43" t="s">
        <v>21</v>
      </c>
      <c r="N93" s="43" t="s">
        <v>21</v>
      </c>
      <c r="O93" s="25">
        <v>4.7707608631400014</v>
      </c>
      <c r="P93" s="46">
        <f t="shared" si="2"/>
        <v>1.0053930643693228E-3</v>
      </c>
    </row>
    <row r="94" spans="2:16" ht="32.1" hidden="1">
      <c r="B94" s="43">
        <v>279</v>
      </c>
      <c r="C94" s="43">
        <v>847090</v>
      </c>
      <c r="D94" s="44" t="s">
        <v>581</v>
      </c>
      <c r="E94" s="43" t="s">
        <v>582</v>
      </c>
      <c r="F94" s="43" t="s">
        <v>66</v>
      </c>
      <c r="G94" s="43" t="s">
        <v>40</v>
      </c>
      <c r="H94" s="43" t="s">
        <v>28</v>
      </c>
      <c r="I94" s="43" t="s">
        <v>12</v>
      </c>
      <c r="J94" s="43" t="s">
        <v>21</v>
      </c>
      <c r="K94" s="43" t="s">
        <v>21</v>
      </c>
      <c r="L94" s="43" t="s">
        <v>29</v>
      </c>
      <c r="M94" s="43" t="s">
        <v>21</v>
      </c>
      <c r="N94" s="43" t="s">
        <v>21</v>
      </c>
      <c r="O94" s="25">
        <v>1.0958222121549999</v>
      </c>
      <c r="P94" s="46">
        <f t="shared" si="2"/>
        <v>2.3093424371670388E-4</v>
      </c>
    </row>
    <row r="95" spans="2:16" ht="48">
      <c r="B95" s="43">
        <v>6</v>
      </c>
      <c r="C95" s="43">
        <v>847130</v>
      </c>
      <c r="D95" s="44" t="s">
        <v>34</v>
      </c>
      <c r="E95" s="43" t="s">
        <v>35</v>
      </c>
      <c r="F95" s="43" t="s">
        <v>36</v>
      </c>
      <c r="G95" s="43" t="s">
        <v>37</v>
      </c>
      <c r="H95" s="43" t="s">
        <v>28</v>
      </c>
      <c r="I95" s="43" t="s">
        <v>12</v>
      </c>
      <c r="J95" s="43" t="s">
        <v>21</v>
      </c>
      <c r="K95" s="43" t="s">
        <v>21</v>
      </c>
      <c r="L95" s="43" t="s">
        <v>21</v>
      </c>
      <c r="M95" s="43" t="s">
        <v>21</v>
      </c>
      <c r="N95" s="43" t="s">
        <v>21</v>
      </c>
      <c r="O95" s="25">
        <v>176.99718579195005</v>
      </c>
      <c r="P95" s="46">
        <f t="shared" si="2"/>
        <v>3.7300495269635338E-2</v>
      </c>
    </row>
    <row r="96" spans="2:16" ht="63.95">
      <c r="B96" s="43">
        <v>59</v>
      </c>
      <c r="C96" s="43">
        <v>847141</v>
      </c>
      <c r="D96" s="44" t="s">
        <v>202</v>
      </c>
      <c r="E96" s="43" t="s">
        <v>164</v>
      </c>
      <c r="F96" s="43" t="s">
        <v>36</v>
      </c>
      <c r="G96" s="43" t="s">
        <v>37</v>
      </c>
      <c r="H96" s="43" t="s">
        <v>28</v>
      </c>
      <c r="I96" s="43" t="s">
        <v>12</v>
      </c>
      <c r="J96" s="43" t="s">
        <v>21</v>
      </c>
      <c r="K96" s="43" t="s">
        <v>21</v>
      </c>
      <c r="L96" s="43" t="s">
        <v>29</v>
      </c>
      <c r="M96" s="43" t="s">
        <v>21</v>
      </c>
      <c r="N96" s="43" t="s">
        <v>21</v>
      </c>
      <c r="O96" s="25">
        <v>14.236101189548007</v>
      </c>
      <c r="P96" s="46">
        <f t="shared" si="2"/>
        <v>3.0001246782700901E-3</v>
      </c>
    </row>
    <row r="97" spans="1:16" ht="48">
      <c r="B97" s="43">
        <v>40</v>
      </c>
      <c r="C97" s="43">
        <v>847149</v>
      </c>
      <c r="D97" s="44" t="s">
        <v>163</v>
      </c>
      <c r="E97" s="43" t="s">
        <v>164</v>
      </c>
      <c r="F97" s="43" t="s">
        <v>36</v>
      </c>
      <c r="G97" s="43" t="s">
        <v>37</v>
      </c>
      <c r="H97" s="43" t="s">
        <v>28</v>
      </c>
      <c r="I97" s="43" t="s">
        <v>12</v>
      </c>
      <c r="J97" s="43" t="s">
        <v>21</v>
      </c>
      <c r="K97" s="43" t="s">
        <v>21</v>
      </c>
      <c r="L97" s="43" t="s">
        <v>29</v>
      </c>
      <c r="M97" s="43" t="s">
        <v>21</v>
      </c>
      <c r="N97" s="43" t="s">
        <v>21</v>
      </c>
      <c r="O97" s="25">
        <v>22.810593089326002</v>
      </c>
      <c r="P97" s="46">
        <f t="shared" si="2"/>
        <v>4.8071183494753523E-3</v>
      </c>
    </row>
    <row r="98" spans="1:16" ht="80.099999999999994">
      <c r="B98" s="43">
        <v>9</v>
      </c>
      <c r="C98" s="43">
        <v>847150</v>
      </c>
      <c r="D98" s="44" t="s">
        <v>44</v>
      </c>
      <c r="E98" s="43" t="s">
        <v>45</v>
      </c>
      <c r="F98" s="43" t="s">
        <v>36</v>
      </c>
      <c r="G98" s="43" t="s">
        <v>37</v>
      </c>
      <c r="H98" s="43" t="s">
        <v>28</v>
      </c>
      <c r="I98" s="43" t="s">
        <v>12</v>
      </c>
      <c r="J98" s="43" t="s">
        <v>21</v>
      </c>
      <c r="K98" s="43" t="s">
        <v>21</v>
      </c>
      <c r="L98" s="43" t="s">
        <v>21</v>
      </c>
      <c r="M98" s="43" t="s">
        <v>21</v>
      </c>
      <c r="N98" s="43" t="s">
        <v>21</v>
      </c>
      <c r="O98" s="25">
        <v>96.388707866681983</v>
      </c>
      <c r="P98" s="46">
        <f t="shared" si="2"/>
        <v>2.0313015293099382E-2</v>
      </c>
    </row>
    <row r="99" spans="1:16" ht="63.95">
      <c r="B99" s="43">
        <v>56</v>
      </c>
      <c r="C99" s="43">
        <v>847160</v>
      </c>
      <c r="D99" s="44" t="s">
        <v>76</v>
      </c>
      <c r="E99" s="43" t="s">
        <v>77</v>
      </c>
      <c r="F99" s="43" t="s">
        <v>36</v>
      </c>
      <c r="G99" s="43" t="s">
        <v>37</v>
      </c>
      <c r="H99" s="43" t="s">
        <v>20</v>
      </c>
      <c r="I99" s="43" t="s">
        <v>12</v>
      </c>
      <c r="J99" s="43" t="s">
        <v>21</v>
      </c>
      <c r="K99" s="43" t="s">
        <v>21</v>
      </c>
      <c r="L99" s="43" t="s">
        <v>21</v>
      </c>
      <c r="M99" s="43" t="s">
        <v>21</v>
      </c>
      <c r="N99" s="43" t="s">
        <v>21</v>
      </c>
      <c r="O99" s="25">
        <v>14.561891622285996</v>
      </c>
      <c r="P99" s="46">
        <f t="shared" si="2"/>
        <v>3.0687819534740016E-3</v>
      </c>
    </row>
    <row r="100" spans="1:16" ht="48">
      <c r="B100" s="43">
        <v>14</v>
      </c>
      <c r="C100" s="43">
        <v>847170</v>
      </c>
      <c r="D100" s="44" t="s">
        <v>80</v>
      </c>
      <c r="E100" s="43" t="s">
        <v>81</v>
      </c>
      <c r="F100" s="43" t="s">
        <v>36</v>
      </c>
      <c r="G100" s="43" t="s">
        <v>37</v>
      </c>
      <c r="H100" s="43" t="s">
        <v>20</v>
      </c>
      <c r="I100" s="43" t="s">
        <v>12</v>
      </c>
      <c r="J100" s="43" t="s">
        <v>21</v>
      </c>
      <c r="K100" s="43" t="s">
        <v>21</v>
      </c>
      <c r="L100" s="43" t="s">
        <v>21</v>
      </c>
      <c r="M100" s="43" t="s">
        <v>21</v>
      </c>
      <c r="N100" s="43" t="s">
        <v>21</v>
      </c>
      <c r="O100" s="25">
        <v>58.01142586642699</v>
      </c>
      <c r="P100" s="46">
        <f t="shared" si="2"/>
        <v>1.2225363394528472E-2</v>
      </c>
    </row>
    <row r="101" spans="1:16" ht="48">
      <c r="B101" s="43">
        <v>25</v>
      </c>
      <c r="C101" s="43">
        <v>847180</v>
      </c>
      <c r="D101" s="44" t="s">
        <v>205</v>
      </c>
      <c r="E101" s="43" t="s">
        <v>206</v>
      </c>
      <c r="F101" s="43" t="s">
        <v>36</v>
      </c>
      <c r="G101" s="43" t="s">
        <v>37</v>
      </c>
      <c r="H101" s="43" t="s">
        <v>20</v>
      </c>
      <c r="I101" s="43" t="s">
        <v>12</v>
      </c>
      <c r="J101" s="43" t="s">
        <v>21</v>
      </c>
      <c r="K101" s="43" t="s">
        <v>21</v>
      </c>
      <c r="L101" s="43" t="s">
        <v>21</v>
      </c>
      <c r="M101" s="43" t="s">
        <v>21</v>
      </c>
      <c r="N101" s="43" t="s">
        <v>21</v>
      </c>
      <c r="O101" s="25">
        <v>39.253679765066011</v>
      </c>
      <c r="P101" s="46">
        <f t="shared" si="2"/>
        <v>8.2723444999497683E-3</v>
      </c>
    </row>
    <row r="102" spans="1:16" ht="128.1">
      <c r="A102" s="4" t="s">
        <v>719</v>
      </c>
      <c r="B102" s="43">
        <v>99</v>
      </c>
      <c r="C102" s="72">
        <v>847190</v>
      </c>
      <c r="D102" s="44" t="s">
        <v>268</v>
      </c>
      <c r="E102" s="43" t="s">
        <v>269</v>
      </c>
      <c r="F102" s="43" t="s">
        <v>36</v>
      </c>
      <c r="G102" s="43" t="s">
        <v>37</v>
      </c>
      <c r="H102" s="43" t="s">
        <v>28</v>
      </c>
      <c r="I102" s="43" t="s">
        <v>12</v>
      </c>
      <c r="J102" s="43" t="s">
        <v>21</v>
      </c>
      <c r="K102" s="43" t="s">
        <v>21</v>
      </c>
      <c r="L102" s="43" t="s">
        <v>29</v>
      </c>
      <c r="M102" s="43" t="s">
        <v>21</v>
      </c>
      <c r="N102" s="43" t="s">
        <v>21</v>
      </c>
      <c r="O102" s="25">
        <v>7.9831982614810029</v>
      </c>
      <c r="P102" s="46">
        <f t="shared" si="2"/>
        <v>1.6823840879535404E-3</v>
      </c>
    </row>
    <row r="103" spans="1:16" ht="32.1">
      <c r="B103" s="43">
        <v>169</v>
      </c>
      <c r="C103" s="43">
        <v>847290</v>
      </c>
      <c r="D103" s="44" t="s">
        <v>447</v>
      </c>
      <c r="E103" s="43" t="s">
        <v>448</v>
      </c>
      <c r="F103" s="43" t="s">
        <v>36</v>
      </c>
      <c r="G103" s="43" t="s">
        <v>40</v>
      </c>
      <c r="H103" s="43" t="s">
        <v>28</v>
      </c>
      <c r="I103" s="43" t="s">
        <v>12</v>
      </c>
      <c r="J103" s="43" t="s">
        <v>21</v>
      </c>
      <c r="K103" s="43" t="s">
        <v>21</v>
      </c>
      <c r="L103" s="43" t="s">
        <v>29</v>
      </c>
      <c r="M103" s="43" t="s">
        <v>21</v>
      </c>
      <c r="N103" s="43" t="s">
        <v>29</v>
      </c>
      <c r="O103" s="25">
        <v>4.2535205526830016</v>
      </c>
      <c r="P103" s="46">
        <f t="shared" si="2"/>
        <v>8.9638952475291217E-4</v>
      </c>
    </row>
    <row r="104" spans="1:16" ht="48" hidden="1">
      <c r="A104" s="17" t="s">
        <v>720</v>
      </c>
      <c r="B104" s="43">
        <v>422</v>
      </c>
      <c r="C104" s="72">
        <v>847310</v>
      </c>
      <c r="D104" s="44" t="s">
        <v>220</v>
      </c>
      <c r="E104" s="44" t="s">
        <v>221</v>
      </c>
      <c r="F104" s="44" t="s">
        <v>36</v>
      </c>
      <c r="G104" s="44" t="s">
        <v>51</v>
      </c>
      <c r="H104" s="44" t="s">
        <v>20</v>
      </c>
      <c r="I104" s="47" t="s">
        <v>103</v>
      </c>
      <c r="J104" s="43" t="s">
        <v>29</v>
      </c>
      <c r="K104" s="43" t="s">
        <v>21</v>
      </c>
      <c r="L104" s="43" t="s">
        <v>29</v>
      </c>
      <c r="M104" s="43" t="s">
        <v>29</v>
      </c>
      <c r="N104" s="43" t="s">
        <v>29</v>
      </c>
      <c r="O104" s="25">
        <v>4.7146000000000004E-8</v>
      </c>
      <c r="P104" s="62">
        <f t="shared" si="2"/>
        <v>9.9355768969644759E-12</v>
      </c>
    </row>
    <row r="105" spans="1:16" ht="63.95">
      <c r="B105" s="43">
        <v>339</v>
      </c>
      <c r="C105" s="43">
        <v>847321</v>
      </c>
      <c r="D105" s="44" t="s">
        <v>488</v>
      </c>
      <c r="E105" s="43" t="s">
        <v>489</v>
      </c>
      <c r="F105" s="43" t="s">
        <v>36</v>
      </c>
      <c r="G105" s="43" t="s">
        <v>37</v>
      </c>
      <c r="H105" s="43" t="s">
        <v>20</v>
      </c>
      <c r="I105" s="43" t="s">
        <v>12</v>
      </c>
      <c r="J105" s="43" t="s">
        <v>21</v>
      </c>
      <c r="K105" s="43" t="s">
        <v>21</v>
      </c>
      <c r="L105" s="43" t="s">
        <v>29</v>
      </c>
      <c r="M105" s="43" t="s">
        <v>21</v>
      </c>
      <c r="N105" s="43" t="s">
        <v>21</v>
      </c>
      <c r="O105" s="25">
        <v>0.48535226263399994</v>
      </c>
      <c r="P105" s="46">
        <f t="shared" si="2"/>
        <v>1.022834329002631E-4</v>
      </c>
    </row>
    <row r="106" spans="1:16" ht="48">
      <c r="B106" s="43">
        <v>246</v>
      </c>
      <c r="C106" s="43">
        <v>847329</v>
      </c>
      <c r="D106" s="44" t="s">
        <v>520</v>
      </c>
      <c r="E106" s="43" t="s">
        <v>521</v>
      </c>
      <c r="F106" s="43" t="s">
        <v>36</v>
      </c>
      <c r="G106" s="43" t="s">
        <v>37</v>
      </c>
      <c r="H106" s="43" t="s">
        <v>20</v>
      </c>
      <c r="I106" s="43" t="s">
        <v>12</v>
      </c>
      <c r="J106" s="43" t="s">
        <v>21</v>
      </c>
      <c r="K106" s="43" t="s">
        <v>21</v>
      </c>
      <c r="L106" s="43" t="s">
        <v>29</v>
      </c>
      <c r="M106" s="43" t="s">
        <v>21</v>
      </c>
      <c r="N106" s="43" t="s">
        <v>21</v>
      </c>
      <c r="O106" s="25">
        <v>1.6150339799040003</v>
      </c>
      <c r="P106" s="46">
        <f t="shared" si="2"/>
        <v>3.4035324944951372E-4</v>
      </c>
    </row>
    <row r="107" spans="1:16" ht="48">
      <c r="B107" s="43">
        <v>7</v>
      </c>
      <c r="C107" s="43">
        <v>847330</v>
      </c>
      <c r="D107" s="44" t="s">
        <v>545</v>
      </c>
      <c r="E107" s="43" t="s">
        <v>546</v>
      </c>
      <c r="F107" s="43" t="s">
        <v>36</v>
      </c>
      <c r="G107" s="43" t="s">
        <v>37</v>
      </c>
      <c r="H107" s="43" t="s">
        <v>20</v>
      </c>
      <c r="I107" s="43" t="s">
        <v>12</v>
      </c>
      <c r="J107" s="43" t="s">
        <v>21</v>
      </c>
      <c r="K107" s="43" t="s">
        <v>21</v>
      </c>
      <c r="L107" s="43" t="s">
        <v>21</v>
      </c>
      <c r="M107" s="43" t="s">
        <v>21</v>
      </c>
      <c r="N107" s="43" t="s">
        <v>21</v>
      </c>
      <c r="O107" s="25">
        <v>139.41621447178804</v>
      </c>
      <c r="P107" s="46">
        <f t="shared" si="2"/>
        <v>2.9380658371190378E-2</v>
      </c>
    </row>
    <row r="108" spans="1:16" ht="63.95">
      <c r="B108" s="43">
        <v>219</v>
      </c>
      <c r="C108" s="43">
        <v>847340</v>
      </c>
      <c r="D108" s="44" t="s">
        <v>556</v>
      </c>
      <c r="E108" s="43" t="s">
        <v>557</v>
      </c>
      <c r="F108" s="43" t="s">
        <v>36</v>
      </c>
      <c r="G108" s="43" t="s">
        <v>37</v>
      </c>
      <c r="H108" s="43" t="s">
        <v>20</v>
      </c>
      <c r="I108" s="43" t="s">
        <v>12</v>
      </c>
      <c r="J108" s="43" t="s">
        <v>21</v>
      </c>
      <c r="K108" s="43" t="s">
        <v>21</v>
      </c>
      <c r="L108" s="43" t="s">
        <v>29</v>
      </c>
      <c r="M108" s="43" t="s">
        <v>21</v>
      </c>
      <c r="N108" s="43" t="s">
        <v>21</v>
      </c>
      <c r="O108" s="25">
        <v>2.1921763621269998</v>
      </c>
      <c r="P108" s="46">
        <f t="shared" si="2"/>
        <v>4.6198058833454907E-4</v>
      </c>
    </row>
    <row r="109" spans="1:16" ht="63.95" hidden="1">
      <c r="B109" s="43">
        <v>303</v>
      </c>
      <c r="C109" s="43">
        <v>847350</v>
      </c>
      <c r="D109" s="44" t="s">
        <v>229</v>
      </c>
      <c r="E109" s="44" t="s">
        <v>230</v>
      </c>
      <c r="F109" s="44" t="s">
        <v>36</v>
      </c>
      <c r="G109" s="44" t="s">
        <v>51</v>
      </c>
      <c r="H109" s="44" t="s">
        <v>20</v>
      </c>
      <c r="I109" s="47" t="s">
        <v>103</v>
      </c>
      <c r="J109" s="43" t="s">
        <v>29</v>
      </c>
      <c r="K109" s="43" t="s">
        <v>21</v>
      </c>
      <c r="L109" s="43" t="s">
        <v>29</v>
      </c>
      <c r="M109" s="43" t="s">
        <v>29</v>
      </c>
      <c r="N109" s="43" t="s">
        <v>29</v>
      </c>
      <c r="O109" s="25">
        <v>0.80806151334400023</v>
      </c>
      <c r="P109" s="62">
        <f t="shared" si="2"/>
        <v>1.7029137791767701E-4</v>
      </c>
    </row>
    <row r="110" spans="1:16" ht="32.1" hidden="1">
      <c r="B110" s="43">
        <v>348</v>
      </c>
      <c r="C110" s="43">
        <v>847621</v>
      </c>
      <c r="D110" s="44" t="s">
        <v>231</v>
      </c>
      <c r="E110" s="44" t="s">
        <v>232</v>
      </c>
      <c r="F110" s="44" t="s">
        <v>66</v>
      </c>
      <c r="G110" s="44" t="s">
        <v>51</v>
      </c>
      <c r="H110" s="44" t="s">
        <v>28</v>
      </c>
      <c r="I110" s="47" t="s">
        <v>103</v>
      </c>
      <c r="J110" s="43" t="s">
        <v>29</v>
      </c>
      <c r="K110" s="43" t="s">
        <v>21</v>
      </c>
      <c r="L110" s="43" t="s">
        <v>29</v>
      </c>
      <c r="M110" s="43" t="s">
        <v>29</v>
      </c>
      <c r="N110" s="43" t="s">
        <v>29</v>
      </c>
      <c r="O110" s="25">
        <v>0.43010052942500004</v>
      </c>
      <c r="P110" s="62">
        <f t="shared" si="2"/>
        <v>9.0639648825504172E-5</v>
      </c>
    </row>
    <row r="111" spans="1:16" ht="32.1" hidden="1">
      <c r="B111" s="43">
        <v>406</v>
      </c>
      <c r="C111" s="43">
        <v>847629</v>
      </c>
      <c r="D111" s="44" t="s">
        <v>233</v>
      </c>
      <c r="E111" s="44" t="s">
        <v>232</v>
      </c>
      <c r="F111" s="44" t="s">
        <v>66</v>
      </c>
      <c r="G111" s="44" t="s">
        <v>51</v>
      </c>
      <c r="H111" s="44" t="s">
        <v>28</v>
      </c>
      <c r="I111" s="47" t="s">
        <v>103</v>
      </c>
      <c r="J111" s="43" t="s">
        <v>29</v>
      </c>
      <c r="K111" s="43" t="s">
        <v>21</v>
      </c>
      <c r="L111" s="43" t="s">
        <v>29</v>
      </c>
      <c r="M111" s="43" t="s">
        <v>29</v>
      </c>
      <c r="N111" s="43" t="s">
        <v>29</v>
      </c>
      <c r="O111" s="25">
        <v>3.9502294449999989E-2</v>
      </c>
      <c r="P111" s="62">
        <f t="shared" si="2"/>
        <v>8.324737710823991E-6</v>
      </c>
    </row>
    <row r="112" spans="1:16" ht="63.95" hidden="1">
      <c r="B112" s="43">
        <v>381</v>
      </c>
      <c r="C112" s="43">
        <v>847681</v>
      </c>
      <c r="D112" s="44" t="s">
        <v>234</v>
      </c>
      <c r="E112" s="44" t="s">
        <v>232</v>
      </c>
      <c r="F112" s="44" t="s">
        <v>66</v>
      </c>
      <c r="G112" s="44" t="s">
        <v>51</v>
      </c>
      <c r="H112" s="44" t="s">
        <v>28</v>
      </c>
      <c r="I112" s="47" t="s">
        <v>103</v>
      </c>
      <c r="J112" s="43" t="s">
        <v>29</v>
      </c>
      <c r="K112" s="43" t="s">
        <v>21</v>
      </c>
      <c r="L112" s="43" t="s">
        <v>29</v>
      </c>
      <c r="M112" s="43" t="s">
        <v>29</v>
      </c>
      <c r="N112" s="43" t="s">
        <v>29</v>
      </c>
      <c r="O112" s="25">
        <v>0.17348304010500004</v>
      </c>
      <c r="P112" s="62">
        <f t="shared" si="2"/>
        <v>3.6559922056641068E-5</v>
      </c>
    </row>
    <row r="113" spans="2:16" ht="63.95" hidden="1">
      <c r="B113" s="31">
        <v>350</v>
      </c>
      <c r="C113" s="31">
        <v>847689</v>
      </c>
      <c r="D113" s="32" t="s">
        <v>235</v>
      </c>
      <c r="E113" s="32" t="s">
        <v>232</v>
      </c>
      <c r="F113" s="32" t="s">
        <v>66</v>
      </c>
      <c r="G113" s="32" t="s">
        <v>51</v>
      </c>
      <c r="H113" s="32" t="s">
        <v>28</v>
      </c>
      <c r="I113" s="33" t="s">
        <v>103</v>
      </c>
      <c r="J113" s="31" t="s">
        <v>29</v>
      </c>
      <c r="K113" s="31" t="s">
        <v>21</v>
      </c>
      <c r="L113" s="31" t="s">
        <v>29</v>
      </c>
      <c r="M113" s="34" t="s">
        <v>29</v>
      </c>
      <c r="N113" s="31" t="s">
        <v>29</v>
      </c>
      <c r="O113" s="23">
        <v>0.41282317456400008</v>
      </c>
      <c r="P113" s="39">
        <f t="shared" si="2"/>
        <v>8.6998608487032025E-5</v>
      </c>
    </row>
    <row r="114" spans="2:16" ht="32.1" hidden="1">
      <c r="B114" s="43">
        <v>61</v>
      </c>
      <c r="C114" s="43">
        <v>850110</v>
      </c>
      <c r="D114" s="44" t="s">
        <v>214</v>
      </c>
      <c r="E114" s="43" t="s">
        <v>215</v>
      </c>
      <c r="F114" s="43" t="s">
        <v>54</v>
      </c>
      <c r="G114" s="43" t="s">
        <v>40</v>
      </c>
      <c r="H114" s="43" t="s">
        <v>20</v>
      </c>
      <c r="I114" s="43" t="s">
        <v>12</v>
      </c>
      <c r="J114" s="43" t="s">
        <v>21</v>
      </c>
      <c r="K114" s="43" t="s">
        <v>21</v>
      </c>
      <c r="L114" s="43" t="s">
        <v>21</v>
      </c>
      <c r="M114" s="43" t="s">
        <v>21</v>
      </c>
      <c r="N114" s="43" t="s">
        <v>21</v>
      </c>
      <c r="O114" s="25">
        <v>13.940885958033011</v>
      </c>
      <c r="P114" s="46">
        <f t="shared" si="2"/>
        <v>2.9379108396862777E-3</v>
      </c>
    </row>
    <row r="115" spans="2:16" ht="32.1" hidden="1">
      <c r="B115" s="31">
        <v>310</v>
      </c>
      <c r="C115" s="31">
        <v>850410</v>
      </c>
      <c r="D115" s="32" t="s">
        <v>237</v>
      </c>
      <c r="E115" s="32" t="s">
        <v>238</v>
      </c>
      <c r="F115" s="32" t="s">
        <v>54</v>
      </c>
      <c r="G115" s="32" t="s">
        <v>51</v>
      </c>
      <c r="H115" s="32" t="s">
        <v>20</v>
      </c>
      <c r="I115" s="33" t="s">
        <v>103</v>
      </c>
      <c r="J115" s="31" t="s">
        <v>29</v>
      </c>
      <c r="K115" s="31" t="s">
        <v>21</v>
      </c>
      <c r="L115" s="31" t="s">
        <v>29</v>
      </c>
      <c r="M115" s="34" t="s">
        <v>29</v>
      </c>
      <c r="N115" s="31" t="s">
        <v>29</v>
      </c>
      <c r="O115" s="23">
        <v>0.70036805145900016</v>
      </c>
      <c r="P115" s="39">
        <f t="shared" si="2"/>
        <v>1.4759599184338161E-4</v>
      </c>
    </row>
    <row r="116" spans="2:16" ht="32.1" hidden="1">
      <c r="B116" s="43">
        <v>227</v>
      </c>
      <c r="C116" s="43">
        <v>850421</v>
      </c>
      <c r="D116" s="44" t="s">
        <v>512</v>
      </c>
      <c r="E116" s="43" t="s">
        <v>213</v>
      </c>
      <c r="F116" s="43" t="s">
        <v>54</v>
      </c>
      <c r="G116" s="43" t="s">
        <v>40</v>
      </c>
      <c r="H116" s="43" t="s">
        <v>20</v>
      </c>
      <c r="I116" s="43" t="s">
        <v>12</v>
      </c>
      <c r="J116" s="43" t="s">
        <v>21</v>
      </c>
      <c r="K116" s="43" t="s">
        <v>21</v>
      </c>
      <c r="L116" s="43" t="s">
        <v>21</v>
      </c>
      <c r="M116" s="43" t="s">
        <v>21</v>
      </c>
      <c r="N116" s="43" t="s">
        <v>21</v>
      </c>
      <c r="O116" s="25">
        <v>2.0576206045240002</v>
      </c>
      <c r="P116" s="46">
        <f t="shared" si="2"/>
        <v>4.3362422561885917E-4</v>
      </c>
    </row>
    <row r="117" spans="2:16" ht="48" hidden="1">
      <c r="B117" s="43">
        <v>203</v>
      </c>
      <c r="C117" s="43">
        <v>850422</v>
      </c>
      <c r="D117" s="44" t="s">
        <v>446</v>
      </c>
      <c r="E117" s="43" t="s">
        <v>213</v>
      </c>
      <c r="F117" s="43" t="s">
        <v>54</v>
      </c>
      <c r="G117" s="43" t="s">
        <v>40</v>
      </c>
      <c r="H117" s="43" t="s">
        <v>20</v>
      </c>
      <c r="I117" s="43" t="s">
        <v>12</v>
      </c>
      <c r="J117" s="43" t="s">
        <v>21</v>
      </c>
      <c r="K117" s="43" t="s">
        <v>21</v>
      </c>
      <c r="L117" s="43" t="s">
        <v>29</v>
      </c>
      <c r="M117" s="43" t="s">
        <v>21</v>
      </c>
      <c r="N117" s="43" t="s">
        <v>21</v>
      </c>
      <c r="O117" s="25">
        <v>2.6312190569629994</v>
      </c>
      <c r="P117" s="46">
        <f t="shared" si="2"/>
        <v>5.5450471457205771E-4</v>
      </c>
    </row>
    <row r="118" spans="2:16" ht="32.1" hidden="1">
      <c r="B118" s="31">
        <v>166</v>
      </c>
      <c r="C118" s="31">
        <v>850423</v>
      </c>
      <c r="D118" s="32" t="s">
        <v>242</v>
      </c>
      <c r="E118" s="32" t="s">
        <v>213</v>
      </c>
      <c r="F118" s="32" t="s">
        <v>54</v>
      </c>
      <c r="G118" s="32" t="s">
        <v>51</v>
      </c>
      <c r="H118" s="32" t="s">
        <v>20</v>
      </c>
      <c r="I118" s="33" t="s">
        <v>103</v>
      </c>
      <c r="J118" s="31" t="s">
        <v>29</v>
      </c>
      <c r="K118" s="31" t="s">
        <v>21</v>
      </c>
      <c r="L118" s="31" t="s">
        <v>29</v>
      </c>
      <c r="M118" s="34" t="s">
        <v>29</v>
      </c>
      <c r="N118" s="31" t="s">
        <v>29</v>
      </c>
      <c r="O118" s="23">
        <v>4.4070984797960007</v>
      </c>
      <c r="P118" s="39">
        <f t="shared" si="2"/>
        <v>9.2875463111416457E-4</v>
      </c>
    </row>
    <row r="119" spans="2:16" ht="32.1" hidden="1">
      <c r="B119" s="43">
        <v>129</v>
      </c>
      <c r="C119" s="43">
        <v>850431</v>
      </c>
      <c r="D119" s="44" t="s">
        <v>380</v>
      </c>
      <c r="E119" s="43" t="s">
        <v>213</v>
      </c>
      <c r="F119" s="43" t="s">
        <v>54</v>
      </c>
      <c r="G119" s="43" t="s">
        <v>40</v>
      </c>
      <c r="H119" s="43" t="s">
        <v>20</v>
      </c>
      <c r="I119" s="43" t="s">
        <v>12</v>
      </c>
      <c r="J119" s="43" t="s">
        <v>21</v>
      </c>
      <c r="K119" s="43" t="s">
        <v>21</v>
      </c>
      <c r="L119" s="43" t="s">
        <v>21</v>
      </c>
      <c r="M119" s="43" t="s">
        <v>21</v>
      </c>
      <c r="N119" s="43" t="s">
        <v>21</v>
      </c>
      <c r="O119" s="25">
        <v>5.7251984409610035</v>
      </c>
      <c r="P119" s="46">
        <f t="shared" si="2"/>
        <v>1.2065318237082505E-3</v>
      </c>
    </row>
    <row r="120" spans="2:16" ht="48" hidden="1">
      <c r="B120" s="43">
        <v>304</v>
      </c>
      <c r="C120" s="43">
        <v>850432</v>
      </c>
      <c r="D120" s="44" t="s">
        <v>590</v>
      </c>
      <c r="E120" s="43" t="s">
        <v>213</v>
      </c>
      <c r="F120" s="43" t="s">
        <v>54</v>
      </c>
      <c r="G120" s="43" t="s">
        <v>40</v>
      </c>
      <c r="H120" s="43" t="s">
        <v>20</v>
      </c>
      <c r="I120" s="43" t="s">
        <v>12</v>
      </c>
      <c r="J120" s="43" t="s">
        <v>21</v>
      </c>
      <c r="K120" s="43" t="s">
        <v>21</v>
      </c>
      <c r="L120" s="43" t="s">
        <v>21</v>
      </c>
      <c r="M120" s="43" t="s">
        <v>21</v>
      </c>
      <c r="N120" s="43" t="s">
        <v>21</v>
      </c>
      <c r="O120" s="25">
        <v>0.79840240194500001</v>
      </c>
      <c r="P120" s="46">
        <f t="shared" si="2"/>
        <v>1.682558108693354E-4</v>
      </c>
    </row>
    <row r="121" spans="2:16" ht="48" hidden="1">
      <c r="B121" s="43">
        <v>271</v>
      </c>
      <c r="C121" s="43">
        <v>850433</v>
      </c>
      <c r="D121" s="44" t="s">
        <v>246</v>
      </c>
      <c r="E121" s="44" t="s">
        <v>213</v>
      </c>
      <c r="F121" s="44" t="s">
        <v>54</v>
      </c>
      <c r="G121" s="44" t="s">
        <v>51</v>
      </c>
      <c r="H121" s="44" t="s">
        <v>20</v>
      </c>
      <c r="I121" s="47" t="s">
        <v>103</v>
      </c>
      <c r="J121" s="43" t="s">
        <v>29</v>
      </c>
      <c r="K121" s="43" t="s">
        <v>21</v>
      </c>
      <c r="L121" s="43" t="s">
        <v>29</v>
      </c>
      <c r="M121" s="43" t="s">
        <v>29</v>
      </c>
      <c r="N121" s="43" t="s">
        <v>29</v>
      </c>
      <c r="O121" s="25">
        <v>1.2142205644070001</v>
      </c>
      <c r="P121" s="62">
        <f t="shared" si="2"/>
        <v>2.5588558493915405E-4</v>
      </c>
    </row>
    <row r="122" spans="2:16" ht="32.1" hidden="1">
      <c r="B122" s="43">
        <v>250</v>
      </c>
      <c r="C122" s="43">
        <v>850434</v>
      </c>
      <c r="D122" s="44" t="s">
        <v>247</v>
      </c>
      <c r="E122" s="44" t="s">
        <v>213</v>
      </c>
      <c r="F122" s="44" t="s">
        <v>54</v>
      </c>
      <c r="G122" s="44" t="s">
        <v>51</v>
      </c>
      <c r="H122" s="44" t="s">
        <v>20</v>
      </c>
      <c r="I122" s="47" t="s">
        <v>103</v>
      </c>
      <c r="J122" s="43" t="s">
        <v>29</v>
      </c>
      <c r="K122" s="43" t="s">
        <v>21</v>
      </c>
      <c r="L122" s="43" t="s">
        <v>29</v>
      </c>
      <c r="M122" s="43" t="s">
        <v>29</v>
      </c>
      <c r="N122" s="43" t="s">
        <v>29</v>
      </c>
      <c r="O122" s="25">
        <v>1.5496270346790009</v>
      </c>
      <c r="P122" s="62">
        <f t="shared" si="2"/>
        <v>3.2656934977873519E-4</v>
      </c>
    </row>
    <row r="123" spans="2:16" ht="32.1" hidden="1">
      <c r="B123" s="43">
        <v>10</v>
      </c>
      <c r="C123" s="43">
        <v>850440</v>
      </c>
      <c r="D123" s="44" t="s">
        <v>46</v>
      </c>
      <c r="E123" s="43" t="s">
        <v>47</v>
      </c>
      <c r="F123" s="43" t="s">
        <v>26</v>
      </c>
      <c r="G123" s="43" t="s">
        <v>40</v>
      </c>
      <c r="H123" s="43" t="s">
        <v>20</v>
      </c>
      <c r="I123" s="43" t="s">
        <v>12</v>
      </c>
      <c r="J123" s="43" t="s">
        <v>21</v>
      </c>
      <c r="K123" s="43" t="s">
        <v>21</v>
      </c>
      <c r="L123" s="43" t="s">
        <v>21</v>
      </c>
      <c r="M123" s="43" t="s">
        <v>21</v>
      </c>
      <c r="N123" s="43" t="s">
        <v>21</v>
      </c>
      <c r="O123" s="25">
        <v>92.78722004446999</v>
      </c>
      <c r="P123" s="46">
        <f t="shared" si="2"/>
        <v>1.9554035545059922E-2</v>
      </c>
    </row>
    <row r="124" spans="2:16" ht="32.1" hidden="1">
      <c r="B124" s="43">
        <v>62</v>
      </c>
      <c r="C124" s="43">
        <v>850450</v>
      </c>
      <c r="D124" s="44" t="s">
        <v>216</v>
      </c>
      <c r="E124" s="43" t="s">
        <v>217</v>
      </c>
      <c r="F124" s="43" t="s">
        <v>54</v>
      </c>
      <c r="G124" s="43" t="s">
        <v>40</v>
      </c>
      <c r="H124" s="43" t="s">
        <v>20</v>
      </c>
      <c r="I124" s="43" t="s">
        <v>12</v>
      </c>
      <c r="J124" s="43" t="s">
        <v>21</v>
      </c>
      <c r="K124" s="43" t="s">
        <v>21</v>
      </c>
      <c r="L124" s="43" t="s">
        <v>21</v>
      </c>
      <c r="M124" s="43" t="s">
        <v>21</v>
      </c>
      <c r="N124" s="43" t="s">
        <v>21</v>
      </c>
      <c r="O124" s="25">
        <v>13.808321591172993</v>
      </c>
      <c r="P124" s="46">
        <f t="shared" si="2"/>
        <v>2.9099741438746475E-3</v>
      </c>
    </row>
    <row r="125" spans="2:16" ht="32.1" hidden="1">
      <c r="B125" s="43">
        <v>60</v>
      </c>
      <c r="C125" s="43">
        <v>850490</v>
      </c>
      <c r="D125" s="44" t="s">
        <v>212</v>
      </c>
      <c r="E125" s="43" t="s">
        <v>213</v>
      </c>
      <c r="F125" s="43" t="s">
        <v>54</v>
      </c>
      <c r="G125" s="43" t="s">
        <v>19</v>
      </c>
      <c r="H125" s="43" t="s">
        <v>20</v>
      </c>
      <c r="I125" s="43" t="s">
        <v>12</v>
      </c>
      <c r="J125" s="43" t="s">
        <v>21</v>
      </c>
      <c r="K125" s="43" t="s">
        <v>21</v>
      </c>
      <c r="L125" s="43" t="s">
        <v>21</v>
      </c>
      <c r="M125" s="43" t="s">
        <v>21</v>
      </c>
      <c r="N125" s="43" t="s">
        <v>21</v>
      </c>
      <c r="O125" s="25">
        <v>14.029447437940995</v>
      </c>
      <c r="P125" s="46">
        <f t="shared" si="2"/>
        <v>2.956574340168498E-3</v>
      </c>
    </row>
    <row r="126" spans="2:16" ht="48" hidden="1">
      <c r="B126" s="43">
        <v>116</v>
      </c>
      <c r="C126" s="43">
        <v>850511</v>
      </c>
      <c r="D126" s="44" t="s">
        <v>362</v>
      </c>
      <c r="E126" s="43" t="s">
        <v>363</v>
      </c>
      <c r="F126" s="43" t="s">
        <v>189</v>
      </c>
      <c r="G126" s="43" t="s">
        <v>40</v>
      </c>
      <c r="H126" s="43" t="s">
        <v>20</v>
      </c>
      <c r="I126" s="43" t="s">
        <v>12</v>
      </c>
      <c r="J126" s="43" t="s">
        <v>21</v>
      </c>
      <c r="K126" s="43" t="s">
        <v>21</v>
      </c>
      <c r="L126" s="43" t="s">
        <v>21</v>
      </c>
      <c r="M126" s="43" t="s">
        <v>21</v>
      </c>
      <c r="N126" s="43" t="s">
        <v>21</v>
      </c>
      <c r="O126" s="25">
        <v>6.4846431088640006</v>
      </c>
      <c r="P126" s="46">
        <f t="shared" si="2"/>
        <v>1.3665776578604559E-3</v>
      </c>
    </row>
    <row r="127" spans="2:16" ht="48" hidden="1">
      <c r="B127" s="31">
        <v>257</v>
      </c>
      <c r="C127" s="31">
        <v>850519</v>
      </c>
      <c r="D127" s="32" t="s">
        <v>565</v>
      </c>
      <c r="E127" s="31" t="s">
        <v>363</v>
      </c>
      <c r="F127" s="31" t="s">
        <v>189</v>
      </c>
      <c r="G127" s="31" t="s">
        <v>40</v>
      </c>
      <c r="H127" s="31" t="s">
        <v>20</v>
      </c>
      <c r="I127" s="31" t="s">
        <v>12</v>
      </c>
      <c r="J127" s="31" t="s">
        <v>21</v>
      </c>
      <c r="K127" s="31" t="s">
        <v>21</v>
      </c>
      <c r="L127" s="31" t="s">
        <v>29</v>
      </c>
      <c r="M127" s="34" t="s">
        <v>21</v>
      </c>
      <c r="N127" s="31" t="s">
        <v>21</v>
      </c>
      <c r="O127" s="23">
        <v>1.4595895537940005</v>
      </c>
      <c r="P127" s="71">
        <f t="shared" si="2"/>
        <v>3.0759479594719293E-4</v>
      </c>
    </row>
    <row r="128" spans="2:16" ht="32.1" hidden="1">
      <c r="B128" s="43">
        <v>282</v>
      </c>
      <c r="C128" s="43">
        <v>850520</v>
      </c>
      <c r="D128" s="44" t="s">
        <v>257</v>
      </c>
      <c r="E128" s="44" t="s">
        <v>258</v>
      </c>
      <c r="F128" s="44" t="s">
        <v>189</v>
      </c>
      <c r="G128" s="44" t="s">
        <v>51</v>
      </c>
      <c r="H128" s="44" t="s">
        <v>20</v>
      </c>
      <c r="I128" s="47" t="s">
        <v>103</v>
      </c>
      <c r="J128" s="43" t="s">
        <v>29</v>
      </c>
      <c r="K128" s="43" t="s">
        <v>21</v>
      </c>
      <c r="L128" s="43" t="s">
        <v>29</v>
      </c>
      <c r="M128" s="43" t="s">
        <v>29</v>
      </c>
      <c r="N128" s="43" t="s">
        <v>29</v>
      </c>
      <c r="O128" s="25">
        <v>1.0477019761150004</v>
      </c>
      <c r="P128" s="62">
        <f t="shared" si="2"/>
        <v>2.207933557203628E-4</v>
      </c>
    </row>
    <row r="129" spans="1:16" ht="32.1" hidden="1">
      <c r="B129" s="31">
        <v>190</v>
      </c>
      <c r="C129" s="31">
        <v>850590</v>
      </c>
      <c r="D129" s="32" t="s">
        <v>259</v>
      </c>
      <c r="E129" s="32" t="s">
        <v>260</v>
      </c>
      <c r="F129" s="32" t="s">
        <v>189</v>
      </c>
      <c r="G129" s="32" t="s">
        <v>51</v>
      </c>
      <c r="H129" s="32" t="s">
        <v>20</v>
      </c>
      <c r="I129" s="33" t="s">
        <v>103</v>
      </c>
      <c r="J129" s="31" t="s">
        <v>29</v>
      </c>
      <c r="K129" s="31" t="s">
        <v>21</v>
      </c>
      <c r="L129" s="31" t="s">
        <v>29</v>
      </c>
      <c r="M129" s="34" t="s">
        <v>29</v>
      </c>
      <c r="N129" s="31" t="s">
        <v>29</v>
      </c>
      <c r="O129" s="23">
        <v>3.2002529470169998</v>
      </c>
      <c r="P129" s="39">
        <f t="shared" si="2"/>
        <v>6.7442326485437959E-4</v>
      </c>
    </row>
    <row r="130" spans="1:16" ht="32.1" hidden="1">
      <c r="A130" s="4" t="s">
        <v>721</v>
      </c>
      <c r="B130" s="43">
        <v>178</v>
      </c>
      <c r="C130" s="72">
        <v>850610</v>
      </c>
      <c r="D130" s="44" t="s">
        <v>438</v>
      </c>
      <c r="E130" s="43" t="s">
        <v>439</v>
      </c>
      <c r="F130" s="43" t="s">
        <v>66</v>
      </c>
      <c r="G130" s="43" t="s">
        <v>43</v>
      </c>
      <c r="H130" s="43" t="s">
        <v>20</v>
      </c>
      <c r="I130" s="43" t="s">
        <v>12</v>
      </c>
      <c r="J130" s="43" t="s">
        <v>21</v>
      </c>
      <c r="K130" s="43" t="s">
        <v>21</v>
      </c>
      <c r="L130" s="43" t="s">
        <v>29</v>
      </c>
      <c r="M130" s="43" t="s">
        <v>21</v>
      </c>
      <c r="N130" s="43" t="s">
        <v>29</v>
      </c>
      <c r="O130" s="25">
        <v>3.9131397945040001</v>
      </c>
      <c r="P130" s="46">
        <f t="shared" si="2"/>
        <v>8.2465747543516434E-4</v>
      </c>
    </row>
    <row r="131" spans="1:16" ht="32.1" hidden="1">
      <c r="A131" s="4" t="s">
        <v>721</v>
      </c>
      <c r="B131" s="43">
        <v>418</v>
      </c>
      <c r="C131" s="72">
        <v>850630</v>
      </c>
      <c r="D131" s="44" t="s">
        <v>708</v>
      </c>
      <c r="E131" s="43" t="s">
        <v>439</v>
      </c>
      <c r="F131" s="43" t="s">
        <v>66</v>
      </c>
      <c r="G131" s="43" t="s">
        <v>43</v>
      </c>
      <c r="H131" s="43" t="s">
        <v>20</v>
      </c>
      <c r="I131" s="43" t="s">
        <v>12</v>
      </c>
      <c r="J131" s="43" t="s">
        <v>21</v>
      </c>
      <c r="K131" s="43" t="s">
        <v>21</v>
      </c>
      <c r="L131" s="43" t="s">
        <v>29</v>
      </c>
      <c r="M131" s="43" t="s">
        <v>21</v>
      </c>
      <c r="N131" s="43" t="s">
        <v>29</v>
      </c>
      <c r="O131" s="25">
        <v>5.0993921329999994E-3</v>
      </c>
      <c r="P131" s="46">
        <f t="shared" si="2"/>
        <v>1.0746490193271367E-6</v>
      </c>
    </row>
    <row r="132" spans="1:16" ht="32.1" hidden="1">
      <c r="A132" s="4" t="s">
        <v>721</v>
      </c>
      <c r="B132" s="43">
        <v>367</v>
      </c>
      <c r="C132" s="72">
        <v>850640</v>
      </c>
      <c r="D132" s="44" t="s">
        <v>662</v>
      </c>
      <c r="E132" s="43" t="s">
        <v>439</v>
      </c>
      <c r="F132" s="43" t="s">
        <v>66</v>
      </c>
      <c r="G132" s="43" t="s">
        <v>43</v>
      </c>
      <c r="H132" s="43" t="s">
        <v>20</v>
      </c>
      <c r="I132" s="43" t="s">
        <v>12</v>
      </c>
      <c r="J132" s="43" t="s">
        <v>21</v>
      </c>
      <c r="K132" s="43" t="s">
        <v>21</v>
      </c>
      <c r="L132" s="43" t="s">
        <v>29</v>
      </c>
      <c r="M132" s="43" t="s">
        <v>21</v>
      </c>
      <c r="N132" s="43" t="s">
        <v>29</v>
      </c>
      <c r="O132" s="25">
        <v>0.25339043820000001</v>
      </c>
      <c r="P132" s="46">
        <f t="shared" si="2"/>
        <v>5.3399656040631753E-5</v>
      </c>
    </row>
    <row r="133" spans="1:16" ht="32.1" hidden="1">
      <c r="A133" s="4" t="s">
        <v>721</v>
      </c>
      <c r="B133" s="43">
        <v>189</v>
      </c>
      <c r="C133" s="72">
        <v>850650</v>
      </c>
      <c r="D133" s="44" t="s">
        <v>457</v>
      </c>
      <c r="E133" s="43" t="s">
        <v>439</v>
      </c>
      <c r="F133" s="43" t="s">
        <v>66</v>
      </c>
      <c r="G133" s="43" t="s">
        <v>43</v>
      </c>
      <c r="H133" s="43" t="s">
        <v>20</v>
      </c>
      <c r="I133" s="43" t="s">
        <v>12</v>
      </c>
      <c r="J133" s="43" t="s">
        <v>21</v>
      </c>
      <c r="K133" s="43" t="s">
        <v>21</v>
      </c>
      <c r="L133" s="43" t="s">
        <v>29</v>
      </c>
      <c r="M133" s="43" t="s">
        <v>21</v>
      </c>
      <c r="N133" s="43" t="s">
        <v>29</v>
      </c>
      <c r="O133" s="25">
        <v>3.2010105639280004</v>
      </c>
      <c r="P133" s="46">
        <f t="shared" si="2"/>
        <v>6.7458292550592349E-4</v>
      </c>
    </row>
    <row r="134" spans="1:16" ht="32.1" hidden="1">
      <c r="A134" s="4" t="s">
        <v>721</v>
      </c>
      <c r="B134" s="43">
        <v>357</v>
      </c>
      <c r="C134" s="72">
        <v>850660</v>
      </c>
      <c r="D134" s="44" t="s">
        <v>647</v>
      </c>
      <c r="E134" s="43" t="s">
        <v>439</v>
      </c>
      <c r="F134" s="43" t="s">
        <v>66</v>
      </c>
      <c r="G134" s="43" t="s">
        <v>43</v>
      </c>
      <c r="H134" s="43" t="s">
        <v>20</v>
      </c>
      <c r="I134" s="43" t="s">
        <v>12</v>
      </c>
      <c r="J134" s="43" t="s">
        <v>21</v>
      </c>
      <c r="K134" s="43" t="s">
        <v>21</v>
      </c>
      <c r="L134" s="43" t="s">
        <v>29</v>
      </c>
      <c r="M134" s="43" t="s">
        <v>21</v>
      </c>
      <c r="N134" s="43" t="s">
        <v>29</v>
      </c>
      <c r="O134" s="25">
        <v>0.34054840465699998</v>
      </c>
      <c r="P134" s="46">
        <f t="shared" si="2"/>
        <v>7.1767379239133714E-5</v>
      </c>
    </row>
    <row r="135" spans="1:16" ht="48" hidden="1">
      <c r="A135" s="4" t="s">
        <v>721</v>
      </c>
      <c r="B135" s="35">
        <v>328</v>
      </c>
      <c r="C135" s="74">
        <v>850680</v>
      </c>
      <c r="D135" s="36" t="s">
        <v>620</v>
      </c>
      <c r="E135" s="35" t="s">
        <v>439</v>
      </c>
      <c r="F135" s="35" t="s">
        <v>66</v>
      </c>
      <c r="G135" s="35" t="s">
        <v>67</v>
      </c>
      <c r="H135" s="35" t="s">
        <v>20</v>
      </c>
      <c r="I135" s="35" t="s">
        <v>12</v>
      </c>
      <c r="J135" s="35" t="s">
        <v>21</v>
      </c>
      <c r="K135" s="35" t="s">
        <v>21</v>
      </c>
      <c r="L135" s="35" t="s">
        <v>29</v>
      </c>
      <c r="M135" s="38" t="s">
        <v>21</v>
      </c>
      <c r="N135" s="35" t="s">
        <v>21</v>
      </c>
      <c r="O135" s="24">
        <v>0.57921786519900009</v>
      </c>
      <c r="P135" s="70">
        <f t="shared" ref="P135:P198" si="3">O135/SUM($O$4:$O$426)</f>
        <v>1.2206472743775228E-4</v>
      </c>
    </row>
    <row r="136" spans="1:16" ht="32.1" hidden="1">
      <c r="A136" s="4" t="s">
        <v>721</v>
      </c>
      <c r="B136" s="26">
        <v>326</v>
      </c>
      <c r="C136" s="80">
        <v>850690</v>
      </c>
      <c r="D136" s="27" t="s">
        <v>596</v>
      </c>
      <c r="E136" s="26" t="s">
        <v>597</v>
      </c>
      <c r="F136" s="26" t="s">
        <v>66</v>
      </c>
      <c r="G136" s="26" t="s">
        <v>43</v>
      </c>
      <c r="H136" s="26" t="s">
        <v>20</v>
      </c>
      <c r="I136" s="26" t="s">
        <v>12</v>
      </c>
      <c r="J136" s="26" t="s">
        <v>21</v>
      </c>
      <c r="K136" s="26" t="s">
        <v>21</v>
      </c>
      <c r="L136" s="26" t="s">
        <v>29</v>
      </c>
      <c r="M136" s="29" t="s">
        <v>21</v>
      </c>
      <c r="N136" s="26" t="s">
        <v>29</v>
      </c>
      <c r="O136" s="22">
        <v>0.61549418903099995</v>
      </c>
      <c r="P136" s="63">
        <f t="shared" si="3"/>
        <v>1.2970962212599773E-4</v>
      </c>
    </row>
    <row r="137" spans="1:16" ht="48" hidden="1">
      <c r="B137" s="43">
        <v>71</v>
      </c>
      <c r="C137" s="43">
        <v>850710</v>
      </c>
      <c r="D137" s="44" t="s">
        <v>262</v>
      </c>
      <c r="E137" s="43" t="s">
        <v>42</v>
      </c>
      <c r="F137" s="43" t="s">
        <v>26</v>
      </c>
      <c r="G137" s="43" t="s">
        <v>43</v>
      </c>
      <c r="H137" s="43" t="s">
        <v>20</v>
      </c>
      <c r="I137" s="43" t="s">
        <v>12</v>
      </c>
      <c r="J137" s="43" t="s">
        <v>21</v>
      </c>
      <c r="K137" s="43" t="s">
        <v>21</v>
      </c>
      <c r="L137" s="43" t="s">
        <v>29</v>
      </c>
      <c r="M137" s="43" t="s">
        <v>21</v>
      </c>
      <c r="N137" s="43" t="s">
        <v>29</v>
      </c>
      <c r="O137" s="25">
        <v>11.793224866159003</v>
      </c>
      <c r="P137" s="46">
        <f t="shared" si="3"/>
        <v>2.4853114266516004E-3</v>
      </c>
    </row>
    <row r="138" spans="1:16" ht="48" hidden="1">
      <c r="B138" s="43">
        <v>88</v>
      </c>
      <c r="C138" s="43">
        <v>850720</v>
      </c>
      <c r="D138" s="44" t="s">
        <v>290</v>
      </c>
      <c r="E138" s="43" t="s">
        <v>42</v>
      </c>
      <c r="F138" s="43" t="s">
        <v>26</v>
      </c>
      <c r="G138" s="43" t="s">
        <v>43</v>
      </c>
      <c r="H138" s="43" t="s">
        <v>20</v>
      </c>
      <c r="I138" s="43" t="s">
        <v>12</v>
      </c>
      <c r="J138" s="43" t="s">
        <v>21</v>
      </c>
      <c r="K138" s="43" t="s">
        <v>21</v>
      </c>
      <c r="L138" s="43" t="s">
        <v>29</v>
      </c>
      <c r="M138" s="43" t="s">
        <v>21</v>
      </c>
      <c r="N138" s="43" t="s">
        <v>29</v>
      </c>
      <c r="O138" s="25">
        <v>8.8980630567690042</v>
      </c>
      <c r="P138" s="46">
        <f t="shared" si="3"/>
        <v>1.8751832548798883E-3</v>
      </c>
    </row>
    <row r="139" spans="1:16" ht="48" hidden="1">
      <c r="B139" s="43">
        <v>311</v>
      </c>
      <c r="C139" s="43">
        <v>850730</v>
      </c>
      <c r="D139" s="44" t="s">
        <v>585</v>
      </c>
      <c r="E139" s="43" t="s">
        <v>42</v>
      </c>
      <c r="F139" s="43" t="s">
        <v>26</v>
      </c>
      <c r="G139" s="43" t="s">
        <v>43</v>
      </c>
      <c r="H139" s="43" t="s">
        <v>20</v>
      </c>
      <c r="I139" s="43" t="s">
        <v>12</v>
      </c>
      <c r="J139" s="43" t="s">
        <v>21</v>
      </c>
      <c r="K139" s="43" t="s">
        <v>21</v>
      </c>
      <c r="L139" s="43" t="s">
        <v>29</v>
      </c>
      <c r="M139" s="43" t="s">
        <v>21</v>
      </c>
      <c r="N139" s="43" t="s">
        <v>29</v>
      </c>
      <c r="O139" s="25">
        <v>0.69935554507399988</v>
      </c>
      <c r="P139" s="46">
        <f t="shared" si="3"/>
        <v>1.4738261562807515E-4</v>
      </c>
    </row>
    <row r="140" spans="1:16" ht="48" hidden="1">
      <c r="B140" s="43">
        <v>420</v>
      </c>
      <c r="C140" s="43">
        <v>850740</v>
      </c>
      <c r="D140" s="44" t="s">
        <v>712</v>
      </c>
      <c r="E140" s="43" t="s">
        <v>42</v>
      </c>
      <c r="F140" s="43" t="s">
        <v>26</v>
      </c>
      <c r="G140" s="43" t="s">
        <v>43</v>
      </c>
      <c r="H140" s="43" t="s">
        <v>20</v>
      </c>
      <c r="I140" s="43" t="s">
        <v>12</v>
      </c>
      <c r="J140" s="43" t="s">
        <v>21</v>
      </c>
      <c r="K140" s="43" t="s">
        <v>21</v>
      </c>
      <c r="L140" s="43" t="s">
        <v>29</v>
      </c>
      <c r="M140" s="43" t="s">
        <v>21</v>
      </c>
      <c r="N140" s="43" t="s">
        <v>29</v>
      </c>
      <c r="O140" s="25">
        <v>1.5952064000000001E-4</v>
      </c>
      <c r="P140" s="46">
        <f t="shared" si="3"/>
        <v>3.3617477312454657E-8</v>
      </c>
    </row>
    <row r="141" spans="1:16" ht="48" hidden="1">
      <c r="B141" s="43">
        <v>223</v>
      </c>
      <c r="C141" s="43">
        <v>850750</v>
      </c>
      <c r="D141" s="44" t="s">
        <v>511</v>
      </c>
      <c r="E141" s="43" t="s">
        <v>42</v>
      </c>
      <c r="F141" s="43" t="s">
        <v>26</v>
      </c>
      <c r="G141" s="43" t="s">
        <v>43</v>
      </c>
      <c r="H141" s="43" t="s">
        <v>20</v>
      </c>
      <c r="I141" s="43" t="s">
        <v>12</v>
      </c>
      <c r="J141" s="43" t="s">
        <v>21</v>
      </c>
      <c r="K141" s="43" t="s">
        <v>21</v>
      </c>
      <c r="L141" s="43" t="s">
        <v>29</v>
      </c>
      <c r="M141" s="43" t="s">
        <v>21</v>
      </c>
      <c r="N141" s="43" t="s">
        <v>29</v>
      </c>
      <c r="O141" s="25">
        <v>2.1118271216760003</v>
      </c>
      <c r="P141" s="46">
        <f t="shared" si="3"/>
        <v>4.4504774022201363E-4</v>
      </c>
    </row>
    <row r="142" spans="1:16" ht="48" hidden="1">
      <c r="B142" s="43">
        <v>8</v>
      </c>
      <c r="C142" s="43">
        <v>850760</v>
      </c>
      <c r="D142" s="44" t="s">
        <v>41</v>
      </c>
      <c r="E142" s="43" t="s">
        <v>42</v>
      </c>
      <c r="F142" s="43" t="s">
        <v>26</v>
      </c>
      <c r="G142" s="43" t="s">
        <v>43</v>
      </c>
      <c r="H142" s="43" t="s">
        <v>20</v>
      </c>
      <c r="I142" s="43" t="s">
        <v>12</v>
      </c>
      <c r="J142" s="43" t="s">
        <v>21</v>
      </c>
      <c r="K142" s="43" t="s">
        <v>21</v>
      </c>
      <c r="L142" s="43" t="s">
        <v>21</v>
      </c>
      <c r="M142" s="43" t="s">
        <v>21</v>
      </c>
      <c r="N142" s="43" t="s">
        <v>29</v>
      </c>
      <c r="O142" s="25">
        <v>99.330582854949952</v>
      </c>
      <c r="P142" s="46">
        <f t="shared" si="3"/>
        <v>2.0932987828779882E-2</v>
      </c>
    </row>
    <row r="143" spans="1:16" ht="63.95" hidden="1">
      <c r="B143" s="43">
        <v>307</v>
      </c>
      <c r="C143" s="43">
        <v>850780</v>
      </c>
      <c r="D143" s="44" t="s">
        <v>589</v>
      </c>
      <c r="E143" s="43" t="s">
        <v>42</v>
      </c>
      <c r="F143" s="43" t="s">
        <v>26</v>
      </c>
      <c r="G143" s="43" t="s">
        <v>43</v>
      </c>
      <c r="H143" s="43" t="s">
        <v>20</v>
      </c>
      <c r="I143" s="43" t="s">
        <v>12</v>
      </c>
      <c r="J143" s="43" t="s">
        <v>21</v>
      </c>
      <c r="K143" s="43" t="s">
        <v>21</v>
      </c>
      <c r="L143" s="43" t="s">
        <v>29</v>
      </c>
      <c r="M143" s="43" t="s">
        <v>21</v>
      </c>
      <c r="N143" s="43" t="s">
        <v>29</v>
      </c>
      <c r="O143" s="25">
        <v>0.71872859884200002</v>
      </c>
      <c r="P143" s="46">
        <f t="shared" si="3"/>
        <v>1.5146530483693682E-4</v>
      </c>
    </row>
    <row r="144" spans="1:16" ht="32.1" hidden="1">
      <c r="B144" s="43">
        <v>128</v>
      </c>
      <c r="C144" s="43">
        <v>850790</v>
      </c>
      <c r="D144" s="44" t="s">
        <v>378</v>
      </c>
      <c r="E144" s="43" t="s">
        <v>379</v>
      </c>
      <c r="F144" s="43" t="s">
        <v>26</v>
      </c>
      <c r="G144" s="43" t="s">
        <v>43</v>
      </c>
      <c r="H144" s="43" t="s">
        <v>20</v>
      </c>
      <c r="I144" s="43" t="s">
        <v>12</v>
      </c>
      <c r="J144" s="43" t="s">
        <v>21</v>
      </c>
      <c r="K144" s="43" t="s">
        <v>21</v>
      </c>
      <c r="L144" s="43" t="s">
        <v>21</v>
      </c>
      <c r="M144" s="43" t="s">
        <v>21</v>
      </c>
      <c r="N144" s="43" t="s">
        <v>29</v>
      </c>
      <c r="O144" s="25">
        <v>5.8167098428730002</v>
      </c>
      <c r="P144" s="46">
        <f t="shared" si="3"/>
        <v>1.2258169925591746E-3</v>
      </c>
    </row>
    <row r="145" spans="2:16" ht="48" hidden="1">
      <c r="B145" s="43">
        <v>75</v>
      </c>
      <c r="C145" s="43">
        <v>850811</v>
      </c>
      <c r="D145" s="44" t="s">
        <v>218</v>
      </c>
      <c r="E145" s="43" t="s">
        <v>219</v>
      </c>
      <c r="F145" s="43" t="s">
        <v>112</v>
      </c>
      <c r="G145" s="43" t="s">
        <v>51</v>
      </c>
      <c r="H145" s="43" t="s">
        <v>28</v>
      </c>
      <c r="I145" s="43" t="s">
        <v>129</v>
      </c>
      <c r="J145" s="43" t="s">
        <v>21</v>
      </c>
      <c r="K145" s="43" t="s">
        <v>21</v>
      </c>
      <c r="L145" s="43" t="s">
        <v>29</v>
      </c>
      <c r="M145" s="43" t="s">
        <v>29</v>
      </c>
      <c r="N145" s="43" t="s">
        <v>29</v>
      </c>
      <c r="O145" s="25">
        <v>11.353949433273002</v>
      </c>
      <c r="P145" s="46">
        <f t="shared" si="3"/>
        <v>2.3927382530549808E-3</v>
      </c>
    </row>
    <row r="146" spans="2:16" ht="32.1" hidden="1">
      <c r="B146" s="43">
        <v>253</v>
      </c>
      <c r="C146" s="43">
        <v>850819</v>
      </c>
      <c r="D146" s="44" t="s">
        <v>286</v>
      </c>
      <c r="E146" s="44" t="s">
        <v>219</v>
      </c>
      <c r="F146" s="44" t="s">
        <v>112</v>
      </c>
      <c r="G146" s="44" t="s">
        <v>51</v>
      </c>
      <c r="H146" s="44" t="s">
        <v>28</v>
      </c>
      <c r="I146" s="47" t="s">
        <v>103</v>
      </c>
      <c r="J146" s="43" t="s">
        <v>29</v>
      </c>
      <c r="K146" s="43" t="s">
        <v>21</v>
      </c>
      <c r="L146" s="43" t="s">
        <v>29</v>
      </c>
      <c r="M146" s="43" t="s">
        <v>29</v>
      </c>
      <c r="N146" s="43" t="s">
        <v>29</v>
      </c>
      <c r="O146" s="25">
        <v>1.5261951486869998</v>
      </c>
      <c r="P146" s="62">
        <f t="shared" si="3"/>
        <v>3.2163129978267125E-4</v>
      </c>
    </row>
    <row r="147" spans="2:16" ht="32.1" hidden="1">
      <c r="B147" s="31">
        <v>369</v>
      </c>
      <c r="C147" s="31">
        <v>850860</v>
      </c>
      <c r="D147" s="32" t="s">
        <v>287</v>
      </c>
      <c r="E147" s="32" t="s">
        <v>219</v>
      </c>
      <c r="F147" s="32" t="s">
        <v>112</v>
      </c>
      <c r="G147" s="32" t="s">
        <v>51</v>
      </c>
      <c r="H147" s="32" t="s">
        <v>28</v>
      </c>
      <c r="I147" s="33" t="s">
        <v>103</v>
      </c>
      <c r="J147" s="31" t="s">
        <v>29</v>
      </c>
      <c r="K147" s="31" t="s">
        <v>21</v>
      </c>
      <c r="L147" s="31" t="s">
        <v>29</v>
      </c>
      <c r="M147" s="34" t="s">
        <v>29</v>
      </c>
      <c r="N147" s="31" t="s">
        <v>29</v>
      </c>
      <c r="O147" s="23">
        <v>0.24531145670200002</v>
      </c>
      <c r="P147" s="39">
        <f t="shared" si="3"/>
        <v>5.1697086534787524E-5</v>
      </c>
    </row>
    <row r="148" spans="2:16" ht="32.1" hidden="1">
      <c r="B148" s="43">
        <v>252</v>
      </c>
      <c r="C148" s="43">
        <v>850870</v>
      </c>
      <c r="D148" s="44" t="s">
        <v>288</v>
      </c>
      <c r="E148" s="44" t="s">
        <v>288</v>
      </c>
      <c r="F148" s="44" t="s">
        <v>112</v>
      </c>
      <c r="G148" s="44" t="s">
        <v>51</v>
      </c>
      <c r="H148" s="44" t="s">
        <v>20</v>
      </c>
      <c r="I148" s="47" t="s">
        <v>103</v>
      </c>
      <c r="J148" s="43" t="s">
        <v>29</v>
      </c>
      <c r="K148" s="43" t="s">
        <v>21</v>
      </c>
      <c r="L148" s="43" t="s">
        <v>29</v>
      </c>
      <c r="M148" s="43" t="s">
        <v>29</v>
      </c>
      <c r="N148" s="43" t="s">
        <v>29</v>
      </c>
      <c r="O148" s="25">
        <v>1.5362549644179995</v>
      </c>
      <c r="P148" s="62">
        <f t="shared" si="3"/>
        <v>3.2375131150720013E-4</v>
      </c>
    </row>
    <row r="149" spans="2:16" ht="48" hidden="1">
      <c r="B149" s="43">
        <v>115</v>
      </c>
      <c r="C149" s="43">
        <v>850940</v>
      </c>
      <c r="D149" s="44" t="s">
        <v>289</v>
      </c>
      <c r="E149" s="44" t="s">
        <v>193</v>
      </c>
      <c r="F149" s="44" t="s">
        <v>66</v>
      </c>
      <c r="G149" s="44" t="s">
        <v>51</v>
      </c>
      <c r="H149" s="44" t="s">
        <v>28</v>
      </c>
      <c r="I149" s="47" t="s">
        <v>103</v>
      </c>
      <c r="J149" s="43" t="s">
        <v>29</v>
      </c>
      <c r="K149" s="43" t="s">
        <v>21</v>
      </c>
      <c r="L149" s="43" t="s">
        <v>29</v>
      </c>
      <c r="M149" s="43" t="s">
        <v>29</v>
      </c>
      <c r="N149" s="43" t="s">
        <v>29</v>
      </c>
      <c r="O149" s="25">
        <v>6.4982525391189982</v>
      </c>
      <c r="P149" s="62">
        <f t="shared" si="3"/>
        <v>1.3694457175224082E-3</v>
      </c>
    </row>
    <row r="150" spans="2:16" ht="63.95" hidden="1">
      <c r="B150" s="31">
        <v>81</v>
      </c>
      <c r="C150" s="31">
        <v>850980</v>
      </c>
      <c r="D150" s="32" t="s">
        <v>254</v>
      </c>
      <c r="E150" s="31" t="s">
        <v>255</v>
      </c>
      <c r="F150" s="31" t="s">
        <v>112</v>
      </c>
      <c r="G150" s="31" t="s">
        <v>51</v>
      </c>
      <c r="H150" s="31" t="s">
        <v>28</v>
      </c>
      <c r="I150" s="31" t="s">
        <v>129</v>
      </c>
      <c r="J150" s="31" t="s">
        <v>21</v>
      </c>
      <c r="K150" s="31" t="s">
        <v>21</v>
      </c>
      <c r="L150" s="31" t="s">
        <v>29</v>
      </c>
      <c r="M150" s="34" t="s">
        <v>29</v>
      </c>
      <c r="N150" s="31" t="s">
        <v>29</v>
      </c>
      <c r="O150" s="23">
        <v>10.456872850058003</v>
      </c>
      <c r="P150" s="71">
        <f t="shared" si="3"/>
        <v>2.2036877848286463E-3</v>
      </c>
    </row>
    <row r="151" spans="2:16" ht="32.1" hidden="1">
      <c r="B151" s="43">
        <v>244</v>
      </c>
      <c r="C151" s="43">
        <v>850990</v>
      </c>
      <c r="D151" s="44" t="s">
        <v>291</v>
      </c>
      <c r="E151" s="44" t="s">
        <v>292</v>
      </c>
      <c r="F151" s="44" t="s">
        <v>66</v>
      </c>
      <c r="G151" s="44" t="s">
        <v>51</v>
      </c>
      <c r="H151" s="44" t="s">
        <v>20</v>
      </c>
      <c r="I151" s="47" t="s">
        <v>103</v>
      </c>
      <c r="J151" s="43" t="s">
        <v>29</v>
      </c>
      <c r="K151" s="43" t="s">
        <v>21</v>
      </c>
      <c r="L151" s="43" t="s">
        <v>29</v>
      </c>
      <c r="M151" s="43" t="s">
        <v>29</v>
      </c>
      <c r="N151" s="43" t="s">
        <v>29</v>
      </c>
      <c r="O151" s="25">
        <v>1.6690758917320001</v>
      </c>
      <c r="P151" s="62">
        <f t="shared" si="3"/>
        <v>3.5174207502593728E-4</v>
      </c>
    </row>
    <row r="152" spans="2:16" ht="32.1" hidden="1">
      <c r="B152" s="43">
        <v>233</v>
      </c>
      <c r="C152" s="43">
        <v>851010</v>
      </c>
      <c r="D152" s="44" t="s">
        <v>293</v>
      </c>
      <c r="E152" s="44" t="s">
        <v>294</v>
      </c>
      <c r="F152" s="44" t="s">
        <v>66</v>
      </c>
      <c r="G152" s="44" t="s">
        <v>51</v>
      </c>
      <c r="H152" s="44" t="s">
        <v>28</v>
      </c>
      <c r="I152" s="47" t="s">
        <v>103</v>
      </c>
      <c r="J152" s="43" t="s">
        <v>29</v>
      </c>
      <c r="K152" s="43" t="s">
        <v>21</v>
      </c>
      <c r="L152" s="43" t="s">
        <v>29</v>
      </c>
      <c r="M152" s="43" t="s">
        <v>29</v>
      </c>
      <c r="N152" s="43" t="s">
        <v>29</v>
      </c>
      <c r="O152" s="25">
        <v>1.9317303910060004</v>
      </c>
      <c r="P152" s="62">
        <f t="shared" si="3"/>
        <v>4.0709404496761908E-4</v>
      </c>
    </row>
    <row r="153" spans="2:16" ht="32.1" hidden="1">
      <c r="B153" s="43">
        <v>224</v>
      </c>
      <c r="C153" s="43">
        <v>851020</v>
      </c>
      <c r="D153" s="44" t="s">
        <v>295</v>
      </c>
      <c r="E153" s="44" t="s">
        <v>296</v>
      </c>
      <c r="F153" s="44" t="s">
        <v>66</v>
      </c>
      <c r="G153" s="44" t="s">
        <v>51</v>
      </c>
      <c r="H153" s="44" t="s">
        <v>28</v>
      </c>
      <c r="I153" s="47" t="s">
        <v>103</v>
      </c>
      <c r="J153" s="43" t="s">
        <v>29</v>
      </c>
      <c r="K153" s="43" t="s">
        <v>21</v>
      </c>
      <c r="L153" s="43" t="s">
        <v>29</v>
      </c>
      <c r="M153" s="43" t="s">
        <v>29</v>
      </c>
      <c r="N153" s="43" t="s">
        <v>29</v>
      </c>
      <c r="O153" s="25">
        <v>2.1082362307279996</v>
      </c>
      <c r="P153" s="62">
        <f t="shared" si="3"/>
        <v>4.4429099366573158E-4</v>
      </c>
    </row>
    <row r="154" spans="2:16" ht="32.1" hidden="1">
      <c r="B154" s="43">
        <v>321</v>
      </c>
      <c r="C154" s="43">
        <v>851030</v>
      </c>
      <c r="D154" s="44" t="s">
        <v>297</v>
      </c>
      <c r="E154" s="44" t="s">
        <v>294</v>
      </c>
      <c r="F154" s="44" t="s">
        <v>66</v>
      </c>
      <c r="G154" s="44" t="s">
        <v>51</v>
      </c>
      <c r="H154" s="44" t="s">
        <v>28</v>
      </c>
      <c r="I154" s="47" t="s">
        <v>103</v>
      </c>
      <c r="J154" s="43" t="s">
        <v>29</v>
      </c>
      <c r="K154" s="43" t="s">
        <v>21</v>
      </c>
      <c r="L154" s="43" t="s">
        <v>29</v>
      </c>
      <c r="M154" s="43" t="s">
        <v>29</v>
      </c>
      <c r="N154" s="43" t="s">
        <v>29</v>
      </c>
      <c r="O154" s="25">
        <v>0.64139027864999998</v>
      </c>
      <c r="P154" s="62">
        <f t="shared" si="3"/>
        <v>1.3516697990269687E-4</v>
      </c>
    </row>
    <row r="155" spans="2:16" ht="32.1" hidden="1">
      <c r="B155" s="43">
        <v>295</v>
      </c>
      <c r="C155" s="43">
        <v>851090</v>
      </c>
      <c r="D155" s="44" t="s">
        <v>298</v>
      </c>
      <c r="E155" s="44" t="s">
        <v>299</v>
      </c>
      <c r="F155" s="44" t="s">
        <v>66</v>
      </c>
      <c r="G155" s="44" t="s">
        <v>51</v>
      </c>
      <c r="H155" s="44" t="s">
        <v>20</v>
      </c>
      <c r="I155" s="47" t="s">
        <v>103</v>
      </c>
      <c r="J155" s="43" t="s">
        <v>29</v>
      </c>
      <c r="K155" s="43" t="s">
        <v>21</v>
      </c>
      <c r="L155" s="43" t="s">
        <v>29</v>
      </c>
      <c r="M155" s="43" t="s">
        <v>29</v>
      </c>
      <c r="N155" s="43" t="s">
        <v>29</v>
      </c>
      <c r="O155" s="25">
        <v>0.86561880877999986</v>
      </c>
      <c r="P155" s="62">
        <f t="shared" si="3"/>
        <v>1.8242103758733458E-4</v>
      </c>
    </row>
    <row r="156" spans="2:16" ht="63.95" hidden="1">
      <c r="B156" s="43">
        <v>380</v>
      </c>
      <c r="C156" s="43">
        <v>851120</v>
      </c>
      <c r="D156" s="44" t="s">
        <v>671</v>
      </c>
      <c r="E156" s="43" t="s">
        <v>672</v>
      </c>
      <c r="F156" s="43" t="s">
        <v>66</v>
      </c>
      <c r="G156" s="43" t="s">
        <v>67</v>
      </c>
      <c r="H156" s="43" t="s">
        <v>20</v>
      </c>
      <c r="I156" s="43" t="s">
        <v>12</v>
      </c>
      <c r="J156" s="43" t="s">
        <v>21</v>
      </c>
      <c r="K156" s="43" t="s">
        <v>29</v>
      </c>
      <c r="L156" s="43" t="s">
        <v>29</v>
      </c>
      <c r="M156" s="43" t="s">
        <v>21</v>
      </c>
      <c r="N156" s="43" t="s">
        <v>21</v>
      </c>
      <c r="O156" s="25">
        <v>0.18015636699100002</v>
      </c>
      <c r="P156" s="46">
        <f t="shared" si="3"/>
        <v>3.7966263049184094E-5</v>
      </c>
    </row>
    <row r="157" spans="2:16" ht="48" hidden="1">
      <c r="B157" s="43">
        <v>336</v>
      </c>
      <c r="C157" s="43">
        <v>851210</v>
      </c>
      <c r="D157" s="44" t="s">
        <v>302</v>
      </c>
      <c r="E157" s="44" t="s">
        <v>303</v>
      </c>
      <c r="F157" s="44" t="s">
        <v>66</v>
      </c>
      <c r="G157" s="44" t="s">
        <v>51</v>
      </c>
      <c r="H157" s="44" t="s">
        <v>20</v>
      </c>
      <c r="I157" s="47" t="s">
        <v>103</v>
      </c>
      <c r="J157" s="43" t="s">
        <v>29</v>
      </c>
      <c r="K157" s="43" t="s">
        <v>21</v>
      </c>
      <c r="L157" s="43" t="s">
        <v>29</v>
      </c>
      <c r="M157" s="43" t="s">
        <v>29</v>
      </c>
      <c r="N157" s="43" t="s">
        <v>29</v>
      </c>
      <c r="O157" s="25">
        <v>0.50143507613699989</v>
      </c>
      <c r="P157" s="62">
        <f t="shared" si="3"/>
        <v>1.0567273486179949E-4</v>
      </c>
    </row>
    <row r="158" spans="2:16" ht="48" hidden="1">
      <c r="B158" s="43">
        <v>37</v>
      </c>
      <c r="C158" s="43">
        <v>851220</v>
      </c>
      <c r="D158" s="44" t="s">
        <v>304</v>
      </c>
      <c r="E158" s="44" t="s">
        <v>305</v>
      </c>
      <c r="F158" s="44" t="s">
        <v>66</v>
      </c>
      <c r="G158" s="44" t="s">
        <v>51</v>
      </c>
      <c r="H158" s="44" t="s">
        <v>20</v>
      </c>
      <c r="I158" s="47" t="s">
        <v>306</v>
      </c>
      <c r="J158" s="43" t="s">
        <v>29</v>
      </c>
      <c r="K158" s="43" t="s">
        <v>21</v>
      </c>
      <c r="L158" s="43" t="s">
        <v>29</v>
      </c>
      <c r="M158" s="43" t="s">
        <v>29</v>
      </c>
      <c r="N158" s="43" t="s">
        <v>29</v>
      </c>
      <c r="O158" s="25">
        <v>23.271218409048998</v>
      </c>
      <c r="P158" s="62">
        <f t="shared" si="3"/>
        <v>4.9041908112917665E-3</v>
      </c>
    </row>
    <row r="159" spans="2:16" ht="48" hidden="1">
      <c r="B159" s="43">
        <v>269</v>
      </c>
      <c r="C159" s="43">
        <v>851230</v>
      </c>
      <c r="D159" s="44" t="s">
        <v>307</v>
      </c>
      <c r="E159" s="44" t="s">
        <v>308</v>
      </c>
      <c r="F159" s="44" t="s">
        <v>66</v>
      </c>
      <c r="G159" s="44" t="s">
        <v>51</v>
      </c>
      <c r="H159" s="44" t="s">
        <v>20</v>
      </c>
      <c r="I159" s="47" t="s">
        <v>103</v>
      </c>
      <c r="J159" s="43" t="s">
        <v>29</v>
      </c>
      <c r="K159" s="43" t="s">
        <v>21</v>
      </c>
      <c r="L159" s="43" t="s">
        <v>29</v>
      </c>
      <c r="M159" s="43" t="s">
        <v>29</v>
      </c>
      <c r="N159" s="43" t="s">
        <v>29</v>
      </c>
      <c r="O159" s="25">
        <v>1.2511840609839995</v>
      </c>
      <c r="P159" s="62">
        <f t="shared" si="3"/>
        <v>2.6367529483228304E-4</v>
      </c>
    </row>
    <row r="160" spans="2:16" ht="32.1" hidden="1">
      <c r="B160" s="43">
        <v>290</v>
      </c>
      <c r="C160" s="43">
        <v>851240</v>
      </c>
      <c r="D160" s="44" t="s">
        <v>309</v>
      </c>
      <c r="E160" s="44" t="s">
        <v>310</v>
      </c>
      <c r="F160" s="44" t="s">
        <v>66</v>
      </c>
      <c r="G160" s="44" t="s">
        <v>51</v>
      </c>
      <c r="H160" s="44" t="s">
        <v>20</v>
      </c>
      <c r="I160" s="47" t="s">
        <v>103</v>
      </c>
      <c r="J160" s="43" t="s">
        <v>29</v>
      </c>
      <c r="K160" s="43" t="s">
        <v>21</v>
      </c>
      <c r="L160" s="43" t="s">
        <v>29</v>
      </c>
      <c r="M160" s="43" t="s">
        <v>29</v>
      </c>
      <c r="N160" s="43" t="s">
        <v>29</v>
      </c>
      <c r="O160" s="25">
        <v>0.94753095486100025</v>
      </c>
      <c r="P160" s="62">
        <f t="shared" si="3"/>
        <v>1.9968325338895438E-4</v>
      </c>
    </row>
    <row r="161" spans="2:16" ht="63.95" hidden="1">
      <c r="B161" s="43">
        <v>89</v>
      </c>
      <c r="C161" s="43">
        <v>851290</v>
      </c>
      <c r="D161" s="44" t="s">
        <v>311</v>
      </c>
      <c r="E161" s="44" t="s">
        <v>312</v>
      </c>
      <c r="F161" s="44" t="s">
        <v>66</v>
      </c>
      <c r="G161" s="44" t="s">
        <v>51</v>
      </c>
      <c r="H161" s="44" t="s">
        <v>20</v>
      </c>
      <c r="I161" s="47" t="s">
        <v>96</v>
      </c>
      <c r="J161" s="43" t="s">
        <v>29</v>
      </c>
      <c r="K161" s="43" t="s">
        <v>21</v>
      </c>
      <c r="L161" s="43" t="s">
        <v>29</v>
      </c>
      <c r="M161" s="43" t="s">
        <v>29</v>
      </c>
      <c r="N161" s="43" t="s">
        <v>29</v>
      </c>
      <c r="O161" s="25">
        <v>8.6818861346259997</v>
      </c>
      <c r="P161" s="62">
        <f t="shared" si="3"/>
        <v>1.829625997990631E-3</v>
      </c>
    </row>
    <row r="162" spans="2:16" ht="48" hidden="1">
      <c r="B162" s="43">
        <v>174</v>
      </c>
      <c r="C162" s="43">
        <v>851310</v>
      </c>
      <c r="D162" s="44" t="s">
        <v>313</v>
      </c>
      <c r="E162" s="44" t="s">
        <v>314</v>
      </c>
      <c r="F162" s="44" t="s">
        <v>66</v>
      </c>
      <c r="G162" s="44" t="s">
        <v>51</v>
      </c>
      <c r="H162" s="44" t="s">
        <v>28</v>
      </c>
      <c r="I162" s="47" t="s">
        <v>103</v>
      </c>
      <c r="J162" s="43" t="s">
        <v>29</v>
      </c>
      <c r="K162" s="43" t="s">
        <v>21</v>
      </c>
      <c r="L162" s="43" t="s">
        <v>29</v>
      </c>
      <c r="M162" s="43" t="s">
        <v>29</v>
      </c>
      <c r="N162" s="43" t="s">
        <v>29</v>
      </c>
      <c r="O162" s="25">
        <v>4.0026483008549976</v>
      </c>
      <c r="P162" s="62">
        <f t="shared" si="3"/>
        <v>8.4352055284963787E-4</v>
      </c>
    </row>
    <row r="163" spans="2:16" ht="48" hidden="1">
      <c r="B163" s="43">
        <v>397</v>
      </c>
      <c r="C163" s="43">
        <v>851390</v>
      </c>
      <c r="D163" s="44" t="s">
        <v>315</v>
      </c>
      <c r="E163" s="44" t="s">
        <v>316</v>
      </c>
      <c r="F163" s="44" t="s">
        <v>66</v>
      </c>
      <c r="G163" s="44" t="s">
        <v>51</v>
      </c>
      <c r="H163" s="44" t="s">
        <v>28</v>
      </c>
      <c r="I163" s="47" t="s">
        <v>103</v>
      </c>
      <c r="J163" s="43" t="s">
        <v>29</v>
      </c>
      <c r="K163" s="43" t="s">
        <v>21</v>
      </c>
      <c r="L163" s="43" t="s">
        <v>29</v>
      </c>
      <c r="M163" s="43" t="s">
        <v>29</v>
      </c>
      <c r="N163" s="43" t="s">
        <v>29</v>
      </c>
      <c r="O163" s="25">
        <v>7.669793309300002E-2</v>
      </c>
      <c r="P163" s="62">
        <f t="shared" si="3"/>
        <v>1.6163369365030716E-5</v>
      </c>
    </row>
    <row r="164" spans="2:16" ht="32.1" hidden="1">
      <c r="B164" s="35">
        <v>185</v>
      </c>
      <c r="C164" s="35">
        <v>851610</v>
      </c>
      <c r="D164" s="36" t="s">
        <v>317</v>
      </c>
      <c r="E164" s="36" t="s">
        <v>318</v>
      </c>
      <c r="F164" s="36" t="s">
        <v>112</v>
      </c>
      <c r="G164" s="36" t="s">
        <v>51</v>
      </c>
      <c r="H164" s="36" t="s">
        <v>28</v>
      </c>
      <c r="I164" s="37" t="s">
        <v>103</v>
      </c>
      <c r="J164" s="35" t="s">
        <v>29</v>
      </c>
      <c r="K164" s="35" t="s">
        <v>21</v>
      </c>
      <c r="L164" s="35" t="s">
        <v>29</v>
      </c>
      <c r="M164" s="38" t="s">
        <v>29</v>
      </c>
      <c r="N164" s="35" t="s">
        <v>29</v>
      </c>
      <c r="O164" s="24">
        <v>3.2829840118050004</v>
      </c>
      <c r="P164" s="40">
        <f t="shared" si="3"/>
        <v>6.9185806008555367E-4</v>
      </c>
    </row>
    <row r="165" spans="2:16" ht="32.1" hidden="1">
      <c r="B165" s="26">
        <v>392</v>
      </c>
      <c r="C165" s="26">
        <v>851621</v>
      </c>
      <c r="D165" s="27" t="s">
        <v>319</v>
      </c>
      <c r="E165" s="27" t="s">
        <v>320</v>
      </c>
      <c r="F165" s="27" t="s">
        <v>66</v>
      </c>
      <c r="G165" s="27" t="s">
        <v>51</v>
      </c>
      <c r="H165" s="27" t="s">
        <v>28</v>
      </c>
      <c r="I165" s="28" t="s">
        <v>103</v>
      </c>
      <c r="J165" s="26" t="s">
        <v>29</v>
      </c>
      <c r="K165" s="26" t="s">
        <v>21</v>
      </c>
      <c r="L165" s="26" t="s">
        <v>29</v>
      </c>
      <c r="M165" s="29" t="s">
        <v>29</v>
      </c>
      <c r="N165" s="26" t="s">
        <v>29</v>
      </c>
      <c r="O165" s="22">
        <v>0.11516382056700002</v>
      </c>
      <c r="P165" s="30">
        <f t="shared" si="3"/>
        <v>2.4269694035371987E-5</v>
      </c>
    </row>
    <row r="166" spans="2:16" ht="48" hidden="1">
      <c r="B166" s="43">
        <v>161</v>
      </c>
      <c r="C166" s="43">
        <v>851629</v>
      </c>
      <c r="D166" s="44" t="s">
        <v>321</v>
      </c>
      <c r="E166" s="44" t="s">
        <v>322</v>
      </c>
      <c r="F166" s="44" t="s">
        <v>112</v>
      </c>
      <c r="G166" s="44" t="s">
        <v>51</v>
      </c>
      <c r="H166" s="44" t="s">
        <v>28</v>
      </c>
      <c r="I166" s="47" t="s">
        <v>103</v>
      </c>
      <c r="J166" s="43" t="s">
        <v>29</v>
      </c>
      <c r="K166" s="43" t="s">
        <v>21</v>
      </c>
      <c r="L166" s="43" t="s">
        <v>29</v>
      </c>
      <c r="M166" s="43" t="s">
        <v>29</v>
      </c>
      <c r="N166" s="43" t="s">
        <v>29</v>
      </c>
      <c r="O166" s="25">
        <v>4.5580888015269991</v>
      </c>
      <c r="P166" s="62">
        <f t="shared" si="3"/>
        <v>9.6057442393340147E-4</v>
      </c>
    </row>
    <row r="167" spans="2:16" ht="32.1" hidden="1">
      <c r="B167" s="43">
        <v>220</v>
      </c>
      <c r="C167" s="43">
        <v>851631</v>
      </c>
      <c r="D167" s="44" t="s">
        <v>323</v>
      </c>
      <c r="E167" s="44" t="s">
        <v>324</v>
      </c>
      <c r="F167" s="44" t="s">
        <v>66</v>
      </c>
      <c r="G167" s="44" t="s">
        <v>51</v>
      </c>
      <c r="H167" s="44" t="s">
        <v>28</v>
      </c>
      <c r="I167" s="47" t="s">
        <v>103</v>
      </c>
      <c r="J167" s="43" t="s">
        <v>29</v>
      </c>
      <c r="K167" s="43" t="s">
        <v>21</v>
      </c>
      <c r="L167" s="43" t="s">
        <v>29</v>
      </c>
      <c r="M167" s="43" t="s">
        <v>29</v>
      </c>
      <c r="N167" s="43" t="s">
        <v>29</v>
      </c>
      <c r="O167" s="25">
        <v>2.1781629255600001</v>
      </c>
      <c r="P167" s="62">
        <f t="shared" si="3"/>
        <v>4.590273881351226E-4</v>
      </c>
    </row>
    <row r="168" spans="2:16" ht="32.1" hidden="1">
      <c r="B168" s="43">
        <v>196</v>
      </c>
      <c r="C168" s="43">
        <v>851632</v>
      </c>
      <c r="D168" s="44" t="s">
        <v>325</v>
      </c>
      <c r="E168" s="44" t="s">
        <v>326</v>
      </c>
      <c r="F168" s="44" t="s">
        <v>66</v>
      </c>
      <c r="G168" s="44" t="s">
        <v>51</v>
      </c>
      <c r="H168" s="44" t="s">
        <v>28</v>
      </c>
      <c r="I168" s="47" t="s">
        <v>103</v>
      </c>
      <c r="J168" s="43" t="s">
        <v>29</v>
      </c>
      <c r="K168" s="43" t="s">
        <v>21</v>
      </c>
      <c r="L168" s="43" t="s">
        <v>29</v>
      </c>
      <c r="M168" s="43" t="s">
        <v>29</v>
      </c>
      <c r="N168" s="43" t="s">
        <v>29</v>
      </c>
      <c r="O168" s="25">
        <v>3.0032103387580005</v>
      </c>
      <c r="P168" s="62">
        <f t="shared" si="3"/>
        <v>6.3289838498470385E-4</v>
      </c>
    </row>
    <row r="169" spans="2:16" ht="32.1" hidden="1">
      <c r="B169" s="35">
        <v>393</v>
      </c>
      <c r="C169" s="35">
        <v>851633</v>
      </c>
      <c r="D169" s="36" t="s">
        <v>327</v>
      </c>
      <c r="E169" s="36" t="s">
        <v>328</v>
      </c>
      <c r="F169" s="36" t="s">
        <v>66</v>
      </c>
      <c r="G169" s="36" t="s">
        <v>51</v>
      </c>
      <c r="H169" s="36" t="s">
        <v>28</v>
      </c>
      <c r="I169" s="37" t="s">
        <v>103</v>
      </c>
      <c r="J169" s="35" t="s">
        <v>29</v>
      </c>
      <c r="K169" s="35" t="s">
        <v>21</v>
      </c>
      <c r="L169" s="35" t="s">
        <v>29</v>
      </c>
      <c r="M169" s="38" t="s">
        <v>29</v>
      </c>
      <c r="N169" s="35" t="s">
        <v>29</v>
      </c>
      <c r="O169" s="24">
        <v>0.11012810192899998</v>
      </c>
      <c r="P169" s="40">
        <f t="shared" si="3"/>
        <v>2.3208463607354199E-5</v>
      </c>
    </row>
    <row r="170" spans="2:16" ht="32.1" hidden="1">
      <c r="B170" s="26">
        <v>234</v>
      </c>
      <c r="C170" s="26">
        <v>851640</v>
      </c>
      <c r="D170" s="27" t="s">
        <v>329</v>
      </c>
      <c r="E170" s="27" t="s">
        <v>330</v>
      </c>
      <c r="F170" s="27" t="s">
        <v>66</v>
      </c>
      <c r="G170" s="27" t="s">
        <v>51</v>
      </c>
      <c r="H170" s="27" t="s">
        <v>28</v>
      </c>
      <c r="I170" s="28" t="s">
        <v>103</v>
      </c>
      <c r="J170" s="26" t="s">
        <v>29</v>
      </c>
      <c r="K170" s="26" t="s">
        <v>21</v>
      </c>
      <c r="L170" s="26" t="s">
        <v>29</v>
      </c>
      <c r="M170" s="29" t="s">
        <v>29</v>
      </c>
      <c r="N170" s="26" t="s">
        <v>29</v>
      </c>
      <c r="O170" s="22">
        <v>1.8994785198929995</v>
      </c>
      <c r="P170" s="30">
        <f t="shared" si="3"/>
        <v>4.0029726590864892E-4</v>
      </c>
    </row>
    <row r="171" spans="2:16" ht="32.1" hidden="1">
      <c r="B171" s="43">
        <v>143</v>
      </c>
      <c r="C171" s="43">
        <v>851650</v>
      </c>
      <c r="D171" s="44" t="s">
        <v>412</v>
      </c>
      <c r="E171" s="43" t="s">
        <v>193</v>
      </c>
      <c r="F171" s="43" t="s">
        <v>112</v>
      </c>
      <c r="G171" s="43" t="s">
        <v>67</v>
      </c>
      <c r="H171" s="43" t="s">
        <v>28</v>
      </c>
      <c r="I171" s="43" t="s">
        <v>12</v>
      </c>
      <c r="J171" s="43" t="s">
        <v>21</v>
      </c>
      <c r="K171" s="43" t="s">
        <v>21</v>
      </c>
      <c r="L171" s="43" t="s">
        <v>29</v>
      </c>
      <c r="M171" s="43" t="s">
        <v>21</v>
      </c>
      <c r="N171" s="43" t="s">
        <v>21</v>
      </c>
      <c r="O171" s="25">
        <v>5.1373521695979996</v>
      </c>
      <c r="P171" s="46">
        <f t="shared" si="3"/>
        <v>1.0826487406742503E-3</v>
      </c>
    </row>
    <row r="172" spans="2:16" ht="48" hidden="1">
      <c r="B172" s="43">
        <v>48</v>
      </c>
      <c r="C172" s="43">
        <v>851660</v>
      </c>
      <c r="D172" s="44" t="s">
        <v>192</v>
      </c>
      <c r="E172" s="43" t="s">
        <v>193</v>
      </c>
      <c r="F172" s="43" t="s">
        <v>66</v>
      </c>
      <c r="G172" s="43" t="s">
        <v>51</v>
      </c>
      <c r="H172" s="43" t="s">
        <v>28</v>
      </c>
      <c r="I172" s="43" t="s">
        <v>96</v>
      </c>
      <c r="J172" s="43" t="s">
        <v>21</v>
      </c>
      <c r="K172" s="43" t="s">
        <v>21</v>
      </c>
      <c r="L172" s="43" t="s">
        <v>29</v>
      </c>
      <c r="M172" s="43" t="s">
        <v>29</v>
      </c>
      <c r="N172" s="43" t="s">
        <v>29</v>
      </c>
      <c r="O172" s="25">
        <v>17.653083483211002</v>
      </c>
      <c r="P172" s="46">
        <f t="shared" si="3"/>
        <v>3.7202216182916133E-3</v>
      </c>
    </row>
    <row r="173" spans="2:16" ht="48" hidden="1">
      <c r="B173" s="43">
        <v>95</v>
      </c>
      <c r="C173" s="43">
        <v>851671</v>
      </c>
      <c r="D173" s="44" t="s">
        <v>300</v>
      </c>
      <c r="E173" s="43" t="s">
        <v>301</v>
      </c>
      <c r="F173" s="43" t="s">
        <v>66</v>
      </c>
      <c r="G173" s="43" t="s">
        <v>51</v>
      </c>
      <c r="H173" s="43" t="s">
        <v>28</v>
      </c>
      <c r="I173" s="43" t="s">
        <v>96</v>
      </c>
      <c r="J173" s="43" t="s">
        <v>21</v>
      </c>
      <c r="K173" s="43" t="s">
        <v>21</v>
      </c>
      <c r="L173" s="43" t="s">
        <v>29</v>
      </c>
      <c r="M173" s="43" t="s">
        <v>29</v>
      </c>
      <c r="N173" s="43" t="s">
        <v>29</v>
      </c>
      <c r="O173" s="25">
        <v>8.250717718409998</v>
      </c>
      <c r="P173" s="46">
        <f t="shared" si="3"/>
        <v>1.7387613020491627E-3</v>
      </c>
    </row>
    <row r="174" spans="2:16" ht="32.1" hidden="1">
      <c r="B174" s="43">
        <v>270</v>
      </c>
      <c r="C174" s="43">
        <v>851672</v>
      </c>
      <c r="D174" s="44" t="s">
        <v>337</v>
      </c>
      <c r="E174" s="44" t="s">
        <v>338</v>
      </c>
      <c r="F174" s="44" t="s">
        <v>66</v>
      </c>
      <c r="G174" s="44" t="s">
        <v>51</v>
      </c>
      <c r="H174" s="44" t="s">
        <v>28</v>
      </c>
      <c r="I174" s="47" t="s">
        <v>103</v>
      </c>
      <c r="J174" s="43" t="s">
        <v>29</v>
      </c>
      <c r="K174" s="43" t="s">
        <v>21</v>
      </c>
      <c r="L174" s="43" t="s">
        <v>29</v>
      </c>
      <c r="M174" s="43" t="s">
        <v>29</v>
      </c>
      <c r="N174" s="43" t="s">
        <v>29</v>
      </c>
      <c r="O174" s="25">
        <v>1.2167748454559999</v>
      </c>
      <c r="P174" s="62">
        <f t="shared" si="3"/>
        <v>2.5642387569083596E-4</v>
      </c>
    </row>
    <row r="175" spans="2:16" ht="32.1" hidden="1">
      <c r="B175" s="43">
        <v>106</v>
      </c>
      <c r="C175" s="43">
        <v>851679</v>
      </c>
      <c r="D175" s="44" t="s">
        <v>345</v>
      </c>
      <c r="E175" s="43" t="s">
        <v>346</v>
      </c>
      <c r="F175" s="43" t="s">
        <v>112</v>
      </c>
      <c r="G175" s="43" t="s">
        <v>51</v>
      </c>
      <c r="H175" s="43" t="s">
        <v>28</v>
      </c>
      <c r="I175" s="43" t="s">
        <v>129</v>
      </c>
      <c r="J175" s="43" t="s">
        <v>21</v>
      </c>
      <c r="K175" s="43" t="s">
        <v>21</v>
      </c>
      <c r="L175" s="43" t="s">
        <v>29</v>
      </c>
      <c r="M175" s="43" t="s">
        <v>29</v>
      </c>
      <c r="N175" s="43" t="s">
        <v>29</v>
      </c>
      <c r="O175" s="25">
        <v>7.6331935290070021</v>
      </c>
      <c r="P175" s="46">
        <f t="shared" si="3"/>
        <v>1.6086238764022548E-3</v>
      </c>
    </row>
    <row r="176" spans="2:16" ht="80.099999999999994" hidden="1">
      <c r="B176" s="43">
        <v>132</v>
      </c>
      <c r="C176" s="43">
        <v>851680</v>
      </c>
      <c r="D176" s="44" t="s">
        <v>340</v>
      </c>
      <c r="E176" s="44" t="s">
        <v>341</v>
      </c>
      <c r="F176" s="44" t="s">
        <v>112</v>
      </c>
      <c r="G176" s="44" t="s">
        <v>51</v>
      </c>
      <c r="H176" s="44" t="s">
        <v>20</v>
      </c>
      <c r="I176" s="47" t="s">
        <v>103</v>
      </c>
      <c r="J176" s="43" t="s">
        <v>29</v>
      </c>
      <c r="K176" s="43" t="s">
        <v>21</v>
      </c>
      <c r="L176" s="43" t="s">
        <v>29</v>
      </c>
      <c r="M176" s="43" t="s">
        <v>29</v>
      </c>
      <c r="N176" s="43" t="s">
        <v>29</v>
      </c>
      <c r="O176" s="25">
        <v>5.6009508999740003</v>
      </c>
      <c r="P176" s="62">
        <f t="shared" si="3"/>
        <v>1.1803478208716341E-3</v>
      </c>
    </row>
    <row r="177" spans="2:16" ht="63.95" hidden="1">
      <c r="B177" s="31">
        <v>147</v>
      </c>
      <c r="C177" s="31">
        <v>851690</v>
      </c>
      <c r="D177" s="32" t="s">
        <v>342</v>
      </c>
      <c r="E177" s="32" t="s">
        <v>343</v>
      </c>
      <c r="F177" s="32" t="s">
        <v>112</v>
      </c>
      <c r="G177" s="32" t="s">
        <v>51</v>
      </c>
      <c r="H177" s="32" t="s">
        <v>20</v>
      </c>
      <c r="I177" s="33" t="s">
        <v>103</v>
      </c>
      <c r="J177" s="31" t="s">
        <v>29</v>
      </c>
      <c r="K177" s="31" t="s">
        <v>21</v>
      </c>
      <c r="L177" s="31" t="s">
        <v>29</v>
      </c>
      <c r="M177" s="34" t="s">
        <v>29</v>
      </c>
      <c r="N177" s="31" t="s">
        <v>29</v>
      </c>
      <c r="O177" s="23">
        <v>5.0592665837980011</v>
      </c>
      <c r="P177" s="39">
        <f t="shared" si="3"/>
        <v>1.066192936528397E-3</v>
      </c>
    </row>
    <row r="178" spans="2:16" ht="32.1" hidden="1">
      <c r="B178" s="43">
        <v>237</v>
      </c>
      <c r="C178" s="43">
        <v>851711</v>
      </c>
      <c r="D178" s="44" t="s">
        <v>551</v>
      </c>
      <c r="E178" s="43" t="s">
        <v>487</v>
      </c>
      <c r="F178" s="43" t="s">
        <v>26</v>
      </c>
      <c r="G178" s="43" t="s">
        <v>27</v>
      </c>
      <c r="H178" s="43" t="s">
        <v>28</v>
      </c>
      <c r="I178" s="43" t="s">
        <v>12</v>
      </c>
      <c r="J178" s="43" t="s">
        <v>21</v>
      </c>
      <c r="K178" s="43" t="s">
        <v>21</v>
      </c>
      <c r="L178" s="43" t="s">
        <v>29</v>
      </c>
      <c r="M178" s="43" t="s">
        <v>21</v>
      </c>
      <c r="N178" s="43" t="s">
        <v>21</v>
      </c>
      <c r="O178" s="25">
        <v>1.8753075515199999</v>
      </c>
      <c r="P178" s="46">
        <f t="shared" si="3"/>
        <v>3.9520346123923832E-4</v>
      </c>
    </row>
    <row r="179" spans="2:16" ht="32.1" hidden="1">
      <c r="B179" s="31">
        <v>377</v>
      </c>
      <c r="C179" s="31">
        <v>851712</v>
      </c>
      <c r="D179" s="32" t="s">
        <v>667</v>
      </c>
      <c r="E179" s="31" t="s">
        <v>668</v>
      </c>
      <c r="F179" s="31" t="s">
        <v>26</v>
      </c>
      <c r="G179" s="31" t="s">
        <v>27</v>
      </c>
      <c r="H179" s="31" t="s">
        <v>28</v>
      </c>
      <c r="I179" s="31" t="s">
        <v>12</v>
      </c>
      <c r="J179" s="31" t="s">
        <v>21</v>
      </c>
      <c r="K179" s="31" t="s">
        <v>21</v>
      </c>
      <c r="L179" s="31" t="s">
        <v>21</v>
      </c>
      <c r="M179" s="34" t="s">
        <v>21</v>
      </c>
      <c r="N179" s="31" t="s">
        <v>21</v>
      </c>
      <c r="O179" s="23">
        <v>0.21819363282600002</v>
      </c>
      <c r="P179" s="71">
        <f t="shared" si="3"/>
        <v>4.5982259732973215E-5</v>
      </c>
    </row>
    <row r="180" spans="2:16" ht="32.1" hidden="1">
      <c r="B180" s="43">
        <v>3</v>
      </c>
      <c r="C180" s="43">
        <v>851713</v>
      </c>
      <c r="D180" s="44" t="s">
        <v>24</v>
      </c>
      <c r="E180" s="43" t="s">
        <v>25</v>
      </c>
      <c r="F180" s="43" t="s">
        <v>26</v>
      </c>
      <c r="G180" s="43" t="s">
        <v>27</v>
      </c>
      <c r="H180" s="43" t="s">
        <v>28</v>
      </c>
      <c r="I180" s="43" t="s">
        <v>12</v>
      </c>
      <c r="J180" s="43" t="s">
        <v>21</v>
      </c>
      <c r="K180" s="43" t="s">
        <v>21</v>
      </c>
      <c r="L180" s="43" t="s">
        <v>21</v>
      </c>
      <c r="M180" s="43" t="s">
        <v>21</v>
      </c>
      <c r="N180" s="43" t="s">
        <v>29</v>
      </c>
      <c r="O180" s="25">
        <v>247.35227807067304</v>
      </c>
      <c r="P180" s="46">
        <f t="shared" si="3"/>
        <v>5.2127170479160725E-2</v>
      </c>
    </row>
    <row r="181" spans="2:16" ht="32.1" hidden="1">
      <c r="B181" s="43">
        <v>66</v>
      </c>
      <c r="C181" s="43">
        <v>851714</v>
      </c>
      <c r="D181" s="44" t="s">
        <v>226</v>
      </c>
      <c r="E181" s="43" t="s">
        <v>227</v>
      </c>
      <c r="F181" s="43" t="s">
        <v>26</v>
      </c>
      <c r="G181" s="43" t="s">
        <v>27</v>
      </c>
      <c r="H181" s="43" t="s">
        <v>28</v>
      </c>
      <c r="I181" s="43" t="s">
        <v>12</v>
      </c>
      <c r="J181" s="43" t="s">
        <v>21</v>
      </c>
      <c r="K181" s="43" t="s">
        <v>29</v>
      </c>
      <c r="L181" s="43" t="s">
        <v>21</v>
      </c>
      <c r="M181" s="43" t="s">
        <v>21</v>
      </c>
      <c r="N181" s="43" t="s">
        <v>29</v>
      </c>
      <c r="O181" s="25">
        <v>12.716539619522004</v>
      </c>
      <c r="P181" s="46">
        <f t="shared" si="3"/>
        <v>2.6798913429146956E-3</v>
      </c>
    </row>
    <row r="182" spans="2:16" ht="32.1" hidden="1">
      <c r="B182" s="43">
        <v>181</v>
      </c>
      <c r="C182" s="43">
        <v>851718</v>
      </c>
      <c r="D182" s="44" t="s">
        <v>486</v>
      </c>
      <c r="E182" s="43" t="s">
        <v>487</v>
      </c>
      <c r="F182" s="43" t="s">
        <v>26</v>
      </c>
      <c r="G182" s="43" t="s">
        <v>27</v>
      </c>
      <c r="H182" s="43" t="s">
        <v>28</v>
      </c>
      <c r="I182" s="43" t="s">
        <v>12</v>
      </c>
      <c r="J182" s="43" t="s">
        <v>21</v>
      </c>
      <c r="K182" s="43" t="s">
        <v>21</v>
      </c>
      <c r="L182" s="43" t="s">
        <v>29</v>
      </c>
      <c r="M182" s="43" t="s">
        <v>21</v>
      </c>
      <c r="N182" s="43" t="s">
        <v>21</v>
      </c>
      <c r="O182" s="25">
        <v>3.7931933018789983</v>
      </c>
      <c r="P182" s="46">
        <f t="shared" si="3"/>
        <v>7.9937987816292727E-4</v>
      </c>
    </row>
    <row r="183" spans="2:16" ht="32.1" hidden="1">
      <c r="B183" s="43">
        <v>175</v>
      </c>
      <c r="C183" s="43">
        <v>851761</v>
      </c>
      <c r="D183" s="44" t="s">
        <v>444</v>
      </c>
      <c r="E183" s="43" t="s">
        <v>445</v>
      </c>
      <c r="F183" s="43" t="s">
        <v>266</v>
      </c>
      <c r="G183" s="43" t="s">
        <v>27</v>
      </c>
      <c r="H183" s="43" t="s">
        <v>28</v>
      </c>
      <c r="I183" s="43" t="s">
        <v>12</v>
      </c>
      <c r="J183" s="43" t="s">
        <v>21</v>
      </c>
      <c r="K183" s="43" t="s">
        <v>21</v>
      </c>
      <c r="L183" s="43" t="s">
        <v>21</v>
      </c>
      <c r="M183" s="43" t="s">
        <v>21</v>
      </c>
      <c r="N183" s="43" t="s">
        <v>21</v>
      </c>
      <c r="O183" s="25">
        <v>3.9881024313570004</v>
      </c>
      <c r="P183" s="46">
        <f t="shared" si="3"/>
        <v>8.4045514740844324E-4</v>
      </c>
    </row>
    <row r="184" spans="2:16" ht="80.099999999999994" hidden="1">
      <c r="B184" s="43">
        <v>5</v>
      </c>
      <c r="C184" s="43">
        <v>851762</v>
      </c>
      <c r="D184" s="44" t="s">
        <v>32</v>
      </c>
      <c r="E184" s="43" t="s">
        <v>33</v>
      </c>
      <c r="F184" s="43" t="s">
        <v>26</v>
      </c>
      <c r="G184" s="43" t="s">
        <v>27</v>
      </c>
      <c r="H184" s="43" t="s">
        <v>20</v>
      </c>
      <c r="I184" s="43" t="s">
        <v>12</v>
      </c>
      <c r="J184" s="43" t="s">
        <v>21</v>
      </c>
      <c r="K184" s="43" t="s">
        <v>21</v>
      </c>
      <c r="L184" s="43" t="s">
        <v>21</v>
      </c>
      <c r="M184" s="43" t="s">
        <v>21</v>
      </c>
      <c r="N184" s="43" t="s">
        <v>21</v>
      </c>
      <c r="O184" s="25">
        <v>184.13039355484503</v>
      </c>
      <c r="P184" s="46">
        <f t="shared" si="3"/>
        <v>3.8803751839657549E-2</v>
      </c>
    </row>
    <row r="185" spans="2:16" ht="63.95" hidden="1">
      <c r="B185" s="43">
        <v>93</v>
      </c>
      <c r="C185" s="43">
        <v>851769</v>
      </c>
      <c r="D185" s="44" t="s">
        <v>283</v>
      </c>
      <c r="E185" s="43" t="s">
        <v>284</v>
      </c>
      <c r="F185" s="43" t="s">
        <v>266</v>
      </c>
      <c r="G185" s="43" t="s">
        <v>27</v>
      </c>
      <c r="H185" s="43" t="s">
        <v>20</v>
      </c>
      <c r="I185" s="43" t="s">
        <v>12</v>
      </c>
      <c r="J185" s="43" t="s">
        <v>21</v>
      </c>
      <c r="K185" s="43" t="s">
        <v>21</v>
      </c>
      <c r="L185" s="43" t="s">
        <v>21</v>
      </c>
      <c r="M185" s="43" t="s">
        <v>21</v>
      </c>
      <c r="N185" s="43" t="s">
        <v>21</v>
      </c>
      <c r="O185" s="25">
        <v>8.3865549262090013</v>
      </c>
      <c r="P185" s="46">
        <f t="shared" si="3"/>
        <v>1.7673877183635041E-3</v>
      </c>
    </row>
    <row r="186" spans="2:16" ht="48" hidden="1">
      <c r="B186" s="31">
        <v>195</v>
      </c>
      <c r="C186" s="31">
        <v>851770</v>
      </c>
      <c r="D186" s="32" t="s">
        <v>471</v>
      </c>
      <c r="E186" s="31" t="s">
        <v>427</v>
      </c>
      <c r="F186" s="31" t="s">
        <v>26</v>
      </c>
      <c r="G186" s="31" t="s">
        <v>51</v>
      </c>
      <c r="H186" s="31" t="s">
        <v>20</v>
      </c>
      <c r="I186" s="31" t="s">
        <v>11</v>
      </c>
      <c r="J186" s="31" t="s">
        <v>21</v>
      </c>
      <c r="K186" s="31" t="s">
        <v>21</v>
      </c>
      <c r="L186" s="31" t="s">
        <v>21</v>
      </c>
      <c r="M186" s="34" t="s">
        <v>29</v>
      </c>
      <c r="N186" s="31" t="s">
        <v>21</v>
      </c>
      <c r="O186" s="23">
        <v>3.0363075495779994</v>
      </c>
      <c r="P186" s="71">
        <f t="shared" si="3"/>
        <v>6.3987331145093937E-4</v>
      </c>
    </row>
    <row r="187" spans="2:16" ht="48" hidden="1">
      <c r="B187" s="43">
        <v>141</v>
      </c>
      <c r="C187" s="43">
        <v>851771</v>
      </c>
      <c r="D187" s="44" t="s">
        <v>426</v>
      </c>
      <c r="E187" s="43" t="s">
        <v>427</v>
      </c>
      <c r="F187" s="43" t="s">
        <v>26</v>
      </c>
      <c r="G187" s="43" t="s">
        <v>27</v>
      </c>
      <c r="H187" s="43" t="s">
        <v>20</v>
      </c>
      <c r="I187" s="43" t="s">
        <v>12</v>
      </c>
      <c r="J187" s="43" t="s">
        <v>21</v>
      </c>
      <c r="K187" s="43" t="s">
        <v>29</v>
      </c>
      <c r="L187" s="43" t="s">
        <v>29</v>
      </c>
      <c r="M187" s="43" t="s">
        <v>21</v>
      </c>
      <c r="N187" s="43" t="s">
        <v>29</v>
      </c>
      <c r="O187" s="25">
        <v>5.2040187455800027</v>
      </c>
      <c r="P187" s="46">
        <f t="shared" si="3"/>
        <v>1.0966980957017505E-3</v>
      </c>
    </row>
    <row r="188" spans="2:16" ht="32.1" hidden="1">
      <c r="B188" s="35">
        <v>13</v>
      </c>
      <c r="C188" s="35">
        <v>851779</v>
      </c>
      <c r="D188" s="36" t="s">
        <v>55</v>
      </c>
      <c r="E188" s="35" t="s">
        <v>56</v>
      </c>
      <c r="F188" s="35" t="s">
        <v>26</v>
      </c>
      <c r="G188" s="35" t="s">
        <v>27</v>
      </c>
      <c r="H188" s="35" t="s">
        <v>20</v>
      </c>
      <c r="I188" s="35" t="s">
        <v>12</v>
      </c>
      <c r="J188" s="35" t="s">
        <v>21</v>
      </c>
      <c r="K188" s="35" t="s">
        <v>29</v>
      </c>
      <c r="L188" s="35" t="s">
        <v>21</v>
      </c>
      <c r="M188" s="38" t="s">
        <v>21</v>
      </c>
      <c r="N188" s="35" t="s">
        <v>29</v>
      </c>
      <c r="O188" s="24">
        <v>62.043346846057013</v>
      </c>
      <c r="P188" s="70">
        <f t="shared" si="3"/>
        <v>1.3075052889620282E-2</v>
      </c>
    </row>
    <row r="189" spans="2:16" ht="32.1" hidden="1">
      <c r="B189" s="26">
        <v>173</v>
      </c>
      <c r="C189" s="26">
        <v>851810</v>
      </c>
      <c r="D189" s="27" t="s">
        <v>442</v>
      </c>
      <c r="E189" s="26" t="s">
        <v>443</v>
      </c>
      <c r="F189" s="26" t="s">
        <v>66</v>
      </c>
      <c r="G189" s="26" t="s">
        <v>40</v>
      </c>
      <c r="H189" s="26" t="s">
        <v>28</v>
      </c>
      <c r="I189" s="26" t="s">
        <v>12</v>
      </c>
      <c r="J189" s="26" t="s">
        <v>21</v>
      </c>
      <c r="K189" s="26" t="s">
        <v>21</v>
      </c>
      <c r="L189" s="26" t="s">
        <v>21</v>
      </c>
      <c r="M189" s="29" t="s">
        <v>21</v>
      </c>
      <c r="N189" s="26" t="s">
        <v>21</v>
      </c>
      <c r="O189" s="22">
        <v>4.0227930375259993</v>
      </c>
      <c r="P189" s="63">
        <f t="shared" si="3"/>
        <v>8.4776586698580715E-4</v>
      </c>
    </row>
    <row r="190" spans="2:16" ht="32.1" hidden="1">
      <c r="B190" s="43">
        <v>136</v>
      </c>
      <c r="C190" s="43">
        <v>851821</v>
      </c>
      <c r="D190" s="44" t="s">
        <v>405</v>
      </c>
      <c r="E190" s="43" t="s">
        <v>280</v>
      </c>
      <c r="F190" s="43" t="s">
        <v>66</v>
      </c>
      <c r="G190" s="43" t="s">
        <v>40</v>
      </c>
      <c r="H190" s="43" t="s">
        <v>28</v>
      </c>
      <c r="I190" s="43" t="s">
        <v>12</v>
      </c>
      <c r="J190" s="43" t="s">
        <v>21</v>
      </c>
      <c r="K190" s="43" t="s">
        <v>21</v>
      </c>
      <c r="L190" s="43" t="s">
        <v>29</v>
      </c>
      <c r="M190" s="43" t="s">
        <v>21</v>
      </c>
      <c r="N190" s="43" t="s">
        <v>21</v>
      </c>
      <c r="O190" s="25">
        <v>5.376703463362003</v>
      </c>
      <c r="P190" s="46">
        <f t="shared" si="3"/>
        <v>1.133089778823408E-3</v>
      </c>
    </row>
    <row r="191" spans="2:16" ht="32.1" hidden="1">
      <c r="B191" s="31">
        <v>91</v>
      </c>
      <c r="C191" s="31">
        <v>851822</v>
      </c>
      <c r="D191" s="32" t="s">
        <v>279</v>
      </c>
      <c r="E191" s="31" t="s">
        <v>280</v>
      </c>
      <c r="F191" s="31" t="s">
        <v>66</v>
      </c>
      <c r="G191" s="31" t="s">
        <v>40</v>
      </c>
      <c r="H191" s="31" t="s">
        <v>28</v>
      </c>
      <c r="I191" s="31" t="s">
        <v>12</v>
      </c>
      <c r="J191" s="31" t="s">
        <v>21</v>
      </c>
      <c r="K191" s="31" t="s">
        <v>21</v>
      </c>
      <c r="L191" s="31" t="s">
        <v>21</v>
      </c>
      <c r="M191" s="34" t="s">
        <v>21</v>
      </c>
      <c r="N191" s="31" t="s">
        <v>21</v>
      </c>
      <c r="O191" s="23">
        <v>8.4659445746749995</v>
      </c>
      <c r="P191" s="71">
        <f t="shared" si="3"/>
        <v>1.7841183414737765E-3</v>
      </c>
    </row>
    <row r="192" spans="2:16" ht="32.1" hidden="1">
      <c r="B192" s="43">
        <v>138</v>
      </c>
      <c r="C192" s="43">
        <v>851829</v>
      </c>
      <c r="D192" s="44" t="s">
        <v>392</v>
      </c>
      <c r="E192" s="43" t="s">
        <v>280</v>
      </c>
      <c r="F192" s="43" t="s">
        <v>66</v>
      </c>
      <c r="G192" s="43" t="s">
        <v>40</v>
      </c>
      <c r="H192" s="43" t="s">
        <v>20</v>
      </c>
      <c r="I192" s="43" t="s">
        <v>12</v>
      </c>
      <c r="J192" s="43" t="s">
        <v>21</v>
      </c>
      <c r="K192" s="43" t="s">
        <v>21</v>
      </c>
      <c r="L192" s="43" t="s">
        <v>21</v>
      </c>
      <c r="M192" s="43" t="s">
        <v>21</v>
      </c>
      <c r="N192" s="43" t="s">
        <v>21</v>
      </c>
      <c r="O192" s="25">
        <v>5.3570803793589992</v>
      </c>
      <c r="P192" s="46">
        <f t="shared" si="3"/>
        <v>1.1289543980897842E-3</v>
      </c>
    </row>
    <row r="193" spans="2:16" ht="48" hidden="1">
      <c r="B193" s="31">
        <v>58</v>
      </c>
      <c r="C193" s="31">
        <v>851830</v>
      </c>
      <c r="D193" s="32" t="s">
        <v>209</v>
      </c>
      <c r="E193" s="31" t="s">
        <v>210</v>
      </c>
      <c r="F193" s="31" t="s">
        <v>66</v>
      </c>
      <c r="G193" s="31" t="s">
        <v>40</v>
      </c>
      <c r="H193" s="31" t="s">
        <v>28</v>
      </c>
      <c r="I193" s="31" t="s">
        <v>12</v>
      </c>
      <c r="J193" s="31" t="s">
        <v>21</v>
      </c>
      <c r="K193" s="31" t="s">
        <v>21</v>
      </c>
      <c r="L193" s="31" t="s">
        <v>21</v>
      </c>
      <c r="M193" s="34" t="s">
        <v>21</v>
      </c>
      <c r="N193" s="31" t="s">
        <v>21</v>
      </c>
      <c r="O193" s="23">
        <v>14.308445892368999</v>
      </c>
      <c r="P193" s="71">
        <f t="shared" si="3"/>
        <v>3.0153706452230875E-3</v>
      </c>
    </row>
    <row r="194" spans="2:16" ht="32.1" hidden="1">
      <c r="B194" s="43">
        <v>180</v>
      </c>
      <c r="C194" s="43">
        <v>851840</v>
      </c>
      <c r="D194" s="44" t="s">
        <v>421</v>
      </c>
      <c r="E194" s="43" t="s">
        <v>100</v>
      </c>
      <c r="F194" s="43" t="s">
        <v>189</v>
      </c>
      <c r="G194" s="43" t="s">
        <v>40</v>
      </c>
      <c r="H194" s="43" t="s">
        <v>20</v>
      </c>
      <c r="I194" s="43" t="s">
        <v>12</v>
      </c>
      <c r="J194" s="43" t="s">
        <v>21</v>
      </c>
      <c r="K194" s="43" t="s">
        <v>21</v>
      </c>
      <c r="L194" s="43" t="s">
        <v>29</v>
      </c>
      <c r="M194" s="43" t="s">
        <v>21</v>
      </c>
      <c r="N194" s="43" t="s">
        <v>21</v>
      </c>
      <c r="O194" s="25">
        <v>3.7971321556570006</v>
      </c>
      <c r="P194" s="46">
        <f t="shared" si="3"/>
        <v>8.0020995461898376E-4</v>
      </c>
    </row>
    <row r="195" spans="2:16" ht="32.1" hidden="1">
      <c r="B195" s="43">
        <v>280</v>
      </c>
      <c r="C195" s="43">
        <v>851850</v>
      </c>
      <c r="D195" s="44" t="s">
        <v>566</v>
      </c>
      <c r="E195" s="43" t="s">
        <v>100</v>
      </c>
      <c r="F195" s="43" t="s">
        <v>189</v>
      </c>
      <c r="G195" s="43" t="s">
        <v>40</v>
      </c>
      <c r="H195" s="43" t="s">
        <v>20</v>
      </c>
      <c r="I195" s="43" t="s">
        <v>12</v>
      </c>
      <c r="J195" s="43" t="s">
        <v>21</v>
      </c>
      <c r="K195" s="43" t="s">
        <v>21</v>
      </c>
      <c r="L195" s="43" t="s">
        <v>29</v>
      </c>
      <c r="M195" s="43" t="s">
        <v>21</v>
      </c>
      <c r="N195" s="43" t="s">
        <v>21</v>
      </c>
      <c r="O195" s="25">
        <v>1.0763327086089993</v>
      </c>
      <c r="P195" s="46">
        <f t="shared" si="3"/>
        <v>2.2682701381035019E-4</v>
      </c>
    </row>
    <row r="196" spans="2:16" ht="48" hidden="1">
      <c r="B196" s="31">
        <v>150</v>
      </c>
      <c r="C196" s="31">
        <v>851890</v>
      </c>
      <c r="D196" s="32" t="s">
        <v>408</v>
      </c>
      <c r="E196" s="31" t="s">
        <v>409</v>
      </c>
      <c r="F196" s="31" t="s">
        <v>66</v>
      </c>
      <c r="G196" s="31" t="s">
        <v>40</v>
      </c>
      <c r="H196" s="31" t="s">
        <v>20</v>
      </c>
      <c r="I196" s="31" t="s">
        <v>12</v>
      </c>
      <c r="J196" s="31" t="s">
        <v>21</v>
      </c>
      <c r="K196" s="31" t="s">
        <v>21</v>
      </c>
      <c r="L196" s="31" t="s">
        <v>21</v>
      </c>
      <c r="M196" s="34" t="s">
        <v>21</v>
      </c>
      <c r="N196" s="31" t="s">
        <v>21</v>
      </c>
      <c r="O196" s="23">
        <v>4.8486755038049996</v>
      </c>
      <c r="P196" s="71">
        <f t="shared" si="3"/>
        <v>1.0218128434327947E-3</v>
      </c>
    </row>
    <row r="197" spans="2:16" ht="63.95" hidden="1">
      <c r="B197" s="43">
        <v>405</v>
      </c>
      <c r="C197" s="43">
        <v>851920</v>
      </c>
      <c r="D197" s="44" t="s">
        <v>694</v>
      </c>
      <c r="E197" s="43" t="s">
        <v>695</v>
      </c>
      <c r="F197" s="43" t="s">
        <v>66</v>
      </c>
      <c r="G197" s="43" t="s">
        <v>67</v>
      </c>
      <c r="H197" s="43" t="s">
        <v>20</v>
      </c>
      <c r="I197" s="43" t="s">
        <v>12</v>
      </c>
      <c r="J197" s="43" t="s">
        <v>21</v>
      </c>
      <c r="K197" s="43" t="s">
        <v>21</v>
      </c>
      <c r="L197" s="43" t="s">
        <v>29</v>
      </c>
      <c r="M197" s="43" t="s">
        <v>21</v>
      </c>
      <c r="N197" s="43" t="s">
        <v>21</v>
      </c>
      <c r="O197" s="25">
        <v>4.3177247859000005E-2</v>
      </c>
      <c r="P197" s="46">
        <f t="shared" si="3"/>
        <v>9.0991996415897271E-6</v>
      </c>
    </row>
    <row r="198" spans="2:16" ht="48" hidden="1">
      <c r="B198" s="43">
        <v>359</v>
      </c>
      <c r="C198" s="43">
        <v>851930</v>
      </c>
      <c r="D198" s="44" t="s">
        <v>655</v>
      </c>
      <c r="E198" s="43" t="s">
        <v>656</v>
      </c>
      <c r="F198" s="43" t="s">
        <v>66</v>
      </c>
      <c r="G198" s="43" t="s">
        <v>40</v>
      </c>
      <c r="H198" s="43" t="s">
        <v>28</v>
      </c>
      <c r="I198" s="43" t="s">
        <v>12</v>
      </c>
      <c r="J198" s="43" t="s">
        <v>21</v>
      </c>
      <c r="K198" s="43" t="s">
        <v>21</v>
      </c>
      <c r="L198" s="43" t="s">
        <v>29</v>
      </c>
      <c r="M198" s="43" t="s">
        <v>21</v>
      </c>
      <c r="N198" s="43" t="s">
        <v>29</v>
      </c>
      <c r="O198" s="25">
        <v>0.33507263673299992</v>
      </c>
      <c r="P198" s="46">
        <f t="shared" si="3"/>
        <v>7.06134125552404E-5</v>
      </c>
    </row>
    <row r="199" spans="2:16" ht="32.1" hidden="1">
      <c r="B199" s="31">
        <v>421</v>
      </c>
      <c r="C199" s="31">
        <v>851950</v>
      </c>
      <c r="D199" s="32" t="s">
        <v>713</v>
      </c>
      <c r="E199" s="31" t="s">
        <v>714</v>
      </c>
      <c r="F199" s="31" t="s">
        <v>266</v>
      </c>
      <c r="G199" s="31" t="s">
        <v>27</v>
      </c>
      <c r="H199" s="31" t="s">
        <v>28</v>
      </c>
      <c r="I199" s="31" t="s">
        <v>12</v>
      </c>
      <c r="J199" s="31" t="s">
        <v>21</v>
      </c>
      <c r="K199" s="31" t="s">
        <v>21</v>
      </c>
      <c r="L199" s="31" t="s">
        <v>29</v>
      </c>
      <c r="M199" s="34" t="s">
        <v>21</v>
      </c>
      <c r="N199" s="31" t="s">
        <v>29</v>
      </c>
      <c r="O199" s="23">
        <v>1.9649599999999999E-5</v>
      </c>
      <c r="P199" s="71">
        <f t="shared" ref="P199:P262" si="4">O199/SUM($O$4:$O$426)</f>
        <v>4.1409687310608144E-9</v>
      </c>
    </row>
    <row r="200" spans="2:16" ht="48" hidden="1">
      <c r="B200" s="43">
        <v>236</v>
      </c>
      <c r="C200" s="43">
        <v>851981</v>
      </c>
      <c r="D200" s="44" t="s">
        <v>526</v>
      </c>
      <c r="E200" s="43" t="s">
        <v>527</v>
      </c>
      <c r="F200" s="43" t="s">
        <v>66</v>
      </c>
      <c r="G200" s="43" t="s">
        <v>40</v>
      </c>
      <c r="H200" s="43" t="s">
        <v>28</v>
      </c>
      <c r="I200" s="43" t="s">
        <v>12</v>
      </c>
      <c r="J200" s="43" t="s">
        <v>21</v>
      </c>
      <c r="K200" s="43" t="s">
        <v>21</v>
      </c>
      <c r="L200" s="43" t="s">
        <v>29</v>
      </c>
      <c r="M200" s="43" t="s">
        <v>21</v>
      </c>
      <c r="N200" s="43" t="s">
        <v>21</v>
      </c>
      <c r="O200" s="25">
        <v>1.8803340921100007</v>
      </c>
      <c r="P200" s="46">
        <f t="shared" si="4"/>
        <v>3.9626275747980304E-4</v>
      </c>
    </row>
    <row r="201" spans="2:16" ht="32.1" hidden="1">
      <c r="B201" s="31">
        <v>276</v>
      </c>
      <c r="C201" s="31">
        <v>851989</v>
      </c>
      <c r="D201" s="32" t="s">
        <v>569</v>
      </c>
      <c r="E201" s="31" t="s">
        <v>527</v>
      </c>
      <c r="F201" s="31" t="s">
        <v>66</v>
      </c>
      <c r="G201" s="31" t="s">
        <v>67</v>
      </c>
      <c r="H201" s="31" t="s">
        <v>28</v>
      </c>
      <c r="I201" s="31" t="s">
        <v>12</v>
      </c>
      <c r="J201" s="31" t="s">
        <v>21</v>
      </c>
      <c r="K201" s="31" t="s">
        <v>21</v>
      </c>
      <c r="L201" s="31" t="s">
        <v>21</v>
      </c>
      <c r="M201" s="34" t="s">
        <v>21</v>
      </c>
      <c r="N201" s="31" t="s">
        <v>21</v>
      </c>
      <c r="O201" s="23">
        <v>1.1293326760310003</v>
      </c>
      <c r="P201" s="71">
        <f t="shared" si="4"/>
        <v>2.3799625938490378E-4</v>
      </c>
    </row>
    <row r="202" spans="2:16" ht="32.1" hidden="1">
      <c r="B202" s="43">
        <v>349</v>
      </c>
      <c r="C202" s="43">
        <v>852110</v>
      </c>
      <c r="D202" s="44" t="s">
        <v>641</v>
      </c>
      <c r="E202" s="43" t="s">
        <v>450</v>
      </c>
      <c r="F202" s="43" t="s">
        <v>66</v>
      </c>
      <c r="G202" s="43" t="s">
        <v>67</v>
      </c>
      <c r="H202" s="43" t="s">
        <v>28</v>
      </c>
      <c r="I202" s="43" t="s">
        <v>12</v>
      </c>
      <c r="J202" s="43" t="s">
        <v>21</v>
      </c>
      <c r="K202" s="43" t="s">
        <v>21</v>
      </c>
      <c r="L202" s="43" t="s">
        <v>29</v>
      </c>
      <c r="M202" s="43" t="s">
        <v>21</v>
      </c>
      <c r="N202" s="43" t="s">
        <v>21</v>
      </c>
      <c r="O202" s="25">
        <v>0.42199045281700009</v>
      </c>
      <c r="P202" s="46">
        <f t="shared" si="4"/>
        <v>8.8930526317145971E-5</v>
      </c>
    </row>
    <row r="203" spans="2:16" ht="32.1" hidden="1">
      <c r="B203" s="31">
        <v>179</v>
      </c>
      <c r="C203" s="31">
        <v>852190</v>
      </c>
      <c r="D203" s="32" t="s">
        <v>449</v>
      </c>
      <c r="E203" s="31" t="s">
        <v>450</v>
      </c>
      <c r="F203" s="31" t="s">
        <v>66</v>
      </c>
      <c r="G203" s="31" t="s">
        <v>67</v>
      </c>
      <c r="H203" s="31" t="s">
        <v>28</v>
      </c>
      <c r="I203" s="31" t="s">
        <v>12</v>
      </c>
      <c r="J203" s="31" t="s">
        <v>21</v>
      </c>
      <c r="K203" s="31" t="s">
        <v>21</v>
      </c>
      <c r="L203" s="31" t="s">
        <v>29</v>
      </c>
      <c r="M203" s="34" t="s">
        <v>21</v>
      </c>
      <c r="N203" s="31" t="s">
        <v>21</v>
      </c>
      <c r="O203" s="23">
        <v>3.8079118939270007</v>
      </c>
      <c r="P203" s="71">
        <f t="shared" si="4"/>
        <v>8.0248168326002946E-4</v>
      </c>
    </row>
    <row r="204" spans="2:16" ht="32.1" hidden="1">
      <c r="B204" s="43">
        <v>399</v>
      </c>
      <c r="C204" s="43">
        <v>852210</v>
      </c>
      <c r="D204" s="44" t="s">
        <v>687</v>
      </c>
      <c r="E204" s="43" t="s">
        <v>527</v>
      </c>
      <c r="F204" s="43" t="s">
        <v>66</v>
      </c>
      <c r="G204" s="43" t="s">
        <v>67</v>
      </c>
      <c r="H204" s="43" t="s">
        <v>20</v>
      </c>
      <c r="I204" s="43" t="s">
        <v>12</v>
      </c>
      <c r="J204" s="43" t="s">
        <v>21</v>
      </c>
      <c r="K204" s="43" t="s">
        <v>21</v>
      </c>
      <c r="L204" s="43" t="s">
        <v>29</v>
      </c>
      <c r="M204" s="43" t="s">
        <v>21</v>
      </c>
      <c r="N204" s="43" t="s">
        <v>21</v>
      </c>
      <c r="O204" s="25">
        <v>6.7742078795000008E-2</v>
      </c>
      <c r="P204" s="46">
        <f t="shared" si="4"/>
        <v>1.4276007148601135E-5</v>
      </c>
    </row>
    <row r="205" spans="2:16" ht="48" hidden="1">
      <c r="B205" s="43">
        <v>241</v>
      </c>
      <c r="C205" s="43">
        <v>852290</v>
      </c>
      <c r="D205" s="44" t="s">
        <v>544</v>
      </c>
      <c r="E205" s="43" t="s">
        <v>527</v>
      </c>
      <c r="F205" s="43" t="s">
        <v>66</v>
      </c>
      <c r="G205" s="43" t="s">
        <v>67</v>
      </c>
      <c r="H205" s="43" t="s">
        <v>20</v>
      </c>
      <c r="I205" s="43" t="s">
        <v>12</v>
      </c>
      <c r="J205" s="43" t="s">
        <v>21</v>
      </c>
      <c r="K205" s="43" t="s">
        <v>21</v>
      </c>
      <c r="L205" s="43" t="s">
        <v>29</v>
      </c>
      <c r="M205" s="43" t="s">
        <v>21</v>
      </c>
      <c r="N205" s="43" t="s">
        <v>21</v>
      </c>
      <c r="O205" s="25">
        <v>1.8372925511920006</v>
      </c>
      <c r="P205" s="46">
        <f t="shared" si="4"/>
        <v>3.8719215680202272E-4</v>
      </c>
    </row>
    <row r="206" spans="2:16" ht="48" hidden="1">
      <c r="B206" s="43">
        <v>373</v>
      </c>
      <c r="C206" s="43">
        <v>852321</v>
      </c>
      <c r="D206" s="44" t="s">
        <v>659</v>
      </c>
      <c r="E206" s="43" t="s">
        <v>456</v>
      </c>
      <c r="F206" s="43" t="s">
        <v>66</v>
      </c>
      <c r="G206" s="43" t="s">
        <v>67</v>
      </c>
      <c r="H206" s="43" t="s">
        <v>20</v>
      </c>
      <c r="I206" s="43" t="s">
        <v>12</v>
      </c>
      <c r="J206" s="43" t="s">
        <v>21</v>
      </c>
      <c r="K206" s="43" t="s">
        <v>21</v>
      </c>
      <c r="L206" s="43" t="s">
        <v>29</v>
      </c>
      <c r="M206" s="43" t="s">
        <v>21</v>
      </c>
      <c r="N206" s="43" t="s">
        <v>21</v>
      </c>
      <c r="O206" s="25">
        <v>0.229372575326</v>
      </c>
      <c r="P206" s="46">
        <f t="shared" si="4"/>
        <v>4.833811691779259E-5</v>
      </c>
    </row>
    <row r="207" spans="2:16" ht="48" hidden="1">
      <c r="B207" s="43">
        <v>171</v>
      </c>
      <c r="C207" s="43">
        <v>852329</v>
      </c>
      <c r="D207" s="44" t="s">
        <v>455</v>
      </c>
      <c r="E207" s="43" t="s">
        <v>456</v>
      </c>
      <c r="F207" s="43" t="s">
        <v>66</v>
      </c>
      <c r="G207" s="43" t="s">
        <v>67</v>
      </c>
      <c r="H207" s="43" t="s">
        <v>20</v>
      </c>
      <c r="I207" s="43" t="s">
        <v>12</v>
      </c>
      <c r="J207" s="43" t="s">
        <v>21</v>
      </c>
      <c r="K207" s="43" t="s">
        <v>21</v>
      </c>
      <c r="L207" s="43" t="s">
        <v>29</v>
      </c>
      <c r="M207" s="43" t="s">
        <v>21</v>
      </c>
      <c r="N207" s="43" t="s">
        <v>21</v>
      </c>
      <c r="O207" s="25">
        <v>4.1611967860849983</v>
      </c>
      <c r="P207" s="46">
        <f t="shared" si="4"/>
        <v>8.7693315767082961E-4</v>
      </c>
    </row>
    <row r="208" spans="2:16" ht="32.1" hidden="1">
      <c r="B208" s="43">
        <v>341</v>
      </c>
      <c r="C208" s="43">
        <v>852341</v>
      </c>
      <c r="D208" s="44" t="s">
        <v>642</v>
      </c>
      <c r="E208" s="43" t="s">
        <v>282</v>
      </c>
      <c r="F208" s="43" t="s">
        <v>66</v>
      </c>
      <c r="G208" s="43" t="s">
        <v>67</v>
      </c>
      <c r="H208" s="43" t="s">
        <v>28</v>
      </c>
      <c r="I208" s="43" t="s">
        <v>12</v>
      </c>
      <c r="J208" s="43" t="s">
        <v>21</v>
      </c>
      <c r="K208" s="43" t="s">
        <v>21</v>
      </c>
      <c r="L208" s="43" t="s">
        <v>29</v>
      </c>
      <c r="M208" s="43" t="s">
        <v>21</v>
      </c>
      <c r="N208" s="43" t="s">
        <v>29</v>
      </c>
      <c r="O208" s="25">
        <v>0.47852460030700011</v>
      </c>
      <c r="P208" s="46">
        <f t="shared" si="4"/>
        <v>1.0084456716241866E-4</v>
      </c>
    </row>
    <row r="209" spans="2:16" ht="32.1" hidden="1">
      <c r="B209" s="43">
        <v>86</v>
      </c>
      <c r="C209" s="43">
        <v>852349</v>
      </c>
      <c r="D209" s="44" t="s">
        <v>281</v>
      </c>
      <c r="E209" s="43" t="s">
        <v>282</v>
      </c>
      <c r="F209" s="43" t="s">
        <v>66</v>
      </c>
      <c r="G209" s="43" t="s">
        <v>67</v>
      </c>
      <c r="H209" s="43" t="s">
        <v>28</v>
      </c>
      <c r="I209" s="43" t="s">
        <v>12</v>
      </c>
      <c r="J209" s="43" t="s">
        <v>21</v>
      </c>
      <c r="K209" s="43" t="s">
        <v>21</v>
      </c>
      <c r="L209" s="43" t="s">
        <v>29</v>
      </c>
      <c r="M209" s="43" t="s">
        <v>21</v>
      </c>
      <c r="N209" s="43" t="s">
        <v>29</v>
      </c>
      <c r="O209" s="25">
        <v>9.1625495658319984</v>
      </c>
      <c r="P209" s="46">
        <f t="shared" si="4"/>
        <v>1.9309213036858331E-3</v>
      </c>
    </row>
    <row r="210" spans="2:16" ht="48" hidden="1">
      <c r="B210" s="43">
        <v>18</v>
      </c>
      <c r="C210" s="43">
        <v>852351</v>
      </c>
      <c r="D210" s="44" t="s">
        <v>64</v>
      </c>
      <c r="E210" s="43" t="s">
        <v>65</v>
      </c>
      <c r="F210" s="43" t="s">
        <v>66</v>
      </c>
      <c r="G210" s="43" t="s">
        <v>67</v>
      </c>
      <c r="H210" s="43" t="s">
        <v>28</v>
      </c>
      <c r="I210" s="43" t="s">
        <v>12</v>
      </c>
      <c r="J210" s="43" t="s">
        <v>21</v>
      </c>
      <c r="K210" s="43" t="s">
        <v>21</v>
      </c>
      <c r="L210" s="43" t="s">
        <v>21</v>
      </c>
      <c r="M210" s="43" t="s">
        <v>21</v>
      </c>
      <c r="N210" s="43" t="s">
        <v>21</v>
      </c>
      <c r="O210" s="25">
        <v>49.250293859564998</v>
      </c>
      <c r="P210" s="46">
        <f t="shared" si="4"/>
        <v>1.0379037072918283E-2</v>
      </c>
    </row>
    <row r="211" spans="2:16" ht="32.1" hidden="1">
      <c r="B211" s="43">
        <v>123</v>
      </c>
      <c r="C211" s="43">
        <v>852352</v>
      </c>
      <c r="D211" s="44" t="s">
        <v>374</v>
      </c>
      <c r="E211" s="43" t="s">
        <v>375</v>
      </c>
      <c r="F211" s="43" t="s">
        <v>66</v>
      </c>
      <c r="G211" s="43" t="s">
        <v>67</v>
      </c>
      <c r="H211" s="43" t="s">
        <v>28</v>
      </c>
      <c r="I211" s="43" t="s">
        <v>12</v>
      </c>
      <c r="J211" s="43" t="s">
        <v>21</v>
      </c>
      <c r="K211" s="43" t="s">
        <v>21</v>
      </c>
      <c r="L211" s="43" t="s">
        <v>21</v>
      </c>
      <c r="M211" s="43" t="s">
        <v>21</v>
      </c>
      <c r="N211" s="43" t="s">
        <v>21</v>
      </c>
      <c r="O211" s="25">
        <v>6.1016190186649979</v>
      </c>
      <c r="P211" s="46">
        <f t="shared" si="4"/>
        <v>1.2858589266518264E-3</v>
      </c>
    </row>
    <row r="212" spans="2:16" ht="48" hidden="1">
      <c r="B212" s="43">
        <v>273</v>
      </c>
      <c r="C212" s="43">
        <v>852359</v>
      </c>
      <c r="D212" s="44" t="s">
        <v>562</v>
      </c>
      <c r="E212" s="43" t="s">
        <v>563</v>
      </c>
      <c r="F212" s="43" t="s">
        <v>66</v>
      </c>
      <c r="G212" s="43" t="s">
        <v>67</v>
      </c>
      <c r="H212" s="43" t="s">
        <v>28</v>
      </c>
      <c r="I212" s="43" t="s">
        <v>12</v>
      </c>
      <c r="J212" s="43" t="s">
        <v>21</v>
      </c>
      <c r="K212" s="43" t="s">
        <v>21</v>
      </c>
      <c r="L212" s="43" t="s">
        <v>29</v>
      </c>
      <c r="M212" s="43" t="s">
        <v>21</v>
      </c>
      <c r="N212" s="43" t="s">
        <v>21</v>
      </c>
      <c r="O212" s="25">
        <v>1.188515973596</v>
      </c>
      <c r="P212" s="46">
        <f t="shared" si="4"/>
        <v>2.5046858373846474E-4</v>
      </c>
    </row>
    <row r="213" spans="2:16" ht="32.1" hidden="1">
      <c r="B213" s="35">
        <v>251</v>
      </c>
      <c r="C213" s="35">
        <v>852380</v>
      </c>
      <c r="D213" s="36" t="s">
        <v>528</v>
      </c>
      <c r="E213" s="35" t="s">
        <v>529</v>
      </c>
      <c r="F213" s="35" t="s">
        <v>66</v>
      </c>
      <c r="G213" s="35" t="s">
        <v>67</v>
      </c>
      <c r="H213" s="35" t="s">
        <v>28</v>
      </c>
      <c r="I213" s="35" t="s">
        <v>12</v>
      </c>
      <c r="J213" s="35" t="s">
        <v>21</v>
      </c>
      <c r="K213" s="35" t="s">
        <v>21</v>
      </c>
      <c r="L213" s="35" t="s">
        <v>29</v>
      </c>
      <c r="M213" s="38" t="s">
        <v>21</v>
      </c>
      <c r="N213" s="35" t="s">
        <v>21</v>
      </c>
      <c r="O213" s="24">
        <v>1.5368893713170007</v>
      </c>
      <c r="P213" s="70">
        <f t="shared" si="4"/>
        <v>3.2388500680540129E-4</v>
      </c>
    </row>
    <row r="214" spans="2:16" ht="48" hidden="1">
      <c r="B214" s="26">
        <v>100</v>
      </c>
      <c r="C214" s="26">
        <v>852411</v>
      </c>
      <c r="D214" s="27" t="s">
        <v>355</v>
      </c>
      <c r="E214" s="26" t="s">
        <v>88</v>
      </c>
      <c r="F214" s="26" t="s">
        <v>89</v>
      </c>
      <c r="G214" s="26" t="s">
        <v>67</v>
      </c>
      <c r="H214" s="26" t="s">
        <v>20</v>
      </c>
      <c r="I214" s="26" t="s">
        <v>12</v>
      </c>
      <c r="J214" s="26" t="s">
        <v>21</v>
      </c>
      <c r="K214" s="26" t="s">
        <v>29</v>
      </c>
      <c r="L214" s="26" t="s">
        <v>29</v>
      </c>
      <c r="M214" s="29" t="s">
        <v>21</v>
      </c>
      <c r="N214" s="26" t="s">
        <v>29</v>
      </c>
      <c r="O214" s="22">
        <v>7.9535414248090008</v>
      </c>
      <c r="P214" s="63">
        <f t="shared" si="4"/>
        <v>1.6761341880410262E-3</v>
      </c>
    </row>
    <row r="215" spans="2:16" ht="63.95" hidden="1">
      <c r="B215" s="43">
        <v>54</v>
      </c>
      <c r="C215" s="43">
        <v>852412</v>
      </c>
      <c r="D215" s="44" t="s">
        <v>586</v>
      </c>
      <c r="E215" s="43" t="s">
        <v>88</v>
      </c>
      <c r="F215" s="43" t="s">
        <v>89</v>
      </c>
      <c r="G215" s="43" t="s">
        <v>67</v>
      </c>
      <c r="H215" s="43" t="s">
        <v>20</v>
      </c>
      <c r="I215" s="43" t="s">
        <v>12</v>
      </c>
      <c r="J215" s="43" t="s">
        <v>21</v>
      </c>
      <c r="K215" s="43" t="s">
        <v>29</v>
      </c>
      <c r="L215" s="43" t="s">
        <v>29</v>
      </c>
      <c r="M215" s="43" t="s">
        <v>21</v>
      </c>
      <c r="N215" s="43" t="s">
        <v>29</v>
      </c>
      <c r="O215" s="25">
        <v>15.292828763632004</v>
      </c>
      <c r="P215" s="46">
        <f t="shared" si="4"/>
        <v>3.2228200940307965E-3</v>
      </c>
    </row>
    <row r="216" spans="2:16" ht="63.95" hidden="1">
      <c r="B216" s="43">
        <v>387</v>
      </c>
      <c r="C216" s="43">
        <v>852419</v>
      </c>
      <c r="D216" s="44" t="s">
        <v>648</v>
      </c>
      <c r="E216" s="43" t="s">
        <v>88</v>
      </c>
      <c r="F216" s="43" t="s">
        <v>89</v>
      </c>
      <c r="G216" s="43" t="s">
        <v>67</v>
      </c>
      <c r="H216" s="43" t="s">
        <v>20</v>
      </c>
      <c r="I216" s="43" t="s">
        <v>12</v>
      </c>
      <c r="J216" s="43" t="s">
        <v>21</v>
      </c>
      <c r="K216" s="43" t="s">
        <v>29</v>
      </c>
      <c r="L216" s="43" t="s">
        <v>29</v>
      </c>
      <c r="M216" s="43" t="s">
        <v>21</v>
      </c>
      <c r="N216" s="43" t="s">
        <v>29</v>
      </c>
      <c r="O216" s="25">
        <v>0.154047756763</v>
      </c>
      <c r="P216" s="46">
        <f t="shared" si="4"/>
        <v>3.2464118549265388E-5</v>
      </c>
    </row>
    <row r="217" spans="2:16" ht="48" hidden="1">
      <c r="B217" s="43">
        <v>30</v>
      </c>
      <c r="C217" s="43">
        <v>852491</v>
      </c>
      <c r="D217" s="44" t="s">
        <v>87</v>
      </c>
      <c r="E217" s="43" t="s">
        <v>88</v>
      </c>
      <c r="F217" s="43" t="s">
        <v>89</v>
      </c>
      <c r="G217" s="43" t="s">
        <v>67</v>
      </c>
      <c r="H217" s="43" t="s">
        <v>20</v>
      </c>
      <c r="I217" s="43" t="s">
        <v>12</v>
      </c>
      <c r="J217" s="43" t="s">
        <v>21</v>
      </c>
      <c r="K217" s="43" t="s">
        <v>29</v>
      </c>
      <c r="L217" s="43" t="s">
        <v>29</v>
      </c>
      <c r="M217" s="43" t="s">
        <v>21</v>
      </c>
      <c r="N217" s="43" t="s">
        <v>29</v>
      </c>
      <c r="O217" s="25">
        <v>31.689775099025997</v>
      </c>
      <c r="P217" s="46">
        <f t="shared" si="4"/>
        <v>6.6783226009392701E-3</v>
      </c>
    </row>
    <row r="218" spans="2:16" ht="63.95" hidden="1">
      <c r="B218" s="43">
        <v>49</v>
      </c>
      <c r="C218" s="43">
        <v>852492</v>
      </c>
      <c r="D218" s="44" t="s">
        <v>168</v>
      </c>
      <c r="E218" s="43" t="s">
        <v>88</v>
      </c>
      <c r="F218" s="43" t="s">
        <v>89</v>
      </c>
      <c r="G218" s="43" t="s">
        <v>67</v>
      </c>
      <c r="H218" s="43" t="s">
        <v>20</v>
      </c>
      <c r="I218" s="43" t="s">
        <v>12</v>
      </c>
      <c r="J218" s="43" t="s">
        <v>21</v>
      </c>
      <c r="K218" s="43" t="s">
        <v>29</v>
      </c>
      <c r="L218" s="43" t="s">
        <v>29</v>
      </c>
      <c r="M218" s="43" t="s">
        <v>21</v>
      </c>
      <c r="N218" s="43" t="s">
        <v>29</v>
      </c>
      <c r="O218" s="25">
        <v>17.031598455224</v>
      </c>
      <c r="P218" s="46">
        <f t="shared" si="4"/>
        <v>3.5892494830971752E-3</v>
      </c>
    </row>
    <row r="219" spans="2:16" ht="63.95" hidden="1">
      <c r="B219" s="43">
        <v>351</v>
      </c>
      <c r="C219" s="43">
        <v>852499</v>
      </c>
      <c r="D219" s="44" t="s">
        <v>584</v>
      </c>
      <c r="E219" s="43" t="s">
        <v>88</v>
      </c>
      <c r="F219" s="43" t="s">
        <v>89</v>
      </c>
      <c r="G219" s="43" t="s">
        <v>67</v>
      </c>
      <c r="H219" s="43" t="s">
        <v>20</v>
      </c>
      <c r="I219" s="43" t="s">
        <v>12</v>
      </c>
      <c r="J219" s="43" t="s">
        <v>21</v>
      </c>
      <c r="K219" s="43" t="s">
        <v>29</v>
      </c>
      <c r="L219" s="43" t="s">
        <v>29</v>
      </c>
      <c r="M219" s="43" t="s">
        <v>21</v>
      </c>
      <c r="N219" s="43" t="s">
        <v>29</v>
      </c>
      <c r="O219" s="25">
        <v>0.40567750953600001</v>
      </c>
      <c r="P219" s="46">
        <f t="shared" si="4"/>
        <v>8.5492726665336777E-5</v>
      </c>
    </row>
    <row r="220" spans="2:16" ht="63.95" hidden="1">
      <c r="B220" s="43">
        <v>259</v>
      </c>
      <c r="C220" s="43">
        <v>852550</v>
      </c>
      <c r="D220" s="44" t="s">
        <v>543</v>
      </c>
      <c r="E220" s="43" t="s">
        <v>491</v>
      </c>
      <c r="F220" s="43" t="s">
        <v>266</v>
      </c>
      <c r="G220" s="43" t="s">
        <v>27</v>
      </c>
      <c r="H220" s="43" t="s">
        <v>20</v>
      </c>
      <c r="I220" s="43" t="s">
        <v>12</v>
      </c>
      <c r="J220" s="43" t="s">
        <v>21</v>
      </c>
      <c r="K220" s="43" t="s">
        <v>21</v>
      </c>
      <c r="L220" s="43" t="s">
        <v>29</v>
      </c>
      <c r="M220" s="43" t="s">
        <v>21</v>
      </c>
      <c r="N220" s="43" t="s">
        <v>21</v>
      </c>
      <c r="O220" s="25">
        <v>1.4399996826029997</v>
      </c>
      <c r="P220" s="46">
        <f t="shared" si="4"/>
        <v>3.0346641450189923E-4</v>
      </c>
    </row>
    <row r="221" spans="2:16" ht="63.95" hidden="1">
      <c r="B221" s="31">
        <v>221</v>
      </c>
      <c r="C221" s="31">
        <v>852560</v>
      </c>
      <c r="D221" s="32" t="s">
        <v>490</v>
      </c>
      <c r="E221" s="31" t="s">
        <v>491</v>
      </c>
      <c r="F221" s="31" t="s">
        <v>266</v>
      </c>
      <c r="G221" s="31" t="s">
        <v>27</v>
      </c>
      <c r="H221" s="31" t="s">
        <v>20</v>
      </c>
      <c r="I221" s="31" t="s">
        <v>12</v>
      </c>
      <c r="J221" s="31" t="s">
        <v>21</v>
      </c>
      <c r="K221" s="31" t="s">
        <v>21</v>
      </c>
      <c r="L221" s="31" t="s">
        <v>29</v>
      </c>
      <c r="M221" s="34" t="s">
        <v>21</v>
      </c>
      <c r="N221" s="31" t="s">
        <v>21</v>
      </c>
      <c r="O221" s="23">
        <v>2.1213399773540003</v>
      </c>
      <c r="P221" s="71">
        <f t="shared" si="4"/>
        <v>4.4705248525019195E-4</v>
      </c>
    </row>
    <row r="222" spans="2:16" ht="32.1" hidden="1">
      <c r="B222" s="43">
        <v>254</v>
      </c>
      <c r="C222" s="43">
        <v>852580</v>
      </c>
      <c r="D222" s="44" t="s">
        <v>549</v>
      </c>
      <c r="E222" s="43" t="s">
        <v>550</v>
      </c>
      <c r="F222" s="43" t="s">
        <v>266</v>
      </c>
      <c r="G222" s="43" t="s">
        <v>27</v>
      </c>
      <c r="H222" s="43" t="s">
        <v>28</v>
      </c>
      <c r="I222" s="43" t="s">
        <v>12</v>
      </c>
      <c r="J222" s="43" t="s">
        <v>21</v>
      </c>
      <c r="K222" s="43" t="s">
        <v>21</v>
      </c>
      <c r="L222" s="43" t="s">
        <v>21</v>
      </c>
      <c r="M222" s="43" t="s">
        <v>21</v>
      </c>
      <c r="N222" s="43" t="s">
        <v>21</v>
      </c>
      <c r="O222" s="25">
        <v>1.4869271851910006</v>
      </c>
      <c r="P222" s="46">
        <f t="shared" si="4"/>
        <v>3.1335594512052185E-4</v>
      </c>
    </row>
    <row r="223" spans="2:16" ht="48" hidden="1">
      <c r="B223" s="31">
        <v>256</v>
      </c>
      <c r="C223" s="31">
        <v>852581</v>
      </c>
      <c r="D223" s="32" t="s">
        <v>552</v>
      </c>
      <c r="E223" s="31" t="s">
        <v>550</v>
      </c>
      <c r="F223" s="31" t="s">
        <v>266</v>
      </c>
      <c r="G223" s="31" t="s">
        <v>27</v>
      </c>
      <c r="H223" s="31" t="s">
        <v>28</v>
      </c>
      <c r="I223" s="31" t="s">
        <v>12</v>
      </c>
      <c r="J223" s="31" t="s">
        <v>21</v>
      </c>
      <c r="K223" s="31" t="s">
        <v>29</v>
      </c>
      <c r="L223" s="31" t="s">
        <v>21</v>
      </c>
      <c r="M223" s="34" t="s">
        <v>21</v>
      </c>
      <c r="N223" s="31" t="s">
        <v>29</v>
      </c>
      <c r="O223" s="23">
        <v>1.4848923144959993</v>
      </c>
      <c r="P223" s="71">
        <f t="shared" si="4"/>
        <v>3.1292711522476051E-4</v>
      </c>
    </row>
    <row r="224" spans="2:16" ht="63.95" hidden="1">
      <c r="B224" s="43">
        <v>384</v>
      </c>
      <c r="C224" s="43">
        <v>852582</v>
      </c>
      <c r="D224" s="44" t="s">
        <v>676</v>
      </c>
      <c r="E224" s="43" t="s">
        <v>550</v>
      </c>
      <c r="F224" s="43" t="s">
        <v>66</v>
      </c>
      <c r="G224" s="43" t="s">
        <v>40</v>
      </c>
      <c r="H224" s="43" t="s">
        <v>28</v>
      </c>
      <c r="I224" s="43" t="s">
        <v>12</v>
      </c>
      <c r="J224" s="43" t="s">
        <v>21</v>
      </c>
      <c r="K224" s="43" t="s">
        <v>29</v>
      </c>
      <c r="L224" s="43" t="s">
        <v>29</v>
      </c>
      <c r="M224" s="43" t="s">
        <v>21</v>
      </c>
      <c r="N224" s="43" t="s">
        <v>29</v>
      </c>
      <c r="O224" s="25">
        <v>0.16624424717099998</v>
      </c>
      <c r="P224" s="46">
        <f t="shared" si="4"/>
        <v>3.5034414403033959E-5</v>
      </c>
    </row>
    <row r="225" spans="2:16" ht="48" hidden="1">
      <c r="B225" s="31">
        <v>261</v>
      </c>
      <c r="C225" s="31">
        <v>852583</v>
      </c>
      <c r="D225" s="32" t="s">
        <v>553</v>
      </c>
      <c r="E225" s="31" t="s">
        <v>550</v>
      </c>
      <c r="F225" s="31" t="s">
        <v>66</v>
      </c>
      <c r="G225" s="31" t="s">
        <v>67</v>
      </c>
      <c r="H225" s="31" t="s">
        <v>28</v>
      </c>
      <c r="I225" s="31" t="s">
        <v>12</v>
      </c>
      <c r="J225" s="31" t="s">
        <v>21</v>
      </c>
      <c r="K225" s="31" t="s">
        <v>29</v>
      </c>
      <c r="L225" s="31" t="s">
        <v>29</v>
      </c>
      <c r="M225" s="34" t="s">
        <v>21</v>
      </c>
      <c r="N225" s="31" t="s">
        <v>29</v>
      </c>
      <c r="O225" s="23">
        <v>1.4073705249540001</v>
      </c>
      <c r="P225" s="71">
        <f t="shared" si="4"/>
        <v>2.9659012584740444E-4</v>
      </c>
    </row>
    <row r="226" spans="2:16" ht="32.1" hidden="1">
      <c r="B226" s="43">
        <v>31</v>
      </c>
      <c r="C226" s="43">
        <v>852589</v>
      </c>
      <c r="D226" s="44" t="s">
        <v>90</v>
      </c>
      <c r="E226" s="43" t="s">
        <v>91</v>
      </c>
      <c r="F226" s="43" t="s">
        <v>26</v>
      </c>
      <c r="G226" s="43" t="s">
        <v>67</v>
      </c>
      <c r="H226" s="43" t="s">
        <v>20</v>
      </c>
      <c r="I226" s="43" t="s">
        <v>12</v>
      </c>
      <c r="J226" s="43" t="s">
        <v>21</v>
      </c>
      <c r="K226" s="43" t="s">
        <v>29</v>
      </c>
      <c r="L226" s="43" t="s">
        <v>21</v>
      </c>
      <c r="M226" s="43" t="s">
        <v>21</v>
      </c>
      <c r="N226" s="43" t="s">
        <v>29</v>
      </c>
      <c r="O226" s="25">
        <v>30.476592218321997</v>
      </c>
      <c r="P226" s="46">
        <f t="shared" si="4"/>
        <v>6.4226556980988281E-3</v>
      </c>
    </row>
    <row r="227" spans="2:16" ht="32.1" hidden="1">
      <c r="B227" s="35">
        <v>113</v>
      </c>
      <c r="C227" s="35">
        <v>852610</v>
      </c>
      <c r="D227" s="36" t="s">
        <v>351</v>
      </c>
      <c r="E227" s="35" t="s">
        <v>352</v>
      </c>
      <c r="F227" s="35" t="s">
        <v>66</v>
      </c>
      <c r="G227" s="35" t="s">
        <v>67</v>
      </c>
      <c r="H227" s="35" t="s">
        <v>20</v>
      </c>
      <c r="I227" s="35" t="s">
        <v>12</v>
      </c>
      <c r="J227" s="35" t="s">
        <v>21</v>
      </c>
      <c r="K227" s="35" t="s">
        <v>21</v>
      </c>
      <c r="L227" s="35" t="s">
        <v>29</v>
      </c>
      <c r="M227" s="38" t="s">
        <v>21</v>
      </c>
      <c r="N227" s="35" t="s">
        <v>21</v>
      </c>
      <c r="O227" s="24">
        <v>6.6705576596649996</v>
      </c>
      <c r="P227" s="70">
        <f t="shared" si="4"/>
        <v>1.4057574040902089E-3</v>
      </c>
    </row>
    <row r="228" spans="2:16" ht="32.1" hidden="1">
      <c r="B228" s="26">
        <v>94</v>
      </c>
      <c r="C228" s="26">
        <v>852691</v>
      </c>
      <c r="D228" s="27" t="s">
        <v>264</v>
      </c>
      <c r="E228" s="26" t="s">
        <v>265</v>
      </c>
      <c r="F228" s="26" t="s">
        <v>266</v>
      </c>
      <c r="G228" s="26" t="s">
        <v>27</v>
      </c>
      <c r="H228" s="26" t="s">
        <v>20</v>
      </c>
      <c r="I228" s="26" t="s">
        <v>12</v>
      </c>
      <c r="J228" s="26" t="s">
        <v>21</v>
      </c>
      <c r="K228" s="26" t="s">
        <v>21</v>
      </c>
      <c r="L228" s="26" t="s">
        <v>29</v>
      </c>
      <c r="M228" s="29" t="s">
        <v>21</v>
      </c>
      <c r="N228" s="26" t="s">
        <v>21</v>
      </c>
      <c r="O228" s="22">
        <v>8.3349103638669977</v>
      </c>
      <c r="P228" s="63">
        <f t="shared" si="4"/>
        <v>1.7565041116851209E-3</v>
      </c>
    </row>
    <row r="229" spans="2:16" ht="32.1" hidden="1">
      <c r="B229" s="43">
        <v>170</v>
      </c>
      <c r="C229" s="43">
        <v>852692</v>
      </c>
      <c r="D229" s="44" t="s">
        <v>437</v>
      </c>
      <c r="E229" s="43" t="s">
        <v>265</v>
      </c>
      <c r="F229" s="43" t="s">
        <v>266</v>
      </c>
      <c r="G229" s="43" t="s">
        <v>27</v>
      </c>
      <c r="H229" s="43" t="s">
        <v>20</v>
      </c>
      <c r="I229" s="43" t="s">
        <v>12</v>
      </c>
      <c r="J229" s="43" t="s">
        <v>21</v>
      </c>
      <c r="K229" s="43" t="s">
        <v>21</v>
      </c>
      <c r="L229" s="43" t="s">
        <v>29</v>
      </c>
      <c r="M229" s="43" t="s">
        <v>21</v>
      </c>
      <c r="N229" s="43" t="s">
        <v>21</v>
      </c>
      <c r="O229" s="25">
        <v>4.2213445713220006</v>
      </c>
      <c r="P229" s="46">
        <f t="shared" si="4"/>
        <v>8.8960873874672879E-4</v>
      </c>
    </row>
    <row r="230" spans="2:16" ht="48" hidden="1">
      <c r="B230" s="43">
        <v>415</v>
      </c>
      <c r="C230" s="43">
        <v>852712</v>
      </c>
      <c r="D230" s="44" t="s">
        <v>702</v>
      </c>
      <c r="E230" s="43" t="s">
        <v>703</v>
      </c>
      <c r="F230" s="43" t="s">
        <v>266</v>
      </c>
      <c r="G230" s="43" t="s">
        <v>27</v>
      </c>
      <c r="H230" s="43" t="s">
        <v>28</v>
      </c>
      <c r="I230" s="43" t="s">
        <v>12</v>
      </c>
      <c r="J230" s="43" t="s">
        <v>21</v>
      </c>
      <c r="K230" s="43" t="s">
        <v>21</v>
      </c>
      <c r="L230" s="43" t="s">
        <v>29</v>
      </c>
      <c r="M230" s="43" t="s">
        <v>21</v>
      </c>
      <c r="N230" s="43" t="s">
        <v>21</v>
      </c>
      <c r="O230" s="25">
        <v>1.2833718143999999E-2</v>
      </c>
      <c r="P230" s="46">
        <f t="shared" si="4"/>
        <v>2.7045856168854237E-6</v>
      </c>
    </row>
    <row r="231" spans="2:16" ht="63.95" hidden="1">
      <c r="B231" s="43">
        <v>337</v>
      </c>
      <c r="C231" s="43">
        <v>852713</v>
      </c>
      <c r="D231" s="44" t="s">
        <v>629</v>
      </c>
      <c r="E231" s="43" t="s">
        <v>407</v>
      </c>
      <c r="F231" s="43" t="s">
        <v>266</v>
      </c>
      <c r="G231" s="43" t="s">
        <v>27</v>
      </c>
      <c r="H231" s="43" t="s">
        <v>28</v>
      </c>
      <c r="I231" s="43" t="s">
        <v>12</v>
      </c>
      <c r="J231" s="43" t="s">
        <v>21</v>
      </c>
      <c r="K231" s="43" t="s">
        <v>21</v>
      </c>
      <c r="L231" s="43" t="s">
        <v>21</v>
      </c>
      <c r="M231" s="43" t="s">
        <v>21</v>
      </c>
      <c r="N231" s="43" t="s">
        <v>21</v>
      </c>
      <c r="O231" s="25">
        <v>0.49943419302400005</v>
      </c>
      <c r="P231" s="46">
        <f t="shared" si="4"/>
        <v>1.0525106752987213E-4</v>
      </c>
    </row>
    <row r="232" spans="2:16" ht="48" hidden="1">
      <c r="B232" s="43">
        <v>338</v>
      </c>
      <c r="C232" s="43">
        <v>852719</v>
      </c>
      <c r="D232" s="44" t="s">
        <v>633</v>
      </c>
      <c r="E232" s="43" t="s">
        <v>407</v>
      </c>
      <c r="F232" s="43" t="s">
        <v>266</v>
      </c>
      <c r="G232" s="43" t="s">
        <v>27</v>
      </c>
      <c r="H232" s="43" t="s">
        <v>28</v>
      </c>
      <c r="I232" s="43" t="s">
        <v>12</v>
      </c>
      <c r="J232" s="43" t="s">
        <v>21</v>
      </c>
      <c r="K232" s="43" t="s">
        <v>21</v>
      </c>
      <c r="L232" s="43" t="s">
        <v>29</v>
      </c>
      <c r="M232" s="43" t="s">
        <v>21</v>
      </c>
      <c r="N232" s="43" t="s">
        <v>21</v>
      </c>
      <c r="O232" s="25">
        <v>0.48685597102500006</v>
      </c>
      <c r="P232" s="46">
        <f t="shared" si="4"/>
        <v>1.0260032532696722E-4</v>
      </c>
    </row>
    <row r="233" spans="2:16" ht="63.95" hidden="1">
      <c r="B233" s="43">
        <v>148</v>
      </c>
      <c r="C233" s="43">
        <v>852721</v>
      </c>
      <c r="D233" s="44" t="s">
        <v>406</v>
      </c>
      <c r="E233" s="43" t="s">
        <v>407</v>
      </c>
      <c r="F233" s="43" t="s">
        <v>266</v>
      </c>
      <c r="G233" s="43" t="s">
        <v>27</v>
      </c>
      <c r="H233" s="43" t="s">
        <v>28</v>
      </c>
      <c r="I233" s="43" t="s">
        <v>12</v>
      </c>
      <c r="J233" s="43" t="s">
        <v>21</v>
      </c>
      <c r="K233" s="43" t="s">
        <v>21</v>
      </c>
      <c r="L233" s="43" t="s">
        <v>29</v>
      </c>
      <c r="M233" s="43" t="s">
        <v>21</v>
      </c>
      <c r="N233" s="43" t="s">
        <v>21</v>
      </c>
      <c r="O233" s="25">
        <v>4.9470651803139978</v>
      </c>
      <c r="P233" s="46">
        <f t="shared" si="4"/>
        <v>1.042547544082322E-3</v>
      </c>
    </row>
    <row r="234" spans="2:16" ht="63.95" hidden="1">
      <c r="B234" s="31">
        <v>291</v>
      </c>
      <c r="C234" s="31">
        <v>852729</v>
      </c>
      <c r="D234" s="32" t="s">
        <v>564</v>
      </c>
      <c r="E234" s="31" t="s">
        <v>407</v>
      </c>
      <c r="F234" s="31" t="s">
        <v>266</v>
      </c>
      <c r="G234" s="31" t="s">
        <v>27</v>
      </c>
      <c r="H234" s="31" t="s">
        <v>28</v>
      </c>
      <c r="I234" s="31" t="s">
        <v>12</v>
      </c>
      <c r="J234" s="31" t="s">
        <v>21</v>
      </c>
      <c r="K234" s="31" t="s">
        <v>21</v>
      </c>
      <c r="L234" s="31" t="s">
        <v>29</v>
      </c>
      <c r="M234" s="34" t="s">
        <v>21</v>
      </c>
      <c r="N234" s="31" t="s">
        <v>21</v>
      </c>
      <c r="O234" s="23">
        <v>0.94359220816199985</v>
      </c>
      <c r="P234" s="71">
        <f t="shared" si="4"/>
        <v>1.9885319949879224E-4</v>
      </c>
    </row>
    <row r="235" spans="2:16" ht="48" hidden="1">
      <c r="B235" s="43">
        <v>204</v>
      </c>
      <c r="C235" s="43">
        <v>852791</v>
      </c>
      <c r="D235" s="44" t="s">
        <v>496</v>
      </c>
      <c r="E235" s="43" t="s">
        <v>407</v>
      </c>
      <c r="F235" s="43" t="s">
        <v>266</v>
      </c>
      <c r="G235" s="43" t="s">
        <v>27</v>
      </c>
      <c r="H235" s="43" t="s">
        <v>28</v>
      </c>
      <c r="I235" s="43" t="s">
        <v>12</v>
      </c>
      <c r="J235" s="43" t="s">
        <v>21</v>
      </c>
      <c r="K235" s="43" t="s">
        <v>21</v>
      </c>
      <c r="L235" s="43" t="s">
        <v>29</v>
      </c>
      <c r="M235" s="43" t="s">
        <v>21</v>
      </c>
      <c r="N235" s="43" t="s">
        <v>21</v>
      </c>
      <c r="O235" s="25">
        <v>2.6154995575710003</v>
      </c>
      <c r="P235" s="46">
        <f t="shared" si="4"/>
        <v>5.5119197764864967E-4</v>
      </c>
    </row>
    <row r="236" spans="2:16" ht="48" hidden="1">
      <c r="B236" s="35">
        <v>378</v>
      </c>
      <c r="C236" s="35">
        <v>852792</v>
      </c>
      <c r="D236" s="36" t="s">
        <v>678</v>
      </c>
      <c r="E236" s="35" t="s">
        <v>407</v>
      </c>
      <c r="F236" s="35" t="s">
        <v>266</v>
      </c>
      <c r="G236" s="35" t="s">
        <v>27</v>
      </c>
      <c r="H236" s="35" t="s">
        <v>28</v>
      </c>
      <c r="I236" s="35" t="s">
        <v>12</v>
      </c>
      <c r="J236" s="35" t="s">
        <v>21</v>
      </c>
      <c r="K236" s="35" t="s">
        <v>21</v>
      </c>
      <c r="L236" s="35" t="s">
        <v>29</v>
      </c>
      <c r="M236" s="38" t="s">
        <v>21</v>
      </c>
      <c r="N236" s="35" t="s">
        <v>29</v>
      </c>
      <c r="O236" s="24">
        <v>0.21326603585100001</v>
      </c>
      <c r="P236" s="70">
        <f t="shared" si="4"/>
        <v>4.4943814930394799E-5</v>
      </c>
    </row>
    <row r="237" spans="2:16" ht="63.95" hidden="1">
      <c r="B237" s="5">
        <v>299</v>
      </c>
      <c r="C237" s="5">
        <v>852799</v>
      </c>
      <c r="D237" s="6" t="s">
        <v>598</v>
      </c>
      <c r="E237" s="5" t="s">
        <v>407</v>
      </c>
      <c r="F237" s="5" t="s">
        <v>266</v>
      </c>
      <c r="G237" s="5" t="s">
        <v>27</v>
      </c>
      <c r="H237" s="5" t="s">
        <v>28</v>
      </c>
      <c r="I237" s="5" t="s">
        <v>12</v>
      </c>
      <c r="J237" s="5" t="s">
        <v>21</v>
      </c>
      <c r="K237" s="5" t="s">
        <v>21</v>
      </c>
      <c r="L237" s="5" t="s">
        <v>29</v>
      </c>
      <c r="M237" s="7" t="s">
        <v>21</v>
      </c>
      <c r="N237" s="5" t="s">
        <v>21</v>
      </c>
      <c r="O237" s="8">
        <v>0.82991505891299988</v>
      </c>
      <c r="P237" s="9">
        <f t="shared" si="4"/>
        <v>1.7489680748693237E-4</v>
      </c>
    </row>
    <row r="238" spans="2:16" ht="63.95">
      <c r="B238" s="26">
        <v>396</v>
      </c>
      <c r="C238" s="26">
        <v>852842</v>
      </c>
      <c r="D238" s="27" t="s">
        <v>682</v>
      </c>
      <c r="E238" s="26" t="s">
        <v>109</v>
      </c>
      <c r="F238" s="26" t="s">
        <v>36</v>
      </c>
      <c r="G238" s="26" t="s">
        <v>37</v>
      </c>
      <c r="H238" s="26" t="s">
        <v>28</v>
      </c>
      <c r="I238" s="26" t="s">
        <v>12</v>
      </c>
      <c r="J238" s="26" t="s">
        <v>21</v>
      </c>
      <c r="K238" s="26" t="s">
        <v>21</v>
      </c>
      <c r="L238" s="26" t="s">
        <v>29</v>
      </c>
      <c r="M238" s="29" t="s">
        <v>21</v>
      </c>
      <c r="N238" s="26" t="s">
        <v>29</v>
      </c>
      <c r="O238" s="22">
        <v>8.4257883489999977E-2</v>
      </c>
      <c r="P238" s="63">
        <f t="shared" si="4"/>
        <v>1.7756557938963396E-5</v>
      </c>
    </row>
    <row r="239" spans="2:16" ht="48">
      <c r="B239" s="43">
        <v>368</v>
      </c>
      <c r="C239" s="43">
        <v>852849</v>
      </c>
      <c r="D239" s="44" t="s">
        <v>669</v>
      </c>
      <c r="E239" s="43" t="s">
        <v>109</v>
      </c>
      <c r="F239" s="43" t="s">
        <v>36</v>
      </c>
      <c r="G239" s="43" t="s">
        <v>37</v>
      </c>
      <c r="H239" s="43" t="s">
        <v>28</v>
      </c>
      <c r="I239" s="43" t="s">
        <v>12</v>
      </c>
      <c r="J239" s="43" t="s">
        <v>21</v>
      </c>
      <c r="K239" s="43" t="s">
        <v>21</v>
      </c>
      <c r="L239" s="43" t="s">
        <v>29</v>
      </c>
      <c r="M239" s="43" t="s">
        <v>21</v>
      </c>
      <c r="N239" s="43" t="s">
        <v>21</v>
      </c>
      <c r="O239" s="25">
        <v>0.24977795114900012</v>
      </c>
      <c r="P239" s="46">
        <f t="shared" si="4"/>
        <v>5.2638358308385166E-5</v>
      </c>
    </row>
    <row r="240" spans="2:16" ht="63.95">
      <c r="B240" s="43">
        <v>34</v>
      </c>
      <c r="C240" s="43">
        <v>852852</v>
      </c>
      <c r="D240" s="44" t="s">
        <v>108</v>
      </c>
      <c r="E240" s="43" t="s">
        <v>109</v>
      </c>
      <c r="F240" s="43" t="s">
        <v>36</v>
      </c>
      <c r="G240" s="43" t="s">
        <v>37</v>
      </c>
      <c r="H240" s="43" t="s">
        <v>28</v>
      </c>
      <c r="I240" s="43" t="s">
        <v>12</v>
      </c>
      <c r="J240" s="43" t="s">
        <v>21</v>
      </c>
      <c r="K240" s="43" t="s">
        <v>21</v>
      </c>
      <c r="L240" s="43" t="s">
        <v>29</v>
      </c>
      <c r="M240" s="43" t="s">
        <v>21</v>
      </c>
      <c r="N240" s="43" t="s">
        <v>21</v>
      </c>
      <c r="O240" s="25">
        <v>25.31792130856401</v>
      </c>
      <c r="P240" s="46">
        <f t="shared" si="4"/>
        <v>5.3355142330745592E-3</v>
      </c>
    </row>
    <row r="241" spans="2:16" ht="48">
      <c r="B241" s="43">
        <v>67</v>
      </c>
      <c r="C241" s="43">
        <v>852859</v>
      </c>
      <c r="D241" s="44" t="s">
        <v>239</v>
      </c>
      <c r="E241" s="43" t="s">
        <v>109</v>
      </c>
      <c r="F241" s="43" t="s">
        <v>36</v>
      </c>
      <c r="G241" s="43" t="s">
        <v>37</v>
      </c>
      <c r="H241" s="43" t="s">
        <v>28</v>
      </c>
      <c r="I241" s="43" t="s">
        <v>12</v>
      </c>
      <c r="J241" s="43" t="s">
        <v>21</v>
      </c>
      <c r="K241" s="43" t="s">
        <v>21</v>
      </c>
      <c r="L241" s="43" t="s">
        <v>29</v>
      </c>
      <c r="M241" s="43" t="s">
        <v>21</v>
      </c>
      <c r="N241" s="43" t="s">
        <v>21</v>
      </c>
      <c r="O241" s="25">
        <v>12.642545159476997</v>
      </c>
      <c r="P241" s="46">
        <f t="shared" si="4"/>
        <v>2.6642977051145318E-3</v>
      </c>
    </row>
    <row r="242" spans="2:16" ht="48">
      <c r="B242" s="35">
        <v>212</v>
      </c>
      <c r="C242" s="35">
        <v>852862</v>
      </c>
      <c r="D242" s="36" t="s">
        <v>492</v>
      </c>
      <c r="E242" s="35" t="s">
        <v>493</v>
      </c>
      <c r="F242" s="35" t="s">
        <v>36</v>
      </c>
      <c r="G242" s="35" t="s">
        <v>37</v>
      </c>
      <c r="H242" s="35" t="s">
        <v>28</v>
      </c>
      <c r="I242" s="35" t="s">
        <v>12</v>
      </c>
      <c r="J242" s="35" t="s">
        <v>21</v>
      </c>
      <c r="K242" s="35" t="s">
        <v>21</v>
      </c>
      <c r="L242" s="35" t="s">
        <v>29</v>
      </c>
      <c r="M242" s="38" t="s">
        <v>21</v>
      </c>
      <c r="N242" s="35" t="s">
        <v>21</v>
      </c>
      <c r="O242" s="24">
        <v>2.3411133485729994</v>
      </c>
      <c r="P242" s="70">
        <f t="shared" si="4"/>
        <v>4.9336766001902672E-4</v>
      </c>
    </row>
    <row r="243" spans="2:16" ht="32.1" hidden="1">
      <c r="B243" s="26">
        <v>217</v>
      </c>
      <c r="C243" s="26">
        <v>852869</v>
      </c>
      <c r="D243" s="27" t="s">
        <v>524</v>
      </c>
      <c r="E243" s="26" t="s">
        <v>525</v>
      </c>
      <c r="F243" s="26" t="s">
        <v>66</v>
      </c>
      <c r="G243" s="26" t="s">
        <v>67</v>
      </c>
      <c r="H243" s="26" t="s">
        <v>28</v>
      </c>
      <c r="I243" s="26" t="s">
        <v>12</v>
      </c>
      <c r="J243" s="26" t="s">
        <v>21</v>
      </c>
      <c r="K243" s="26" t="s">
        <v>21</v>
      </c>
      <c r="L243" s="26" t="s">
        <v>29</v>
      </c>
      <c r="M243" s="29" t="s">
        <v>21</v>
      </c>
      <c r="N243" s="26" t="s">
        <v>21</v>
      </c>
      <c r="O243" s="22">
        <v>2.2395059108440014</v>
      </c>
      <c r="P243" s="63">
        <f t="shared" si="4"/>
        <v>4.7195484640048032E-4</v>
      </c>
    </row>
    <row r="244" spans="2:16" ht="63.95" hidden="1">
      <c r="B244" s="43">
        <v>163</v>
      </c>
      <c r="C244" s="43">
        <v>852871</v>
      </c>
      <c r="D244" s="44" t="s">
        <v>428</v>
      </c>
      <c r="E244" s="43" t="s">
        <v>429</v>
      </c>
      <c r="F244" s="43" t="s">
        <v>66</v>
      </c>
      <c r="G244" s="43" t="s">
        <v>67</v>
      </c>
      <c r="H244" s="43" t="s">
        <v>28</v>
      </c>
      <c r="I244" s="43" t="s">
        <v>12</v>
      </c>
      <c r="J244" s="43" t="s">
        <v>21</v>
      </c>
      <c r="K244" s="43" t="s">
        <v>21</v>
      </c>
      <c r="L244" s="43" t="s">
        <v>21</v>
      </c>
      <c r="M244" s="43" t="s">
        <v>21</v>
      </c>
      <c r="N244" s="43" t="s">
        <v>21</v>
      </c>
      <c r="O244" s="25">
        <v>4.5190852720530001</v>
      </c>
      <c r="P244" s="46">
        <f t="shared" si="4"/>
        <v>9.5235479625890233E-4</v>
      </c>
    </row>
    <row r="245" spans="2:16" ht="63.95" hidden="1">
      <c r="B245" s="31">
        <v>20</v>
      </c>
      <c r="C245" s="31">
        <v>852872</v>
      </c>
      <c r="D245" s="32" t="s">
        <v>70</v>
      </c>
      <c r="E245" s="31" t="s">
        <v>71</v>
      </c>
      <c r="F245" s="31" t="s">
        <v>66</v>
      </c>
      <c r="G245" s="31" t="s">
        <v>67</v>
      </c>
      <c r="H245" s="31" t="s">
        <v>28</v>
      </c>
      <c r="I245" s="31" t="s">
        <v>12</v>
      </c>
      <c r="J245" s="31" t="s">
        <v>21</v>
      </c>
      <c r="K245" s="31" t="s">
        <v>21</v>
      </c>
      <c r="L245" s="31" t="s">
        <v>29</v>
      </c>
      <c r="M245" s="34" t="s">
        <v>21</v>
      </c>
      <c r="N245" s="31" t="s">
        <v>21</v>
      </c>
      <c r="O245" s="23">
        <v>46.588162500374018</v>
      </c>
      <c r="P245" s="71">
        <f t="shared" si="4"/>
        <v>9.8180178808540026E-3</v>
      </c>
    </row>
    <row r="246" spans="2:16" ht="63.95" hidden="1">
      <c r="B246" s="43">
        <v>390</v>
      </c>
      <c r="C246" s="43">
        <v>852873</v>
      </c>
      <c r="D246" s="44" t="s">
        <v>680</v>
      </c>
      <c r="E246" s="43" t="s">
        <v>681</v>
      </c>
      <c r="F246" s="43" t="s">
        <v>66</v>
      </c>
      <c r="G246" s="43" t="s">
        <v>67</v>
      </c>
      <c r="H246" s="43" t="s">
        <v>20</v>
      </c>
      <c r="I246" s="43" t="s">
        <v>12</v>
      </c>
      <c r="J246" s="43" t="s">
        <v>21</v>
      </c>
      <c r="K246" s="43" t="s">
        <v>21</v>
      </c>
      <c r="L246" s="43" t="s">
        <v>29</v>
      </c>
      <c r="M246" s="43" t="s">
        <v>21</v>
      </c>
      <c r="N246" s="43" t="s">
        <v>21</v>
      </c>
      <c r="O246" s="25">
        <v>0.133912814287</v>
      </c>
      <c r="P246" s="46">
        <f t="shared" si="4"/>
        <v>2.8220868447745545E-5</v>
      </c>
    </row>
    <row r="247" spans="2:16" ht="48" hidden="1">
      <c r="B247" s="31">
        <v>145</v>
      </c>
      <c r="C247" s="31">
        <v>852910</v>
      </c>
      <c r="D247" s="32" t="s">
        <v>395</v>
      </c>
      <c r="E247" s="31" t="s">
        <v>69</v>
      </c>
      <c r="F247" s="31" t="s">
        <v>26</v>
      </c>
      <c r="G247" s="31" t="s">
        <v>67</v>
      </c>
      <c r="H247" s="31" t="s">
        <v>20</v>
      </c>
      <c r="I247" s="31" t="s">
        <v>12</v>
      </c>
      <c r="J247" s="31" t="s">
        <v>21</v>
      </c>
      <c r="K247" s="31" t="s">
        <v>21</v>
      </c>
      <c r="L247" s="31" t="s">
        <v>29</v>
      </c>
      <c r="M247" s="34" t="s">
        <v>21</v>
      </c>
      <c r="N247" s="31" t="s">
        <v>21</v>
      </c>
      <c r="O247" s="23">
        <v>5.1096181003369994</v>
      </c>
      <c r="P247" s="71">
        <f t="shared" si="4"/>
        <v>1.0768040459428116E-3</v>
      </c>
    </row>
    <row r="248" spans="2:16" ht="48" hidden="1">
      <c r="B248" s="43">
        <v>19</v>
      </c>
      <c r="C248" s="43">
        <v>852990</v>
      </c>
      <c r="D248" s="44" t="s">
        <v>68</v>
      </c>
      <c r="E248" s="43" t="s">
        <v>69</v>
      </c>
      <c r="F248" s="43" t="s">
        <v>26</v>
      </c>
      <c r="G248" s="43" t="s">
        <v>67</v>
      </c>
      <c r="H248" s="43" t="s">
        <v>20</v>
      </c>
      <c r="I248" s="43" t="s">
        <v>12</v>
      </c>
      <c r="J248" s="43" t="s">
        <v>21</v>
      </c>
      <c r="K248" s="43" t="s">
        <v>21</v>
      </c>
      <c r="L248" s="43" t="s">
        <v>21</v>
      </c>
      <c r="M248" s="43" t="s">
        <v>21</v>
      </c>
      <c r="N248" s="43" t="s">
        <v>21</v>
      </c>
      <c r="O248" s="25">
        <v>48.009226084309979</v>
      </c>
      <c r="P248" s="46">
        <f t="shared" si="4"/>
        <v>1.0117493690332467E-2</v>
      </c>
    </row>
    <row r="249" spans="2:16" ht="48" hidden="1">
      <c r="B249" s="43">
        <v>324</v>
      </c>
      <c r="C249" s="43">
        <v>853010</v>
      </c>
      <c r="D249" s="44" t="s">
        <v>463</v>
      </c>
      <c r="E249" s="44" t="s">
        <v>464</v>
      </c>
      <c r="F249" s="44" t="s">
        <v>189</v>
      </c>
      <c r="G249" s="44" t="s">
        <v>51</v>
      </c>
      <c r="H249" s="44" t="s">
        <v>20</v>
      </c>
      <c r="I249" s="47" t="s">
        <v>103</v>
      </c>
      <c r="J249" s="43" t="s">
        <v>29</v>
      </c>
      <c r="K249" s="43" t="s">
        <v>21</v>
      </c>
      <c r="L249" s="43" t="s">
        <v>29</v>
      </c>
      <c r="M249" s="43" t="s">
        <v>29</v>
      </c>
      <c r="N249" s="43" t="s">
        <v>29</v>
      </c>
      <c r="O249" s="25">
        <v>0.62966837226799988</v>
      </c>
      <c r="P249" s="62">
        <f t="shared" si="4"/>
        <v>1.3269669817704929E-4</v>
      </c>
    </row>
    <row r="250" spans="2:16" ht="63.95" hidden="1">
      <c r="B250" s="31">
        <v>284</v>
      </c>
      <c r="C250" s="31">
        <v>853080</v>
      </c>
      <c r="D250" s="32" t="s">
        <v>465</v>
      </c>
      <c r="E250" s="32" t="s">
        <v>464</v>
      </c>
      <c r="F250" s="32" t="s">
        <v>189</v>
      </c>
      <c r="G250" s="32" t="s">
        <v>51</v>
      </c>
      <c r="H250" s="32" t="s">
        <v>20</v>
      </c>
      <c r="I250" s="33" t="s">
        <v>103</v>
      </c>
      <c r="J250" s="31" t="s">
        <v>29</v>
      </c>
      <c r="K250" s="31" t="s">
        <v>21</v>
      </c>
      <c r="L250" s="31" t="s">
        <v>29</v>
      </c>
      <c r="M250" s="34" t="s">
        <v>29</v>
      </c>
      <c r="N250" s="31" t="s">
        <v>29</v>
      </c>
      <c r="O250" s="23">
        <v>1.0190084627560001</v>
      </c>
      <c r="P250" s="39">
        <f t="shared" si="4"/>
        <v>2.1474646715245833E-4</v>
      </c>
    </row>
    <row r="251" spans="2:16" ht="63.95" hidden="1">
      <c r="B251" s="43">
        <v>301</v>
      </c>
      <c r="C251" s="43">
        <v>853090</v>
      </c>
      <c r="D251" s="44" t="s">
        <v>466</v>
      </c>
      <c r="E251" s="44" t="s">
        <v>467</v>
      </c>
      <c r="F251" s="44" t="s">
        <v>189</v>
      </c>
      <c r="G251" s="44" t="s">
        <v>51</v>
      </c>
      <c r="H251" s="44" t="s">
        <v>20</v>
      </c>
      <c r="I251" s="47" t="s">
        <v>103</v>
      </c>
      <c r="J251" s="43" t="s">
        <v>29</v>
      </c>
      <c r="K251" s="43" t="s">
        <v>21</v>
      </c>
      <c r="L251" s="43" t="s">
        <v>29</v>
      </c>
      <c r="M251" s="43" t="s">
        <v>29</v>
      </c>
      <c r="N251" s="43" t="s">
        <v>29</v>
      </c>
      <c r="O251" s="25">
        <v>0.80962210800699974</v>
      </c>
      <c r="P251" s="62">
        <f t="shared" si="4"/>
        <v>1.7062025859216102E-4</v>
      </c>
    </row>
    <row r="252" spans="2:16" ht="48" hidden="1">
      <c r="B252" s="43">
        <v>134</v>
      </c>
      <c r="C252" s="43">
        <v>853110</v>
      </c>
      <c r="D252" s="44" t="s">
        <v>388</v>
      </c>
      <c r="E252" s="43" t="s">
        <v>389</v>
      </c>
      <c r="F252" s="43" t="s">
        <v>66</v>
      </c>
      <c r="G252" s="43" t="s">
        <v>67</v>
      </c>
      <c r="H252" s="43" t="s">
        <v>20</v>
      </c>
      <c r="I252" s="43" t="s">
        <v>12</v>
      </c>
      <c r="J252" s="43" t="s">
        <v>21</v>
      </c>
      <c r="K252" s="43" t="s">
        <v>21</v>
      </c>
      <c r="L252" s="43" t="s">
        <v>29</v>
      </c>
      <c r="M252" s="43" t="s">
        <v>21</v>
      </c>
      <c r="N252" s="43" t="s">
        <v>21</v>
      </c>
      <c r="O252" s="25">
        <v>5.3855205002380009</v>
      </c>
      <c r="P252" s="46">
        <f t="shared" si="4"/>
        <v>1.1349478865713581E-3</v>
      </c>
    </row>
    <row r="253" spans="2:16" ht="63.95" hidden="1">
      <c r="B253" s="31">
        <v>135</v>
      </c>
      <c r="C253" s="31">
        <v>853120</v>
      </c>
      <c r="D253" s="32" t="s">
        <v>393</v>
      </c>
      <c r="E253" s="31" t="s">
        <v>394</v>
      </c>
      <c r="F253" s="31" t="s">
        <v>189</v>
      </c>
      <c r="G253" s="31" t="s">
        <v>19</v>
      </c>
      <c r="H253" s="31" t="s">
        <v>20</v>
      </c>
      <c r="I253" s="31" t="s">
        <v>12</v>
      </c>
      <c r="J253" s="31" t="s">
        <v>21</v>
      </c>
      <c r="K253" s="31" t="s">
        <v>21</v>
      </c>
      <c r="L253" s="31" t="s">
        <v>29</v>
      </c>
      <c r="M253" s="34" t="s">
        <v>21</v>
      </c>
      <c r="N253" s="31" t="s">
        <v>21</v>
      </c>
      <c r="O253" s="23">
        <v>5.3845909245630006</v>
      </c>
      <c r="P253" s="71">
        <f t="shared" si="4"/>
        <v>1.1347519872246369E-3</v>
      </c>
    </row>
    <row r="254" spans="2:16" ht="48" hidden="1">
      <c r="B254" s="43">
        <v>177</v>
      </c>
      <c r="C254" s="43">
        <v>853180</v>
      </c>
      <c r="D254" s="44" t="s">
        <v>403</v>
      </c>
      <c r="E254" s="43" t="s">
        <v>404</v>
      </c>
      <c r="F254" s="43" t="s">
        <v>189</v>
      </c>
      <c r="G254" s="43" t="s">
        <v>19</v>
      </c>
      <c r="H254" s="43" t="s">
        <v>20</v>
      </c>
      <c r="I254" s="43" t="s">
        <v>12</v>
      </c>
      <c r="J254" s="43" t="s">
        <v>21</v>
      </c>
      <c r="K254" s="43" t="s">
        <v>21</v>
      </c>
      <c r="L254" s="43" t="s">
        <v>29</v>
      </c>
      <c r="M254" s="43" t="s">
        <v>21</v>
      </c>
      <c r="N254" s="43" t="s">
        <v>21</v>
      </c>
      <c r="O254" s="25">
        <v>3.9541380864040008</v>
      </c>
      <c r="P254" s="46">
        <f t="shared" si="4"/>
        <v>8.3329748056426654E-4</v>
      </c>
    </row>
    <row r="255" spans="2:16" ht="63.95" hidden="1">
      <c r="B255" s="35">
        <v>160</v>
      </c>
      <c r="C255" s="35">
        <v>853190</v>
      </c>
      <c r="D255" s="36" t="s">
        <v>415</v>
      </c>
      <c r="E255" s="35" t="s">
        <v>416</v>
      </c>
      <c r="F255" s="35" t="s">
        <v>189</v>
      </c>
      <c r="G255" s="35" t="s">
        <v>19</v>
      </c>
      <c r="H255" s="35" t="s">
        <v>20</v>
      </c>
      <c r="I255" s="35" t="s">
        <v>12</v>
      </c>
      <c r="J255" s="35" t="s">
        <v>21</v>
      </c>
      <c r="K255" s="35" t="s">
        <v>21</v>
      </c>
      <c r="L255" s="35" t="s">
        <v>29</v>
      </c>
      <c r="M255" s="38" t="s">
        <v>21</v>
      </c>
      <c r="N255" s="35" t="s">
        <v>21</v>
      </c>
      <c r="O255" s="24">
        <v>4.5788754788529964</v>
      </c>
      <c r="P255" s="70">
        <f t="shared" si="4"/>
        <v>9.6495502103612139E-4</v>
      </c>
    </row>
    <row r="256" spans="2:16" ht="48" hidden="1">
      <c r="B256" s="26">
        <v>314</v>
      </c>
      <c r="C256" s="26">
        <v>853210</v>
      </c>
      <c r="D256" s="27" t="s">
        <v>611</v>
      </c>
      <c r="E256" s="26" t="s">
        <v>166</v>
      </c>
      <c r="F256" s="26" t="s">
        <v>54</v>
      </c>
      <c r="G256" s="26" t="s">
        <v>19</v>
      </c>
      <c r="H256" s="26" t="s">
        <v>20</v>
      </c>
      <c r="I256" s="26" t="s">
        <v>12</v>
      </c>
      <c r="J256" s="26" t="s">
        <v>21</v>
      </c>
      <c r="K256" s="26" t="s">
        <v>21</v>
      </c>
      <c r="L256" s="26" t="s">
        <v>29</v>
      </c>
      <c r="M256" s="29" t="s">
        <v>21</v>
      </c>
      <c r="N256" s="26" t="s">
        <v>21</v>
      </c>
      <c r="O256" s="22">
        <v>0.68786433699000016</v>
      </c>
      <c r="P256" s="63">
        <f t="shared" si="4"/>
        <v>1.4496095140295321E-4</v>
      </c>
    </row>
    <row r="257" spans="2:16" ht="32.1" hidden="1">
      <c r="B257" s="43">
        <v>205</v>
      </c>
      <c r="C257" s="43">
        <v>853221</v>
      </c>
      <c r="D257" s="44" t="s">
        <v>508</v>
      </c>
      <c r="E257" s="43" t="s">
        <v>166</v>
      </c>
      <c r="F257" s="43" t="s">
        <v>54</v>
      </c>
      <c r="G257" s="43" t="s">
        <v>19</v>
      </c>
      <c r="H257" s="43" t="s">
        <v>20</v>
      </c>
      <c r="I257" s="43" t="s">
        <v>12</v>
      </c>
      <c r="J257" s="43" t="s">
        <v>21</v>
      </c>
      <c r="K257" s="43" t="s">
        <v>21</v>
      </c>
      <c r="L257" s="43" t="s">
        <v>29</v>
      </c>
      <c r="M257" s="43" t="s">
        <v>21</v>
      </c>
      <c r="N257" s="43" t="s">
        <v>21</v>
      </c>
      <c r="O257" s="25">
        <v>2.5907543850300003</v>
      </c>
      <c r="P257" s="46">
        <f t="shared" si="4"/>
        <v>5.4597716484141765E-4</v>
      </c>
    </row>
    <row r="258" spans="2:16" ht="32.1" hidden="1">
      <c r="B258" s="43">
        <v>114</v>
      </c>
      <c r="C258" s="43">
        <v>853222</v>
      </c>
      <c r="D258" s="44" t="s">
        <v>361</v>
      </c>
      <c r="E258" s="43" t="s">
        <v>166</v>
      </c>
      <c r="F258" s="43" t="s">
        <v>54</v>
      </c>
      <c r="G258" s="43" t="s">
        <v>19</v>
      </c>
      <c r="H258" s="43" t="s">
        <v>20</v>
      </c>
      <c r="I258" s="43" t="s">
        <v>12</v>
      </c>
      <c r="J258" s="43" t="s">
        <v>21</v>
      </c>
      <c r="K258" s="43" t="s">
        <v>21</v>
      </c>
      <c r="L258" s="43" t="s">
        <v>21</v>
      </c>
      <c r="M258" s="43" t="s">
        <v>21</v>
      </c>
      <c r="N258" s="43" t="s">
        <v>21</v>
      </c>
      <c r="O258" s="25">
        <v>6.5493747959770019</v>
      </c>
      <c r="P258" s="46">
        <f t="shared" si="4"/>
        <v>1.3802192532234023E-3</v>
      </c>
    </row>
    <row r="259" spans="2:16" ht="32.1" hidden="1">
      <c r="B259" s="43">
        <v>334</v>
      </c>
      <c r="C259" s="43">
        <v>853223</v>
      </c>
      <c r="D259" s="44" t="s">
        <v>628</v>
      </c>
      <c r="E259" s="43" t="s">
        <v>166</v>
      </c>
      <c r="F259" s="43" t="s">
        <v>54</v>
      </c>
      <c r="G259" s="43" t="s">
        <v>19</v>
      </c>
      <c r="H259" s="43" t="s">
        <v>20</v>
      </c>
      <c r="I259" s="43" t="s">
        <v>12</v>
      </c>
      <c r="J259" s="43" t="s">
        <v>21</v>
      </c>
      <c r="K259" s="43" t="s">
        <v>21</v>
      </c>
      <c r="L259" s="43" t="s">
        <v>21</v>
      </c>
      <c r="M259" s="43" t="s">
        <v>21</v>
      </c>
      <c r="N259" s="43" t="s">
        <v>29</v>
      </c>
      <c r="O259" s="25">
        <v>0.52183694367699995</v>
      </c>
      <c r="P259" s="46">
        <f t="shared" si="4"/>
        <v>1.0997223691468529E-4</v>
      </c>
    </row>
    <row r="260" spans="2:16" ht="32.1" hidden="1">
      <c r="B260" s="43">
        <v>45</v>
      </c>
      <c r="C260" s="43">
        <v>853224</v>
      </c>
      <c r="D260" s="44" t="s">
        <v>165</v>
      </c>
      <c r="E260" s="43" t="s">
        <v>166</v>
      </c>
      <c r="F260" s="43" t="s">
        <v>54</v>
      </c>
      <c r="G260" s="43" t="s">
        <v>19</v>
      </c>
      <c r="H260" s="43" t="s">
        <v>20</v>
      </c>
      <c r="I260" s="43" t="s">
        <v>12</v>
      </c>
      <c r="J260" s="43" t="s">
        <v>21</v>
      </c>
      <c r="K260" s="43" t="s">
        <v>21</v>
      </c>
      <c r="L260" s="43" t="s">
        <v>21</v>
      </c>
      <c r="M260" s="43" t="s">
        <v>21</v>
      </c>
      <c r="N260" s="43" t="s">
        <v>21</v>
      </c>
      <c r="O260" s="25">
        <v>20.463279419223998</v>
      </c>
      <c r="P260" s="46">
        <f t="shared" si="4"/>
        <v>4.3124440299022312E-3</v>
      </c>
    </row>
    <row r="261" spans="2:16" ht="32.1" hidden="1">
      <c r="B261" s="43">
        <v>213</v>
      </c>
      <c r="C261" s="43">
        <v>853225</v>
      </c>
      <c r="D261" s="44" t="s">
        <v>494</v>
      </c>
      <c r="E261" s="43" t="s">
        <v>166</v>
      </c>
      <c r="F261" s="43" t="s">
        <v>54</v>
      </c>
      <c r="G261" s="43" t="s">
        <v>19</v>
      </c>
      <c r="H261" s="43" t="s">
        <v>20</v>
      </c>
      <c r="I261" s="43" t="s">
        <v>12</v>
      </c>
      <c r="J261" s="43" t="s">
        <v>21</v>
      </c>
      <c r="K261" s="43" t="s">
        <v>21</v>
      </c>
      <c r="L261" s="43" t="s">
        <v>21</v>
      </c>
      <c r="M261" s="43" t="s">
        <v>21</v>
      </c>
      <c r="N261" s="43" t="s">
        <v>21</v>
      </c>
      <c r="O261" s="25">
        <v>2.3359276155429991</v>
      </c>
      <c r="P261" s="46">
        <f t="shared" si="4"/>
        <v>4.9227481546621854E-4</v>
      </c>
    </row>
    <row r="262" spans="2:16" ht="32.1" hidden="1">
      <c r="B262" s="43">
        <v>214</v>
      </c>
      <c r="C262" s="43">
        <v>853229</v>
      </c>
      <c r="D262" s="44" t="s">
        <v>495</v>
      </c>
      <c r="E262" s="43" t="s">
        <v>166</v>
      </c>
      <c r="F262" s="43" t="s">
        <v>54</v>
      </c>
      <c r="G262" s="43" t="s">
        <v>51</v>
      </c>
      <c r="H262" s="43" t="s">
        <v>20</v>
      </c>
      <c r="I262" s="43" t="s">
        <v>11</v>
      </c>
      <c r="J262" s="43" t="s">
        <v>21</v>
      </c>
      <c r="K262" s="43" t="s">
        <v>21</v>
      </c>
      <c r="L262" s="43" t="s">
        <v>21</v>
      </c>
      <c r="M262" s="43" t="s">
        <v>29</v>
      </c>
      <c r="N262" s="43" t="s">
        <v>21</v>
      </c>
      <c r="O262" s="25">
        <v>2.2725805581249992</v>
      </c>
      <c r="P262" s="46">
        <f t="shared" si="4"/>
        <v>4.789250178126962E-4</v>
      </c>
    </row>
    <row r="263" spans="2:16" ht="32.1" hidden="1">
      <c r="B263" s="31">
        <v>354</v>
      </c>
      <c r="C263" s="31">
        <v>853230</v>
      </c>
      <c r="D263" s="32" t="s">
        <v>654</v>
      </c>
      <c r="E263" s="31" t="s">
        <v>166</v>
      </c>
      <c r="F263" s="31" t="s">
        <v>54</v>
      </c>
      <c r="G263" s="31" t="s">
        <v>19</v>
      </c>
      <c r="H263" s="31" t="s">
        <v>20</v>
      </c>
      <c r="I263" s="31" t="s">
        <v>12</v>
      </c>
      <c r="J263" s="31" t="s">
        <v>21</v>
      </c>
      <c r="K263" s="31" t="s">
        <v>21</v>
      </c>
      <c r="L263" s="31" t="s">
        <v>29</v>
      </c>
      <c r="M263" s="34" t="s">
        <v>21</v>
      </c>
      <c r="N263" s="31" t="s">
        <v>21</v>
      </c>
      <c r="O263" s="23">
        <v>0.3881873276440001</v>
      </c>
      <c r="P263" s="71">
        <f t="shared" ref="P263:P326" si="5">O263/SUM($O$4:$O$426)</f>
        <v>8.1806835028085234E-5</v>
      </c>
    </row>
    <row r="264" spans="2:16" ht="32.1" hidden="1">
      <c r="B264" s="43">
        <v>268</v>
      </c>
      <c r="C264" s="43">
        <v>853290</v>
      </c>
      <c r="D264" s="44" t="s">
        <v>573</v>
      </c>
      <c r="E264" s="43" t="s">
        <v>574</v>
      </c>
      <c r="F264" s="43" t="s">
        <v>54</v>
      </c>
      <c r="G264" s="43" t="s">
        <v>19</v>
      </c>
      <c r="H264" s="43" t="s">
        <v>20</v>
      </c>
      <c r="I264" s="43" t="s">
        <v>12</v>
      </c>
      <c r="J264" s="43" t="s">
        <v>21</v>
      </c>
      <c r="K264" s="43" t="s">
        <v>21</v>
      </c>
      <c r="L264" s="43" t="s">
        <v>29</v>
      </c>
      <c r="M264" s="43" t="s">
        <v>21</v>
      </c>
      <c r="N264" s="43" t="s">
        <v>21</v>
      </c>
      <c r="O264" s="25">
        <v>1.258327611118</v>
      </c>
      <c r="P264" s="46">
        <f t="shared" si="5"/>
        <v>2.6518073095992237E-4</v>
      </c>
    </row>
    <row r="265" spans="2:16" ht="48" hidden="1">
      <c r="B265" s="43">
        <v>319</v>
      </c>
      <c r="C265" s="43">
        <v>853310</v>
      </c>
      <c r="D265" s="44" t="s">
        <v>636</v>
      </c>
      <c r="E265" s="43" t="s">
        <v>334</v>
      </c>
      <c r="F265" s="43" t="s">
        <v>54</v>
      </c>
      <c r="G265" s="43" t="s">
        <v>19</v>
      </c>
      <c r="H265" s="43" t="s">
        <v>20</v>
      </c>
      <c r="I265" s="43" t="s">
        <v>12</v>
      </c>
      <c r="J265" s="43" t="s">
        <v>21</v>
      </c>
      <c r="K265" s="43" t="s">
        <v>21</v>
      </c>
      <c r="L265" s="43" t="s">
        <v>29</v>
      </c>
      <c r="M265" s="43" t="s">
        <v>21</v>
      </c>
      <c r="N265" s="43" t="s">
        <v>21</v>
      </c>
      <c r="O265" s="25">
        <v>0.65042506387300014</v>
      </c>
      <c r="P265" s="46">
        <f t="shared" si="5"/>
        <v>1.3707097607057277E-4</v>
      </c>
    </row>
    <row r="266" spans="2:16" ht="63.95" hidden="1">
      <c r="B266" s="35">
        <v>98</v>
      </c>
      <c r="C266" s="35">
        <v>853321</v>
      </c>
      <c r="D266" s="36" t="s">
        <v>333</v>
      </c>
      <c r="E266" s="35" t="s">
        <v>334</v>
      </c>
      <c r="F266" s="35" t="s">
        <v>54</v>
      </c>
      <c r="G266" s="35" t="s">
        <v>19</v>
      </c>
      <c r="H266" s="35" t="s">
        <v>20</v>
      </c>
      <c r="I266" s="35" t="s">
        <v>12</v>
      </c>
      <c r="J266" s="35" t="s">
        <v>21</v>
      </c>
      <c r="K266" s="35" t="s">
        <v>21</v>
      </c>
      <c r="L266" s="35" t="s">
        <v>21</v>
      </c>
      <c r="M266" s="38" t="s">
        <v>21</v>
      </c>
      <c r="N266" s="35" t="s">
        <v>21</v>
      </c>
      <c r="O266" s="24">
        <v>7.9932681756650004</v>
      </c>
      <c r="P266" s="70">
        <f t="shared" si="5"/>
        <v>1.6845062278322352E-3</v>
      </c>
    </row>
    <row r="267" spans="2:16" ht="63.95" hidden="1">
      <c r="B267" s="26">
        <v>281</v>
      </c>
      <c r="C267" s="26">
        <v>853329</v>
      </c>
      <c r="D267" s="27" t="s">
        <v>577</v>
      </c>
      <c r="E267" s="26" t="s">
        <v>334</v>
      </c>
      <c r="F267" s="26" t="s">
        <v>54</v>
      </c>
      <c r="G267" s="26" t="s">
        <v>19</v>
      </c>
      <c r="H267" s="26" t="s">
        <v>20</v>
      </c>
      <c r="I267" s="26" t="s">
        <v>12</v>
      </c>
      <c r="J267" s="26" t="s">
        <v>21</v>
      </c>
      <c r="K267" s="26" t="s">
        <v>21</v>
      </c>
      <c r="L267" s="26" t="s">
        <v>29</v>
      </c>
      <c r="M267" s="29" t="s">
        <v>21</v>
      </c>
      <c r="N267" s="26" t="s">
        <v>21</v>
      </c>
      <c r="O267" s="22">
        <v>1.0614359746460003</v>
      </c>
      <c r="P267" s="63">
        <f t="shared" si="5"/>
        <v>2.2368766697704516E-4</v>
      </c>
    </row>
    <row r="268" spans="2:16" ht="48" hidden="1">
      <c r="B268" s="43">
        <v>395</v>
      </c>
      <c r="C268" s="43">
        <v>853331</v>
      </c>
      <c r="D268" s="44" t="s">
        <v>683</v>
      </c>
      <c r="E268" s="43" t="s">
        <v>334</v>
      </c>
      <c r="F268" s="43" t="s">
        <v>54</v>
      </c>
      <c r="G268" s="43" t="s">
        <v>19</v>
      </c>
      <c r="H268" s="43" t="s">
        <v>20</v>
      </c>
      <c r="I268" s="43" t="s">
        <v>12</v>
      </c>
      <c r="J268" s="43" t="s">
        <v>21</v>
      </c>
      <c r="K268" s="43" t="s">
        <v>21</v>
      </c>
      <c r="L268" s="43" t="s">
        <v>21</v>
      </c>
      <c r="M268" s="43" t="s">
        <v>21</v>
      </c>
      <c r="N268" s="43" t="s">
        <v>21</v>
      </c>
      <c r="O268" s="25">
        <v>9.2322905209000022E-2</v>
      </c>
      <c r="P268" s="46">
        <f t="shared" si="5"/>
        <v>1.9456185552436725E-5</v>
      </c>
    </row>
    <row r="269" spans="2:16" ht="48" hidden="1">
      <c r="B269" s="43">
        <v>402</v>
      </c>
      <c r="C269" s="43">
        <v>853339</v>
      </c>
      <c r="D269" s="44" t="s">
        <v>688</v>
      </c>
      <c r="E269" s="43" t="s">
        <v>334</v>
      </c>
      <c r="F269" s="43" t="s">
        <v>54</v>
      </c>
      <c r="G269" s="43" t="s">
        <v>19</v>
      </c>
      <c r="H269" s="43" t="s">
        <v>20</v>
      </c>
      <c r="I269" s="43" t="s">
        <v>12</v>
      </c>
      <c r="J269" s="43" t="s">
        <v>21</v>
      </c>
      <c r="K269" s="43" t="s">
        <v>21</v>
      </c>
      <c r="L269" s="43" t="s">
        <v>29</v>
      </c>
      <c r="M269" s="43" t="s">
        <v>21</v>
      </c>
      <c r="N269" s="43" t="s">
        <v>21</v>
      </c>
      <c r="O269" s="25">
        <v>5.1594692936999982E-2</v>
      </c>
      <c r="P269" s="46">
        <f t="shared" si="5"/>
        <v>1.0873097169448802E-5</v>
      </c>
    </row>
    <row r="270" spans="2:16" ht="32.1" hidden="1">
      <c r="B270" s="31">
        <v>131</v>
      </c>
      <c r="C270" s="31">
        <v>853340</v>
      </c>
      <c r="D270" s="32" t="s">
        <v>383</v>
      </c>
      <c r="E270" s="31" t="s">
        <v>334</v>
      </c>
      <c r="F270" s="31" t="s">
        <v>54</v>
      </c>
      <c r="G270" s="31" t="s">
        <v>19</v>
      </c>
      <c r="H270" s="31" t="s">
        <v>20</v>
      </c>
      <c r="I270" s="31" t="s">
        <v>12</v>
      </c>
      <c r="J270" s="31" t="s">
        <v>21</v>
      </c>
      <c r="K270" s="31" t="s">
        <v>21</v>
      </c>
      <c r="L270" s="31" t="s">
        <v>21</v>
      </c>
      <c r="M270" s="34" t="s">
        <v>21</v>
      </c>
      <c r="N270" s="31" t="s">
        <v>21</v>
      </c>
      <c r="O270" s="23">
        <v>5.6047530010529982</v>
      </c>
      <c r="P270" s="71">
        <f t="shared" si="5"/>
        <v>1.1811490779801994E-3</v>
      </c>
    </row>
    <row r="271" spans="2:16" ht="32.1" hidden="1">
      <c r="B271" s="43">
        <v>347</v>
      </c>
      <c r="C271" s="43">
        <v>853390</v>
      </c>
      <c r="D271" s="44" t="s">
        <v>639</v>
      </c>
      <c r="E271" s="43" t="s">
        <v>640</v>
      </c>
      <c r="F271" s="43" t="s">
        <v>54</v>
      </c>
      <c r="G271" s="43" t="s">
        <v>19</v>
      </c>
      <c r="H271" s="43" t="s">
        <v>20</v>
      </c>
      <c r="I271" s="43" t="s">
        <v>12</v>
      </c>
      <c r="J271" s="43" t="s">
        <v>21</v>
      </c>
      <c r="K271" s="43" t="s">
        <v>21</v>
      </c>
      <c r="L271" s="43" t="s">
        <v>29</v>
      </c>
      <c r="M271" s="43" t="s">
        <v>21</v>
      </c>
      <c r="N271" s="43" t="s">
        <v>21</v>
      </c>
      <c r="O271" s="25">
        <v>0.44190420535399999</v>
      </c>
      <c r="P271" s="46">
        <f t="shared" si="5"/>
        <v>9.3127162715535725E-5</v>
      </c>
    </row>
    <row r="272" spans="2:16" ht="32.1" hidden="1">
      <c r="B272" s="35">
        <v>15</v>
      </c>
      <c r="C272" s="35">
        <v>853400</v>
      </c>
      <c r="D272" s="36" t="s">
        <v>58</v>
      </c>
      <c r="E272" s="35" t="s">
        <v>59</v>
      </c>
      <c r="F272" s="35" t="s">
        <v>18</v>
      </c>
      <c r="G272" s="35" t="s">
        <v>19</v>
      </c>
      <c r="H272" s="35" t="s">
        <v>20</v>
      </c>
      <c r="I272" s="35" t="s">
        <v>12</v>
      </c>
      <c r="J272" s="35" t="s">
        <v>21</v>
      </c>
      <c r="K272" s="35" t="s">
        <v>21</v>
      </c>
      <c r="L272" s="35" t="s">
        <v>21</v>
      </c>
      <c r="M272" s="38" t="s">
        <v>21</v>
      </c>
      <c r="N272" s="35" t="s">
        <v>21</v>
      </c>
      <c r="O272" s="24">
        <v>57.514578587262001</v>
      </c>
      <c r="P272" s="70">
        <f t="shared" si="5"/>
        <v>1.2120657494808638E-2</v>
      </c>
    </row>
    <row r="273" spans="2:16" ht="32.1" hidden="1">
      <c r="B273" s="5">
        <v>329</v>
      </c>
      <c r="C273" s="5">
        <v>853510</v>
      </c>
      <c r="D273" s="6" t="s">
        <v>502</v>
      </c>
      <c r="E273" s="6" t="s">
        <v>249</v>
      </c>
      <c r="F273" s="6" t="s">
        <v>54</v>
      </c>
      <c r="G273" s="6" t="s">
        <v>51</v>
      </c>
      <c r="H273" s="6" t="s">
        <v>20</v>
      </c>
      <c r="I273" s="10" t="s">
        <v>103</v>
      </c>
      <c r="J273" s="5" t="s">
        <v>29</v>
      </c>
      <c r="K273" s="5" t="s">
        <v>21</v>
      </c>
      <c r="L273" s="5" t="s">
        <v>29</v>
      </c>
      <c r="M273" s="7" t="s">
        <v>29</v>
      </c>
      <c r="N273" s="5" t="s">
        <v>29</v>
      </c>
      <c r="O273" s="8">
        <v>0.57490913343700001</v>
      </c>
      <c r="P273" s="11">
        <f t="shared" si="5"/>
        <v>1.211567026689544E-4</v>
      </c>
    </row>
    <row r="274" spans="2:16" ht="32.1" hidden="1">
      <c r="B274" s="26">
        <v>285</v>
      </c>
      <c r="C274" s="26">
        <v>853521</v>
      </c>
      <c r="D274" s="27" t="s">
        <v>503</v>
      </c>
      <c r="E274" s="27" t="s">
        <v>249</v>
      </c>
      <c r="F274" s="27" t="s">
        <v>54</v>
      </c>
      <c r="G274" s="27" t="s">
        <v>51</v>
      </c>
      <c r="H274" s="27" t="s">
        <v>20</v>
      </c>
      <c r="I274" s="28" t="s">
        <v>103</v>
      </c>
      <c r="J274" s="26" t="s">
        <v>29</v>
      </c>
      <c r="K274" s="26" t="s">
        <v>21</v>
      </c>
      <c r="L274" s="26" t="s">
        <v>29</v>
      </c>
      <c r="M274" s="29" t="s">
        <v>29</v>
      </c>
      <c r="N274" s="26" t="s">
        <v>29</v>
      </c>
      <c r="O274" s="22">
        <v>1.0178471596950005</v>
      </c>
      <c r="P274" s="30">
        <f t="shared" si="5"/>
        <v>2.145017334345768E-4</v>
      </c>
    </row>
    <row r="275" spans="2:16" ht="32.1" hidden="1">
      <c r="B275" s="43">
        <v>309</v>
      </c>
      <c r="C275" s="43">
        <v>853529</v>
      </c>
      <c r="D275" s="44" t="s">
        <v>504</v>
      </c>
      <c r="E275" s="44" t="s">
        <v>249</v>
      </c>
      <c r="F275" s="44" t="s">
        <v>54</v>
      </c>
      <c r="G275" s="44" t="s">
        <v>51</v>
      </c>
      <c r="H275" s="44" t="s">
        <v>20</v>
      </c>
      <c r="I275" s="47" t="s">
        <v>103</v>
      </c>
      <c r="J275" s="43" t="s">
        <v>29</v>
      </c>
      <c r="K275" s="43" t="s">
        <v>21</v>
      </c>
      <c r="L275" s="43" t="s">
        <v>29</v>
      </c>
      <c r="M275" s="43" t="s">
        <v>29</v>
      </c>
      <c r="N275" s="43" t="s">
        <v>29</v>
      </c>
      <c r="O275" s="25">
        <v>0.70486191332300008</v>
      </c>
      <c r="P275" s="62">
        <f t="shared" si="5"/>
        <v>1.4854303104318875E-4</v>
      </c>
    </row>
    <row r="276" spans="2:16" ht="32.1" hidden="1">
      <c r="B276" s="43">
        <v>225</v>
      </c>
      <c r="C276" s="43">
        <v>853530</v>
      </c>
      <c r="D276" s="44" t="s">
        <v>505</v>
      </c>
      <c r="E276" s="44" t="s">
        <v>249</v>
      </c>
      <c r="F276" s="44" t="s">
        <v>54</v>
      </c>
      <c r="G276" s="44" t="s">
        <v>51</v>
      </c>
      <c r="H276" s="44" t="s">
        <v>20</v>
      </c>
      <c r="I276" s="47" t="s">
        <v>103</v>
      </c>
      <c r="J276" s="43" t="s">
        <v>29</v>
      </c>
      <c r="K276" s="43" t="s">
        <v>21</v>
      </c>
      <c r="L276" s="43" t="s">
        <v>29</v>
      </c>
      <c r="M276" s="43" t="s">
        <v>29</v>
      </c>
      <c r="N276" s="43" t="s">
        <v>29</v>
      </c>
      <c r="O276" s="25">
        <v>2.072526569271</v>
      </c>
      <c r="P276" s="62">
        <f t="shared" si="5"/>
        <v>4.3676551775323447E-4</v>
      </c>
    </row>
    <row r="277" spans="2:16" ht="48" hidden="1">
      <c r="B277" s="31">
        <v>331</v>
      </c>
      <c r="C277" s="31">
        <v>853540</v>
      </c>
      <c r="D277" s="32" t="s">
        <v>506</v>
      </c>
      <c r="E277" s="32" t="s">
        <v>249</v>
      </c>
      <c r="F277" s="32" t="s">
        <v>54</v>
      </c>
      <c r="G277" s="32" t="s">
        <v>51</v>
      </c>
      <c r="H277" s="32" t="s">
        <v>20</v>
      </c>
      <c r="I277" s="33" t="s">
        <v>103</v>
      </c>
      <c r="J277" s="31" t="s">
        <v>29</v>
      </c>
      <c r="K277" s="31" t="s">
        <v>21</v>
      </c>
      <c r="L277" s="31" t="s">
        <v>29</v>
      </c>
      <c r="M277" s="34" t="s">
        <v>29</v>
      </c>
      <c r="N277" s="31" t="s">
        <v>29</v>
      </c>
      <c r="O277" s="23">
        <v>0.56377071048100003</v>
      </c>
      <c r="P277" s="39">
        <f t="shared" si="5"/>
        <v>1.1880938459763866E-4</v>
      </c>
    </row>
    <row r="278" spans="2:16" ht="48" hidden="1">
      <c r="B278" s="43">
        <v>176</v>
      </c>
      <c r="C278" s="43">
        <v>853590</v>
      </c>
      <c r="D278" s="44" t="s">
        <v>507</v>
      </c>
      <c r="E278" s="44" t="s">
        <v>249</v>
      </c>
      <c r="F278" s="44" t="s">
        <v>54</v>
      </c>
      <c r="G278" s="44" t="s">
        <v>51</v>
      </c>
      <c r="H278" s="44" t="s">
        <v>20</v>
      </c>
      <c r="I278" s="47" t="s">
        <v>103</v>
      </c>
      <c r="J278" s="43" t="s">
        <v>29</v>
      </c>
      <c r="K278" s="43" t="s">
        <v>21</v>
      </c>
      <c r="L278" s="43" t="s">
        <v>29</v>
      </c>
      <c r="M278" s="43" t="s">
        <v>29</v>
      </c>
      <c r="N278" s="43" t="s">
        <v>29</v>
      </c>
      <c r="O278" s="25">
        <v>3.9765433091580009</v>
      </c>
      <c r="P278" s="62">
        <f t="shared" si="5"/>
        <v>8.3801917092115761E-4</v>
      </c>
    </row>
    <row r="279" spans="2:16" ht="32.1" hidden="1">
      <c r="B279" s="43">
        <v>191</v>
      </c>
      <c r="C279" s="43">
        <v>853610</v>
      </c>
      <c r="D279" s="44" t="s">
        <v>462</v>
      </c>
      <c r="E279" s="43" t="s">
        <v>249</v>
      </c>
      <c r="F279" s="43" t="s">
        <v>54</v>
      </c>
      <c r="G279" s="43" t="s">
        <v>51</v>
      </c>
      <c r="H279" s="43" t="s">
        <v>20</v>
      </c>
      <c r="I279" s="43" t="s">
        <v>11</v>
      </c>
      <c r="J279" s="43" t="s">
        <v>21</v>
      </c>
      <c r="K279" s="43" t="s">
        <v>21</v>
      </c>
      <c r="L279" s="43" t="s">
        <v>21</v>
      </c>
      <c r="M279" s="43" t="s">
        <v>29</v>
      </c>
      <c r="N279" s="43" t="s">
        <v>29</v>
      </c>
      <c r="O279" s="25">
        <v>3.1788102030309986</v>
      </c>
      <c r="P279" s="46">
        <f t="shared" si="5"/>
        <v>6.6990440786216735E-4</v>
      </c>
    </row>
    <row r="280" spans="2:16" ht="48" hidden="1">
      <c r="B280" s="43">
        <v>80</v>
      </c>
      <c r="C280" s="43">
        <v>853620</v>
      </c>
      <c r="D280" s="44" t="s">
        <v>248</v>
      </c>
      <c r="E280" s="43" t="s">
        <v>249</v>
      </c>
      <c r="F280" s="43" t="s">
        <v>54</v>
      </c>
      <c r="G280" s="43" t="s">
        <v>51</v>
      </c>
      <c r="H280" s="43" t="s">
        <v>20</v>
      </c>
      <c r="I280" s="43" t="s">
        <v>96</v>
      </c>
      <c r="J280" s="43" t="s">
        <v>21</v>
      </c>
      <c r="K280" s="43" t="s">
        <v>21</v>
      </c>
      <c r="L280" s="43" t="s">
        <v>29</v>
      </c>
      <c r="M280" s="43" t="s">
        <v>29</v>
      </c>
      <c r="N280" s="43" t="s">
        <v>29</v>
      </c>
      <c r="O280" s="25">
        <v>10.535120079712003</v>
      </c>
      <c r="P280" s="46">
        <f t="shared" si="5"/>
        <v>2.2201776538992306E-3</v>
      </c>
    </row>
    <row r="281" spans="2:16" ht="48" hidden="1">
      <c r="B281" s="31">
        <v>144</v>
      </c>
      <c r="C281" s="31">
        <v>853630</v>
      </c>
      <c r="D281" s="32" t="s">
        <v>510</v>
      </c>
      <c r="E281" s="32" t="s">
        <v>249</v>
      </c>
      <c r="F281" s="32" t="s">
        <v>54</v>
      </c>
      <c r="G281" s="32" t="s">
        <v>51</v>
      </c>
      <c r="H281" s="32" t="s">
        <v>20</v>
      </c>
      <c r="I281" s="33" t="s">
        <v>103</v>
      </c>
      <c r="J281" s="31" t="s">
        <v>29</v>
      </c>
      <c r="K281" s="31" t="s">
        <v>21</v>
      </c>
      <c r="L281" s="31" t="s">
        <v>29</v>
      </c>
      <c r="M281" s="34" t="s">
        <v>29</v>
      </c>
      <c r="N281" s="31" t="s">
        <v>29</v>
      </c>
      <c r="O281" s="23">
        <v>5.1146160359300019</v>
      </c>
      <c r="P281" s="39">
        <f t="shared" si="5"/>
        <v>1.0778573139488005E-3</v>
      </c>
    </row>
    <row r="282" spans="2:16" ht="32.1" hidden="1">
      <c r="B282" s="43">
        <v>139</v>
      </c>
      <c r="C282" s="43">
        <v>853641</v>
      </c>
      <c r="D282" s="44" t="s">
        <v>398</v>
      </c>
      <c r="E282" s="43" t="s">
        <v>385</v>
      </c>
      <c r="F282" s="43" t="s">
        <v>54</v>
      </c>
      <c r="G282" s="43" t="s">
        <v>19</v>
      </c>
      <c r="H282" s="43" t="s">
        <v>20</v>
      </c>
      <c r="I282" s="43" t="s">
        <v>12</v>
      </c>
      <c r="J282" s="43" t="s">
        <v>21</v>
      </c>
      <c r="K282" s="43" t="s">
        <v>21</v>
      </c>
      <c r="L282" s="43" t="s">
        <v>29</v>
      </c>
      <c r="M282" s="43" t="s">
        <v>21</v>
      </c>
      <c r="N282" s="43" t="s">
        <v>21</v>
      </c>
      <c r="O282" s="25">
        <v>5.329870458904999</v>
      </c>
      <c r="P282" s="46">
        <f t="shared" si="5"/>
        <v>1.1232201627987518E-3</v>
      </c>
    </row>
    <row r="283" spans="2:16" ht="32.1" hidden="1">
      <c r="B283" s="43">
        <v>137</v>
      </c>
      <c r="C283" s="43">
        <v>853649</v>
      </c>
      <c r="D283" s="44" t="s">
        <v>384</v>
      </c>
      <c r="E283" s="43" t="s">
        <v>385</v>
      </c>
      <c r="F283" s="43" t="s">
        <v>54</v>
      </c>
      <c r="G283" s="43" t="s">
        <v>19</v>
      </c>
      <c r="H283" s="43" t="s">
        <v>20</v>
      </c>
      <c r="I283" s="43" t="s">
        <v>12</v>
      </c>
      <c r="J283" s="43" t="s">
        <v>21</v>
      </c>
      <c r="K283" s="43" t="s">
        <v>21</v>
      </c>
      <c r="L283" s="43" t="s">
        <v>29</v>
      </c>
      <c r="M283" s="43" t="s">
        <v>21</v>
      </c>
      <c r="N283" s="43" t="s">
        <v>21</v>
      </c>
      <c r="O283" s="25">
        <v>5.3614671671719991</v>
      </c>
      <c r="P283" s="46">
        <f t="shared" si="5"/>
        <v>1.1298788724385458E-3</v>
      </c>
    </row>
    <row r="284" spans="2:16" ht="32.1" hidden="1">
      <c r="B284" s="43">
        <v>43</v>
      </c>
      <c r="C284" s="43">
        <v>853650</v>
      </c>
      <c r="D284" s="44" t="s">
        <v>161</v>
      </c>
      <c r="E284" s="43" t="s">
        <v>162</v>
      </c>
      <c r="F284" s="43" t="s">
        <v>54</v>
      </c>
      <c r="G284" s="43" t="s">
        <v>51</v>
      </c>
      <c r="H284" s="43" t="s">
        <v>20</v>
      </c>
      <c r="I284" s="43" t="s">
        <v>11</v>
      </c>
      <c r="J284" s="43" t="s">
        <v>21</v>
      </c>
      <c r="K284" s="43" t="s">
        <v>21</v>
      </c>
      <c r="L284" s="43" t="s">
        <v>21</v>
      </c>
      <c r="M284" s="43" t="s">
        <v>29</v>
      </c>
      <c r="N284" s="43" t="s">
        <v>29</v>
      </c>
      <c r="O284" s="25">
        <v>21.497948823236989</v>
      </c>
      <c r="P284" s="46">
        <f t="shared" si="5"/>
        <v>4.5304908934008835E-3</v>
      </c>
    </row>
    <row r="285" spans="2:16" ht="32.1" hidden="1">
      <c r="B285" s="35">
        <v>335</v>
      </c>
      <c r="C285" s="35">
        <v>853661</v>
      </c>
      <c r="D285" s="36" t="s">
        <v>514</v>
      </c>
      <c r="E285" s="36" t="s">
        <v>515</v>
      </c>
      <c r="F285" s="36" t="s">
        <v>54</v>
      </c>
      <c r="G285" s="36" t="s">
        <v>51</v>
      </c>
      <c r="H285" s="36" t="s">
        <v>20</v>
      </c>
      <c r="I285" s="37" t="s">
        <v>103</v>
      </c>
      <c r="J285" s="35" t="s">
        <v>29</v>
      </c>
      <c r="K285" s="35" t="s">
        <v>21</v>
      </c>
      <c r="L285" s="35" t="s">
        <v>29</v>
      </c>
      <c r="M285" s="38" t="s">
        <v>29</v>
      </c>
      <c r="N285" s="35" t="s">
        <v>29</v>
      </c>
      <c r="O285" s="24">
        <v>0.51433813846800014</v>
      </c>
      <c r="P285" s="40">
        <f t="shared" si="5"/>
        <v>1.083919341150973E-4</v>
      </c>
    </row>
    <row r="286" spans="2:16" ht="32.1" hidden="1">
      <c r="B286" s="5">
        <v>38</v>
      </c>
      <c r="C286" s="5">
        <v>853669</v>
      </c>
      <c r="D286" s="6" t="s">
        <v>116</v>
      </c>
      <c r="E286" s="5" t="s">
        <v>117</v>
      </c>
      <c r="F286" s="5" t="s">
        <v>54</v>
      </c>
      <c r="G286" s="5" t="s">
        <v>51</v>
      </c>
      <c r="H286" s="5" t="s">
        <v>20</v>
      </c>
      <c r="I286" s="5" t="s">
        <v>11</v>
      </c>
      <c r="J286" s="5" t="s">
        <v>21</v>
      </c>
      <c r="K286" s="5" t="s">
        <v>21</v>
      </c>
      <c r="L286" s="5" t="s">
        <v>21</v>
      </c>
      <c r="M286" s="7" t="s">
        <v>29</v>
      </c>
      <c r="N286" s="5" t="s">
        <v>29</v>
      </c>
      <c r="O286" s="8">
        <v>23.068362804772015</v>
      </c>
      <c r="P286" s="9">
        <f t="shared" si="5"/>
        <v>4.8614408970832617E-3</v>
      </c>
    </row>
    <row r="287" spans="2:16" ht="32.1" hidden="1">
      <c r="B287" s="5">
        <v>218</v>
      </c>
      <c r="C287" s="5">
        <v>853670</v>
      </c>
      <c r="D287" s="6" t="s">
        <v>518</v>
      </c>
      <c r="E287" s="6" t="s">
        <v>519</v>
      </c>
      <c r="F287" s="6" t="s">
        <v>54</v>
      </c>
      <c r="G287" s="6" t="s">
        <v>51</v>
      </c>
      <c r="H287" s="6" t="s">
        <v>20</v>
      </c>
      <c r="I287" s="10" t="s">
        <v>103</v>
      </c>
      <c r="J287" s="5" t="s">
        <v>29</v>
      </c>
      <c r="K287" s="5" t="s">
        <v>21</v>
      </c>
      <c r="L287" s="5" t="s">
        <v>29</v>
      </c>
      <c r="M287" s="7" t="s">
        <v>29</v>
      </c>
      <c r="N287" s="5" t="s">
        <v>29</v>
      </c>
      <c r="O287" s="8">
        <v>2.2161377028720004</v>
      </c>
      <c r="P287" s="11">
        <f t="shared" si="5"/>
        <v>4.67030215949327E-4</v>
      </c>
    </row>
    <row r="288" spans="2:16" ht="48" hidden="1">
      <c r="B288" s="5">
        <v>21</v>
      </c>
      <c r="C288" s="5">
        <v>853690</v>
      </c>
      <c r="D288" s="6" t="s">
        <v>72</v>
      </c>
      <c r="E288" s="5" t="s">
        <v>73</v>
      </c>
      <c r="F288" s="5" t="s">
        <v>54</v>
      </c>
      <c r="G288" s="5" t="s">
        <v>51</v>
      </c>
      <c r="H288" s="5" t="s">
        <v>20</v>
      </c>
      <c r="I288" s="5" t="s">
        <v>11</v>
      </c>
      <c r="J288" s="5" t="s">
        <v>21</v>
      </c>
      <c r="K288" s="5" t="s">
        <v>21</v>
      </c>
      <c r="L288" s="5" t="s">
        <v>21</v>
      </c>
      <c r="M288" s="7" t="s">
        <v>29</v>
      </c>
      <c r="N288" s="5" t="s">
        <v>29</v>
      </c>
      <c r="O288" s="8">
        <v>45.462116568888987</v>
      </c>
      <c r="P288" s="9">
        <f t="shared" si="5"/>
        <v>9.5807142720264558E-3</v>
      </c>
    </row>
    <row r="289" spans="2:16" ht="63.95" hidden="1">
      <c r="B289" s="26">
        <v>12</v>
      </c>
      <c r="C289" s="26">
        <v>853710</v>
      </c>
      <c r="D289" s="27" t="s">
        <v>52</v>
      </c>
      <c r="E289" s="26" t="s">
        <v>53</v>
      </c>
      <c r="F289" s="26" t="s">
        <v>54</v>
      </c>
      <c r="G289" s="26" t="s">
        <v>19</v>
      </c>
      <c r="H289" s="26" t="s">
        <v>20</v>
      </c>
      <c r="I289" s="26" t="s">
        <v>12</v>
      </c>
      <c r="J289" s="26" t="s">
        <v>21</v>
      </c>
      <c r="K289" s="26" t="s">
        <v>21</v>
      </c>
      <c r="L289" s="26" t="s">
        <v>21</v>
      </c>
      <c r="M289" s="29" t="s">
        <v>21</v>
      </c>
      <c r="N289" s="26" t="s">
        <v>21</v>
      </c>
      <c r="O289" s="22">
        <v>73.863929916992035</v>
      </c>
      <c r="P289" s="63">
        <f t="shared" si="5"/>
        <v>1.5566129801091698E-2</v>
      </c>
    </row>
    <row r="290" spans="2:16" ht="63.95" hidden="1">
      <c r="B290" s="43">
        <v>119</v>
      </c>
      <c r="C290" s="43">
        <v>853720</v>
      </c>
      <c r="D290" s="44" t="s">
        <v>366</v>
      </c>
      <c r="E290" s="43" t="s">
        <v>367</v>
      </c>
      <c r="F290" s="43" t="s">
        <v>54</v>
      </c>
      <c r="G290" s="43" t="s">
        <v>19</v>
      </c>
      <c r="H290" s="43" t="s">
        <v>20</v>
      </c>
      <c r="I290" s="43" t="s">
        <v>12</v>
      </c>
      <c r="J290" s="43" t="s">
        <v>21</v>
      </c>
      <c r="K290" s="43" t="s">
        <v>21</v>
      </c>
      <c r="L290" s="43" t="s">
        <v>21</v>
      </c>
      <c r="M290" s="43" t="s">
        <v>21</v>
      </c>
      <c r="N290" s="43" t="s">
        <v>21</v>
      </c>
      <c r="O290" s="25">
        <v>6.3099714301410019</v>
      </c>
      <c r="P290" s="46">
        <f t="shared" si="5"/>
        <v>1.3297672413739199E-3</v>
      </c>
    </row>
    <row r="291" spans="2:16" ht="48" hidden="1">
      <c r="B291" s="43">
        <v>156</v>
      </c>
      <c r="C291" s="43">
        <v>853810</v>
      </c>
      <c r="D291" s="44" t="s">
        <v>419</v>
      </c>
      <c r="E291" s="43" t="s">
        <v>420</v>
      </c>
      <c r="F291" s="43" t="s">
        <v>54</v>
      </c>
      <c r="G291" s="43" t="s">
        <v>19</v>
      </c>
      <c r="H291" s="43" t="s">
        <v>20</v>
      </c>
      <c r="I291" s="43" t="s">
        <v>12</v>
      </c>
      <c r="J291" s="43" t="s">
        <v>21</v>
      </c>
      <c r="K291" s="43" t="s">
        <v>21</v>
      </c>
      <c r="L291" s="43" t="s">
        <v>21</v>
      </c>
      <c r="M291" s="43" t="s">
        <v>21</v>
      </c>
      <c r="N291" s="43" t="s">
        <v>21</v>
      </c>
      <c r="O291" s="25">
        <v>4.6689371678860017</v>
      </c>
      <c r="P291" s="46">
        <f t="shared" si="5"/>
        <v>9.8393467650759138E-4</v>
      </c>
    </row>
    <row r="292" spans="2:16" ht="48" hidden="1">
      <c r="B292" s="43">
        <v>28</v>
      </c>
      <c r="C292" s="43">
        <v>853890</v>
      </c>
      <c r="D292" s="44" t="s">
        <v>83</v>
      </c>
      <c r="E292" s="43" t="s">
        <v>84</v>
      </c>
      <c r="F292" s="43" t="s">
        <v>26</v>
      </c>
      <c r="G292" s="43" t="s">
        <v>19</v>
      </c>
      <c r="H292" s="43" t="s">
        <v>20</v>
      </c>
      <c r="I292" s="43" t="s">
        <v>12</v>
      </c>
      <c r="J292" s="43" t="s">
        <v>21</v>
      </c>
      <c r="K292" s="43" t="s">
        <v>21</v>
      </c>
      <c r="L292" s="43" t="s">
        <v>21</v>
      </c>
      <c r="M292" s="43" t="s">
        <v>21</v>
      </c>
      <c r="N292" s="43" t="s">
        <v>21</v>
      </c>
      <c r="O292" s="25">
        <v>38.297708023977997</v>
      </c>
      <c r="P292" s="46">
        <f t="shared" si="5"/>
        <v>8.0708824301049253E-3</v>
      </c>
    </row>
    <row r="293" spans="2:16" ht="32.1" hidden="1">
      <c r="B293" s="31">
        <v>300</v>
      </c>
      <c r="C293" s="31">
        <v>853910</v>
      </c>
      <c r="D293" s="32" t="s">
        <v>530</v>
      </c>
      <c r="E293" s="32" t="s">
        <v>316</v>
      </c>
      <c r="F293" s="32" t="s">
        <v>66</v>
      </c>
      <c r="G293" s="32" t="s">
        <v>51</v>
      </c>
      <c r="H293" s="32" t="s">
        <v>28</v>
      </c>
      <c r="I293" s="33" t="s">
        <v>103</v>
      </c>
      <c r="J293" s="31" t="s">
        <v>29</v>
      </c>
      <c r="K293" s="31" t="s">
        <v>21</v>
      </c>
      <c r="L293" s="31" t="s">
        <v>29</v>
      </c>
      <c r="M293" s="34" t="s">
        <v>29</v>
      </c>
      <c r="N293" s="31" t="s">
        <v>29</v>
      </c>
      <c r="O293" s="23">
        <v>0.82371559020099983</v>
      </c>
      <c r="P293" s="39">
        <f t="shared" si="5"/>
        <v>1.735903276560156E-4</v>
      </c>
    </row>
    <row r="294" spans="2:16" ht="32.1" hidden="1">
      <c r="B294" s="43">
        <v>264</v>
      </c>
      <c r="C294" s="43">
        <v>853921</v>
      </c>
      <c r="D294" s="44" t="s">
        <v>531</v>
      </c>
      <c r="E294" s="44" t="s">
        <v>316</v>
      </c>
      <c r="F294" s="44" t="s">
        <v>66</v>
      </c>
      <c r="G294" s="44" t="s">
        <v>51</v>
      </c>
      <c r="H294" s="44" t="s">
        <v>28</v>
      </c>
      <c r="I294" s="47" t="s">
        <v>103</v>
      </c>
      <c r="J294" s="43" t="s">
        <v>29</v>
      </c>
      <c r="K294" s="43" t="s">
        <v>21</v>
      </c>
      <c r="L294" s="43" t="s">
        <v>29</v>
      </c>
      <c r="M294" s="43" t="s">
        <v>29</v>
      </c>
      <c r="N294" s="43" t="s">
        <v>29</v>
      </c>
      <c r="O294" s="25">
        <v>1.2791389348759996</v>
      </c>
      <c r="P294" s="62">
        <f t="shared" si="5"/>
        <v>2.6956652206680797E-4</v>
      </c>
    </row>
    <row r="295" spans="2:16" ht="48" hidden="1">
      <c r="B295" s="31">
        <v>356</v>
      </c>
      <c r="C295" s="31">
        <v>853922</v>
      </c>
      <c r="D295" s="32" t="s">
        <v>532</v>
      </c>
      <c r="E295" s="32" t="s">
        <v>316</v>
      </c>
      <c r="F295" s="32" t="s">
        <v>66</v>
      </c>
      <c r="G295" s="32" t="s">
        <v>51</v>
      </c>
      <c r="H295" s="32" t="s">
        <v>28</v>
      </c>
      <c r="I295" s="33" t="s">
        <v>103</v>
      </c>
      <c r="J295" s="31" t="s">
        <v>29</v>
      </c>
      <c r="K295" s="31" t="s">
        <v>21</v>
      </c>
      <c r="L295" s="31" t="s">
        <v>29</v>
      </c>
      <c r="M295" s="34" t="s">
        <v>29</v>
      </c>
      <c r="N295" s="31" t="s">
        <v>29</v>
      </c>
      <c r="O295" s="23">
        <v>0.35035568919200005</v>
      </c>
      <c r="P295" s="39">
        <f t="shared" si="5"/>
        <v>7.3834172384849232E-5</v>
      </c>
    </row>
    <row r="296" spans="2:16" ht="32.1" hidden="1">
      <c r="B296" s="43">
        <v>318</v>
      </c>
      <c r="C296" s="43">
        <v>853929</v>
      </c>
      <c r="D296" s="44" t="s">
        <v>533</v>
      </c>
      <c r="E296" s="44" t="s">
        <v>316</v>
      </c>
      <c r="F296" s="44" t="s">
        <v>66</v>
      </c>
      <c r="G296" s="44" t="s">
        <v>51</v>
      </c>
      <c r="H296" s="44" t="s">
        <v>28</v>
      </c>
      <c r="I296" s="47" t="s">
        <v>103</v>
      </c>
      <c r="J296" s="43" t="s">
        <v>29</v>
      </c>
      <c r="K296" s="43" t="s">
        <v>21</v>
      </c>
      <c r="L296" s="43" t="s">
        <v>29</v>
      </c>
      <c r="M296" s="43" t="s">
        <v>29</v>
      </c>
      <c r="N296" s="43" t="s">
        <v>29</v>
      </c>
      <c r="O296" s="25">
        <v>0.66458018112200024</v>
      </c>
      <c r="P296" s="62">
        <f t="shared" si="5"/>
        <v>1.400540341436434E-4</v>
      </c>
    </row>
    <row r="297" spans="2:16" ht="48" hidden="1">
      <c r="B297" s="43">
        <v>293</v>
      </c>
      <c r="C297" s="43">
        <v>853931</v>
      </c>
      <c r="D297" s="44" t="s">
        <v>621</v>
      </c>
      <c r="E297" s="43" t="s">
        <v>316</v>
      </c>
      <c r="F297" s="43" t="s">
        <v>66</v>
      </c>
      <c r="G297" s="43" t="s">
        <v>51</v>
      </c>
      <c r="H297" s="43" t="s">
        <v>28</v>
      </c>
      <c r="I297" s="43" t="s">
        <v>96</v>
      </c>
      <c r="J297" s="43" t="s">
        <v>21</v>
      </c>
      <c r="K297" s="43" t="s">
        <v>21</v>
      </c>
      <c r="L297" s="43" t="s">
        <v>29</v>
      </c>
      <c r="M297" s="43" t="s">
        <v>29</v>
      </c>
      <c r="N297" s="43" t="s">
        <v>21</v>
      </c>
      <c r="O297" s="25">
        <v>0.91738476579900008</v>
      </c>
      <c r="P297" s="46">
        <f t="shared" si="5"/>
        <v>1.9333022705425086E-4</v>
      </c>
    </row>
    <row r="298" spans="2:16" ht="32.1" hidden="1">
      <c r="B298" s="31">
        <v>345</v>
      </c>
      <c r="C298" s="31">
        <v>853932</v>
      </c>
      <c r="D298" s="32" t="s">
        <v>536</v>
      </c>
      <c r="E298" s="32" t="s">
        <v>316</v>
      </c>
      <c r="F298" s="32" t="s">
        <v>66</v>
      </c>
      <c r="G298" s="32" t="s">
        <v>51</v>
      </c>
      <c r="H298" s="32" t="s">
        <v>28</v>
      </c>
      <c r="I298" s="33" t="s">
        <v>103</v>
      </c>
      <c r="J298" s="31" t="s">
        <v>29</v>
      </c>
      <c r="K298" s="31" t="s">
        <v>21</v>
      </c>
      <c r="L298" s="31" t="s">
        <v>29</v>
      </c>
      <c r="M298" s="34" t="s">
        <v>29</v>
      </c>
      <c r="N298" s="31" t="s">
        <v>29</v>
      </c>
      <c r="O298" s="23">
        <v>0.44935833794400004</v>
      </c>
      <c r="P298" s="39">
        <f t="shared" si="5"/>
        <v>9.4698051180052648E-5</v>
      </c>
    </row>
    <row r="299" spans="2:16" ht="32.1" hidden="1">
      <c r="B299" s="43">
        <v>353</v>
      </c>
      <c r="C299" s="43">
        <v>853939</v>
      </c>
      <c r="D299" s="44" t="s">
        <v>537</v>
      </c>
      <c r="E299" s="44" t="s">
        <v>316</v>
      </c>
      <c r="F299" s="44" t="s">
        <v>66</v>
      </c>
      <c r="G299" s="44" t="s">
        <v>51</v>
      </c>
      <c r="H299" s="44" t="s">
        <v>28</v>
      </c>
      <c r="I299" s="47" t="s">
        <v>103</v>
      </c>
      <c r="J299" s="43" t="s">
        <v>29</v>
      </c>
      <c r="K299" s="43" t="s">
        <v>21</v>
      </c>
      <c r="L299" s="43" t="s">
        <v>29</v>
      </c>
      <c r="M299" s="43" t="s">
        <v>29</v>
      </c>
      <c r="N299" s="43" t="s">
        <v>29</v>
      </c>
      <c r="O299" s="25">
        <v>0.39186683622899998</v>
      </c>
      <c r="P299" s="62">
        <f t="shared" si="5"/>
        <v>8.2582256919429297E-5</v>
      </c>
    </row>
    <row r="300" spans="2:16" ht="32.1" hidden="1">
      <c r="B300" s="43">
        <v>322</v>
      </c>
      <c r="C300" s="43">
        <v>853941</v>
      </c>
      <c r="D300" s="44" t="s">
        <v>538</v>
      </c>
      <c r="E300" s="44" t="s">
        <v>316</v>
      </c>
      <c r="F300" s="44" t="s">
        <v>66</v>
      </c>
      <c r="G300" s="44" t="s">
        <v>51</v>
      </c>
      <c r="H300" s="44" t="s">
        <v>28</v>
      </c>
      <c r="I300" s="47" t="s">
        <v>103</v>
      </c>
      <c r="J300" s="43" t="s">
        <v>29</v>
      </c>
      <c r="K300" s="43" t="s">
        <v>21</v>
      </c>
      <c r="L300" s="43" t="s">
        <v>29</v>
      </c>
      <c r="M300" s="43" t="s">
        <v>29</v>
      </c>
      <c r="N300" s="43" t="s">
        <v>29</v>
      </c>
      <c r="O300" s="25">
        <v>0.64071078476499999</v>
      </c>
      <c r="P300" s="62">
        <f t="shared" si="5"/>
        <v>1.3502378294546965E-4</v>
      </c>
    </row>
    <row r="301" spans="2:16" ht="32.1" hidden="1">
      <c r="B301" s="43">
        <v>263</v>
      </c>
      <c r="C301" s="43">
        <v>853949</v>
      </c>
      <c r="D301" s="44" t="s">
        <v>539</v>
      </c>
      <c r="E301" s="44" t="s">
        <v>316</v>
      </c>
      <c r="F301" s="44" t="s">
        <v>66</v>
      </c>
      <c r="G301" s="44" t="s">
        <v>51</v>
      </c>
      <c r="H301" s="44" t="s">
        <v>28</v>
      </c>
      <c r="I301" s="47" t="s">
        <v>103</v>
      </c>
      <c r="J301" s="43" t="s">
        <v>29</v>
      </c>
      <c r="K301" s="43" t="s">
        <v>21</v>
      </c>
      <c r="L301" s="43" t="s">
        <v>29</v>
      </c>
      <c r="M301" s="43" t="s">
        <v>29</v>
      </c>
      <c r="N301" s="43" t="s">
        <v>29</v>
      </c>
      <c r="O301" s="25">
        <v>1.313182493862</v>
      </c>
      <c r="P301" s="62">
        <f t="shared" si="5"/>
        <v>2.767408825247843E-4</v>
      </c>
    </row>
    <row r="302" spans="2:16" ht="48" hidden="1">
      <c r="B302" s="43">
        <v>412</v>
      </c>
      <c r="C302" s="43">
        <v>853950</v>
      </c>
      <c r="D302" s="44" t="s">
        <v>710</v>
      </c>
      <c r="E302" s="43" t="s">
        <v>711</v>
      </c>
      <c r="F302" s="43" t="s">
        <v>66</v>
      </c>
      <c r="G302" s="43" t="s">
        <v>51</v>
      </c>
      <c r="H302" s="43" t="s">
        <v>28</v>
      </c>
      <c r="I302" s="43" t="s">
        <v>96</v>
      </c>
      <c r="J302" s="43" t="s">
        <v>21</v>
      </c>
      <c r="K302" s="43" t="s">
        <v>21</v>
      </c>
      <c r="L302" s="43" t="s">
        <v>29</v>
      </c>
      <c r="M302" s="43" t="s">
        <v>29</v>
      </c>
      <c r="N302" s="43" t="s">
        <v>21</v>
      </c>
      <c r="O302" s="25">
        <v>1.5956638533E-2</v>
      </c>
      <c r="P302" s="46">
        <f t="shared" si="5"/>
        <v>3.3627117711298502E-6</v>
      </c>
    </row>
    <row r="303" spans="2:16" ht="32.1" hidden="1">
      <c r="B303" s="35">
        <v>317</v>
      </c>
      <c r="C303" s="35">
        <v>853990</v>
      </c>
      <c r="D303" s="36" t="s">
        <v>541</v>
      </c>
      <c r="E303" s="36" t="s">
        <v>542</v>
      </c>
      <c r="F303" s="36" t="s">
        <v>66</v>
      </c>
      <c r="G303" s="36" t="s">
        <v>51</v>
      </c>
      <c r="H303" s="36" t="s">
        <v>20</v>
      </c>
      <c r="I303" s="37" t="s">
        <v>103</v>
      </c>
      <c r="J303" s="35" t="s">
        <v>29</v>
      </c>
      <c r="K303" s="35" t="s">
        <v>21</v>
      </c>
      <c r="L303" s="35" t="s">
        <v>29</v>
      </c>
      <c r="M303" s="38" t="s">
        <v>29</v>
      </c>
      <c r="N303" s="35" t="s">
        <v>29</v>
      </c>
      <c r="O303" s="24">
        <v>0.67687340179400013</v>
      </c>
      <c r="P303" s="40">
        <f t="shared" si="5"/>
        <v>1.4264471499245366E-4</v>
      </c>
    </row>
    <row r="304" spans="2:16" ht="32.1" hidden="1">
      <c r="B304" s="26">
        <v>414</v>
      </c>
      <c r="C304" s="80">
        <v>854011</v>
      </c>
      <c r="D304" s="27" t="s">
        <v>706</v>
      </c>
      <c r="E304" s="26" t="s">
        <v>607</v>
      </c>
      <c r="F304" s="26" t="s">
        <v>189</v>
      </c>
      <c r="G304" s="26" t="s">
        <v>19</v>
      </c>
      <c r="H304" s="26" t="s">
        <v>20</v>
      </c>
      <c r="I304" s="26" t="s">
        <v>12</v>
      </c>
      <c r="J304" s="26" t="s">
        <v>21</v>
      </c>
      <c r="K304" s="26" t="s">
        <v>21</v>
      </c>
      <c r="L304" s="26" t="s">
        <v>29</v>
      </c>
      <c r="M304" s="29" t="s">
        <v>21</v>
      </c>
      <c r="N304" s="26" t="s">
        <v>21</v>
      </c>
      <c r="O304" s="22">
        <v>1.3040485547000002E-2</v>
      </c>
      <c r="P304" s="63">
        <f t="shared" si="5"/>
        <v>2.7481599059511383E-6</v>
      </c>
    </row>
    <row r="305" spans="2:16" ht="48" hidden="1">
      <c r="B305" s="43">
        <v>419</v>
      </c>
      <c r="C305" s="72">
        <v>854012</v>
      </c>
      <c r="D305" s="44" t="s">
        <v>709</v>
      </c>
      <c r="E305" s="43" t="s">
        <v>607</v>
      </c>
      <c r="F305" s="43" t="s">
        <v>189</v>
      </c>
      <c r="G305" s="43" t="s">
        <v>19</v>
      </c>
      <c r="H305" s="43" t="s">
        <v>20</v>
      </c>
      <c r="I305" s="43" t="s">
        <v>12</v>
      </c>
      <c r="J305" s="43" t="s">
        <v>21</v>
      </c>
      <c r="K305" s="43" t="s">
        <v>21</v>
      </c>
      <c r="L305" s="43" t="s">
        <v>29</v>
      </c>
      <c r="M305" s="43" t="s">
        <v>21</v>
      </c>
      <c r="N305" s="43" t="s">
        <v>29</v>
      </c>
      <c r="O305" s="25">
        <v>4.6414254849999996E-3</v>
      </c>
      <c r="P305" s="46">
        <f t="shared" si="5"/>
        <v>9.7813684761693745E-7</v>
      </c>
    </row>
    <row r="306" spans="2:16" ht="32.1" hidden="1">
      <c r="B306" s="31">
        <v>342</v>
      </c>
      <c r="C306" s="31">
        <v>854020</v>
      </c>
      <c r="D306" s="32" t="s">
        <v>606</v>
      </c>
      <c r="E306" s="31" t="s">
        <v>607</v>
      </c>
      <c r="F306" s="31" t="s">
        <v>189</v>
      </c>
      <c r="G306" s="31" t="s">
        <v>19</v>
      </c>
      <c r="H306" s="31" t="s">
        <v>20</v>
      </c>
      <c r="I306" s="31" t="s">
        <v>12</v>
      </c>
      <c r="J306" s="31" t="s">
        <v>21</v>
      </c>
      <c r="K306" s="31" t="s">
        <v>21</v>
      </c>
      <c r="L306" s="31" t="s">
        <v>29</v>
      </c>
      <c r="M306" s="34" t="s">
        <v>21</v>
      </c>
      <c r="N306" s="31" t="s">
        <v>21</v>
      </c>
      <c r="O306" s="23">
        <v>0.47243587513599999</v>
      </c>
      <c r="P306" s="71">
        <f t="shared" si="5"/>
        <v>9.9561425493115748E-5</v>
      </c>
    </row>
    <row r="307" spans="2:16" ht="48" hidden="1">
      <c r="B307" s="43">
        <v>409</v>
      </c>
      <c r="C307" s="72">
        <v>854040</v>
      </c>
      <c r="D307" s="44" t="s">
        <v>700</v>
      </c>
      <c r="E307" s="43" t="s">
        <v>701</v>
      </c>
      <c r="F307" s="43" t="s">
        <v>189</v>
      </c>
      <c r="G307" s="43" t="s">
        <v>19</v>
      </c>
      <c r="H307" s="43" t="s">
        <v>20</v>
      </c>
      <c r="I307" s="43" t="s">
        <v>12</v>
      </c>
      <c r="J307" s="43" t="s">
        <v>21</v>
      </c>
      <c r="K307" s="43" t="s">
        <v>21</v>
      </c>
      <c r="L307" s="43" t="s">
        <v>29</v>
      </c>
      <c r="M307" s="43" t="s">
        <v>21</v>
      </c>
      <c r="N307" s="43" t="s">
        <v>29</v>
      </c>
      <c r="O307" s="25">
        <v>1.8471854049999993E-2</v>
      </c>
      <c r="P307" s="46">
        <f t="shared" si="5"/>
        <v>3.8927698286870492E-6</v>
      </c>
    </row>
    <row r="308" spans="2:16" ht="32.1" hidden="1">
      <c r="B308" s="35">
        <v>413</v>
      </c>
      <c r="C308" s="74">
        <v>854060</v>
      </c>
      <c r="D308" s="36" t="s">
        <v>707</v>
      </c>
      <c r="E308" s="35" t="s">
        <v>607</v>
      </c>
      <c r="F308" s="35" t="s">
        <v>189</v>
      </c>
      <c r="G308" s="35" t="s">
        <v>19</v>
      </c>
      <c r="H308" s="35" t="s">
        <v>20</v>
      </c>
      <c r="I308" s="35" t="s">
        <v>12</v>
      </c>
      <c r="J308" s="35" t="s">
        <v>21</v>
      </c>
      <c r="K308" s="35" t="s">
        <v>21</v>
      </c>
      <c r="L308" s="35" t="s">
        <v>29</v>
      </c>
      <c r="M308" s="38" t="s">
        <v>21</v>
      </c>
      <c r="N308" s="35" t="s">
        <v>21</v>
      </c>
      <c r="O308" s="24">
        <v>1.3295078134999999E-2</v>
      </c>
      <c r="P308" s="70">
        <f t="shared" si="5"/>
        <v>2.8018129037764293E-6</v>
      </c>
    </row>
    <row r="309" spans="2:16" ht="63.95" hidden="1">
      <c r="B309" s="26">
        <v>362</v>
      </c>
      <c r="C309" s="26">
        <v>854071</v>
      </c>
      <c r="D309" s="27" t="s">
        <v>643</v>
      </c>
      <c r="E309" s="26" t="s">
        <v>644</v>
      </c>
      <c r="F309" s="26" t="s">
        <v>189</v>
      </c>
      <c r="G309" s="26" t="s">
        <v>19</v>
      </c>
      <c r="H309" s="26" t="s">
        <v>20</v>
      </c>
      <c r="I309" s="26" t="s">
        <v>12</v>
      </c>
      <c r="J309" s="26" t="s">
        <v>21</v>
      </c>
      <c r="K309" s="26" t="s">
        <v>21</v>
      </c>
      <c r="L309" s="26" t="s">
        <v>29</v>
      </c>
      <c r="M309" s="29" t="s">
        <v>21</v>
      </c>
      <c r="N309" s="26" t="s">
        <v>21</v>
      </c>
      <c r="O309" s="22">
        <v>0.32679841553599981</v>
      </c>
      <c r="P309" s="63">
        <f t="shared" si="5"/>
        <v>6.8869698115727235E-5</v>
      </c>
    </row>
    <row r="310" spans="2:16" ht="48" hidden="1">
      <c r="B310" s="43">
        <v>364</v>
      </c>
      <c r="C310" s="43">
        <v>854079</v>
      </c>
      <c r="D310" s="44" t="s">
        <v>665</v>
      </c>
      <c r="E310" s="43" t="s">
        <v>658</v>
      </c>
      <c r="F310" s="43" t="s">
        <v>189</v>
      </c>
      <c r="G310" s="43" t="s">
        <v>19</v>
      </c>
      <c r="H310" s="43" t="s">
        <v>20</v>
      </c>
      <c r="I310" s="43" t="s">
        <v>12</v>
      </c>
      <c r="J310" s="43" t="s">
        <v>21</v>
      </c>
      <c r="K310" s="43" t="s">
        <v>21</v>
      </c>
      <c r="L310" s="43" t="s">
        <v>29</v>
      </c>
      <c r="M310" s="43" t="s">
        <v>21</v>
      </c>
      <c r="N310" s="43" t="s">
        <v>21</v>
      </c>
      <c r="O310" s="25">
        <v>0.27006726825499999</v>
      </c>
      <c r="P310" s="46">
        <f t="shared" si="5"/>
        <v>5.6914141413920278E-5</v>
      </c>
    </row>
    <row r="311" spans="2:16" ht="32.1" hidden="1">
      <c r="B311" s="43">
        <v>391</v>
      </c>
      <c r="C311" s="43">
        <v>854081</v>
      </c>
      <c r="D311" s="44" t="s">
        <v>677</v>
      </c>
      <c r="E311" s="43" t="s">
        <v>658</v>
      </c>
      <c r="F311" s="43" t="s">
        <v>189</v>
      </c>
      <c r="G311" s="43" t="s">
        <v>19</v>
      </c>
      <c r="H311" s="43" t="s">
        <v>20</v>
      </c>
      <c r="I311" s="43" t="s">
        <v>12</v>
      </c>
      <c r="J311" s="43" t="s">
        <v>21</v>
      </c>
      <c r="K311" s="43" t="s">
        <v>21</v>
      </c>
      <c r="L311" s="43" t="s">
        <v>29</v>
      </c>
      <c r="M311" s="43" t="s">
        <v>21</v>
      </c>
      <c r="N311" s="43" t="s">
        <v>29</v>
      </c>
      <c r="O311" s="25">
        <v>0.11554901203400005</v>
      </c>
      <c r="P311" s="46">
        <f t="shared" si="5"/>
        <v>2.4350869520894264E-5</v>
      </c>
    </row>
    <row r="312" spans="2:16" ht="32.1" hidden="1">
      <c r="B312" s="35">
        <v>374</v>
      </c>
      <c r="C312" s="35">
        <v>854089</v>
      </c>
      <c r="D312" s="36" t="s">
        <v>657</v>
      </c>
      <c r="E312" s="35" t="s">
        <v>658</v>
      </c>
      <c r="F312" s="35" t="s">
        <v>189</v>
      </c>
      <c r="G312" s="35" t="s">
        <v>19</v>
      </c>
      <c r="H312" s="35" t="s">
        <v>20</v>
      </c>
      <c r="I312" s="35" t="s">
        <v>12</v>
      </c>
      <c r="J312" s="35" t="s">
        <v>21</v>
      </c>
      <c r="K312" s="35" t="s">
        <v>21</v>
      </c>
      <c r="L312" s="35" t="s">
        <v>29</v>
      </c>
      <c r="M312" s="38" t="s">
        <v>21</v>
      </c>
      <c r="N312" s="35" t="s">
        <v>21</v>
      </c>
      <c r="O312" s="24">
        <v>0.22450990996300008</v>
      </c>
      <c r="P312" s="70">
        <f t="shared" si="5"/>
        <v>4.7313355842870191E-5</v>
      </c>
    </row>
    <row r="313" spans="2:16" ht="32.1" hidden="1">
      <c r="B313" s="26">
        <v>403</v>
      </c>
      <c r="C313" s="80">
        <v>854091</v>
      </c>
      <c r="D313" s="27" t="s">
        <v>691</v>
      </c>
      <c r="E313" s="26" t="s">
        <v>607</v>
      </c>
      <c r="F313" s="26" t="s">
        <v>189</v>
      </c>
      <c r="G313" s="26" t="s">
        <v>19</v>
      </c>
      <c r="H313" s="26" t="s">
        <v>20</v>
      </c>
      <c r="I313" s="26" t="s">
        <v>12</v>
      </c>
      <c r="J313" s="26" t="s">
        <v>21</v>
      </c>
      <c r="K313" s="26" t="s">
        <v>21</v>
      </c>
      <c r="L313" s="26" t="s">
        <v>29</v>
      </c>
      <c r="M313" s="29" t="s">
        <v>21</v>
      </c>
      <c r="N313" s="26" t="s">
        <v>21</v>
      </c>
      <c r="O313" s="22">
        <v>4.5127438545000009E-2</v>
      </c>
      <c r="P313" s="63">
        <f t="shared" si="5"/>
        <v>9.5101840204234979E-6</v>
      </c>
    </row>
    <row r="314" spans="2:16" ht="48" hidden="1">
      <c r="B314" s="43">
        <v>389</v>
      </c>
      <c r="C314" s="43">
        <v>854099</v>
      </c>
      <c r="D314" s="44" t="s">
        <v>674</v>
      </c>
      <c r="E314" s="43" t="s">
        <v>675</v>
      </c>
      <c r="F314" s="43" t="s">
        <v>189</v>
      </c>
      <c r="G314" s="43" t="s">
        <v>19</v>
      </c>
      <c r="H314" s="43" t="s">
        <v>20</v>
      </c>
      <c r="I314" s="43" t="s">
        <v>12</v>
      </c>
      <c r="J314" s="43" t="s">
        <v>21</v>
      </c>
      <c r="K314" s="43" t="s">
        <v>21</v>
      </c>
      <c r="L314" s="43" t="s">
        <v>29</v>
      </c>
      <c r="M314" s="43" t="s">
        <v>21</v>
      </c>
      <c r="N314" s="43" t="s">
        <v>21</v>
      </c>
      <c r="O314" s="25">
        <v>0.14253108866500006</v>
      </c>
      <c r="P314" s="46">
        <f t="shared" si="5"/>
        <v>3.0037088865209557E-5</v>
      </c>
    </row>
    <row r="315" spans="2:16" ht="32.1" hidden="1">
      <c r="B315" s="35">
        <v>57</v>
      </c>
      <c r="C315" s="35">
        <v>854110</v>
      </c>
      <c r="D315" s="36" t="s">
        <v>207</v>
      </c>
      <c r="E315" s="35" t="s">
        <v>208</v>
      </c>
      <c r="F315" s="35" t="s">
        <v>54</v>
      </c>
      <c r="G315" s="35" t="s">
        <v>19</v>
      </c>
      <c r="H315" s="35" t="s">
        <v>20</v>
      </c>
      <c r="I315" s="35" t="s">
        <v>12</v>
      </c>
      <c r="J315" s="35" t="s">
        <v>21</v>
      </c>
      <c r="K315" s="35" t="s">
        <v>21</v>
      </c>
      <c r="L315" s="35" t="s">
        <v>21</v>
      </c>
      <c r="M315" s="38" t="s">
        <v>21</v>
      </c>
      <c r="N315" s="35" t="s">
        <v>21</v>
      </c>
      <c r="O315" s="24">
        <v>14.358635623251001</v>
      </c>
      <c r="P315" s="70">
        <f t="shared" si="5"/>
        <v>3.0259476598291212E-3</v>
      </c>
    </row>
    <row r="316" spans="2:16" ht="48" hidden="1">
      <c r="B316" s="26">
        <v>127</v>
      </c>
      <c r="C316" s="26">
        <v>854121</v>
      </c>
      <c r="D316" s="27" t="s">
        <v>377</v>
      </c>
      <c r="E316" s="26" t="s">
        <v>86</v>
      </c>
      <c r="F316" s="26" t="s">
        <v>54</v>
      </c>
      <c r="G316" s="26" t="s">
        <v>19</v>
      </c>
      <c r="H316" s="26" t="s">
        <v>20</v>
      </c>
      <c r="I316" s="26" t="s">
        <v>12</v>
      </c>
      <c r="J316" s="26" t="s">
        <v>21</v>
      </c>
      <c r="K316" s="26" t="s">
        <v>21</v>
      </c>
      <c r="L316" s="26" t="s">
        <v>21</v>
      </c>
      <c r="M316" s="29" t="s">
        <v>21</v>
      </c>
      <c r="N316" s="26" t="s">
        <v>21</v>
      </c>
      <c r="O316" s="22">
        <v>5.8196418789579996</v>
      </c>
      <c r="P316" s="63">
        <f t="shared" si="5"/>
        <v>1.2264348916383582E-3</v>
      </c>
    </row>
    <row r="317" spans="2:16" ht="32.1" hidden="1">
      <c r="B317" s="43">
        <v>29</v>
      </c>
      <c r="C317" s="43">
        <v>854129</v>
      </c>
      <c r="D317" s="44" t="s">
        <v>85</v>
      </c>
      <c r="E317" s="43" t="s">
        <v>86</v>
      </c>
      <c r="F317" s="43" t="s">
        <v>54</v>
      </c>
      <c r="G317" s="43" t="s">
        <v>19</v>
      </c>
      <c r="H317" s="43" t="s">
        <v>20</v>
      </c>
      <c r="I317" s="43" t="s">
        <v>12</v>
      </c>
      <c r="J317" s="43" t="s">
        <v>21</v>
      </c>
      <c r="K317" s="43" t="s">
        <v>21</v>
      </c>
      <c r="L317" s="43" t="s">
        <v>21</v>
      </c>
      <c r="M317" s="43" t="s">
        <v>21</v>
      </c>
      <c r="N317" s="43" t="s">
        <v>21</v>
      </c>
      <c r="O317" s="25">
        <v>32.615904720193001</v>
      </c>
      <c r="P317" s="46">
        <f t="shared" si="5"/>
        <v>6.8734957241662949E-3</v>
      </c>
    </row>
    <row r="318" spans="2:16" ht="32.1" hidden="1">
      <c r="B318" s="31">
        <v>243</v>
      </c>
      <c r="C318" s="31">
        <v>854130</v>
      </c>
      <c r="D318" s="32" t="s">
        <v>534</v>
      </c>
      <c r="E318" s="31" t="s">
        <v>535</v>
      </c>
      <c r="F318" s="31" t="s">
        <v>54</v>
      </c>
      <c r="G318" s="31" t="s">
        <v>19</v>
      </c>
      <c r="H318" s="31" t="s">
        <v>20</v>
      </c>
      <c r="I318" s="31" t="s">
        <v>12</v>
      </c>
      <c r="J318" s="31" t="s">
        <v>21</v>
      </c>
      <c r="K318" s="31" t="s">
        <v>21</v>
      </c>
      <c r="L318" s="31" t="s">
        <v>29</v>
      </c>
      <c r="M318" s="34" t="s">
        <v>21</v>
      </c>
      <c r="N318" s="31" t="s">
        <v>21</v>
      </c>
      <c r="O318" s="23">
        <v>1.7250376802610001</v>
      </c>
      <c r="P318" s="71">
        <f t="shared" si="5"/>
        <v>3.6353549659344134E-4</v>
      </c>
    </row>
    <row r="319" spans="2:16" ht="63.95" hidden="1">
      <c r="B319" s="43">
        <v>202</v>
      </c>
      <c r="C319" s="43">
        <v>854140</v>
      </c>
      <c r="D319" s="44" t="s">
        <v>478</v>
      </c>
      <c r="E319" s="43" t="s">
        <v>479</v>
      </c>
      <c r="F319" s="43" t="s">
        <v>54</v>
      </c>
      <c r="G319" s="43" t="s">
        <v>51</v>
      </c>
      <c r="H319" s="43" t="s">
        <v>20</v>
      </c>
      <c r="I319" s="43" t="s">
        <v>11</v>
      </c>
      <c r="J319" s="43" t="s">
        <v>21</v>
      </c>
      <c r="K319" s="43" t="s">
        <v>21</v>
      </c>
      <c r="L319" s="43" t="s">
        <v>21</v>
      </c>
      <c r="M319" s="43" t="s">
        <v>29</v>
      </c>
      <c r="N319" s="43" t="s">
        <v>21</v>
      </c>
      <c r="O319" s="25">
        <v>2.6348259028080001</v>
      </c>
      <c r="P319" s="46">
        <f t="shared" si="5"/>
        <v>5.5526482347309915E-4</v>
      </c>
    </row>
    <row r="320" spans="2:16" ht="48" hidden="1">
      <c r="B320" s="35">
        <v>63</v>
      </c>
      <c r="C320" s="35">
        <v>854141</v>
      </c>
      <c r="D320" s="36" t="s">
        <v>228</v>
      </c>
      <c r="E320" s="35" t="s">
        <v>63</v>
      </c>
      <c r="F320" s="35" t="s">
        <v>18</v>
      </c>
      <c r="G320" s="35" t="s">
        <v>19</v>
      </c>
      <c r="H320" s="35" t="s">
        <v>20</v>
      </c>
      <c r="I320" s="35" t="s">
        <v>12</v>
      </c>
      <c r="J320" s="35" t="s">
        <v>21</v>
      </c>
      <c r="K320" s="35" t="s">
        <v>29</v>
      </c>
      <c r="L320" s="35" t="s">
        <v>29</v>
      </c>
      <c r="M320" s="38" t="s">
        <v>21</v>
      </c>
      <c r="N320" s="35" t="s">
        <v>29</v>
      </c>
      <c r="O320" s="24">
        <v>13.756354025015</v>
      </c>
      <c r="P320" s="70">
        <f t="shared" si="5"/>
        <v>2.8990224671743797E-3</v>
      </c>
    </row>
    <row r="321" spans="2:16" ht="48" hidden="1">
      <c r="B321" s="26">
        <v>118</v>
      </c>
      <c r="C321" s="26">
        <v>854142</v>
      </c>
      <c r="D321" s="27" t="s">
        <v>339</v>
      </c>
      <c r="E321" s="26" t="s">
        <v>63</v>
      </c>
      <c r="F321" s="26" t="s">
        <v>18</v>
      </c>
      <c r="G321" s="26" t="s">
        <v>19</v>
      </c>
      <c r="H321" s="26" t="s">
        <v>20</v>
      </c>
      <c r="I321" s="26" t="s">
        <v>12</v>
      </c>
      <c r="J321" s="26" t="s">
        <v>21</v>
      </c>
      <c r="K321" s="26" t="s">
        <v>29</v>
      </c>
      <c r="L321" s="26" t="s">
        <v>29</v>
      </c>
      <c r="M321" s="29" t="s">
        <v>21</v>
      </c>
      <c r="N321" s="26" t="s">
        <v>29</v>
      </c>
      <c r="O321" s="22">
        <v>6.3194774610470006</v>
      </c>
      <c r="P321" s="63">
        <f t="shared" si="5"/>
        <v>1.3317705481454695E-3</v>
      </c>
    </row>
    <row r="322" spans="2:16" ht="48" hidden="1">
      <c r="B322" s="43">
        <v>17</v>
      </c>
      <c r="C322" s="43">
        <v>854143</v>
      </c>
      <c r="D322" s="44" t="s">
        <v>62</v>
      </c>
      <c r="E322" s="43" t="s">
        <v>63</v>
      </c>
      <c r="F322" s="43" t="s">
        <v>18</v>
      </c>
      <c r="G322" s="43" t="s">
        <v>19</v>
      </c>
      <c r="H322" s="43" t="s">
        <v>20</v>
      </c>
      <c r="I322" s="43" t="s">
        <v>12</v>
      </c>
      <c r="J322" s="43" t="s">
        <v>21</v>
      </c>
      <c r="K322" s="43" t="s">
        <v>29</v>
      </c>
      <c r="L322" s="43" t="s">
        <v>29</v>
      </c>
      <c r="M322" s="43" t="s">
        <v>21</v>
      </c>
      <c r="N322" s="43" t="s">
        <v>29</v>
      </c>
      <c r="O322" s="25">
        <v>54.988609705479988</v>
      </c>
      <c r="P322" s="46">
        <f t="shared" si="5"/>
        <v>1.1588333266575393E-2</v>
      </c>
    </row>
    <row r="323" spans="2:16" ht="63.95" hidden="1">
      <c r="B323" s="43">
        <v>83</v>
      </c>
      <c r="C323" s="43">
        <v>854149</v>
      </c>
      <c r="D323" s="44" t="s">
        <v>273</v>
      </c>
      <c r="E323" s="43" t="s">
        <v>63</v>
      </c>
      <c r="F323" s="43" t="s">
        <v>189</v>
      </c>
      <c r="G323" s="43" t="s">
        <v>19</v>
      </c>
      <c r="H323" s="43" t="s">
        <v>20</v>
      </c>
      <c r="I323" s="43" t="s">
        <v>12</v>
      </c>
      <c r="J323" s="43" t="s">
        <v>21</v>
      </c>
      <c r="K323" s="43" t="s">
        <v>29</v>
      </c>
      <c r="L323" s="43" t="s">
        <v>29</v>
      </c>
      <c r="M323" s="43" t="s">
        <v>21</v>
      </c>
      <c r="N323" s="43" t="s">
        <v>29</v>
      </c>
      <c r="O323" s="25">
        <v>10.060820430140996</v>
      </c>
      <c r="P323" s="46">
        <f t="shared" si="5"/>
        <v>2.1202234554409086E-3</v>
      </c>
    </row>
    <row r="324" spans="2:16" ht="63.95" hidden="1">
      <c r="B324" s="35">
        <v>366</v>
      </c>
      <c r="C324" s="35">
        <v>854150</v>
      </c>
      <c r="D324" s="36" t="s">
        <v>666</v>
      </c>
      <c r="E324" s="35" t="s">
        <v>63</v>
      </c>
      <c r="F324" s="35" t="s">
        <v>18</v>
      </c>
      <c r="G324" s="35" t="s">
        <v>51</v>
      </c>
      <c r="H324" s="35" t="s">
        <v>20</v>
      </c>
      <c r="I324" s="35" t="s">
        <v>96</v>
      </c>
      <c r="J324" s="35" t="s">
        <v>21</v>
      </c>
      <c r="K324" s="35" t="s">
        <v>21</v>
      </c>
      <c r="L324" s="35" t="s">
        <v>29</v>
      </c>
      <c r="M324" s="38" t="s">
        <v>29</v>
      </c>
      <c r="N324" s="35" t="s">
        <v>21</v>
      </c>
      <c r="O324" s="24">
        <v>0.25816564507600004</v>
      </c>
      <c r="P324" s="70">
        <f t="shared" si="5"/>
        <v>5.4405986060472503E-5</v>
      </c>
    </row>
    <row r="325" spans="2:16" ht="48" hidden="1">
      <c r="B325" s="5">
        <v>298</v>
      </c>
      <c r="C325" s="5">
        <v>854151</v>
      </c>
      <c r="D325" s="6" t="s">
        <v>587</v>
      </c>
      <c r="E325" s="5" t="s">
        <v>63</v>
      </c>
      <c r="F325" s="5" t="s">
        <v>18</v>
      </c>
      <c r="G325" s="5" t="s">
        <v>19</v>
      </c>
      <c r="H325" s="5" t="s">
        <v>20</v>
      </c>
      <c r="I325" s="5" t="s">
        <v>12</v>
      </c>
      <c r="J325" s="5" t="s">
        <v>21</v>
      </c>
      <c r="K325" s="5" t="s">
        <v>29</v>
      </c>
      <c r="L325" s="5" t="s">
        <v>29</v>
      </c>
      <c r="M325" s="7" t="s">
        <v>21</v>
      </c>
      <c r="N325" s="5" t="s">
        <v>29</v>
      </c>
      <c r="O325" s="8">
        <v>0.8397607182150002</v>
      </c>
      <c r="P325" s="9">
        <f t="shared" si="5"/>
        <v>1.7697168775453379E-4</v>
      </c>
    </row>
    <row r="326" spans="2:16" ht="48" hidden="1">
      <c r="B326" s="5">
        <v>201</v>
      </c>
      <c r="C326" s="5">
        <v>854159</v>
      </c>
      <c r="D326" s="6" t="s">
        <v>484</v>
      </c>
      <c r="E326" s="5" t="s">
        <v>63</v>
      </c>
      <c r="F326" s="5" t="s">
        <v>18</v>
      </c>
      <c r="G326" s="5" t="s">
        <v>19</v>
      </c>
      <c r="H326" s="5" t="s">
        <v>20</v>
      </c>
      <c r="I326" s="5" t="s">
        <v>12</v>
      </c>
      <c r="J326" s="5" t="s">
        <v>21</v>
      </c>
      <c r="K326" s="5" t="s">
        <v>29</v>
      </c>
      <c r="L326" s="5" t="s">
        <v>29</v>
      </c>
      <c r="M326" s="7" t="s">
        <v>21</v>
      </c>
      <c r="N326" s="5" t="s">
        <v>29</v>
      </c>
      <c r="O326" s="8">
        <v>2.674590870107</v>
      </c>
      <c r="P326" s="9">
        <f t="shared" si="5"/>
        <v>5.6364491702089734E-4</v>
      </c>
    </row>
    <row r="327" spans="2:16" ht="96" hidden="1">
      <c r="B327" s="26">
        <v>103</v>
      </c>
      <c r="C327" s="26">
        <v>854160</v>
      </c>
      <c r="D327" s="27" t="s">
        <v>347</v>
      </c>
      <c r="E327" s="26" t="s">
        <v>348</v>
      </c>
      <c r="F327" s="26" t="s">
        <v>54</v>
      </c>
      <c r="G327" s="26" t="s">
        <v>19</v>
      </c>
      <c r="H327" s="26" t="s">
        <v>20</v>
      </c>
      <c r="I327" s="26" t="s">
        <v>12</v>
      </c>
      <c r="J327" s="26" t="s">
        <v>21</v>
      </c>
      <c r="K327" s="26" t="s">
        <v>21</v>
      </c>
      <c r="L327" s="26" t="s">
        <v>21</v>
      </c>
      <c r="M327" s="29" t="s">
        <v>21</v>
      </c>
      <c r="N327" s="26" t="s">
        <v>21</v>
      </c>
      <c r="O327" s="22">
        <v>7.7958593304740003</v>
      </c>
      <c r="P327" s="63">
        <f t="shared" ref="P327:P390" si="6">O327/SUM($O$4:$O$426)</f>
        <v>1.6429041669673444E-3</v>
      </c>
    </row>
    <row r="328" spans="2:16" ht="48" hidden="1">
      <c r="B328" s="43">
        <v>87</v>
      </c>
      <c r="C328" s="43">
        <v>854190</v>
      </c>
      <c r="D328" s="44" t="s">
        <v>275</v>
      </c>
      <c r="E328" s="43" t="s">
        <v>276</v>
      </c>
      <c r="F328" s="43" t="s">
        <v>54</v>
      </c>
      <c r="G328" s="43" t="s">
        <v>19</v>
      </c>
      <c r="H328" s="43" t="s">
        <v>20</v>
      </c>
      <c r="I328" s="43" t="s">
        <v>12</v>
      </c>
      <c r="J328" s="43" t="s">
        <v>21</v>
      </c>
      <c r="K328" s="43" t="s">
        <v>21</v>
      </c>
      <c r="L328" s="43" t="s">
        <v>29</v>
      </c>
      <c r="M328" s="43" t="s">
        <v>21</v>
      </c>
      <c r="N328" s="43" t="s">
        <v>21</v>
      </c>
      <c r="O328" s="25">
        <v>9.037225608068999</v>
      </c>
      <c r="P328" s="46">
        <f t="shared" si="6"/>
        <v>1.9045104561189938E-3</v>
      </c>
    </row>
    <row r="329" spans="2:16" ht="63.95" hidden="1">
      <c r="B329" s="43">
        <v>2</v>
      </c>
      <c r="C329" s="43">
        <v>854231</v>
      </c>
      <c r="D329" s="44" t="s">
        <v>22</v>
      </c>
      <c r="E329" s="43" t="s">
        <v>23</v>
      </c>
      <c r="F329" s="43" t="s">
        <v>18</v>
      </c>
      <c r="G329" s="43" t="s">
        <v>19</v>
      </c>
      <c r="H329" s="43" t="s">
        <v>20</v>
      </c>
      <c r="I329" s="43" t="s">
        <v>12</v>
      </c>
      <c r="J329" s="43" t="s">
        <v>21</v>
      </c>
      <c r="K329" s="43" t="s">
        <v>21</v>
      </c>
      <c r="L329" s="43" t="s">
        <v>21</v>
      </c>
      <c r="M329" s="43" t="s">
        <v>21</v>
      </c>
      <c r="N329" s="43" t="s">
        <v>21</v>
      </c>
      <c r="O329" s="25">
        <v>366.77031172809404</v>
      </c>
      <c r="P329" s="46">
        <f t="shared" si="6"/>
        <v>7.7293399985112421E-2</v>
      </c>
    </row>
    <row r="330" spans="2:16" ht="32.1" hidden="1">
      <c r="B330" s="31">
        <v>4</v>
      </c>
      <c r="C330" s="31">
        <v>854232</v>
      </c>
      <c r="D330" s="32" t="s">
        <v>30</v>
      </c>
      <c r="E330" s="31" t="s">
        <v>31</v>
      </c>
      <c r="F330" s="31" t="s">
        <v>18</v>
      </c>
      <c r="G330" s="31" t="s">
        <v>19</v>
      </c>
      <c r="H330" s="31" t="s">
        <v>20</v>
      </c>
      <c r="I330" s="31" t="s">
        <v>12</v>
      </c>
      <c r="J330" s="31" t="s">
        <v>21</v>
      </c>
      <c r="K330" s="31" t="s">
        <v>21</v>
      </c>
      <c r="L330" s="31" t="s">
        <v>21</v>
      </c>
      <c r="M330" s="34" t="s">
        <v>21</v>
      </c>
      <c r="N330" s="31" t="s">
        <v>21</v>
      </c>
      <c r="O330" s="23">
        <v>243.91543533752704</v>
      </c>
      <c r="P330" s="71">
        <f t="shared" si="6"/>
        <v>5.1402888137966445E-2</v>
      </c>
    </row>
    <row r="331" spans="2:16" ht="32.1" hidden="1">
      <c r="B331" s="43">
        <v>35</v>
      </c>
      <c r="C331" s="43">
        <v>854233</v>
      </c>
      <c r="D331" s="44" t="s">
        <v>99</v>
      </c>
      <c r="E331" s="43" t="s">
        <v>100</v>
      </c>
      <c r="F331" s="43" t="s">
        <v>18</v>
      </c>
      <c r="G331" s="43" t="s">
        <v>19</v>
      </c>
      <c r="H331" s="43" t="s">
        <v>20</v>
      </c>
      <c r="I331" s="43" t="s">
        <v>12</v>
      </c>
      <c r="J331" s="43" t="s">
        <v>21</v>
      </c>
      <c r="K331" s="43" t="s">
        <v>21</v>
      </c>
      <c r="L331" s="43" t="s">
        <v>29</v>
      </c>
      <c r="M331" s="43" t="s">
        <v>21</v>
      </c>
      <c r="N331" s="43" t="s">
        <v>21</v>
      </c>
      <c r="O331" s="25">
        <v>24.15399644531</v>
      </c>
      <c r="P331" s="46">
        <f t="shared" si="6"/>
        <v>5.0902279949812095E-3</v>
      </c>
    </row>
    <row r="332" spans="2:16" ht="32.1" hidden="1">
      <c r="B332" s="31">
        <v>1</v>
      </c>
      <c r="C332" s="31">
        <v>854239</v>
      </c>
      <c r="D332" s="32" t="s">
        <v>16</v>
      </c>
      <c r="E332" s="31" t="s">
        <v>17</v>
      </c>
      <c r="F332" s="31" t="s">
        <v>18</v>
      </c>
      <c r="G332" s="31" t="s">
        <v>19</v>
      </c>
      <c r="H332" s="31" t="s">
        <v>20</v>
      </c>
      <c r="I332" s="31" t="s">
        <v>12</v>
      </c>
      <c r="J332" s="31" t="s">
        <v>21</v>
      </c>
      <c r="K332" s="31" t="s">
        <v>21</v>
      </c>
      <c r="L332" s="31" t="s">
        <v>21</v>
      </c>
      <c r="M332" s="34" t="s">
        <v>21</v>
      </c>
      <c r="N332" s="31" t="s">
        <v>21</v>
      </c>
      <c r="O332" s="23">
        <v>404.53680532142982</v>
      </c>
      <c r="P332" s="71">
        <f t="shared" si="6"/>
        <v>8.5252333960959867E-2</v>
      </c>
    </row>
    <row r="333" spans="2:16" ht="32.1" hidden="1">
      <c r="B333" s="43">
        <v>36</v>
      </c>
      <c r="C333" s="43">
        <v>854290</v>
      </c>
      <c r="D333" s="44" t="s">
        <v>97</v>
      </c>
      <c r="E333" s="43" t="s">
        <v>98</v>
      </c>
      <c r="F333" s="43" t="s">
        <v>18</v>
      </c>
      <c r="G333" s="43" t="s">
        <v>19</v>
      </c>
      <c r="H333" s="43" t="s">
        <v>20</v>
      </c>
      <c r="I333" s="43" t="s">
        <v>12</v>
      </c>
      <c r="J333" s="43" t="s">
        <v>21</v>
      </c>
      <c r="K333" s="43" t="s">
        <v>21</v>
      </c>
      <c r="L333" s="43" t="s">
        <v>29</v>
      </c>
      <c r="M333" s="43" t="s">
        <v>21</v>
      </c>
      <c r="N333" s="43" t="s">
        <v>21</v>
      </c>
      <c r="O333" s="25">
        <v>23.427014579510999</v>
      </c>
      <c r="P333" s="46">
        <f t="shared" si="6"/>
        <v>4.9370233916141227E-3</v>
      </c>
    </row>
    <row r="334" spans="2:16" ht="32.1" hidden="1">
      <c r="B334" s="31">
        <v>365</v>
      </c>
      <c r="C334" s="31">
        <v>854310</v>
      </c>
      <c r="D334" s="32" t="s">
        <v>660</v>
      </c>
      <c r="E334" s="31" t="s">
        <v>517</v>
      </c>
      <c r="F334" s="31" t="s">
        <v>54</v>
      </c>
      <c r="G334" s="31" t="s">
        <v>19</v>
      </c>
      <c r="H334" s="31" t="s">
        <v>20</v>
      </c>
      <c r="I334" s="31" t="s">
        <v>12</v>
      </c>
      <c r="J334" s="31" t="s">
        <v>21</v>
      </c>
      <c r="K334" s="31" t="s">
        <v>21</v>
      </c>
      <c r="L334" s="31" t="s">
        <v>29</v>
      </c>
      <c r="M334" s="34" t="s">
        <v>21</v>
      </c>
      <c r="N334" s="31" t="s">
        <v>21</v>
      </c>
      <c r="O334" s="23">
        <v>0.25826824969199996</v>
      </c>
      <c r="P334" s="71">
        <f t="shared" si="6"/>
        <v>5.442760902005021E-5</v>
      </c>
    </row>
    <row r="335" spans="2:16" ht="32.1" hidden="1">
      <c r="B335" s="43">
        <v>230</v>
      </c>
      <c r="C335" s="43">
        <v>854320</v>
      </c>
      <c r="D335" s="44" t="s">
        <v>516</v>
      </c>
      <c r="E335" s="43" t="s">
        <v>517</v>
      </c>
      <c r="F335" s="43" t="s">
        <v>54</v>
      </c>
      <c r="G335" s="43" t="s">
        <v>19</v>
      </c>
      <c r="H335" s="43" t="s">
        <v>20</v>
      </c>
      <c r="I335" s="43" t="s">
        <v>12</v>
      </c>
      <c r="J335" s="43" t="s">
        <v>21</v>
      </c>
      <c r="K335" s="43" t="s">
        <v>21</v>
      </c>
      <c r="L335" s="43" t="s">
        <v>29</v>
      </c>
      <c r="M335" s="43" t="s">
        <v>21</v>
      </c>
      <c r="N335" s="43" t="s">
        <v>21</v>
      </c>
      <c r="O335" s="25">
        <v>2.006875666395</v>
      </c>
      <c r="P335" s="46">
        <f t="shared" si="6"/>
        <v>4.2293020629776329E-4</v>
      </c>
    </row>
    <row r="336" spans="2:16" ht="32.1" hidden="1">
      <c r="B336" s="43">
        <v>265</v>
      </c>
      <c r="C336" s="43">
        <v>854330</v>
      </c>
      <c r="D336" s="44" t="s">
        <v>548</v>
      </c>
      <c r="E336" s="43" t="s">
        <v>517</v>
      </c>
      <c r="F336" s="43" t="s">
        <v>54</v>
      </c>
      <c r="G336" s="43" t="s">
        <v>40</v>
      </c>
      <c r="H336" s="43" t="s">
        <v>20</v>
      </c>
      <c r="I336" s="43" t="s">
        <v>12</v>
      </c>
      <c r="J336" s="43" t="s">
        <v>21</v>
      </c>
      <c r="K336" s="43" t="s">
        <v>21</v>
      </c>
      <c r="L336" s="43" t="s">
        <v>29</v>
      </c>
      <c r="M336" s="43" t="s">
        <v>21</v>
      </c>
      <c r="N336" s="43" t="s">
        <v>21</v>
      </c>
      <c r="O336" s="25">
        <v>1.2689201729590001</v>
      </c>
      <c r="P336" s="46">
        <f t="shared" si="6"/>
        <v>2.674130139257542E-4</v>
      </c>
    </row>
    <row r="337" spans="2:16" ht="48" hidden="1">
      <c r="B337" s="43">
        <v>158</v>
      </c>
      <c r="C337" s="43">
        <v>854340</v>
      </c>
      <c r="D337" s="44" t="s">
        <v>422</v>
      </c>
      <c r="E337" s="43" t="s">
        <v>423</v>
      </c>
      <c r="F337" s="43" t="s">
        <v>54</v>
      </c>
      <c r="G337" s="43" t="s">
        <v>40</v>
      </c>
      <c r="H337" s="43" t="s">
        <v>28</v>
      </c>
      <c r="I337" s="43" t="s">
        <v>12</v>
      </c>
      <c r="J337" s="43" t="s">
        <v>21</v>
      </c>
      <c r="K337" s="43" t="s">
        <v>29</v>
      </c>
      <c r="L337" s="43" t="s">
        <v>29</v>
      </c>
      <c r="M337" s="43" t="s">
        <v>21</v>
      </c>
      <c r="N337" s="43" t="s">
        <v>29</v>
      </c>
      <c r="O337" s="25">
        <v>4.6109009879330012</v>
      </c>
      <c r="P337" s="46">
        <f t="shared" si="6"/>
        <v>9.7170409642170709E-4</v>
      </c>
    </row>
    <row r="338" spans="2:16" ht="48" hidden="1">
      <c r="B338" s="35">
        <v>22</v>
      </c>
      <c r="C338" s="35">
        <v>854370</v>
      </c>
      <c r="D338" s="36" t="s">
        <v>74</v>
      </c>
      <c r="E338" s="35" t="s">
        <v>75</v>
      </c>
      <c r="F338" s="35" t="s">
        <v>54</v>
      </c>
      <c r="G338" s="35" t="s">
        <v>40</v>
      </c>
      <c r="H338" s="35" t="s">
        <v>20</v>
      </c>
      <c r="I338" s="35" t="s">
        <v>12</v>
      </c>
      <c r="J338" s="35" t="s">
        <v>21</v>
      </c>
      <c r="K338" s="35" t="s">
        <v>21</v>
      </c>
      <c r="L338" s="35" t="s">
        <v>29</v>
      </c>
      <c r="M338" s="38" t="s">
        <v>21</v>
      </c>
      <c r="N338" s="35" t="s">
        <v>21</v>
      </c>
      <c r="O338" s="24">
        <v>43.254493399251977</v>
      </c>
      <c r="P338" s="70">
        <f t="shared" si="6"/>
        <v>9.115478414022618E-3</v>
      </c>
    </row>
    <row r="339" spans="2:16" ht="48" hidden="1">
      <c r="B339" s="26">
        <v>64</v>
      </c>
      <c r="C339" s="26">
        <v>854390</v>
      </c>
      <c r="D339" s="27" t="s">
        <v>222</v>
      </c>
      <c r="E339" s="26" t="s">
        <v>223</v>
      </c>
      <c r="F339" s="26" t="s">
        <v>54</v>
      </c>
      <c r="G339" s="26" t="s">
        <v>40</v>
      </c>
      <c r="H339" s="26" t="s">
        <v>20</v>
      </c>
      <c r="I339" s="26" t="s">
        <v>12</v>
      </c>
      <c r="J339" s="26" t="s">
        <v>21</v>
      </c>
      <c r="K339" s="26" t="s">
        <v>21</v>
      </c>
      <c r="L339" s="26" t="s">
        <v>21</v>
      </c>
      <c r="M339" s="29" t="s">
        <v>21</v>
      </c>
      <c r="N339" s="26" t="s">
        <v>21</v>
      </c>
      <c r="O339" s="22">
        <v>13.063324289858995</v>
      </c>
      <c r="P339" s="63">
        <f t="shared" si="6"/>
        <v>2.7529729566003031E-3</v>
      </c>
    </row>
    <row r="340" spans="2:16" ht="32.1" hidden="1">
      <c r="B340" s="43">
        <v>112</v>
      </c>
      <c r="C340" s="43">
        <v>854411</v>
      </c>
      <c r="D340" s="44" t="s">
        <v>591</v>
      </c>
      <c r="E340" s="44" t="s">
        <v>79</v>
      </c>
      <c r="F340" s="44" t="s">
        <v>54</v>
      </c>
      <c r="G340" s="44" t="s">
        <v>51</v>
      </c>
      <c r="H340" s="44" t="s">
        <v>20</v>
      </c>
      <c r="I340" s="47" t="s">
        <v>103</v>
      </c>
      <c r="J340" s="43" t="s">
        <v>29</v>
      </c>
      <c r="K340" s="43" t="s">
        <v>21</v>
      </c>
      <c r="L340" s="43" t="s">
        <v>29</v>
      </c>
      <c r="M340" s="43" t="s">
        <v>29</v>
      </c>
      <c r="N340" s="43" t="s">
        <v>29</v>
      </c>
      <c r="O340" s="25">
        <v>6.9425561938819991</v>
      </c>
      <c r="P340" s="62">
        <f t="shared" si="6"/>
        <v>1.4630785416750436E-3</v>
      </c>
    </row>
    <row r="341" spans="2:16" ht="32.1" hidden="1">
      <c r="B341" s="43">
        <v>278</v>
      </c>
      <c r="C341" s="43">
        <v>854419</v>
      </c>
      <c r="D341" s="44" t="s">
        <v>592</v>
      </c>
      <c r="E341" s="44" t="s">
        <v>79</v>
      </c>
      <c r="F341" s="44" t="s">
        <v>54</v>
      </c>
      <c r="G341" s="44" t="s">
        <v>51</v>
      </c>
      <c r="H341" s="44" t="s">
        <v>20</v>
      </c>
      <c r="I341" s="47" t="s">
        <v>103</v>
      </c>
      <c r="J341" s="43" t="s">
        <v>29</v>
      </c>
      <c r="K341" s="43" t="s">
        <v>21</v>
      </c>
      <c r="L341" s="43" t="s">
        <v>29</v>
      </c>
      <c r="M341" s="43" t="s">
        <v>29</v>
      </c>
      <c r="N341" s="43" t="s">
        <v>29</v>
      </c>
      <c r="O341" s="25">
        <v>1.0978666162999999</v>
      </c>
      <c r="P341" s="62">
        <f t="shared" si="6"/>
        <v>2.3136508269755316E-4</v>
      </c>
    </row>
    <row r="342" spans="2:16" ht="32.1" hidden="1">
      <c r="B342" s="43">
        <v>120</v>
      </c>
      <c r="C342" s="43">
        <v>854420</v>
      </c>
      <c r="D342" s="44" t="s">
        <v>365</v>
      </c>
      <c r="E342" s="43" t="s">
        <v>79</v>
      </c>
      <c r="F342" s="43" t="s">
        <v>54</v>
      </c>
      <c r="G342" s="43" t="s">
        <v>40</v>
      </c>
      <c r="H342" s="43" t="s">
        <v>20</v>
      </c>
      <c r="I342" s="43" t="s">
        <v>12</v>
      </c>
      <c r="J342" s="43" t="s">
        <v>21</v>
      </c>
      <c r="K342" s="43" t="s">
        <v>21</v>
      </c>
      <c r="L342" s="43" t="s">
        <v>29</v>
      </c>
      <c r="M342" s="43" t="s">
        <v>21</v>
      </c>
      <c r="N342" s="43" t="s">
        <v>21</v>
      </c>
      <c r="O342" s="25">
        <v>6.2064812271570036</v>
      </c>
      <c r="P342" s="46">
        <f t="shared" si="6"/>
        <v>1.3079576526531381E-3</v>
      </c>
    </row>
    <row r="343" spans="2:16" ht="48" hidden="1">
      <c r="B343" s="43">
        <v>27</v>
      </c>
      <c r="C343" s="43">
        <v>854430</v>
      </c>
      <c r="D343" s="44" t="s">
        <v>595</v>
      </c>
      <c r="E343" s="44" t="s">
        <v>79</v>
      </c>
      <c r="F343" s="44" t="s">
        <v>54</v>
      </c>
      <c r="G343" s="44" t="s">
        <v>51</v>
      </c>
      <c r="H343" s="44" t="s">
        <v>20</v>
      </c>
      <c r="I343" s="47" t="s">
        <v>306</v>
      </c>
      <c r="J343" s="43" t="s">
        <v>29</v>
      </c>
      <c r="K343" s="43" t="s">
        <v>21</v>
      </c>
      <c r="L343" s="43" t="s">
        <v>29</v>
      </c>
      <c r="M343" s="43" t="s">
        <v>29</v>
      </c>
      <c r="N343" s="43" t="s">
        <v>29</v>
      </c>
      <c r="O343" s="25">
        <v>39.164978746617976</v>
      </c>
      <c r="P343" s="62">
        <f t="shared" si="6"/>
        <v>8.253651593030209E-3</v>
      </c>
    </row>
    <row r="344" spans="2:16" ht="32.1" hidden="1">
      <c r="B344" s="43">
        <v>24</v>
      </c>
      <c r="C344" s="43">
        <v>854442</v>
      </c>
      <c r="D344" s="44" t="s">
        <v>78</v>
      </c>
      <c r="E344" s="43" t="s">
        <v>79</v>
      </c>
      <c r="F344" s="43" t="s">
        <v>54</v>
      </c>
      <c r="G344" s="43" t="s">
        <v>51</v>
      </c>
      <c r="H344" s="43" t="s">
        <v>20</v>
      </c>
      <c r="I344" s="43" t="s">
        <v>11</v>
      </c>
      <c r="J344" s="43" t="s">
        <v>21</v>
      </c>
      <c r="K344" s="43" t="s">
        <v>21</v>
      </c>
      <c r="L344" s="43" t="s">
        <v>21</v>
      </c>
      <c r="M344" s="43" t="s">
        <v>29</v>
      </c>
      <c r="N344" s="43" t="s">
        <v>29</v>
      </c>
      <c r="O344" s="25">
        <v>39.618274161733027</v>
      </c>
      <c r="P344" s="46">
        <f t="shared" si="6"/>
        <v>8.3491793462630824E-3</v>
      </c>
    </row>
    <row r="345" spans="2:16" ht="32.1" hidden="1">
      <c r="B345" s="43">
        <v>26</v>
      </c>
      <c r="C345" s="43">
        <v>854449</v>
      </c>
      <c r="D345" s="44" t="s">
        <v>82</v>
      </c>
      <c r="E345" s="43" t="s">
        <v>79</v>
      </c>
      <c r="F345" s="43" t="s">
        <v>54</v>
      </c>
      <c r="G345" s="43" t="s">
        <v>51</v>
      </c>
      <c r="H345" s="43" t="s">
        <v>20</v>
      </c>
      <c r="I345" s="43" t="s">
        <v>11</v>
      </c>
      <c r="J345" s="43" t="s">
        <v>21</v>
      </c>
      <c r="K345" s="43" t="s">
        <v>21</v>
      </c>
      <c r="L345" s="43" t="s">
        <v>21</v>
      </c>
      <c r="M345" s="43" t="s">
        <v>29</v>
      </c>
      <c r="N345" s="43" t="s">
        <v>29</v>
      </c>
      <c r="O345" s="25">
        <v>39.171760331623993</v>
      </c>
      <c r="P345" s="46">
        <f t="shared" si="6"/>
        <v>8.2550807484052264E-3</v>
      </c>
    </row>
    <row r="346" spans="2:16" ht="48" hidden="1">
      <c r="B346" s="43">
        <v>84</v>
      </c>
      <c r="C346" s="43">
        <v>854460</v>
      </c>
      <c r="D346" s="44" t="s">
        <v>263</v>
      </c>
      <c r="E346" s="43" t="s">
        <v>79</v>
      </c>
      <c r="F346" s="43" t="s">
        <v>54</v>
      </c>
      <c r="G346" s="43" t="s">
        <v>51</v>
      </c>
      <c r="H346" s="43" t="s">
        <v>20</v>
      </c>
      <c r="I346" s="43" t="s">
        <v>96</v>
      </c>
      <c r="J346" s="43" t="s">
        <v>21</v>
      </c>
      <c r="K346" s="43" t="s">
        <v>21</v>
      </c>
      <c r="L346" s="43" t="s">
        <v>29</v>
      </c>
      <c r="M346" s="43" t="s">
        <v>29</v>
      </c>
      <c r="N346" s="43" t="s">
        <v>29</v>
      </c>
      <c r="O346" s="25">
        <v>9.4723717208229932</v>
      </c>
      <c r="P346" s="46">
        <f t="shared" si="6"/>
        <v>1.9962134142635338E-3</v>
      </c>
    </row>
    <row r="347" spans="2:16" ht="48" hidden="1">
      <c r="B347" s="43">
        <v>79</v>
      </c>
      <c r="C347" s="43">
        <v>854470</v>
      </c>
      <c r="D347" s="44" t="s">
        <v>270</v>
      </c>
      <c r="E347" s="43" t="s">
        <v>79</v>
      </c>
      <c r="F347" s="43" t="s">
        <v>54</v>
      </c>
      <c r="G347" s="43" t="s">
        <v>51</v>
      </c>
      <c r="H347" s="43" t="s">
        <v>20</v>
      </c>
      <c r="I347" s="43" t="s">
        <v>96</v>
      </c>
      <c r="J347" s="43" t="s">
        <v>21</v>
      </c>
      <c r="K347" s="43" t="s">
        <v>21</v>
      </c>
      <c r="L347" s="43" t="s">
        <v>29</v>
      </c>
      <c r="M347" s="43" t="s">
        <v>29</v>
      </c>
      <c r="N347" s="43" t="s">
        <v>29</v>
      </c>
      <c r="O347" s="25">
        <v>10.640499746759005</v>
      </c>
      <c r="P347" s="46">
        <f t="shared" si="6"/>
        <v>2.2423854294331465E-3</v>
      </c>
    </row>
    <row r="348" spans="2:16" ht="32.1" hidden="1">
      <c r="B348" s="35">
        <v>188</v>
      </c>
      <c r="C348" s="35">
        <v>854511</v>
      </c>
      <c r="D348" s="36" t="s">
        <v>603</v>
      </c>
      <c r="E348" s="36" t="s">
        <v>604</v>
      </c>
      <c r="F348" s="36" t="s">
        <v>54</v>
      </c>
      <c r="G348" s="36" t="s">
        <v>51</v>
      </c>
      <c r="H348" s="36" t="s">
        <v>20</v>
      </c>
      <c r="I348" s="37" t="s">
        <v>103</v>
      </c>
      <c r="J348" s="35" t="s">
        <v>29</v>
      </c>
      <c r="K348" s="35" t="s">
        <v>21</v>
      </c>
      <c r="L348" s="35" t="s">
        <v>29</v>
      </c>
      <c r="M348" s="38" t="s">
        <v>29</v>
      </c>
      <c r="N348" s="35" t="s">
        <v>29</v>
      </c>
      <c r="O348" s="24">
        <v>3.2120697630779991</v>
      </c>
      <c r="P348" s="40">
        <f t="shared" si="6"/>
        <v>6.7691354790387149E-4</v>
      </c>
    </row>
    <row r="349" spans="2:16" ht="32.1" hidden="1">
      <c r="B349" s="26">
        <v>186</v>
      </c>
      <c r="C349" s="26">
        <v>854519</v>
      </c>
      <c r="D349" s="27" t="s">
        <v>605</v>
      </c>
      <c r="E349" s="27" t="s">
        <v>604</v>
      </c>
      <c r="F349" s="27" t="s">
        <v>54</v>
      </c>
      <c r="G349" s="27" t="s">
        <v>51</v>
      </c>
      <c r="H349" s="27" t="s">
        <v>20</v>
      </c>
      <c r="I349" s="28" t="s">
        <v>103</v>
      </c>
      <c r="J349" s="26" t="s">
        <v>29</v>
      </c>
      <c r="K349" s="26" t="s">
        <v>21</v>
      </c>
      <c r="L349" s="26" t="s">
        <v>29</v>
      </c>
      <c r="M349" s="29" t="s">
        <v>29</v>
      </c>
      <c r="N349" s="26" t="s">
        <v>29</v>
      </c>
      <c r="O349" s="22">
        <v>3.2647269729850006</v>
      </c>
      <c r="P349" s="30">
        <f t="shared" si="6"/>
        <v>6.8801056054992014E-4</v>
      </c>
    </row>
    <row r="350" spans="2:16" ht="32.1" hidden="1">
      <c r="B350" s="43">
        <v>320</v>
      </c>
      <c r="C350" s="43">
        <v>854520</v>
      </c>
      <c r="D350" s="44" t="s">
        <v>601</v>
      </c>
      <c r="E350" s="43" t="s">
        <v>602</v>
      </c>
      <c r="F350" s="43" t="s">
        <v>54</v>
      </c>
      <c r="G350" s="43" t="s">
        <v>559</v>
      </c>
      <c r="H350" s="43" t="s">
        <v>20</v>
      </c>
      <c r="I350" s="43" t="s">
        <v>12</v>
      </c>
      <c r="J350" s="43" t="s">
        <v>21</v>
      </c>
      <c r="K350" s="43" t="s">
        <v>21</v>
      </c>
      <c r="L350" s="43" t="s">
        <v>29</v>
      </c>
      <c r="M350" s="43" t="s">
        <v>21</v>
      </c>
      <c r="N350" s="43" t="s">
        <v>29</v>
      </c>
      <c r="O350" s="25">
        <v>0.64173402536000013</v>
      </c>
      <c r="P350" s="46">
        <f t="shared" si="6"/>
        <v>1.3523942129476163E-4</v>
      </c>
    </row>
    <row r="351" spans="2:16" ht="48" hidden="1">
      <c r="B351" s="31">
        <v>330</v>
      </c>
      <c r="C351" s="31">
        <v>854590</v>
      </c>
      <c r="D351" s="32" t="s">
        <v>626</v>
      </c>
      <c r="E351" s="31" t="s">
        <v>627</v>
      </c>
      <c r="F351" s="31" t="s">
        <v>54</v>
      </c>
      <c r="G351" s="31" t="s">
        <v>559</v>
      </c>
      <c r="H351" s="31" t="s">
        <v>20</v>
      </c>
      <c r="I351" s="31" t="s">
        <v>12</v>
      </c>
      <c r="J351" s="31" t="s">
        <v>21</v>
      </c>
      <c r="K351" s="31" t="s">
        <v>21</v>
      </c>
      <c r="L351" s="31" t="s">
        <v>29</v>
      </c>
      <c r="M351" s="34" t="s">
        <v>21</v>
      </c>
      <c r="N351" s="31" t="s">
        <v>29</v>
      </c>
      <c r="O351" s="23">
        <v>0.56808730093299975</v>
      </c>
      <c r="P351" s="71">
        <f t="shared" si="6"/>
        <v>1.1971906551157718E-4</v>
      </c>
    </row>
    <row r="352" spans="2:16" ht="32.1" hidden="1">
      <c r="B352" s="43">
        <v>379</v>
      </c>
      <c r="C352" s="43">
        <v>854610</v>
      </c>
      <c r="D352" s="44" t="s">
        <v>609</v>
      </c>
      <c r="E352" s="44" t="s">
        <v>555</v>
      </c>
      <c r="F352" s="44" t="s">
        <v>54</v>
      </c>
      <c r="G352" s="44" t="s">
        <v>51</v>
      </c>
      <c r="H352" s="44" t="s">
        <v>20</v>
      </c>
      <c r="I352" s="47" t="s">
        <v>103</v>
      </c>
      <c r="J352" s="43" t="s">
        <v>29</v>
      </c>
      <c r="K352" s="43" t="s">
        <v>21</v>
      </c>
      <c r="L352" s="43" t="s">
        <v>29</v>
      </c>
      <c r="M352" s="43" t="s">
        <v>29</v>
      </c>
      <c r="N352" s="43" t="s">
        <v>29</v>
      </c>
      <c r="O352" s="25">
        <v>0.20340548868700004</v>
      </c>
      <c r="P352" s="62">
        <f t="shared" si="6"/>
        <v>4.2865797185643036E-5</v>
      </c>
    </row>
    <row r="353" spans="2:16" ht="32.1" hidden="1">
      <c r="B353" s="31">
        <v>313</v>
      </c>
      <c r="C353" s="31">
        <v>854620</v>
      </c>
      <c r="D353" s="32" t="s">
        <v>610</v>
      </c>
      <c r="E353" s="32" t="s">
        <v>555</v>
      </c>
      <c r="F353" s="32" t="s">
        <v>54</v>
      </c>
      <c r="G353" s="32" t="s">
        <v>51</v>
      </c>
      <c r="H353" s="32" t="s">
        <v>20</v>
      </c>
      <c r="I353" s="33" t="s">
        <v>103</v>
      </c>
      <c r="J353" s="31" t="s">
        <v>29</v>
      </c>
      <c r="K353" s="31" t="s">
        <v>21</v>
      </c>
      <c r="L353" s="31" t="s">
        <v>29</v>
      </c>
      <c r="M353" s="34" t="s">
        <v>29</v>
      </c>
      <c r="N353" s="31" t="s">
        <v>29</v>
      </c>
      <c r="O353" s="23">
        <v>0.69773331534799998</v>
      </c>
      <c r="P353" s="39">
        <f t="shared" si="6"/>
        <v>1.4704074594268905E-4</v>
      </c>
    </row>
    <row r="354" spans="2:16" ht="32.1" hidden="1">
      <c r="B354" s="43">
        <v>258</v>
      </c>
      <c r="C354" s="43">
        <v>854690</v>
      </c>
      <c r="D354" s="44" t="s">
        <v>554</v>
      </c>
      <c r="E354" s="43" t="s">
        <v>555</v>
      </c>
      <c r="F354" s="43" t="s">
        <v>54</v>
      </c>
      <c r="G354" s="43" t="s">
        <v>51</v>
      </c>
      <c r="H354" s="43" t="s">
        <v>20</v>
      </c>
      <c r="I354" s="43" t="s">
        <v>11</v>
      </c>
      <c r="J354" s="43" t="s">
        <v>21</v>
      </c>
      <c r="K354" s="43" t="s">
        <v>21</v>
      </c>
      <c r="L354" s="43" t="s">
        <v>21</v>
      </c>
      <c r="M354" s="43" t="s">
        <v>29</v>
      </c>
      <c r="N354" s="43" t="s">
        <v>29</v>
      </c>
      <c r="O354" s="25">
        <v>1.4503529156770001</v>
      </c>
      <c r="P354" s="46">
        <f t="shared" si="6"/>
        <v>3.05648261176886E-4</v>
      </c>
    </row>
    <row r="355" spans="2:16" ht="63.95" hidden="1">
      <c r="B355" s="43">
        <v>306</v>
      </c>
      <c r="C355" s="43">
        <v>854710</v>
      </c>
      <c r="D355" s="44" t="s">
        <v>612</v>
      </c>
      <c r="E355" s="44" t="s">
        <v>613</v>
      </c>
      <c r="F355" s="44" t="s">
        <v>54</v>
      </c>
      <c r="G355" s="44" t="s">
        <v>51</v>
      </c>
      <c r="H355" s="44" t="s">
        <v>20</v>
      </c>
      <c r="I355" s="47" t="s">
        <v>103</v>
      </c>
      <c r="J355" s="43" t="s">
        <v>29</v>
      </c>
      <c r="K355" s="43" t="s">
        <v>21</v>
      </c>
      <c r="L355" s="43" t="s">
        <v>29</v>
      </c>
      <c r="M355" s="43" t="s">
        <v>29</v>
      </c>
      <c r="N355" s="43" t="s">
        <v>29</v>
      </c>
      <c r="O355" s="25">
        <v>0.71994717810600006</v>
      </c>
      <c r="P355" s="62">
        <f t="shared" si="6"/>
        <v>1.5172210897689608E-4</v>
      </c>
    </row>
    <row r="356" spans="2:16" ht="48" hidden="1">
      <c r="B356" s="31">
        <v>162</v>
      </c>
      <c r="C356" s="31">
        <v>854720</v>
      </c>
      <c r="D356" s="32" t="s">
        <v>614</v>
      </c>
      <c r="E356" s="32" t="s">
        <v>613</v>
      </c>
      <c r="F356" s="32" t="s">
        <v>54</v>
      </c>
      <c r="G356" s="32" t="s">
        <v>51</v>
      </c>
      <c r="H356" s="32" t="s">
        <v>20</v>
      </c>
      <c r="I356" s="33" t="s">
        <v>103</v>
      </c>
      <c r="J356" s="31" t="s">
        <v>29</v>
      </c>
      <c r="K356" s="31" t="s">
        <v>21</v>
      </c>
      <c r="L356" s="31" t="s">
        <v>29</v>
      </c>
      <c r="M356" s="34" t="s">
        <v>29</v>
      </c>
      <c r="N356" s="31" t="s">
        <v>29</v>
      </c>
      <c r="O356" s="23">
        <v>4.5424387064129981</v>
      </c>
      <c r="P356" s="39">
        <f t="shared" si="6"/>
        <v>9.5727631331001949E-4</v>
      </c>
    </row>
    <row r="357" spans="2:16" ht="63.95" hidden="1">
      <c r="B357" s="43">
        <v>260</v>
      </c>
      <c r="C357" s="43">
        <v>854790</v>
      </c>
      <c r="D357" s="44" t="s">
        <v>615</v>
      </c>
      <c r="E357" s="44" t="s">
        <v>613</v>
      </c>
      <c r="F357" s="44" t="s">
        <v>54</v>
      </c>
      <c r="G357" s="44" t="s">
        <v>51</v>
      </c>
      <c r="H357" s="44" t="s">
        <v>20</v>
      </c>
      <c r="I357" s="47" t="s">
        <v>103</v>
      </c>
      <c r="J357" s="43" t="s">
        <v>29</v>
      </c>
      <c r="K357" s="43" t="s">
        <v>21</v>
      </c>
      <c r="L357" s="43" t="s">
        <v>29</v>
      </c>
      <c r="M357" s="43" t="s">
        <v>29</v>
      </c>
      <c r="N357" s="43" t="s">
        <v>29</v>
      </c>
      <c r="O357" s="25">
        <v>1.4331176753220005</v>
      </c>
      <c r="P357" s="62">
        <f t="shared" si="6"/>
        <v>3.0201609607518568E-4</v>
      </c>
    </row>
    <row r="358" spans="2:16" ht="48" hidden="1">
      <c r="B358" s="35">
        <v>417</v>
      </c>
      <c r="C358" s="35">
        <v>854810</v>
      </c>
      <c r="D358" s="36" t="s">
        <v>616</v>
      </c>
      <c r="E358" s="36" t="s">
        <v>617</v>
      </c>
      <c r="F358" s="36" t="s">
        <v>66</v>
      </c>
      <c r="G358" s="36" t="s">
        <v>51</v>
      </c>
      <c r="H358" s="36" t="s">
        <v>20</v>
      </c>
      <c r="I358" s="37" t="s">
        <v>103</v>
      </c>
      <c r="J358" s="35" t="s">
        <v>29</v>
      </c>
      <c r="K358" s="35" t="s">
        <v>21</v>
      </c>
      <c r="L358" s="35" t="s">
        <v>29</v>
      </c>
      <c r="M358" s="38" t="s">
        <v>29</v>
      </c>
      <c r="N358" s="35" t="s">
        <v>29</v>
      </c>
      <c r="O358" s="24">
        <v>8.6094195380000006E-3</v>
      </c>
      <c r="P358" s="40">
        <f t="shared" si="6"/>
        <v>1.8143543430625583E-6</v>
      </c>
    </row>
    <row r="359" spans="2:16" ht="32.1" hidden="1">
      <c r="B359" s="26">
        <v>355</v>
      </c>
      <c r="C359" s="26">
        <v>854890</v>
      </c>
      <c r="D359" s="27" t="s">
        <v>618</v>
      </c>
      <c r="E359" s="27" t="s">
        <v>619</v>
      </c>
      <c r="F359" s="27" t="s">
        <v>54</v>
      </c>
      <c r="G359" s="27" t="s">
        <v>51</v>
      </c>
      <c r="H359" s="27" t="s">
        <v>20</v>
      </c>
      <c r="I359" s="28" t="s">
        <v>103</v>
      </c>
      <c r="J359" s="26" t="s">
        <v>29</v>
      </c>
      <c r="K359" s="26" t="s">
        <v>21</v>
      </c>
      <c r="L359" s="26" t="s">
        <v>29</v>
      </c>
      <c r="M359" s="29" t="s">
        <v>29</v>
      </c>
      <c r="N359" s="26" t="s">
        <v>29</v>
      </c>
      <c r="O359" s="22">
        <v>0.36822669899399996</v>
      </c>
      <c r="P359" s="30">
        <f t="shared" si="6"/>
        <v>7.7600319928950034E-5</v>
      </c>
    </row>
    <row r="360" spans="2:16" ht="32.1" hidden="1">
      <c r="B360" s="43">
        <v>209</v>
      </c>
      <c r="C360" s="43">
        <v>901210</v>
      </c>
      <c r="D360" s="44" t="s">
        <v>460</v>
      </c>
      <c r="E360" s="43" t="s">
        <v>461</v>
      </c>
      <c r="F360" s="43" t="s">
        <v>189</v>
      </c>
      <c r="G360" s="43" t="s">
        <v>40</v>
      </c>
      <c r="H360" s="43" t="s">
        <v>28</v>
      </c>
      <c r="I360" s="43" t="s">
        <v>12</v>
      </c>
      <c r="J360" s="43" t="s">
        <v>21</v>
      </c>
      <c r="K360" s="43" t="s">
        <v>21</v>
      </c>
      <c r="L360" s="43" t="s">
        <v>29</v>
      </c>
      <c r="M360" s="43" t="s">
        <v>21</v>
      </c>
      <c r="N360" s="43" t="s">
        <v>21</v>
      </c>
      <c r="O360" s="25">
        <v>2.4234611618989996</v>
      </c>
      <c r="P360" s="46">
        <f t="shared" si="6"/>
        <v>5.1072168860251952E-4</v>
      </c>
    </row>
    <row r="361" spans="2:16" ht="32.1" hidden="1">
      <c r="B361" s="31">
        <v>287</v>
      </c>
      <c r="C361" s="31">
        <v>901290</v>
      </c>
      <c r="D361" s="32" t="s">
        <v>570</v>
      </c>
      <c r="E361" s="31" t="s">
        <v>571</v>
      </c>
      <c r="F361" s="31" t="s">
        <v>189</v>
      </c>
      <c r="G361" s="31" t="s">
        <v>40</v>
      </c>
      <c r="H361" s="31" t="s">
        <v>20</v>
      </c>
      <c r="I361" s="31" t="s">
        <v>12</v>
      </c>
      <c r="J361" s="31" t="s">
        <v>21</v>
      </c>
      <c r="K361" s="31" t="s">
        <v>21</v>
      </c>
      <c r="L361" s="31" t="s">
        <v>29</v>
      </c>
      <c r="M361" s="34" t="s">
        <v>21</v>
      </c>
      <c r="N361" s="31" t="s">
        <v>21</v>
      </c>
      <c r="O361" s="23">
        <v>1.0020703540390001</v>
      </c>
      <c r="P361" s="71">
        <f t="shared" si="6"/>
        <v>2.1117691975401734E-4</v>
      </c>
    </row>
    <row r="362" spans="2:16" ht="32.1" hidden="1">
      <c r="B362" s="43">
        <v>90</v>
      </c>
      <c r="C362" s="43">
        <v>901320</v>
      </c>
      <c r="D362" s="44" t="s">
        <v>350</v>
      </c>
      <c r="E362" s="43" t="s">
        <v>188</v>
      </c>
      <c r="F362" s="43" t="s">
        <v>189</v>
      </c>
      <c r="G362" s="43" t="s">
        <v>40</v>
      </c>
      <c r="H362" s="43" t="s">
        <v>28</v>
      </c>
      <c r="I362" s="43" t="s">
        <v>12</v>
      </c>
      <c r="J362" s="43" t="s">
        <v>21</v>
      </c>
      <c r="K362" s="43" t="s">
        <v>21</v>
      </c>
      <c r="L362" s="43" t="s">
        <v>29</v>
      </c>
      <c r="M362" s="43" t="s">
        <v>21</v>
      </c>
      <c r="N362" s="43" t="s">
        <v>21</v>
      </c>
      <c r="O362" s="25">
        <v>8.6556761399460065</v>
      </c>
      <c r="P362" s="46">
        <f t="shared" si="6"/>
        <v>1.8241024876692444E-3</v>
      </c>
    </row>
    <row r="363" spans="2:16" ht="32.1" hidden="1">
      <c r="B363" s="43">
        <v>102</v>
      </c>
      <c r="C363" s="72">
        <v>901380</v>
      </c>
      <c r="D363" s="44" t="s">
        <v>399</v>
      </c>
      <c r="E363" s="43" t="s">
        <v>400</v>
      </c>
      <c r="F363" s="43" t="s">
        <v>189</v>
      </c>
      <c r="G363" s="43" t="s">
        <v>40</v>
      </c>
      <c r="H363" s="43" t="s">
        <v>20</v>
      </c>
      <c r="I363" s="43" t="s">
        <v>12</v>
      </c>
      <c r="J363" s="43" t="s">
        <v>21</v>
      </c>
      <c r="K363" s="43" t="s">
        <v>21</v>
      </c>
      <c r="L363" s="43" t="s">
        <v>29</v>
      </c>
      <c r="M363" s="43" t="s">
        <v>21</v>
      </c>
      <c r="N363" s="43" t="s">
        <v>21</v>
      </c>
      <c r="O363" s="25">
        <v>7.841872024928997</v>
      </c>
      <c r="P363" s="46">
        <f t="shared" si="6"/>
        <v>1.652600910360085E-3</v>
      </c>
    </row>
    <row r="364" spans="2:16" ht="32.1" hidden="1">
      <c r="B364" s="43">
        <v>182</v>
      </c>
      <c r="C364" s="43">
        <v>901390</v>
      </c>
      <c r="D364" s="44" t="s">
        <v>458</v>
      </c>
      <c r="E364" s="43" t="s">
        <v>459</v>
      </c>
      <c r="F364" s="43" t="s">
        <v>189</v>
      </c>
      <c r="G364" s="43" t="s">
        <v>40</v>
      </c>
      <c r="H364" s="43" t="s">
        <v>20</v>
      </c>
      <c r="I364" s="43" t="s">
        <v>12</v>
      </c>
      <c r="J364" s="43" t="s">
        <v>21</v>
      </c>
      <c r="K364" s="43" t="s">
        <v>21</v>
      </c>
      <c r="L364" s="43" t="s">
        <v>29</v>
      </c>
      <c r="M364" s="43" t="s">
        <v>21</v>
      </c>
      <c r="N364" s="43" t="s">
        <v>21</v>
      </c>
      <c r="O364" s="25">
        <v>3.5492022756289998</v>
      </c>
      <c r="P364" s="46">
        <f t="shared" si="6"/>
        <v>7.4796105994979914E-4</v>
      </c>
    </row>
    <row r="365" spans="2:16" ht="48" hidden="1">
      <c r="B365" s="43">
        <v>199</v>
      </c>
      <c r="C365" s="43">
        <v>901420</v>
      </c>
      <c r="D365" s="44" t="s">
        <v>474</v>
      </c>
      <c r="E365" s="43" t="s">
        <v>475</v>
      </c>
      <c r="F365" s="43" t="s">
        <v>189</v>
      </c>
      <c r="G365" s="43" t="s">
        <v>40</v>
      </c>
      <c r="H365" s="43" t="s">
        <v>28</v>
      </c>
      <c r="I365" s="43" t="s">
        <v>12</v>
      </c>
      <c r="J365" s="43" t="s">
        <v>21</v>
      </c>
      <c r="K365" s="43" t="s">
        <v>21</v>
      </c>
      <c r="L365" s="43" t="s">
        <v>21</v>
      </c>
      <c r="M365" s="43" t="s">
        <v>21</v>
      </c>
      <c r="N365" s="43" t="s">
        <v>21</v>
      </c>
      <c r="O365" s="25">
        <v>2.8651382155180007</v>
      </c>
      <c r="P365" s="46">
        <f t="shared" si="6"/>
        <v>6.0380098122238734E-4</v>
      </c>
    </row>
    <row r="366" spans="2:16" ht="48" hidden="1">
      <c r="B366" s="43">
        <v>226</v>
      </c>
      <c r="C366" s="43">
        <v>901480</v>
      </c>
      <c r="D366" s="44" t="s">
        <v>497</v>
      </c>
      <c r="E366" s="43" t="s">
        <v>498</v>
      </c>
      <c r="F366" s="43" t="s">
        <v>189</v>
      </c>
      <c r="G366" s="43" t="s">
        <v>40</v>
      </c>
      <c r="H366" s="43" t="s">
        <v>28</v>
      </c>
      <c r="I366" s="43" t="s">
        <v>12</v>
      </c>
      <c r="J366" s="43" t="s">
        <v>21</v>
      </c>
      <c r="K366" s="43" t="s">
        <v>21</v>
      </c>
      <c r="L366" s="43" t="s">
        <v>29</v>
      </c>
      <c r="M366" s="43" t="s">
        <v>21</v>
      </c>
      <c r="N366" s="43" t="s">
        <v>21</v>
      </c>
      <c r="O366" s="25">
        <v>2.0657208894710006</v>
      </c>
      <c r="P366" s="46">
        <f t="shared" si="6"/>
        <v>4.3533128462658506E-4</v>
      </c>
    </row>
    <row r="367" spans="2:16" ht="63.95" hidden="1">
      <c r="B367" s="43">
        <v>152</v>
      </c>
      <c r="C367" s="43">
        <v>901580</v>
      </c>
      <c r="D367" s="44" t="s">
        <v>386</v>
      </c>
      <c r="E367" s="43" t="s">
        <v>387</v>
      </c>
      <c r="F367" s="43" t="s">
        <v>189</v>
      </c>
      <c r="G367" s="43" t="s">
        <v>40</v>
      </c>
      <c r="H367" s="43" t="s">
        <v>28</v>
      </c>
      <c r="I367" s="43" t="s">
        <v>12</v>
      </c>
      <c r="J367" s="43" t="s">
        <v>21</v>
      </c>
      <c r="K367" s="43" t="s">
        <v>21</v>
      </c>
      <c r="L367" s="43" t="s">
        <v>29</v>
      </c>
      <c r="M367" s="43" t="s">
        <v>21</v>
      </c>
      <c r="N367" s="43" t="s">
        <v>21</v>
      </c>
      <c r="O367" s="25">
        <v>4.8364178185100002</v>
      </c>
      <c r="P367" s="46">
        <f t="shared" si="6"/>
        <v>1.0192296513310839E-3</v>
      </c>
    </row>
    <row r="368" spans="2:16" ht="32.1" hidden="1">
      <c r="B368" s="43">
        <v>216</v>
      </c>
      <c r="C368" s="43">
        <v>901590</v>
      </c>
      <c r="D368" s="44" t="s">
        <v>482</v>
      </c>
      <c r="E368" s="43" t="s">
        <v>483</v>
      </c>
      <c r="F368" s="43" t="s">
        <v>189</v>
      </c>
      <c r="G368" s="43" t="s">
        <v>40</v>
      </c>
      <c r="H368" s="43" t="s">
        <v>20</v>
      </c>
      <c r="I368" s="43" t="s">
        <v>12</v>
      </c>
      <c r="J368" s="43" t="s">
        <v>21</v>
      </c>
      <c r="K368" s="43" t="s">
        <v>21</v>
      </c>
      <c r="L368" s="43" t="s">
        <v>29</v>
      </c>
      <c r="M368" s="43" t="s">
        <v>21</v>
      </c>
      <c r="N368" s="43" t="s">
        <v>21</v>
      </c>
      <c r="O368" s="25">
        <v>2.2484631115060005</v>
      </c>
      <c r="P368" s="46">
        <f t="shared" si="6"/>
        <v>4.7384249235048312E-4</v>
      </c>
    </row>
    <row r="369" spans="2:16" ht="32.1" hidden="1">
      <c r="B369" s="43">
        <v>340</v>
      </c>
      <c r="C369" s="43">
        <v>901600</v>
      </c>
      <c r="D369" s="44" t="s">
        <v>622</v>
      </c>
      <c r="E369" s="43" t="s">
        <v>623</v>
      </c>
      <c r="F369" s="43" t="s">
        <v>189</v>
      </c>
      <c r="G369" s="43" t="s">
        <v>40</v>
      </c>
      <c r="H369" s="43" t="s">
        <v>28</v>
      </c>
      <c r="I369" s="43" t="s">
        <v>12</v>
      </c>
      <c r="J369" s="43" t="s">
        <v>21</v>
      </c>
      <c r="K369" s="43" t="s">
        <v>21</v>
      </c>
      <c r="L369" s="43" t="s">
        <v>29</v>
      </c>
      <c r="M369" s="43" t="s">
        <v>21</v>
      </c>
      <c r="N369" s="43" t="s">
        <v>21</v>
      </c>
      <c r="O369" s="25">
        <v>0.48018272321500005</v>
      </c>
      <c r="P369" s="46">
        <f t="shared" si="6"/>
        <v>1.0119400099894883E-4</v>
      </c>
    </row>
    <row r="370" spans="2:16" ht="63.95" hidden="1">
      <c r="B370" s="43">
        <v>343</v>
      </c>
      <c r="C370" s="43">
        <v>901720</v>
      </c>
      <c r="D370" s="44" t="s">
        <v>637</v>
      </c>
      <c r="E370" s="43" t="s">
        <v>638</v>
      </c>
      <c r="F370" s="43" t="s">
        <v>189</v>
      </c>
      <c r="G370" s="43" t="s">
        <v>40</v>
      </c>
      <c r="H370" s="43" t="s">
        <v>28</v>
      </c>
      <c r="I370" s="43" t="s">
        <v>12</v>
      </c>
      <c r="J370" s="43" t="s">
        <v>21</v>
      </c>
      <c r="K370" s="43" t="s">
        <v>21</v>
      </c>
      <c r="L370" s="43" t="s">
        <v>29</v>
      </c>
      <c r="M370" s="43" t="s">
        <v>21</v>
      </c>
      <c r="N370" s="43" t="s">
        <v>21</v>
      </c>
      <c r="O370" s="25">
        <v>0.47216835901799997</v>
      </c>
      <c r="P370" s="46">
        <f t="shared" si="6"/>
        <v>9.9505048982668064E-5</v>
      </c>
    </row>
    <row r="371" spans="2:16" ht="32.1" hidden="1">
      <c r="B371" s="43">
        <v>272</v>
      </c>
      <c r="C371" s="43">
        <v>901811</v>
      </c>
      <c r="D371" s="44" t="s">
        <v>561</v>
      </c>
      <c r="E371" s="43" t="s">
        <v>197</v>
      </c>
      <c r="F371" s="43" t="s">
        <v>198</v>
      </c>
      <c r="G371" s="43" t="s">
        <v>40</v>
      </c>
      <c r="H371" s="43" t="s">
        <v>28</v>
      </c>
      <c r="I371" s="43" t="s">
        <v>12</v>
      </c>
      <c r="J371" s="43" t="s">
        <v>21</v>
      </c>
      <c r="K371" s="43" t="s">
        <v>21</v>
      </c>
      <c r="L371" s="43" t="s">
        <v>29</v>
      </c>
      <c r="M371" s="43" t="s">
        <v>21</v>
      </c>
      <c r="N371" s="43" t="s">
        <v>21</v>
      </c>
      <c r="O371" s="25">
        <v>1.207370890223</v>
      </c>
      <c r="P371" s="46">
        <f t="shared" si="6"/>
        <v>2.5444208040909243E-4</v>
      </c>
    </row>
    <row r="372" spans="2:16" ht="96" hidden="1">
      <c r="B372" s="35">
        <v>130</v>
      </c>
      <c r="C372" s="35">
        <v>901812</v>
      </c>
      <c r="D372" s="36" t="s">
        <v>401</v>
      </c>
      <c r="E372" s="35" t="s">
        <v>402</v>
      </c>
      <c r="F372" s="35" t="s">
        <v>198</v>
      </c>
      <c r="G372" s="35" t="s">
        <v>40</v>
      </c>
      <c r="H372" s="35" t="s">
        <v>28</v>
      </c>
      <c r="I372" s="35" t="s">
        <v>12</v>
      </c>
      <c r="J372" s="35" t="s">
        <v>21</v>
      </c>
      <c r="K372" s="35" t="s">
        <v>21</v>
      </c>
      <c r="L372" s="35" t="s">
        <v>29</v>
      </c>
      <c r="M372" s="38" t="s">
        <v>21</v>
      </c>
      <c r="N372" s="35" t="s">
        <v>21</v>
      </c>
      <c r="O372" s="24">
        <v>5.6247617875889997</v>
      </c>
      <c r="P372" s="70">
        <f t="shared" si="6"/>
        <v>1.1853657419017068E-3</v>
      </c>
    </row>
    <row r="373" spans="2:16" ht="32.1" hidden="1">
      <c r="B373" s="5">
        <v>140</v>
      </c>
      <c r="C373" s="5">
        <v>901813</v>
      </c>
      <c r="D373" s="6" t="s">
        <v>376</v>
      </c>
      <c r="E373" s="5" t="s">
        <v>197</v>
      </c>
      <c r="F373" s="5" t="s">
        <v>198</v>
      </c>
      <c r="G373" s="5" t="s">
        <v>40</v>
      </c>
      <c r="H373" s="5" t="s">
        <v>28</v>
      </c>
      <c r="I373" s="5" t="s">
        <v>12</v>
      </c>
      <c r="J373" s="5" t="s">
        <v>21</v>
      </c>
      <c r="K373" s="5" t="s">
        <v>21</v>
      </c>
      <c r="L373" s="5" t="s">
        <v>29</v>
      </c>
      <c r="M373" s="7" t="s">
        <v>21</v>
      </c>
      <c r="N373" s="5" t="s">
        <v>21</v>
      </c>
      <c r="O373" s="8">
        <v>5.2729862863369998</v>
      </c>
      <c r="P373" s="9">
        <f t="shared" si="6"/>
        <v>1.1112323574542994E-3</v>
      </c>
    </row>
    <row r="374" spans="2:16" ht="32.1" hidden="1">
      <c r="B374" s="26">
        <v>360</v>
      </c>
      <c r="C374" s="26">
        <v>901814</v>
      </c>
      <c r="D374" s="27" t="s">
        <v>653</v>
      </c>
      <c r="E374" s="26" t="s">
        <v>197</v>
      </c>
      <c r="F374" s="26" t="s">
        <v>198</v>
      </c>
      <c r="G374" s="26" t="s">
        <v>40</v>
      </c>
      <c r="H374" s="26" t="s">
        <v>28</v>
      </c>
      <c r="I374" s="26" t="s">
        <v>12</v>
      </c>
      <c r="J374" s="26" t="s">
        <v>21</v>
      </c>
      <c r="K374" s="26" t="s">
        <v>21</v>
      </c>
      <c r="L374" s="26" t="s">
        <v>29</v>
      </c>
      <c r="M374" s="29" t="s">
        <v>21</v>
      </c>
      <c r="N374" s="26" t="s">
        <v>21</v>
      </c>
      <c r="O374" s="22">
        <v>0.3282704408160001</v>
      </c>
      <c r="P374" s="63">
        <f t="shared" si="6"/>
        <v>6.9179913624226752E-5</v>
      </c>
    </row>
    <row r="375" spans="2:16" ht="63.95" hidden="1">
      <c r="B375" s="43">
        <v>50</v>
      </c>
      <c r="C375" s="43">
        <v>901819</v>
      </c>
      <c r="D375" s="44" t="s">
        <v>196</v>
      </c>
      <c r="E375" s="43" t="s">
        <v>197</v>
      </c>
      <c r="F375" s="43" t="s">
        <v>198</v>
      </c>
      <c r="G375" s="43" t="s">
        <v>40</v>
      </c>
      <c r="H375" s="43" t="s">
        <v>28</v>
      </c>
      <c r="I375" s="43" t="s">
        <v>12</v>
      </c>
      <c r="J375" s="43" t="s">
        <v>21</v>
      </c>
      <c r="K375" s="43" t="s">
        <v>21</v>
      </c>
      <c r="L375" s="43" t="s">
        <v>21</v>
      </c>
      <c r="M375" s="43" t="s">
        <v>21</v>
      </c>
      <c r="N375" s="43" t="s">
        <v>21</v>
      </c>
      <c r="O375" s="25">
        <v>16.643749267151001</v>
      </c>
      <c r="P375" s="46">
        <f t="shared" si="6"/>
        <v>3.5075139078092499E-3</v>
      </c>
    </row>
    <row r="376" spans="2:16" ht="32.1" hidden="1">
      <c r="B376" s="43">
        <v>316</v>
      </c>
      <c r="C376" s="43">
        <v>901820</v>
      </c>
      <c r="D376" s="44" t="s">
        <v>588</v>
      </c>
      <c r="E376" s="43" t="s">
        <v>197</v>
      </c>
      <c r="F376" s="43" t="s">
        <v>198</v>
      </c>
      <c r="G376" s="43" t="s">
        <v>40</v>
      </c>
      <c r="H376" s="43" t="s">
        <v>28</v>
      </c>
      <c r="I376" s="43" t="s">
        <v>12</v>
      </c>
      <c r="J376" s="43" t="s">
        <v>21</v>
      </c>
      <c r="K376" s="43" t="s">
        <v>21</v>
      </c>
      <c r="L376" s="43" t="s">
        <v>29</v>
      </c>
      <c r="M376" s="43" t="s">
        <v>21</v>
      </c>
      <c r="N376" s="43" t="s">
        <v>21</v>
      </c>
      <c r="O376" s="25">
        <v>0.67759603831699977</v>
      </c>
      <c r="P376" s="46">
        <f t="shared" si="6"/>
        <v>1.4279700385561953E-4</v>
      </c>
    </row>
    <row r="377" spans="2:16" ht="32.1" hidden="1">
      <c r="B377" s="43">
        <v>142</v>
      </c>
      <c r="C377" s="43">
        <v>901850</v>
      </c>
      <c r="D377" s="44" t="s">
        <v>381</v>
      </c>
      <c r="E377" s="43" t="s">
        <v>382</v>
      </c>
      <c r="F377" s="43" t="s">
        <v>198</v>
      </c>
      <c r="G377" s="43" t="s">
        <v>40</v>
      </c>
      <c r="H377" s="43" t="s">
        <v>28</v>
      </c>
      <c r="I377" s="43" t="s">
        <v>12</v>
      </c>
      <c r="J377" s="43" t="s">
        <v>21</v>
      </c>
      <c r="K377" s="43" t="s">
        <v>21</v>
      </c>
      <c r="L377" s="43" t="s">
        <v>29</v>
      </c>
      <c r="M377" s="43" t="s">
        <v>21</v>
      </c>
      <c r="N377" s="43" t="s">
        <v>21</v>
      </c>
      <c r="O377" s="25">
        <v>5.1535650286210002</v>
      </c>
      <c r="P377" s="46">
        <f t="shared" si="6"/>
        <v>1.0860654485082696E-3</v>
      </c>
    </row>
    <row r="378" spans="2:16" ht="32.1" hidden="1">
      <c r="B378" s="35">
        <v>146</v>
      </c>
      <c r="C378" s="35">
        <v>902140</v>
      </c>
      <c r="D378" s="36" t="s">
        <v>372</v>
      </c>
      <c r="E378" s="35" t="s">
        <v>373</v>
      </c>
      <c r="F378" s="35" t="s">
        <v>198</v>
      </c>
      <c r="G378" s="35" t="s">
        <v>40</v>
      </c>
      <c r="H378" s="35" t="s">
        <v>28</v>
      </c>
      <c r="I378" s="35" t="s">
        <v>12</v>
      </c>
      <c r="J378" s="35" t="s">
        <v>21</v>
      </c>
      <c r="K378" s="35" t="s">
        <v>21</v>
      </c>
      <c r="L378" s="35" t="s">
        <v>29</v>
      </c>
      <c r="M378" s="38" t="s">
        <v>21</v>
      </c>
      <c r="N378" s="35" t="s">
        <v>21</v>
      </c>
      <c r="O378" s="24">
        <v>5.0595637548799992</v>
      </c>
      <c r="P378" s="70">
        <f t="shared" si="6"/>
        <v>1.0662555625441088E-3</v>
      </c>
    </row>
    <row r="379" spans="2:16" ht="32.1" hidden="1">
      <c r="B379" s="26">
        <v>122</v>
      </c>
      <c r="C379" s="26">
        <v>902150</v>
      </c>
      <c r="D379" s="27" t="s">
        <v>368</v>
      </c>
      <c r="E379" s="26" t="s">
        <v>369</v>
      </c>
      <c r="F379" s="26" t="s">
        <v>198</v>
      </c>
      <c r="G379" s="26" t="s">
        <v>40</v>
      </c>
      <c r="H379" s="26" t="s">
        <v>28</v>
      </c>
      <c r="I379" s="26" t="s">
        <v>12</v>
      </c>
      <c r="J379" s="26" t="s">
        <v>21</v>
      </c>
      <c r="K379" s="26" t="s">
        <v>21</v>
      </c>
      <c r="L379" s="26" t="s">
        <v>29</v>
      </c>
      <c r="M379" s="29" t="s">
        <v>21</v>
      </c>
      <c r="N379" s="26" t="s">
        <v>21</v>
      </c>
      <c r="O379" s="22">
        <v>6.1278486912009988</v>
      </c>
      <c r="P379" s="63">
        <f t="shared" si="6"/>
        <v>1.2913865838966327E-3</v>
      </c>
    </row>
    <row r="380" spans="2:16" ht="63.95" hidden="1">
      <c r="B380" s="43">
        <v>149</v>
      </c>
      <c r="C380" s="43">
        <v>902212</v>
      </c>
      <c r="D380" s="44" t="s">
        <v>390</v>
      </c>
      <c r="E380" s="43" t="s">
        <v>391</v>
      </c>
      <c r="F380" s="43" t="s">
        <v>198</v>
      </c>
      <c r="G380" s="43" t="s">
        <v>40</v>
      </c>
      <c r="H380" s="43" t="s">
        <v>28</v>
      </c>
      <c r="I380" s="43" t="s">
        <v>12</v>
      </c>
      <c r="J380" s="43" t="s">
        <v>21</v>
      </c>
      <c r="K380" s="43" t="s">
        <v>21</v>
      </c>
      <c r="L380" s="43" t="s">
        <v>29</v>
      </c>
      <c r="M380" s="43" t="s">
        <v>21</v>
      </c>
      <c r="N380" s="43" t="s">
        <v>21</v>
      </c>
      <c r="O380" s="25">
        <v>4.8571337874469993</v>
      </c>
      <c r="P380" s="46">
        <f t="shared" si="6"/>
        <v>1.0235953473046275E-3</v>
      </c>
    </row>
    <row r="381" spans="2:16" ht="48" hidden="1">
      <c r="B381" s="43">
        <v>297</v>
      </c>
      <c r="C381" s="43">
        <v>902213</v>
      </c>
      <c r="D381" s="44" t="s">
        <v>632</v>
      </c>
      <c r="E381" s="43" t="s">
        <v>391</v>
      </c>
      <c r="F381" s="43" t="s">
        <v>198</v>
      </c>
      <c r="G381" s="43" t="s">
        <v>40</v>
      </c>
      <c r="H381" s="43" t="s">
        <v>28</v>
      </c>
      <c r="I381" s="43" t="s">
        <v>12</v>
      </c>
      <c r="J381" s="43" t="s">
        <v>21</v>
      </c>
      <c r="K381" s="43" t="s">
        <v>21</v>
      </c>
      <c r="L381" s="43" t="s">
        <v>29</v>
      </c>
      <c r="M381" s="43" t="s">
        <v>21</v>
      </c>
      <c r="N381" s="43" t="s">
        <v>21</v>
      </c>
      <c r="O381" s="25">
        <v>0.8562442733190001</v>
      </c>
      <c r="P381" s="46">
        <f t="shared" si="6"/>
        <v>1.8044544224634948E-4</v>
      </c>
    </row>
    <row r="382" spans="2:16" ht="63.95" hidden="1">
      <c r="B382" s="31">
        <v>125</v>
      </c>
      <c r="C382" s="31">
        <v>902214</v>
      </c>
      <c r="D382" s="32" t="s">
        <v>359</v>
      </c>
      <c r="E382" s="31" t="s">
        <v>360</v>
      </c>
      <c r="F382" s="31" t="s">
        <v>198</v>
      </c>
      <c r="G382" s="31" t="s">
        <v>40</v>
      </c>
      <c r="H382" s="31" t="s">
        <v>20</v>
      </c>
      <c r="I382" s="31" t="s">
        <v>12</v>
      </c>
      <c r="J382" s="31" t="s">
        <v>21</v>
      </c>
      <c r="K382" s="31" t="s">
        <v>21</v>
      </c>
      <c r="L382" s="31" t="s">
        <v>29</v>
      </c>
      <c r="M382" s="34" t="s">
        <v>21</v>
      </c>
      <c r="N382" s="31" t="s">
        <v>21</v>
      </c>
      <c r="O382" s="23">
        <v>5.9372150479190005</v>
      </c>
      <c r="P382" s="71">
        <f t="shared" si="6"/>
        <v>1.2512123332289876E-3</v>
      </c>
    </row>
    <row r="383" spans="2:16" ht="48" hidden="1">
      <c r="B383" s="43">
        <v>197</v>
      </c>
      <c r="C383" s="43">
        <v>902219</v>
      </c>
      <c r="D383" s="44" t="s">
        <v>453</v>
      </c>
      <c r="E383" s="43" t="s">
        <v>454</v>
      </c>
      <c r="F383" s="43" t="s">
        <v>189</v>
      </c>
      <c r="G383" s="43" t="s">
        <v>40</v>
      </c>
      <c r="H383" s="43" t="s">
        <v>28</v>
      </c>
      <c r="I383" s="43" t="s">
        <v>12</v>
      </c>
      <c r="J383" s="43" t="s">
        <v>21</v>
      </c>
      <c r="K383" s="43" t="s">
        <v>21</v>
      </c>
      <c r="L383" s="43" t="s">
        <v>29</v>
      </c>
      <c r="M383" s="43" t="s">
        <v>21</v>
      </c>
      <c r="N383" s="43" t="s">
        <v>21</v>
      </c>
      <c r="O383" s="25">
        <v>2.9887575355690004</v>
      </c>
      <c r="P383" s="46">
        <f t="shared" si="6"/>
        <v>6.298525923944309E-4</v>
      </c>
    </row>
    <row r="384" spans="2:16" ht="63.95" hidden="1">
      <c r="B384" s="35">
        <v>363</v>
      </c>
      <c r="C384" s="35">
        <v>902221</v>
      </c>
      <c r="D384" s="36" t="s">
        <v>661</v>
      </c>
      <c r="E384" s="35" t="s">
        <v>391</v>
      </c>
      <c r="F384" s="35" t="s">
        <v>198</v>
      </c>
      <c r="G384" s="35" t="s">
        <v>40</v>
      </c>
      <c r="H384" s="35" t="s">
        <v>28</v>
      </c>
      <c r="I384" s="35" t="s">
        <v>12</v>
      </c>
      <c r="J384" s="35" t="s">
        <v>21</v>
      </c>
      <c r="K384" s="35" t="s">
        <v>21</v>
      </c>
      <c r="L384" s="35" t="s">
        <v>29</v>
      </c>
      <c r="M384" s="38" t="s">
        <v>21</v>
      </c>
      <c r="N384" s="35" t="s">
        <v>21</v>
      </c>
      <c r="O384" s="24">
        <v>0.304075590201</v>
      </c>
      <c r="P384" s="70">
        <f t="shared" si="6"/>
        <v>6.4081075996519175E-5</v>
      </c>
    </row>
    <row r="385" spans="2:16" ht="63.95" hidden="1">
      <c r="B385" s="26">
        <v>361</v>
      </c>
      <c r="C385" s="26">
        <v>902229</v>
      </c>
      <c r="D385" s="27" t="s">
        <v>649</v>
      </c>
      <c r="E385" s="26" t="s">
        <v>650</v>
      </c>
      <c r="F385" s="26" t="s">
        <v>189</v>
      </c>
      <c r="G385" s="26" t="s">
        <v>40</v>
      </c>
      <c r="H385" s="26" t="s">
        <v>28</v>
      </c>
      <c r="I385" s="26" t="s">
        <v>12</v>
      </c>
      <c r="J385" s="26" t="s">
        <v>21</v>
      </c>
      <c r="K385" s="26" t="s">
        <v>21</v>
      </c>
      <c r="L385" s="26" t="s">
        <v>29</v>
      </c>
      <c r="M385" s="29" t="s">
        <v>21</v>
      </c>
      <c r="N385" s="26" t="s">
        <v>21</v>
      </c>
      <c r="O385" s="22">
        <v>0.32711053048300004</v>
      </c>
      <c r="P385" s="63">
        <f t="shared" si="6"/>
        <v>6.8935473410696322E-5</v>
      </c>
    </row>
    <row r="386" spans="2:16" ht="32.1" hidden="1">
      <c r="B386" s="43">
        <v>228</v>
      </c>
      <c r="C386" s="43">
        <v>902230</v>
      </c>
      <c r="D386" s="44" t="s">
        <v>513</v>
      </c>
      <c r="E386" s="43" t="s">
        <v>513</v>
      </c>
      <c r="F386" s="43" t="s">
        <v>198</v>
      </c>
      <c r="G386" s="43" t="s">
        <v>19</v>
      </c>
      <c r="H386" s="43" t="s">
        <v>20</v>
      </c>
      <c r="I386" s="43" t="s">
        <v>12</v>
      </c>
      <c r="J386" s="43" t="s">
        <v>21</v>
      </c>
      <c r="K386" s="43" t="s">
        <v>21</v>
      </c>
      <c r="L386" s="43" t="s">
        <v>21</v>
      </c>
      <c r="M386" s="43" t="s">
        <v>21</v>
      </c>
      <c r="N386" s="43" t="s">
        <v>21</v>
      </c>
      <c r="O386" s="25">
        <v>2.0464756160569997</v>
      </c>
      <c r="P386" s="46">
        <f t="shared" si="6"/>
        <v>4.3127552392773654E-4</v>
      </c>
    </row>
    <row r="387" spans="2:16" ht="80.099999999999994" hidden="1">
      <c r="B387" s="43">
        <v>108</v>
      </c>
      <c r="C387" s="43">
        <v>902290</v>
      </c>
      <c r="D387" s="44" t="s">
        <v>331</v>
      </c>
      <c r="E387" s="43" t="s">
        <v>332</v>
      </c>
      <c r="F387" s="43" t="s">
        <v>198</v>
      </c>
      <c r="G387" s="43" t="s">
        <v>19</v>
      </c>
      <c r="H387" s="43" t="s">
        <v>20</v>
      </c>
      <c r="I387" s="43" t="s">
        <v>12</v>
      </c>
      <c r="J387" s="43" t="s">
        <v>21</v>
      </c>
      <c r="K387" s="43" t="s">
        <v>21</v>
      </c>
      <c r="L387" s="43" t="s">
        <v>29</v>
      </c>
      <c r="M387" s="43" t="s">
        <v>21</v>
      </c>
      <c r="N387" s="43" t="s">
        <v>21</v>
      </c>
      <c r="O387" s="25">
        <v>7.4564984887350025</v>
      </c>
      <c r="P387" s="46">
        <f t="shared" si="6"/>
        <v>1.57138705546443E-3</v>
      </c>
    </row>
    <row r="388" spans="2:16" ht="48" hidden="1">
      <c r="B388" s="43">
        <v>165</v>
      </c>
      <c r="C388" s="43">
        <v>902519</v>
      </c>
      <c r="D388" s="44" t="s">
        <v>424</v>
      </c>
      <c r="E388" s="43" t="s">
        <v>425</v>
      </c>
      <c r="F388" s="43" t="s">
        <v>198</v>
      </c>
      <c r="G388" s="43" t="s">
        <v>40</v>
      </c>
      <c r="H388" s="43" t="s">
        <v>28</v>
      </c>
      <c r="I388" s="43" t="s">
        <v>12</v>
      </c>
      <c r="J388" s="43" t="s">
        <v>21</v>
      </c>
      <c r="K388" s="43" t="s">
        <v>21</v>
      </c>
      <c r="L388" s="43" t="s">
        <v>29</v>
      </c>
      <c r="M388" s="43" t="s">
        <v>21</v>
      </c>
      <c r="N388" s="43" t="s">
        <v>21</v>
      </c>
      <c r="O388" s="25">
        <v>4.421393682215002</v>
      </c>
      <c r="P388" s="46">
        <f t="shared" si="6"/>
        <v>9.3176721082170418E-4</v>
      </c>
    </row>
    <row r="389" spans="2:16" ht="48" hidden="1">
      <c r="B389" s="43">
        <v>111</v>
      </c>
      <c r="C389" s="43">
        <v>902710</v>
      </c>
      <c r="D389" s="44" t="s">
        <v>335</v>
      </c>
      <c r="E389" s="43" t="s">
        <v>336</v>
      </c>
      <c r="F389" s="43" t="s">
        <v>189</v>
      </c>
      <c r="G389" s="43" t="s">
        <v>40</v>
      </c>
      <c r="H389" s="43" t="s">
        <v>28</v>
      </c>
      <c r="I389" s="43" t="s">
        <v>12</v>
      </c>
      <c r="J389" s="43" t="s">
        <v>21</v>
      </c>
      <c r="K389" s="43" t="s">
        <v>21</v>
      </c>
      <c r="L389" s="43" t="s">
        <v>29</v>
      </c>
      <c r="M389" s="43" t="s">
        <v>21</v>
      </c>
      <c r="N389" s="43" t="s">
        <v>21</v>
      </c>
      <c r="O389" s="25">
        <v>7.0691297053250031</v>
      </c>
      <c r="P389" s="46">
        <f t="shared" si="6"/>
        <v>1.4897527209492298E-3</v>
      </c>
    </row>
    <row r="390" spans="2:16" ht="32.1" hidden="1">
      <c r="B390" s="43">
        <v>187</v>
      </c>
      <c r="C390" s="43">
        <v>902720</v>
      </c>
      <c r="D390" s="44" t="s">
        <v>476</v>
      </c>
      <c r="E390" s="43" t="s">
        <v>477</v>
      </c>
      <c r="F390" s="43" t="s">
        <v>189</v>
      </c>
      <c r="G390" s="43" t="s">
        <v>40</v>
      </c>
      <c r="H390" s="43" t="s">
        <v>28</v>
      </c>
      <c r="I390" s="43" t="s">
        <v>12</v>
      </c>
      <c r="J390" s="43" t="s">
        <v>21</v>
      </c>
      <c r="K390" s="43" t="s">
        <v>21</v>
      </c>
      <c r="L390" s="43" t="s">
        <v>29</v>
      </c>
      <c r="M390" s="43" t="s">
        <v>21</v>
      </c>
      <c r="N390" s="43" t="s">
        <v>21</v>
      </c>
      <c r="O390" s="25">
        <v>3.2214598134269994</v>
      </c>
      <c r="P390" s="46">
        <f t="shared" si="6"/>
        <v>6.7889241286185013E-4</v>
      </c>
    </row>
    <row r="391" spans="2:16" ht="48" hidden="1">
      <c r="B391" s="31">
        <v>159</v>
      </c>
      <c r="C391" s="31">
        <v>902730</v>
      </c>
      <c r="D391" s="32" t="s">
        <v>396</v>
      </c>
      <c r="E391" s="31" t="s">
        <v>397</v>
      </c>
      <c r="F391" s="31" t="s">
        <v>189</v>
      </c>
      <c r="G391" s="31" t="s">
        <v>40</v>
      </c>
      <c r="H391" s="31" t="s">
        <v>28</v>
      </c>
      <c r="I391" s="31" t="s">
        <v>12</v>
      </c>
      <c r="J391" s="31" t="s">
        <v>21</v>
      </c>
      <c r="K391" s="31" t="s">
        <v>21</v>
      </c>
      <c r="L391" s="31" t="s">
        <v>29</v>
      </c>
      <c r="M391" s="34" t="s">
        <v>21</v>
      </c>
      <c r="N391" s="31" t="s">
        <v>21</v>
      </c>
      <c r="O391" s="23">
        <v>4.5838578978879978</v>
      </c>
      <c r="P391" s="71">
        <f t="shared" ref="P391:P425" si="7">O391/SUM($O$4:$O$426)</f>
        <v>9.6600501907317981E-4</v>
      </c>
    </row>
    <row r="392" spans="2:16" ht="48" hidden="1">
      <c r="B392" s="43">
        <v>72</v>
      </c>
      <c r="C392" s="43">
        <v>902750</v>
      </c>
      <c r="D392" s="44" t="s">
        <v>243</v>
      </c>
      <c r="E392" s="43" t="s">
        <v>244</v>
      </c>
      <c r="F392" s="43" t="s">
        <v>189</v>
      </c>
      <c r="G392" s="43" t="s">
        <v>40</v>
      </c>
      <c r="H392" s="43" t="s">
        <v>28</v>
      </c>
      <c r="I392" s="43" t="s">
        <v>12</v>
      </c>
      <c r="J392" s="43" t="s">
        <v>21</v>
      </c>
      <c r="K392" s="43" t="s">
        <v>21</v>
      </c>
      <c r="L392" s="43" t="s">
        <v>29</v>
      </c>
      <c r="M392" s="43" t="s">
        <v>21</v>
      </c>
      <c r="N392" s="43" t="s">
        <v>21</v>
      </c>
      <c r="O392" s="25">
        <v>11.656979582007002</v>
      </c>
      <c r="P392" s="46">
        <f t="shared" si="7"/>
        <v>2.4565990120768546E-3</v>
      </c>
    </row>
    <row r="393" spans="2:16" ht="32.1" hidden="1">
      <c r="B393" s="43">
        <v>238</v>
      </c>
      <c r="C393" s="43">
        <v>903010</v>
      </c>
      <c r="D393" s="44" t="s">
        <v>500</v>
      </c>
      <c r="E393" s="43" t="s">
        <v>501</v>
      </c>
      <c r="F393" s="43" t="s">
        <v>189</v>
      </c>
      <c r="G393" s="43" t="s">
        <v>40</v>
      </c>
      <c r="H393" s="43" t="s">
        <v>28</v>
      </c>
      <c r="I393" s="43" t="s">
        <v>12</v>
      </c>
      <c r="J393" s="43" t="s">
        <v>21</v>
      </c>
      <c r="K393" s="43" t="s">
        <v>21</v>
      </c>
      <c r="L393" s="43" t="s">
        <v>29</v>
      </c>
      <c r="M393" s="43" t="s">
        <v>21</v>
      </c>
      <c r="N393" s="43" t="s">
        <v>21</v>
      </c>
      <c r="O393" s="25">
        <v>1.8685831458490003</v>
      </c>
      <c r="P393" s="46">
        <f t="shared" si="7"/>
        <v>3.9378635587228035E-4</v>
      </c>
    </row>
    <row r="394" spans="2:16" ht="32.1" hidden="1">
      <c r="B394" s="43">
        <v>294</v>
      </c>
      <c r="C394" s="43">
        <v>903020</v>
      </c>
      <c r="D394" s="44" t="s">
        <v>572</v>
      </c>
      <c r="E394" s="43" t="s">
        <v>572</v>
      </c>
      <c r="F394" s="43" t="s">
        <v>189</v>
      </c>
      <c r="G394" s="43" t="s">
        <v>40</v>
      </c>
      <c r="H394" s="43" t="s">
        <v>20</v>
      </c>
      <c r="I394" s="43" t="s">
        <v>12</v>
      </c>
      <c r="J394" s="43" t="s">
        <v>21</v>
      </c>
      <c r="K394" s="43" t="s">
        <v>21</v>
      </c>
      <c r="L394" s="43" t="s">
        <v>29</v>
      </c>
      <c r="M394" s="43" t="s">
        <v>21</v>
      </c>
      <c r="N394" s="43" t="s">
        <v>21</v>
      </c>
      <c r="O394" s="25">
        <v>0.90681918982099996</v>
      </c>
      <c r="P394" s="46">
        <f t="shared" si="7"/>
        <v>1.9110363110570505E-4</v>
      </c>
    </row>
    <row r="395" spans="2:16" ht="63.95" hidden="1">
      <c r="B395" s="35">
        <v>296</v>
      </c>
      <c r="C395" s="35">
        <v>903031</v>
      </c>
      <c r="D395" s="36" t="s">
        <v>583</v>
      </c>
      <c r="E395" s="35" t="s">
        <v>473</v>
      </c>
      <c r="F395" s="35" t="s">
        <v>189</v>
      </c>
      <c r="G395" s="35" t="s">
        <v>40</v>
      </c>
      <c r="H395" s="35" t="s">
        <v>28</v>
      </c>
      <c r="I395" s="35" t="s">
        <v>12</v>
      </c>
      <c r="J395" s="35" t="s">
        <v>21</v>
      </c>
      <c r="K395" s="35" t="s">
        <v>21</v>
      </c>
      <c r="L395" s="35" t="s">
        <v>29</v>
      </c>
      <c r="M395" s="38" t="s">
        <v>21</v>
      </c>
      <c r="N395" s="35" t="s">
        <v>21</v>
      </c>
      <c r="O395" s="24">
        <v>0.86334433394499954</v>
      </c>
      <c r="P395" s="70">
        <f t="shared" si="7"/>
        <v>1.8194171336845374E-4</v>
      </c>
    </row>
    <row r="396" spans="2:16" ht="48" hidden="1">
      <c r="B396" s="26">
        <v>344</v>
      </c>
      <c r="C396" s="26">
        <v>903032</v>
      </c>
      <c r="D396" s="27" t="s">
        <v>608</v>
      </c>
      <c r="E396" s="26" t="s">
        <v>473</v>
      </c>
      <c r="F396" s="26" t="s">
        <v>189</v>
      </c>
      <c r="G396" s="26" t="s">
        <v>40</v>
      </c>
      <c r="H396" s="26" t="s">
        <v>28</v>
      </c>
      <c r="I396" s="26" t="s">
        <v>12</v>
      </c>
      <c r="J396" s="26" t="s">
        <v>21</v>
      </c>
      <c r="K396" s="26" t="s">
        <v>21</v>
      </c>
      <c r="L396" s="26" t="s">
        <v>29</v>
      </c>
      <c r="M396" s="29" t="s">
        <v>21</v>
      </c>
      <c r="N396" s="26" t="s">
        <v>21</v>
      </c>
      <c r="O396" s="22">
        <v>0.46748849557699984</v>
      </c>
      <c r="P396" s="63">
        <f t="shared" si="7"/>
        <v>9.8518811696676691E-5</v>
      </c>
    </row>
    <row r="397" spans="2:16" ht="48" hidden="1">
      <c r="B397" s="43">
        <v>208</v>
      </c>
      <c r="C397" s="43">
        <v>903033</v>
      </c>
      <c r="D397" s="44" t="s">
        <v>472</v>
      </c>
      <c r="E397" s="43" t="s">
        <v>473</v>
      </c>
      <c r="F397" s="43" t="s">
        <v>189</v>
      </c>
      <c r="G397" s="43" t="s">
        <v>40</v>
      </c>
      <c r="H397" s="43" t="s">
        <v>28</v>
      </c>
      <c r="I397" s="43" t="s">
        <v>12</v>
      </c>
      <c r="J397" s="43" t="s">
        <v>21</v>
      </c>
      <c r="K397" s="43" t="s">
        <v>21</v>
      </c>
      <c r="L397" s="43" t="s">
        <v>29</v>
      </c>
      <c r="M397" s="43" t="s">
        <v>21</v>
      </c>
      <c r="N397" s="43" t="s">
        <v>21</v>
      </c>
      <c r="O397" s="25">
        <v>2.5194320420759992</v>
      </c>
      <c r="P397" s="46">
        <f t="shared" si="7"/>
        <v>5.3094665063255263E-4</v>
      </c>
    </row>
    <row r="398" spans="2:16" ht="48" hidden="1">
      <c r="B398" s="43">
        <v>245</v>
      </c>
      <c r="C398" s="43">
        <v>903039</v>
      </c>
      <c r="D398" s="44" t="s">
        <v>509</v>
      </c>
      <c r="E398" s="43" t="s">
        <v>473</v>
      </c>
      <c r="F398" s="43" t="s">
        <v>189</v>
      </c>
      <c r="G398" s="43" t="s">
        <v>40</v>
      </c>
      <c r="H398" s="43" t="s">
        <v>28</v>
      </c>
      <c r="I398" s="43" t="s">
        <v>12</v>
      </c>
      <c r="J398" s="43" t="s">
        <v>21</v>
      </c>
      <c r="K398" s="43" t="s">
        <v>21</v>
      </c>
      <c r="L398" s="43" t="s">
        <v>29</v>
      </c>
      <c r="M398" s="43" t="s">
        <v>21</v>
      </c>
      <c r="N398" s="43" t="s">
        <v>21</v>
      </c>
      <c r="O398" s="25">
        <v>1.650631232154</v>
      </c>
      <c r="P398" s="46">
        <f t="shared" si="7"/>
        <v>3.4785503617692462E-4</v>
      </c>
    </row>
    <row r="399" spans="2:16" ht="63.95" hidden="1">
      <c r="B399" s="43">
        <v>157</v>
      </c>
      <c r="C399" s="43">
        <v>903040</v>
      </c>
      <c r="D399" s="44" t="s">
        <v>431</v>
      </c>
      <c r="E399" s="43" t="s">
        <v>432</v>
      </c>
      <c r="F399" s="43" t="s">
        <v>189</v>
      </c>
      <c r="G399" s="43" t="s">
        <v>40</v>
      </c>
      <c r="H399" s="43" t="s">
        <v>28</v>
      </c>
      <c r="I399" s="43" t="s">
        <v>12</v>
      </c>
      <c r="J399" s="43" t="s">
        <v>21</v>
      </c>
      <c r="K399" s="43" t="s">
        <v>21</v>
      </c>
      <c r="L399" s="43" t="s">
        <v>29</v>
      </c>
      <c r="M399" s="43" t="s">
        <v>21</v>
      </c>
      <c r="N399" s="43" t="s">
        <v>21</v>
      </c>
      <c r="O399" s="25">
        <v>4.6137503108820006</v>
      </c>
      <c r="P399" s="46">
        <f t="shared" si="7"/>
        <v>9.7230456448398322E-4</v>
      </c>
    </row>
    <row r="400" spans="2:16" ht="96" hidden="1">
      <c r="B400" s="31">
        <v>105</v>
      </c>
      <c r="C400" s="31">
        <v>903082</v>
      </c>
      <c r="D400" s="32" t="s">
        <v>357</v>
      </c>
      <c r="E400" s="31" t="s">
        <v>358</v>
      </c>
      <c r="F400" s="31" t="s">
        <v>189</v>
      </c>
      <c r="G400" s="31" t="s">
        <v>40</v>
      </c>
      <c r="H400" s="31" t="s">
        <v>28</v>
      </c>
      <c r="I400" s="31" t="s">
        <v>12</v>
      </c>
      <c r="J400" s="31" t="s">
        <v>21</v>
      </c>
      <c r="K400" s="31" t="s">
        <v>21</v>
      </c>
      <c r="L400" s="31" t="s">
        <v>29</v>
      </c>
      <c r="M400" s="34" t="s">
        <v>21</v>
      </c>
      <c r="N400" s="31" t="s">
        <v>21</v>
      </c>
      <c r="O400" s="23">
        <v>7.7259028818210007</v>
      </c>
      <c r="P400" s="71">
        <f t="shared" si="7"/>
        <v>1.6281615021595044E-3</v>
      </c>
    </row>
    <row r="401" spans="2:16" ht="48" hidden="1">
      <c r="B401" s="43">
        <v>255</v>
      </c>
      <c r="C401" s="43">
        <v>903084</v>
      </c>
      <c r="D401" s="44" t="s">
        <v>540</v>
      </c>
      <c r="E401" s="43" t="s">
        <v>432</v>
      </c>
      <c r="F401" s="43" t="s">
        <v>189</v>
      </c>
      <c r="G401" s="43" t="s">
        <v>40</v>
      </c>
      <c r="H401" s="43" t="s">
        <v>28</v>
      </c>
      <c r="I401" s="43" t="s">
        <v>12</v>
      </c>
      <c r="J401" s="43" t="s">
        <v>21</v>
      </c>
      <c r="K401" s="43" t="s">
        <v>21</v>
      </c>
      <c r="L401" s="43" t="s">
        <v>29</v>
      </c>
      <c r="M401" s="43" t="s">
        <v>21</v>
      </c>
      <c r="N401" s="43" t="s">
        <v>21</v>
      </c>
      <c r="O401" s="25">
        <v>1.4856728897330003</v>
      </c>
      <c r="P401" s="46">
        <f t="shared" si="7"/>
        <v>3.1309161412797795E-4</v>
      </c>
    </row>
    <row r="402" spans="2:16" ht="48" hidden="1">
      <c r="B402" s="43">
        <v>229</v>
      </c>
      <c r="C402" s="43">
        <v>903089</v>
      </c>
      <c r="D402" s="44" t="s">
        <v>499</v>
      </c>
      <c r="E402" s="43" t="s">
        <v>253</v>
      </c>
      <c r="F402" s="43" t="s">
        <v>189</v>
      </c>
      <c r="G402" s="43" t="s">
        <v>40</v>
      </c>
      <c r="H402" s="43" t="s">
        <v>28</v>
      </c>
      <c r="I402" s="43" t="s">
        <v>12</v>
      </c>
      <c r="J402" s="43" t="s">
        <v>21</v>
      </c>
      <c r="K402" s="43" t="s">
        <v>21</v>
      </c>
      <c r="L402" s="43" t="s">
        <v>29</v>
      </c>
      <c r="M402" s="43" t="s">
        <v>21</v>
      </c>
      <c r="N402" s="43" t="s">
        <v>21</v>
      </c>
      <c r="O402" s="25">
        <v>2.0155497448320006</v>
      </c>
      <c r="P402" s="46">
        <f t="shared" si="7"/>
        <v>4.2475818689677742E-4</v>
      </c>
    </row>
    <row r="403" spans="2:16" ht="80.099999999999994" hidden="1">
      <c r="B403" s="31">
        <v>73</v>
      </c>
      <c r="C403" s="31">
        <v>903090</v>
      </c>
      <c r="D403" s="32" t="s">
        <v>252</v>
      </c>
      <c r="E403" s="31" t="s">
        <v>253</v>
      </c>
      <c r="F403" s="31" t="s">
        <v>189</v>
      </c>
      <c r="G403" s="31" t="s">
        <v>40</v>
      </c>
      <c r="H403" s="31" t="s">
        <v>28</v>
      </c>
      <c r="I403" s="31" t="s">
        <v>12</v>
      </c>
      <c r="J403" s="31" t="s">
        <v>21</v>
      </c>
      <c r="K403" s="31" t="s">
        <v>21</v>
      </c>
      <c r="L403" s="31" t="s">
        <v>29</v>
      </c>
      <c r="M403" s="34" t="s">
        <v>21</v>
      </c>
      <c r="N403" s="31" t="s">
        <v>21</v>
      </c>
      <c r="O403" s="23">
        <v>11.651085774905999</v>
      </c>
      <c r="P403" s="71">
        <f t="shared" si="7"/>
        <v>2.4553569475609274E-3</v>
      </c>
    </row>
    <row r="404" spans="2:16" ht="32.1" hidden="1">
      <c r="B404" s="43">
        <v>154</v>
      </c>
      <c r="C404" s="43">
        <v>903210</v>
      </c>
      <c r="D404" s="44" t="s">
        <v>413</v>
      </c>
      <c r="E404" s="43" t="s">
        <v>414</v>
      </c>
      <c r="F404" s="43" t="s">
        <v>66</v>
      </c>
      <c r="G404" s="43" t="s">
        <v>40</v>
      </c>
      <c r="H404" s="43" t="s">
        <v>28</v>
      </c>
      <c r="I404" s="43" t="s">
        <v>12</v>
      </c>
      <c r="J404" s="43" t="s">
        <v>21</v>
      </c>
      <c r="K404" s="43" t="s">
        <v>21</v>
      </c>
      <c r="L404" s="43" t="s">
        <v>29</v>
      </c>
      <c r="M404" s="43" t="s">
        <v>21</v>
      </c>
      <c r="N404" s="43" t="s">
        <v>21</v>
      </c>
      <c r="O404" s="25">
        <v>4.7567188772280007</v>
      </c>
      <c r="P404" s="46">
        <f t="shared" si="7"/>
        <v>1.0024338476634566E-3</v>
      </c>
    </row>
    <row r="405" spans="2:16" ht="32.1" hidden="1">
      <c r="B405" s="43">
        <v>288</v>
      </c>
      <c r="C405" s="43">
        <v>903220</v>
      </c>
      <c r="D405" s="44" t="s">
        <v>578</v>
      </c>
      <c r="E405" s="43" t="s">
        <v>481</v>
      </c>
      <c r="F405" s="43" t="s">
        <v>54</v>
      </c>
      <c r="G405" s="43" t="s">
        <v>40</v>
      </c>
      <c r="H405" s="43" t="s">
        <v>20</v>
      </c>
      <c r="I405" s="43" t="s">
        <v>12</v>
      </c>
      <c r="J405" s="43" t="s">
        <v>21</v>
      </c>
      <c r="K405" s="43" t="s">
        <v>21</v>
      </c>
      <c r="L405" s="43" t="s">
        <v>29</v>
      </c>
      <c r="M405" s="43" t="s">
        <v>21</v>
      </c>
      <c r="N405" s="43" t="s">
        <v>21</v>
      </c>
      <c r="O405" s="25">
        <v>0.9779678864950001</v>
      </c>
      <c r="P405" s="46">
        <f t="shared" si="7"/>
        <v>2.0609755099123785E-4</v>
      </c>
    </row>
    <row r="406" spans="2:16" ht="32.1" hidden="1">
      <c r="B406" s="43">
        <v>207</v>
      </c>
      <c r="C406" s="43">
        <v>903281</v>
      </c>
      <c r="D406" s="44" t="s">
        <v>480</v>
      </c>
      <c r="E406" s="43" t="s">
        <v>481</v>
      </c>
      <c r="F406" s="43" t="s">
        <v>54</v>
      </c>
      <c r="G406" s="43" t="s">
        <v>40</v>
      </c>
      <c r="H406" s="43" t="s">
        <v>20</v>
      </c>
      <c r="I406" s="43" t="s">
        <v>12</v>
      </c>
      <c r="J406" s="43" t="s">
        <v>21</v>
      </c>
      <c r="K406" s="43" t="s">
        <v>21</v>
      </c>
      <c r="L406" s="43" t="s">
        <v>29</v>
      </c>
      <c r="M406" s="43" t="s">
        <v>21</v>
      </c>
      <c r="N406" s="43" t="s">
        <v>21</v>
      </c>
      <c r="O406" s="25">
        <v>2.5336045501050011</v>
      </c>
      <c r="P406" s="46">
        <f t="shared" si="7"/>
        <v>5.3393337364924533E-4</v>
      </c>
    </row>
    <row r="407" spans="2:16" ht="48" hidden="1">
      <c r="B407" s="43">
        <v>41</v>
      </c>
      <c r="C407" s="43">
        <v>903289</v>
      </c>
      <c r="D407" s="44" t="s">
        <v>132</v>
      </c>
      <c r="E407" s="43" t="s">
        <v>133</v>
      </c>
      <c r="F407" s="43" t="s">
        <v>54</v>
      </c>
      <c r="G407" s="43" t="s">
        <v>40</v>
      </c>
      <c r="H407" s="43" t="s">
        <v>20</v>
      </c>
      <c r="I407" s="43" t="s">
        <v>12</v>
      </c>
      <c r="J407" s="43" t="s">
        <v>21</v>
      </c>
      <c r="K407" s="43" t="s">
        <v>21</v>
      </c>
      <c r="L407" s="43" t="s">
        <v>21</v>
      </c>
      <c r="M407" s="43" t="s">
        <v>21</v>
      </c>
      <c r="N407" s="43" t="s">
        <v>21</v>
      </c>
      <c r="O407" s="25">
        <v>22.135292829363006</v>
      </c>
      <c r="P407" s="46">
        <f t="shared" si="7"/>
        <v>4.6648051593552479E-3</v>
      </c>
    </row>
    <row r="408" spans="2:16" ht="63.95" hidden="1">
      <c r="B408" s="43">
        <v>121</v>
      </c>
      <c r="C408" s="43">
        <v>903290</v>
      </c>
      <c r="D408" s="44" t="s">
        <v>370</v>
      </c>
      <c r="E408" s="43" t="s">
        <v>371</v>
      </c>
      <c r="F408" s="43" t="s">
        <v>54</v>
      </c>
      <c r="G408" s="43" t="s">
        <v>40</v>
      </c>
      <c r="H408" s="43" t="s">
        <v>20</v>
      </c>
      <c r="I408" s="43" t="s">
        <v>12</v>
      </c>
      <c r="J408" s="43" t="s">
        <v>21</v>
      </c>
      <c r="K408" s="43" t="s">
        <v>21</v>
      </c>
      <c r="L408" s="43" t="s">
        <v>29</v>
      </c>
      <c r="M408" s="43" t="s">
        <v>21</v>
      </c>
      <c r="N408" s="43" t="s">
        <v>21</v>
      </c>
      <c r="O408" s="25">
        <v>6.1431020402300005</v>
      </c>
      <c r="P408" s="46">
        <f t="shared" si="7"/>
        <v>1.2946010840072229E-3</v>
      </c>
    </row>
    <row r="409" spans="2:16" ht="63.95" hidden="1">
      <c r="B409" s="35">
        <v>184</v>
      </c>
      <c r="C409" s="35">
        <v>910111</v>
      </c>
      <c r="D409" s="36" t="s">
        <v>451</v>
      </c>
      <c r="E409" s="35" t="s">
        <v>452</v>
      </c>
      <c r="F409" s="35" t="s">
        <v>66</v>
      </c>
      <c r="G409" s="35" t="s">
        <v>51</v>
      </c>
      <c r="H409" s="35" t="s">
        <v>28</v>
      </c>
      <c r="I409" s="35" t="s">
        <v>96</v>
      </c>
      <c r="J409" s="35" t="s">
        <v>21</v>
      </c>
      <c r="K409" s="35" t="s">
        <v>21</v>
      </c>
      <c r="L409" s="35" t="s">
        <v>29</v>
      </c>
      <c r="M409" s="38" t="s">
        <v>29</v>
      </c>
      <c r="N409" s="35" t="s">
        <v>21</v>
      </c>
      <c r="O409" s="24">
        <v>3.2926250904090004</v>
      </c>
      <c r="P409" s="70">
        <f t="shared" si="7"/>
        <v>6.9388982689163941E-4</v>
      </c>
    </row>
    <row r="410" spans="2:16" ht="63.95" hidden="1">
      <c r="B410" s="26">
        <v>385</v>
      </c>
      <c r="C410" s="26">
        <v>910191</v>
      </c>
      <c r="D410" s="27" t="s">
        <v>689</v>
      </c>
      <c r="E410" s="26" t="s">
        <v>690</v>
      </c>
      <c r="F410" s="26" t="s">
        <v>66</v>
      </c>
      <c r="G410" s="26" t="s">
        <v>67</v>
      </c>
      <c r="H410" s="26" t="s">
        <v>28</v>
      </c>
      <c r="I410" s="26" t="s">
        <v>12</v>
      </c>
      <c r="J410" s="26" t="s">
        <v>21</v>
      </c>
      <c r="K410" s="26" t="s">
        <v>21</v>
      </c>
      <c r="L410" s="26" t="s">
        <v>29</v>
      </c>
      <c r="M410" s="29" t="s">
        <v>21</v>
      </c>
      <c r="N410" s="26" t="s">
        <v>21</v>
      </c>
      <c r="O410" s="22">
        <v>0.16278401566599998</v>
      </c>
      <c r="P410" s="63">
        <f t="shared" si="7"/>
        <v>3.4305203097743448E-5</v>
      </c>
    </row>
    <row r="411" spans="2:16" ht="48" hidden="1">
      <c r="B411" s="43">
        <v>92</v>
      </c>
      <c r="C411" s="43">
        <v>910211</v>
      </c>
      <c r="D411" s="44" t="s">
        <v>277</v>
      </c>
      <c r="E411" s="43" t="s">
        <v>278</v>
      </c>
      <c r="F411" s="43" t="s">
        <v>66</v>
      </c>
      <c r="G411" s="43" t="s">
        <v>51</v>
      </c>
      <c r="H411" s="43" t="s">
        <v>28</v>
      </c>
      <c r="I411" s="43" t="s">
        <v>96</v>
      </c>
      <c r="J411" s="43" t="s">
        <v>21</v>
      </c>
      <c r="K411" s="43" t="s">
        <v>21</v>
      </c>
      <c r="L411" s="43" t="s">
        <v>29</v>
      </c>
      <c r="M411" s="43" t="s">
        <v>29</v>
      </c>
      <c r="N411" s="43" t="s">
        <v>21</v>
      </c>
      <c r="O411" s="25">
        <v>8.4293758056730024</v>
      </c>
      <c r="P411" s="46">
        <f t="shared" si="7"/>
        <v>1.7764118167114069E-3</v>
      </c>
    </row>
    <row r="412" spans="2:16" ht="48" hidden="1">
      <c r="B412" s="43">
        <v>275</v>
      </c>
      <c r="C412" s="43">
        <v>910212</v>
      </c>
      <c r="D412" s="44" t="s">
        <v>567</v>
      </c>
      <c r="E412" s="43" t="s">
        <v>568</v>
      </c>
      <c r="F412" s="43" t="s">
        <v>66</v>
      </c>
      <c r="G412" s="43" t="s">
        <v>67</v>
      </c>
      <c r="H412" s="43" t="s">
        <v>28</v>
      </c>
      <c r="I412" s="43" t="s">
        <v>12</v>
      </c>
      <c r="J412" s="43" t="s">
        <v>21</v>
      </c>
      <c r="K412" s="43" t="s">
        <v>29</v>
      </c>
      <c r="L412" s="43" t="s">
        <v>29</v>
      </c>
      <c r="M412" s="43" t="s">
        <v>21</v>
      </c>
      <c r="N412" s="43" t="s">
        <v>29</v>
      </c>
      <c r="O412" s="25">
        <v>1.1477151678139992</v>
      </c>
      <c r="P412" s="46">
        <f t="shared" si="7"/>
        <v>2.4187019695474644E-4</v>
      </c>
    </row>
    <row r="413" spans="2:16" ht="48" hidden="1">
      <c r="B413" s="43">
        <v>401</v>
      </c>
      <c r="C413" s="43">
        <v>910291</v>
      </c>
      <c r="D413" s="44" t="s">
        <v>685</v>
      </c>
      <c r="E413" s="43" t="s">
        <v>686</v>
      </c>
      <c r="F413" s="43" t="s">
        <v>66</v>
      </c>
      <c r="G413" s="43" t="s">
        <v>67</v>
      </c>
      <c r="H413" s="43" t="s">
        <v>28</v>
      </c>
      <c r="I413" s="43" t="s">
        <v>12</v>
      </c>
      <c r="J413" s="43" t="s">
        <v>21</v>
      </c>
      <c r="K413" s="43" t="s">
        <v>21</v>
      </c>
      <c r="L413" s="43" t="s">
        <v>29</v>
      </c>
      <c r="M413" s="43" t="s">
        <v>21</v>
      </c>
      <c r="N413" s="43" t="s">
        <v>21</v>
      </c>
      <c r="O413" s="25">
        <v>5.2402102798000005E-2</v>
      </c>
      <c r="P413" s="46">
        <f t="shared" si="7"/>
        <v>1.1043251217752647E-5</v>
      </c>
    </row>
    <row r="414" spans="2:16" ht="32.1" hidden="1">
      <c r="B414" s="43">
        <v>408</v>
      </c>
      <c r="C414" s="43">
        <v>910310</v>
      </c>
      <c r="D414" s="44" t="s">
        <v>697</v>
      </c>
      <c r="E414" s="43" t="s">
        <v>698</v>
      </c>
      <c r="F414" s="43" t="s">
        <v>66</v>
      </c>
      <c r="G414" s="43" t="s">
        <v>67</v>
      </c>
      <c r="H414" s="43" t="s">
        <v>28</v>
      </c>
      <c r="I414" s="43" t="s">
        <v>12</v>
      </c>
      <c r="J414" s="43" t="s">
        <v>21</v>
      </c>
      <c r="K414" s="43" t="s">
        <v>21</v>
      </c>
      <c r="L414" s="43" t="s">
        <v>29</v>
      </c>
      <c r="M414" s="43" t="s">
        <v>21</v>
      </c>
      <c r="N414" s="43" t="s">
        <v>21</v>
      </c>
      <c r="O414" s="25">
        <v>2.1406362623999985E-2</v>
      </c>
      <c r="P414" s="46">
        <f t="shared" si="7"/>
        <v>4.5111899617159059E-6</v>
      </c>
    </row>
    <row r="415" spans="2:16" ht="48" hidden="1">
      <c r="B415" s="43">
        <v>352</v>
      </c>
      <c r="C415" s="43">
        <v>910511</v>
      </c>
      <c r="D415" s="44" t="s">
        <v>645</v>
      </c>
      <c r="E415" s="43" t="s">
        <v>646</v>
      </c>
      <c r="F415" s="43" t="s">
        <v>66</v>
      </c>
      <c r="G415" s="43" t="s">
        <v>67</v>
      </c>
      <c r="H415" s="43" t="s">
        <v>28</v>
      </c>
      <c r="I415" s="43" t="s">
        <v>12</v>
      </c>
      <c r="J415" s="43" t="s">
        <v>21</v>
      </c>
      <c r="K415" s="43" t="s">
        <v>21</v>
      </c>
      <c r="L415" s="43" t="s">
        <v>29</v>
      </c>
      <c r="M415" s="43" t="s">
        <v>21</v>
      </c>
      <c r="N415" s="43" t="s">
        <v>21</v>
      </c>
      <c r="O415" s="25">
        <v>0.39301617172699993</v>
      </c>
      <c r="P415" s="46">
        <f t="shared" si="7"/>
        <v>8.2824468585759203E-5</v>
      </c>
    </row>
    <row r="416" spans="2:16" ht="48" hidden="1">
      <c r="B416" s="43">
        <v>308</v>
      </c>
      <c r="C416" s="43">
        <v>910521</v>
      </c>
      <c r="D416" s="44" t="s">
        <v>599</v>
      </c>
      <c r="E416" s="43" t="s">
        <v>600</v>
      </c>
      <c r="F416" s="43" t="s">
        <v>66</v>
      </c>
      <c r="G416" s="43" t="s">
        <v>67</v>
      </c>
      <c r="H416" s="43" t="s">
        <v>28</v>
      </c>
      <c r="I416" s="43" t="s">
        <v>12</v>
      </c>
      <c r="J416" s="43" t="s">
        <v>21</v>
      </c>
      <c r="K416" s="43" t="s">
        <v>21</v>
      </c>
      <c r="L416" s="43" t="s">
        <v>29</v>
      </c>
      <c r="M416" s="43" t="s">
        <v>21</v>
      </c>
      <c r="N416" s="43" t="s">
        <v>21</v>
      </c>
      <c r="O416" s="25">
        <v>0.71028785997400012</v>
      </c>
      <c r="P416" s="46">
        <f t="shared" si="7"/>
        <v>1.4968649836151558E-4</v>
      </c>
    </row>
    <row r="417" spans="2:16" ht="48" hidden="1">
      <c r="B417" s="43">
        <v>383</v>
      </c>
      <c r="C417" s="43">
        <v>910591</v>
      </c>
      <c r="D417" s="44" t="s">
        <v>670</v>
      </c>
      <c r="E417" s="43" t="s">
        <v>646</v>
      </c>
      <c r="F417" s="43" t="s">
        <v>66</v>
      </c>
      <c r="G417" s="43" t="s">
        <v>67</v>
      </c>
      <c r="H417" s="43" t="s">
        <v>28</v>
      </c>
      <c r="I417" s="43" t="s">
        <v>12</v>
      </c>
      <c r="J417" s="43" t="s">
        <v>21</v>
      </c>
      <c r="K417" s="43" t="s">
        <v>21</v>
      </c>
      <c r="L417" s="43" t="s">
        <v>29</v>
      </c>
      <c r="M417" s="43" t="s">
        <v>21</v>
      </c>
      <c r="N417" s="43" t="s">
        <v>21</v>
      </c>
      <c r="O417" s="25">
        <v>0.17252940400299999</v>
      </c>
      <c r="P417" s="46">
        <f t="shared" si="7"/>
        <v>3.6358952200807216E-5</v>
      </c>
    </row>
    <row r="418" spans="2:16" ht="48" hidden="1">
      <c r="B418" s="43">
        <v>386</v>
      </c>
      <c r="C418" s="43">
        <v>910610</v>
      </c>
      <c r="D418" s="44" t="s">
        <v>673</v>
      </c>
      <c r="E418" s="43" t="s">
        <v>664</v>
      </c>
      <c r="F418" s="43" t="s">
        <v>66</v>
      </c>
      <c r="G418" s="43" t="s">
        <v>67</v>
      </c>
      <c r="H418" s="43" t="s">
        <v>28</v>
      </c>
      <c r="I418" s="43" t="s">
        <v>12</v>
      </c>
      <c r="J418" s="43" t="s">
        <v>21</v>
      </c>
      <c r="K418" s="43" t="s">
        <v>21</v>
      </c>
      <c r="L418" s="43" t="s">
        <v>29</v>
      </c>
      <c r="M418" s="43" t="s">
        <v>21</v>
      </c>
      <c r="N418" s="43" t="s">
        <v>21</v>
      </c>
      <c r="O418" s="25">
        <v>0.15631644384300006</v>
      </c>
      <c r="P418" s="46">
        <f t="shared" si="7"/>
        <v>3.2942223053114923E-5</v>
      </c>
    </row>
    <row r="419" spans="2:16" ht="48" hidden="1">
      <c r="B419" s="43">
        <v>372</v>
      </c>
      <c r="C419" s="43">
        <v>910690</v>
      </c>
      <c r="D419" s="44" t="s">
        <v>663</v>
      </c>
      <c r="E419" s="43" t="s">
        <v>664</v>
      </c>
      <c r="F419" s="43" t="s">
        <v>66</v>
      </c>
      <c r="G419" s="43" t="s">
        <v>67</v>
      </c>
      <c r="H419" s="43" t="s">
        <v>28</v>
      </c>
      <c r="I419" s="43" t="s">
        <v>12</v>
      </c>
      <c r="J419" s="43" t="s">
        <v>21</v>
      </c>
      <c r="K419" s="43" t="s">
        <v>21</v>
      </c>
      <c r="L419" s="43" t="s">
        <v>29</v>
      </c>
      <c r="M419" s="43" t="s">
        <v>21</v>
      </c>
      <c r="N419" s="43" t="s">
        <v>21</v>
      </c>
      <c r="O419" s="25">
        <v>0.23128833685799999</v>
      </c>
      <c r="P419" s="46">
        <f t="shared" si="7"/>
        <v>4.8741845675639115E-5</v>
      </c>
    </row>
    <row r="420" spans="2:16" ht="63.95" hidden="1">
      <c r="B420" s="31">
        <v>325</v>
      </c>
      <c r="C420" s="31">
        <v>910811</v>
      </c>
      <c r="D420" s="32" t="s">
        <v>630</v>
      </c>
      <c r="E420" s="31" t="s">
        <v>631</v>
      </c>
      <c r="F420" s="31" t="s">
        <v>66</v>
      </c>
      <c r="G420" s="31" t="s">
        <v>67</v>
      </c>
      <c r="H420" s="31" t="s">
        <v>20</v>
      </c>
      <c r="I420" s="31" t="s">
        <v>12</v>
      </c>
      <c r="J420" s="31" t="s">
        <v>21</v>
      </c>
      <c r="K420" s="31" t="s">
        <v>21</v>
      </c>
      <c r="L420" s="31" t="s">
        <v>29</v>
      </c>
      <c r="M420" s="34" t="s">
        <v>21</v>
      </c>
      <c r="N420" s="31" t="s">
        <v>21</v>
      </c>
      <c r="O420" s="23">
        <v>0.61560709286899995</v>
      </c>
      <c r="P420" s="71">
        <f t="shared" si="7"/>
        <v>1.2973341554992364E-4</v>
      </c>
    </row>
    <row r="421" spans="2:16" ht="48" hidden="1">
      <c r="B421" s="43">
        <v>416</v>
      </c>
      <c r="C421" s="43">
        <v>910812</v>
      </c>
      <c r="D421" s="44" t="s">
        <v>704</v>
      </c>
      <c r="E421" s="43" t="s">
        <v>705</v>
      </c>
      <c r="F421" s="43" t="s">
        <v>66</v>
      </c>
      <c r="G421" s="43" t="s">
        <v>67</v>
      </c>
      <c r="H421" s="43" t="s">
        <v>20</v>
      </c>
      <c r="I421" s="43" t="s">
        <v>12</v>
      </c>
      <c r="J421" s="43" t="s">
        <v>21</v>
      </c>
      <c r="K421" s="43" t="s">
        <v>29</v>
      </c>
      <c r="L421" s="43" t="s">
        <v>29</v>
      </c>
      <c r="M421" s="43" t="s">
        <v>21</v>
      </c>
      <c r="N421" s="43" t="s">
        <v>29</v>
      </c>
      <c r="O421" s="25">
        <v>1.0156535545000001E-2</v>
      </c>
      <c r="P421" s="46">
        <f t="shared" si="7"/>
        <v>2.1403945173312794E-6</v>
      </c>
    </row>
    <row r="422" spans="2:16" ht="63.95" hidden="1">
      <c r="B422" s="43">
        <v>410</v>
      </c>
      <c r="C422" s="43">
        <v>910819</v>
      </c>
      <c r="D422" s="44" t="s">
        <v>699</v>
      </c>
      <c r="E422" s="43" t="s">
        <v>631</v>
      </c>
      <c r="F422" s="43" t="s">
        <v>66</v>
      </c>
      <c r="G422" s="43" t="s">
        <v>67</v>
      </c>
      <c r="H422" s="43" t="s">
        <v>20</v>
      </c>
      <c r="I422" s="43" t="s">
        <v>12</v>
      </c>
      <c r="J422" s="43" t="s">
        <v>21</v>
      </c>
      <c r="K422" s="43" t="s">
        <v>21</v>
      </c>
      <c r="L422" s="43" t="s">
        <v>29</v>
      </c>
      <c r="M422" s="43" t="s">
        <v>21</v>
      </c>
      <c r="N422" s="43" t="s">
        <v>21</v>
      </c>
      <c r="O422" s="25">
        <v>1.7965299811E-2</v>
      </c>
      <c r="P422" s="46">
        <f t="shared" si="7"/>
        <v>3.7860182783101825E-6</v>
      </c>
    </row>
    <row r="423" spans="2:16" ht="32.1" hidden="1">
      <c r="B423" s="43">
        <v>404</v>
      </c>
      <c r="C423" s="43">
        <v>910910</v>
      </c>
      <c r="D423" s="44" t="s">
        <v>692</v>
      </c>
      <c r="E423" s="43" t="s">
        <v>693</v>
      </c>
      <c r="F423" s="43" t="s">
        <v>66</v>
      </c>
      <c r="G423" s="43" t="s">
        <v>67</v>
      </c>
      <c r="H423" s="43" t="s">
        <v>20</v>
      </c>
      <c r="I423" s="43" t="s">
        <v>12</v>
      </c>
      <c r="J423" s="43" t="s">
        <v>21</v>
      </c>
      <c r="K423" s="43" t="s">
        <v>29</v>
      </c>
      <c r="L423" s="43" t="s">
        <v>29</v>
      </c>
      <c r="M423" s="43" t="s">
        <v>21</v>
      </c>
      <c r="N423" s="43" t="s">
        <v>29</v>
      </c>
      <c r="O423" s="25">
        <v>4.4112563034999996E-2</v>
      </c>
      <c r="P423" s="46">
        <f t="shared" si="7"/>
        <v>9.29630853426452E-6</v>
      </c>
    </row>
    <row r="424" spans="2:16" ht="32.1" hidden="1">
      <c r="B424" s="43">
        <v>32</v>
      </c>
      <c r="C424" s="43">
        <v>950450</v>
      </c>
      <c r="D424" s="44" t="s">
        <v>92</v>
      </c>
      <c r="E424" s="43" t="s">
        <v>93</v>
      </c>
      <c r="F424" s="43" t="s">
        <v>66</v>
      </c>
      <c r="G424" s="43" t="s">
        <v>67</v>
      </c>
      <c r="H424" s="43" t="s">
        <v>28</v>
      </c>
      <c r="I424" s="43" t="s">
        <v>12</v>
      </c>
      <c r="J424" s="43" t="s">
        <v>21</v>
      </c>
      <c r="K424" s="43" t="s">
        <v>29</v>
      </c>
      <c r="L424" s="43" t="s">
        <v>29</v>
      </c>
      <c r="M424" s="43" t="s">
        <v>21</v>
      </c>
      <c r="N424" s="43" t="s">
        <v>29</v>
      </c>
      <c r="O424" s="25">
        <v>28.457359448270005</v>
      </c>
      <c r="P424" s="46">
        <f t="shared" si="7"/>
        <v>5.9971213482128962E-3</v>
      </c>
    </row>
    <row r="425" spans="2:16" ht="48">
      <c r="B425" s="35">
        <v>249</v>
      </c>
      <c r="C425" s="35">
        <v>961210</v>
      </c>
      <c r="D425" s="36" t="s">
        <v>651</v>
      </c>
      <c r="E425" s="35" t="s">
        <v>652</v>
      </c>
      <c r="F425" s="35" t="s">
        <v>36</v>
      </c>
      <c r="G425" s="35" t="s">
        <v>67</v>
      </c>
      <c r="H425" s="35" t="s">
        <v>20</v>
      </c>
      <c r="I425" s="35" t="s">
        <v>12</v>
      </c>
      <c r="J425" s="35" t="s">
        <v>21</v>
      </c>
      <c r="K425" s="35" t="s">
        <v>21</v>
      </c>
      <c r="L425" s="35" t="s">
        <v>29</v>
      </c>
      <c r="M425" s="38" t="s">
        <v>21</v>
      </c>
      <c r="N425" s="35" t="s">
        <v>21</v>
      </c>
      <c r="O425" s="24">
        <v>1.56514812672</v>
      </c>
      <c r="P425" s="70">
        <f t="shared" si="7"/>
        <v>3.2984027421555296E-4</v>
      </c>
    </row>
    <row r="426" spans="2:16" ht="32.1" hidden="1">
      <c r="B426" s="5">
        <v>333</v>
      </c>
      <c r="C426" s="5">
        <v>961380</v>
      </c>
      <c r="D426" s="6" t="s">
        <v>634</v>
      </c>
      <c r="E426" s="5" t="s">
        <v>635</v>
      </c>
      <c r="F426" s="5" t="s">
        <v>66</v>
      </c>
      <c r="G426" s="5" t="s">
        <v>67</v>
      </c>
      <c r="H426" s="5" t="s">
        <v>28</v>
      </c>
      <c r="I426" s="5" t="s">
        <v>12</v>
      </c>
      <c r="J426" s="5" t="s">
        <v>21</v>
      </c>
      <c r="K426" s="5" t="s">
        <v>21</v>
      </c>
      <c r="L426" s="5" t="s">
        <v>29</v>
      </c>
      <c r="M426" s="7" t="s">
        <v>21</v>
      </c>
      <c r="N426" s="5" t="s">
        <v>21</v>
      </c>
      <c r="O426" s="8">
        <v>0.54706404131399999</v>
      </c>
      <c r="P426" s="9">
        <f t="shared" ref="P426" si="8">O426/SUM($O$4:$O$426)</f>
        <v>1.1528861091162341E-4</v>
      </c>
    </row>
    <row r="427" spans="2:16">
      <c r="P427" s="14"/>
    </row>
    <row r="428" spans="2:16">
      <c r="O428" s="15"/>
    </row>
  </sheetData>
  <autoFilter ref="B3:P426" xr:uid="{6B6DA2D0-1701-457E-8FD6-00776406C4B4}">
    <filterColumn colId="4">
      <filters>
        <filter val="Computer Hardware"/>
      </filters>
    </filterColumn>
    <filterColumn colId="8">
      <filters>
        <filter val="Yes"/>
      </filters>
    </filterColumn>
    <sortState xmlns:xlrd2="http://schemas.microsoft.com/office/spreadsheetml/2017/richdata2" ref="B71:P425">
      <sortCondition ref="C3:C426"/>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E785-11F8-47A0-8DDE-7CA484085661}">
  <sheetPr filterMode="1"/>
  <dimension ref="B1:O320"/>
  <sheetViews>
    <sheetView workbookViewId="0">
      <pane xSplit="1" ySplit="2" topLeftCell="B9" activePane="bottomRight" state="frozen"/>
      <selection pane="bottomRight" activeCell="B78" sqref="B78"/>
      <selection pane="bottomLeft" activeCell="A3" sqref="A3"/>
      <selection pane="topRight" activeCell="B1" sqref="B1"/>
    </sheetView>
  </sheetViews>
  <sheetFormatPr defaultColWidth="8.85546875" defaultRowHeight="15"/>
  <cols>
    <col min="2" max="2" width="14.42578125" customWidth="1"/>
    <col min="3" max="3" width="15.42578125" customWidth="1"/>
    <col min="4" max="4" width="22.85546875" customWidth="1"/>
    <col min="5" max="8" width="12.28515625" customWidth="1"/>
    <col min="9" max="9" width="18.7109375" customWidth="1"/>
    <col min="10" max="10" width="17.140625" customWidth="1"/>
  </cols>
  <sheetData>
    <row r="1" spans="2:13" ht="21" customHeight="1">
      <c r="F1" s="83" t="s">
        <v>722</v>
      </c>
      <c r="G1" s="83"/>
      <c r="H1" s="83"/>
      <c r="I1" s="83"/>
      <c r="L1" s="52" t="s">
        <v>723</v>
      </c>
      <c r="M1" s="78"/>
    </row>
    <row r="2" spans="2:13" s="13" customFormat="1" ht="24">
      <c r="B2" s="52" t="s">
        <v>1</v>
      </c>
      <c r="C2" s="52" t="s">
        <v>724</v>
      </c>
      <c r="D2" s="52" t="s">
        <v>725</v>
      </c>
      <c r="E2" s="52" t="s">
        <v>726</v>
      </c>
      <c r="F2" s="52" t="s">
        <v>12</v>
      </c>
      <c r="G2" s="52" t="s">
        <v>13</v>
      </c>
      <c r="H2" s="52" t="s">
        <v>11</v>
      </c>
      <c r="I2" s="52" t="s">
        <v>727</v>
      </c>
      <c r="J2" s="52" t="s">
        <v>728</v>
      </c>
      <c r="L2" s="52" t="s">
        <v>729</v>
      </c>
      <c r="M2" s="79" t="s">
        <v>730</v>
      </c>
    </row>
    <row r="3" spans="2:13">
      <c r="B3" s="50">
        <v>844311</v>
      </c>
      <c r="C3" s="54" t="s">
        <v>731</v>
      </c>
      <c r="D3" s="54" t="s">
        <v>732</v>
      </c>
      <c r="E3" s="50" t="s">
        <v>29</v>
      </c>
      <c r="F3" s="50" t="s">
        <v>29</v>
      </c>
      <c r="G3" s="50" t="s">
        <v>21</v>
      </c>
      <c r="H3" s="50" t="s">
        <v>29</v>
      </c>
      <c r="I3" s="73" t="s">
        <v>733</v>
      </c>
      <c r="J3" s="50"/>
      <c r="L3" s="49">
        <v>8443</v>
      </c>
      <c r="M3" s="49" t="s">
        <v>734</v>
      </c>
    </row>
    <row r="4" spans="2:13">
      <c r="B4" s="50">
        <v>844312</v>
      </c>
      <c r="C4" s="54" t="s">
        <v>735</v>
      </c>
      <c r="D4" s="54" t="s">
        <v>732</v>
      </c>
      <c r="E4" s="50" t="s">
        <v>29</v>
      </c>
      <c r="F4" s="50" t="s">
        <v>29</v>
      </c>
      <c r="G4" s="50" t="s">
        <v>21</v>
      </c>
      <c r="H4" s="50" t="s">
        <v>29</v>
      </c>
      <c r="I4" s="73" t="s">
        <v>733</v>
      </c>
      <c r="J4" s="50"/>
      <c r="L4" s="50">
        <v>8470</v>
      </c>
      <c r="M4" s="49" t="s">
        <v>734</v>
      </c>
    </row>
    <row r="5" spans="2:13">
      <c r="B5" s="50">
        <v>844313</v>
      </c>
      <c r="C5" s="54" t="s">
        <v>736</v>
      </c>
      <c r="D5" s="54" t="s">
        <v>732</v>
      </c>
      <c r="E5" s="50" t="s">
        <v>29</v>
      </c>
      <c r="F5" s="50" t="s">
        <v>29</v>
      </c>
      <c r="G5" s="50" t="s">
        <v>21</v>
      </c>
      <c r="H5" s="50" t="s">
        <v>29</v>
      </c>
      <c r="I5" s="73" t="s">
        <v>733</v>
      </c>
      <c r="J5" s="50"/>
      <c r="L5" s="50">
        <v>8471</v>
      </c>
      <c r="M5" s="49" t="s">
        <v>734</v>
      </c>
    </row>
    <row r="6" spans="2:13">
      <c r="B6" s="50">
        <v>844314</v>
      </c>
      <c r="C6" s="54" t="s">
        <v>737</v>
      </c>
      <c r="D6" s="54" t="s">
        <v>732</v>
      </c>
      <c r="E6" s="50" t="s">
        <v>29</v>
      </c>
      <c r="F6" s="50" t="s">
        <v>29</v>
      </c>
      <c r="G6" s="50" t="s">
        <v>21</v>
      </c>
      <c r="H6" s="50" t="s">
        <v>29</v>
      </c>
      <c r="I6" s="73" t="s">
        <v>738</v>
      </c>
      <c r="J6" s="50"/>
      <c r="L6" s="50">
        <v>8473</v>
      </c>
      <c r="M6" s="49" t="s">
        <v>734</v>
      </c>
    </row>
    <row r="7" spans="2:13">
      <c r="B7" s="50">
        <v>844315</v>
      </c>
      <c r="C7" s="54" t="s">
        <v>739</v>
      </c>
      <c r="D7" s="54" t="s">
        <v>732</v>
      </c>
      <c r="E7" s="50" t="s">
        <v>29</v>
      </c>
      <c r="F7" s="50" t="s">
        <v>29</v>
      </c>
      <c r="G7" s="50" t="s">
        <v>21</v>
      </c>
      <c r="H7" s="50" t="s">
        <v>29</v>
      </c>
      <c r="I7" s="73" t="s">
        <v>738</v>
      </c>
      <c r="J7" s="50"/>
      <c r="L7" s="50">
        <v>8501</v>
      </c>
      <c r="M7" s="49" t="s">
        <v>734</v>
      </c>
    </row>
    <row r="8" spans="2:13">
      <c r="B8" s="50">
        <v>844316</v>
      </c>
      <c r="C8" s="54" t="s">
        <v>740</v>
      </c>
      <c r="D8" s="54" t="s">
        <v>732</v>
      </c>
      <c r="E8" s="50" t="s">
        <v>29</v>
      </c>
      <c r="F8" s="50" t="s">
        <v>29</v>
      </c>
      <c r="G8" s="50" t="s">
        <v>21</v>
      </c>
      <c r="H8" s="50" t="s">
        <v>29</v>
      </c>
      <c r="I8" s="73" t="s">
        <v>733</v>
      </c>
      <c r="J8" s="50"/>
      <c r="L8" s="50">
        <v>8504</v>
      </c>
      <c r="M8" s="49" t="s">
        <v>734</v>
      </c>
    </row>
    <row r="9" spans="2:13">
      <c r="B9" s="50">
        <v>844317</v>
      </c>
      <c r="C9" s="54" t="s">
        <v>741</v>
      </c>
      <c r="D9" s="54" t="s">
        <v>732</v>
      </c>
      <c r="E9" s="50" t="s">
        <v>29</v>
      </c>
      <c r="F9" s="50" t="s">
        <v>29</v>
      </c>
      <c r="G9" s="50" t="s">
        <v>21</v>
      </c>
      <c r="H9" s="50" t="s">
        <v>29</v>
      </c>
      <c r="I9" s="73" t="s">
        <v>733</v>
      </c>
      <c r="J9" s="50"/>
      <c r="L9" s="50">
        <v>8505</v>
      </c>
      <c r="M9" s="49" t="s">
        <v>734</v>
      </c>
    </row>
    <row r="10" spans="2:13">
      <c r="B10" s="50">
        <v>844319</v>
      </c>
      <c r="C10" s="54" t="s">
        <v>742</v>
      </c>
      <c r="D10" s="54" t="s">
        <v>732</v>
      </c>
      <c r="E10" s="50" t="s">
        <v>29</v>
      </c>
      <c r="F10" s="50" t="s">
        <v>29</v>
      </c>
      <c r="G10" s="50" t="s">
        <v>21</v>
      </c>
      <c r="H10" s="50" t="s">
        <v>29</v>
      </c>
      <c r="I10" s="73" t="s">
        <v>733</v>
      </c>
      <c r="J10" s="50"/>
      <c r="L10" s="50">
        <v>8506</v>
      </c>
      <c r="M10" s="49" t="s">
        <v>734</v>
      </c>
    </row>
    <row r="11" spans="2:13">
      <c r="B11" s="50">
        <v>847110</v>
      </c>
      <c r="C11" s="54" t="s">
        <v>743</v>
      </c>
      <c r="D11" s="54" t="s">
        <v>744</v>
      </c>
      <c r="E11" s="50" t="s">
        <v>29</v>
      </c>
      <c r="F11" s="50" t="s">
        <v>29</v>
      </c>
      <c r="G11" s="50" t="s">
        <v>21</v>
      </c>
      <c r="H11" s="50" t="s">
        <v>29</v>
      </c>
      <c r="I11" s="73" t="s">
        <v>738</v>
      </c>
      <c r="J11" s="50"/>
      <c r="L11" s="50"/>
      <c r="M11" s="49"/>
    </row>
    <row r="12" spans="2:13">
      <c r="B12" s="50">
        <v>847190</v>
      </c>
      <c r="C12" s="54" t="s">
        <v>745</v>
      </c>
      <c r="D12" s="54" t="s">
        <v>746</v>
      </c>
      <c r="E12" s="50" t="s">
        <v>21</v>
      </c>
      <c r="F12" s="50" t="s">
        <v>747</v>
      </c>
      <c r="G12" s="50" t="s">
        <v>747</v>
      </c>
      <c r="H12" s="50" t="s">
        <v>747</v>
      </c>
      <c r="I12" s="73" t="s">
        <v>748</v>
      </c>
      <c r="J12" s="50" t="s">
        <v>21</v>
      </c>
      <c r="L12" s="50">
        <v>8511</v>
      </c>
      <c r="M12" s="49" t="s">
        <v>734</v>
      </c>
    </row>
    <row r="13" spans="2:13">
      <c r="B13" s="50">
        <v>847210</v>
      </c>
      <c r="C13" s="54" t="s">
        <v>749</v>
      </c>
      <c r="D13" s="54" t="s">
        <v>750</v>
      </c>
      <c r="E13" s="50" t="s">
        <v>29</v>
      </c>
      <c r="F13" s="50" t="s">
        <v>29</v>
      </c>
      <c r="G13" s="50" t="s">
        <v>751</v>
      </c>
      <c r="H13" s="50" t="s">
        <v>29</v>
      </c>
      <c r="I13" s="73" t="s">
        <v>752</v>
      </c>
      <c r="J13" s="50"/>
      <c r="L13" s="50">
        <v>8516</v>
      </c>
      <c r="M13" s="49" t="s">
        <v>734</v>
      </c>
    </row>
    <row r="14" spans="2:13">
      <c r="B14" s="50">
        <v>847230</v>
      </c>
      <c r="C14" s="54" t="s">
        <v>753</v>
      </c>
      <c r="D14" s="54" t="s">
        <v>750</v>
      </c>
      <c r="E14" s="50" t="s">
        <v>29</v>
      </c>
      <c r="F14" s="50" t="s">
        <v>29</v>
      </c>
      <c r="G14" s="50" t="s">
        <v>751</v>
      </c>
      <c r="H14" s="50" t="s">
        <v>29</v>
      </c>
      <c r="I14" s="73" t="s">
        <v>752</v>
      </c>
      <c r="J14" s="50"/>
      <c r="L14" s="50">
        <v>8517</v>
      </c>
      <c r="M14" s="49" t="s">
        <v>734</v>
      </c>
    </row>
    <row r="15" spans="2:13">
      <c r="B15" s="50">
        <v>847290</v>
      </c>
      <c r="C15" s="54" t="s">
        <v>754</v>
      </c>
      <c r="D15" s="54" t="s">
        <v>750</v>
      </c>
      <c r="E15" s="50" t="s">
        <v>21</v>
      </c>
      <c r="F15" s="50" t="s">
        <v>747</v>
      </c>
      <c r="G15" s="50" t="s">
        <v>747</v>
      </c>
      <c r="H15" s="50" t="s">
        <v>747</v>
      </c>
      <c r="I15" s="73" t="s">
        <v>755</v>
      </c>
      <c r="J15" s="50"/>
      <c r="L15" s="50">
        <v>8518</v>
      </c>
      <c r="M15" s="49" t="s">
        <v>734</v>
      </c>
    </row>
    <row r="16" spans="2:13" hidden="1">
      <c r="B16" s="50">
        <v>847350</v>
      </c>
      <c r="C16" s="54" t="s">
        <v>756</v>
      </c>
      <c r="D16" s="54" t="s">
        <v>757</v>
      </c>
      <c r="E16" s="50" t="s">
        <v>29</v>
      </c>
      <c r="F16" s="50" t="s">
        <v>29</v>
      </c>
      <c r="G16" s="50" t="s">
        <v>21</v>
      </c>
      <c r="H16" s="50" t="s">
        <v>29</v>
      </c>
      <c r="I16" s="73" t="s">
        <v>758</v>
      </c>
      <c r="J16" s="50"/>
      <c r="L16" s="50">
        <v>8519</v>
      </c>
      <c r="M16" s="49" t="s">
        <v>734</v>
      </c>
    </row>
    <row r="17" spans="2:15" hidden="1">
      <c r="B17" s="50">
        <v>850120</v>
      </c>
      <c r="C17" s="54" t="s">
        <v>759</v>
      </c>
      <c r="D17" s="54" t="s">
        <v>760</v>
      </c>
      <c r="E17" s="50" t="s">
        <v>29</v>
      </c>
      <c r="F17" s="50" t="s">
        <v>29</v>
      </c>
      <c r="G17" s="50" t="s">
        <v>21</v>
      </c>
      <c r="H17" s="50" t="s">
        <v>751</v>
      </c>
      <c r="I17" s="73" t="s">
        <v>761</v>
      </c>
      <c r="J17" s="50"/>
      <c r="L17" s="50">
        <v>8522</v>
      </c>
      <c r="M17" s="49" t="s">
        <v>734</v>
      </c>
    </row>
    <row r="18" spans="2:15" hidden="1">
      <c r="B18" s="50">
        <v>850131</v>
      </c>
      <c r="C18" s="54" t="s">
        <v>762</v>
      </c>
      <c r="D18" s="54" t="s">
        <v>760</v>
      </c>
      <c r="E18" s="50" t="s">
        <v>29</v>
      </c>
      <c r="F18" s="50" t="s">
        <v>29</v>
      </c>
      <c r="G18" s="50" t="s">
        <v>21</v>
      </c>
      <c r="H18" s="50" t="s">
        <v>751</v>
      </c>
      <c r="I18" s="73" t="s">
        <v>761</v>
      </c>
      <c r="J18" s="50"/>
      <c r="L18" s="50">
        <v>8523</v>
      </c>
      <c r="M18" s="49" t="s">
        <v>734</v>
      </c>
    </row>
    <row r="19" spans="2:15" hidden="1">
      <c r="B19" s="50">
        <v>850132</v>
      </c>
      <c r="C19" s="54" t="s">
        <v>763</v>
      </c>
      <c r="D19" s="54" t="s">
        <v>760</v>
      </c>
      <c r="E19" s="50" t="s">
        <v>29</v>
      </c>
      <c r="F19" s="50" t="s">
        <v>29</v>
      </c>
      <c r="G19" s="50" t="s">
        <v>21</v>
      </c>
      <c r="H19" s="50" t="s">
        <v>751</v>
      </c>
      <c r="I19" s="73" t="s">
        <v>761</v>
      </c>
      <c r="J19" s="50"/>
      <c r="L19" s="50">
        <v>8525</v>
      </c>
      <c r="M19" s="49" t="s">
        <v>734</v>
      </c>
      <c r="N19" s="51"/>
      <c r="O19" s="49"/>
    </row>
    <row r="20" spans="2:15" hidden="1">
      <c r="B20" s="50">
        <v>850133</v>
      </c>
      <c r="C20" s="54" t="s">
        <v>764</v>
      </c>
      <c r="D20" s="54" t="s">
        <v>760</v>
      </c>
      <c r="E20" s="50" t="s">
        <v>29</v>
      </c>
      <c r="F20" s="50" t="s">
        <v>29</v>
      </c>
      <c r="G20" s="50" t="s">
        <v>21</v>
      </c>
      <c r="H20" s="50" t="s">
        <v>751</v>
      </c>
      <c r="I20" s="73" t="s">
        <v>761</v>
      </c>
      <c r="J20" s="50"/>
      <c r="L20" s="50">
        <v>8526</v>
      </c>
      <c r="M20" s="49" t="s">
        <v>734</v>
      </c>
    </row>
    <row r="21" spans="2:15" hidden="1">
      <c r="B21" s="50">
        <v>850134</v>
      </c>
      <c r="C21" s="54" t="s">
        <v>765</v>
      </c>
      <c r="D21" s="54" t="s">
        <v>760</v>
      </c>
      <c r="E21" s="50" t="s">
        <v>29</v>
      </c>
      <c r="F21" s="50" t="s">
        <v>29</v>
      </c>
      <c r="G21" s="50" t="s">
        <v>21</v>
      </c>
      <c r="H21" s="50" t="s">
        <v>751</v>
      </c>
      <c r="I21" s="73" t="s">
        <v>761</v>
      </c>
      <c r="J21" s="50"/>
      <c r="L21" s="50">
        <v>8527</v>
      </c>
      <c r="M21" s="49" t="s">
        <v>734</v>
      </c>
    </row>
    <row r="22" spans="2:15" hidden="1">
      <c r="B22" s="49">
        <v>850140</v>
      </c>
      <c r="C22" s="54" t="s">
        <v>766</v>
      </c>
      <c r="D22" s="54" t="s">
        <v>760</v>
      </c>
      <c r="E22" s="50" t="s">
        <v>29</v>
      </c>
      <c r="F22" s="50" t="s">
        <v>29</v>
      </c>
      <c r="G22" s="50" t="s">
        <v>21</v>
      </c>
      <c r="H22" s="50" t="s">
        <v>751</v>
      </c>
      <c r="I22" s="73" t="s">
        <v>761</v>
      </c>
      <c r="J22" s="50"/>
      <c r="L22" s="50">
        <v>8528</v>
      </c>
      <c r="M22" s="49" t="s">
        <v>734</v>
      </c>
    </row>
    <row r="23" spans="2:15" hidden="1">
      <c r="B23" s="49">
        <v>850151</v>
      </c>
      <c r="C23" s="54" t="s">
        <v>767</v>
      </c>
      <c r="D23" s="54" t="s">
        <v>760</v>
      </c>
      <c r="E23" s="50" t="s">
        <v>29</v>
      </c>
      <c r="F23" s="50" t="s">
        <v>29</v>
      </c>
      <c r="G23" s="50" t="s">
        <v>21</v>
      </c>
      <c r="H23" s="50" t="s">
        <v>751</v>
      </c>
      <c r="I23" s="73" t="s">
        <v>761</v>
      </c>
      <c r="J23" s="50"/>
      <c r="L23" s="50">
        <v>8529</v>
      </c>
      <c r="M23" s="49" t="s">
        <v>734</v>
      </c>
    </row>
    <row r="24" spans="2:15" hidden="1">
      <c r="B24" s="49">
        <v>850152</v>
      </c>
      <c r="C24" s="54" t="s">
        <v>768</v>
      </c>
      <c r="D24" s="54" t="s">
        <v>760</v>
      </c>
      <c r="E24" s="50" t="s">
        <v>29</v>
      </c>
      <c r="F24" s="50" t="s">
        <v>29</v>
      </c>
      <c r="G24" s="50" t="s">
        <v>21</v>
      </c>
      <c r="H24" s="50" t="s">
        <v>751</v>
      </c>
      <c r="I24" s="73" t="s">
        <v>761</v>
      </c>
      <c r="J24" s="50"/>
      <c r="L24" s="50">
        <v>8531</v>
      </c>
      <c r="M24" s="49" t="s">
        <v>734</v>
      </c>
    </row>
    <row r="25" spans="2:15" hidden="1">
      <c r="B25" s="49">
        <v>850153</v>
      </c>
      <c r="C25" s="54" t="s">
        <v>769</v>
      </c>
      <c r="D25" s="54" t="s">
        <v>760</v>
      </c>
      <c r="E25" s="50" t="s">
        <v>29</v>
      </c>
      <c r="F25" s="50" t="s">
        <v>29</v>
      </c>
      <c r="G25" s="50" t="s">
        <v>21</v>
      </c>
      <c r="H25" s="50" t="s">
        <v>751</v>
      </c>
      <c r="I25" s="73" t="s">
        <v>761</v>
      </c>
      <c r="J25" s="50"/>
      <c r="L25" s="50">
        <v>8532</v>
      </c>
      <c r="M25" s="49" t="s">
        <v>734</v>
      </c>
    </row>
    <row r="26" spans="2:15" hidden="1">
      <c r="B26" s="49">
        <v>850161</v>
      </c>
      <c r="C26" s="54" t="s">
        <v>770</v>
      </c>
      <c r="D26" s="54" t="s">
        <v>760</v>
      </c>
      <c r="E26" s="50" t="s">
        <v>29</v>
      </c>
      <c r="F26" s="50" t="s">
        <v>29</v>
      </c>
      <c r="G26" s="50" t="s">
        <v>21</v>
      </c>
      <c r="H26" s="50" t="s">
        <v>751</v>
      </c>
      <c r="I26" s="73" t="s">
        <v>761</v>
      </c>
      <c r="J26" s="50"/>
      <c r="L26" s="50">
        <v>8533</v>
      </c>
      <c r="M26" s="49" t="s">
        <v>734</v>
      </c>
    </row>
    <row r="27" spans="2:15" hidden="1">
      <c r="B27" s="49">
        <v>850162</v>
      </c>
      <c r="C27" s="54" t="s">
        <v>771</v>
      </c>
      <c r="D27" s="54" t="s">
        <v>760</v>
      </c>
      <c r="E27" s="50" t="s">
        <v>29</v>
      </c>
      <c r="F27" s="50" t="s">
        <v>29</v>
      </c>
      <c r="G27" s="50" t="s">
        <v>21</v>
      </c>
      <c r="H27" s="50" t="s">
        <v>751</v>
      </c>
      <c r="I27" s="73" t="s">
        <v>761</v>
      </c>
      <c r="J27" s="50"/>
      <c r="L27" s="50">
        <v>8534</v>
      </c>
      <c r="M27" s="49" t="s">
        <v>734</v>
      </c>
    </row>
    <row r="28" spans="2:15" hidden="1">
      <c r="B28" s="49">
        <v>850163</v>
      </c>
      <c r="C28" s="54" t="s">
        <v>772</v>
      </c>
      <c r="D28" s="54" t="s">
        <v>760</v>
      </c>
      <c r="E28" s="50" t="s">
        <v>29</v>
      </c>
      <c r="F28" s="50" t="s">
        <v>29</v>
      </c>
      <c r="G28" s="50" t="s">
        <v>21</v>
      </c>
      <c r="H28" s="50" t="s">
        <v>751</v>
      </c>
      <c r="I28" s="73" t="s">
        <v>761</v>
      </c>
      <c r="J28" s="50"/>
      <c r="L28" s="50">
        <v>8535</v>
      </c>
      <c r="M28" s="49" t="s">
        <v>734</v>
      </c>
    </row>
    <row r="29" spans="2:15" hidden="1">
      <c r="B29" s="49">
        <v>850164</v>
      </c>
      <c r="C29" s="54" t="s">
        <v>773</v>
      </c>
      <c r="D29" s="54" t="s">
        <v>760</v>
      </c>
      <c r="E29" s="50" t="s">
        <v>29</v>
      </c>
      <c r="F29" s="50" t="s">
        <v>29</v>
      </c>
      <c r="G29" s="50" t="s">
        <v>21</v>
      </c>
      <c r="H29" s="50" t="s">
        <v>751</v>
      </c>
      <c r="I29" s="73" t="s">
        <v>761</v>
      </c>
      <c r="J29" s="50"/>
      <c r="L29" s="50">
        <v>8536</v>
      </c>
      <c r="M29" s="49" t="s">
        <v>734</v>
      </c>
    </row>
    <row r="30" spans="2:15" hidden="1">
      <c r="B30" s="50">
        <v>850171</v>
      </c>
      <c r="C30" s="54" t="s">
        <v>774</v>
      </c>
      <c r="D30" s="54" t="s">
        <v>760</v>
      </c>
      <c r="E30" s="50" t="s">
        <v>29</v>
      </c>
      <c r="F30" s="50" t="s">
        <v>29</v>
      </c>
      <c r="G30" s="50" t="s">
        <v>21</v>
      </c>
      <c r="H30" s="50" t="s">
        <v>751</v>
      </c>
      <c r="I30" s="73" t="s">
        <v>761</v>
      </c>
      <c r="J30" s="50"/>
      <c r="L30" s="50">
        <v>8537</v>
      </c>
      <c r="M30" s="49" t="s">
        <v>734</v>
      </c>
    </row>
    <row r="31" spans="2:15" hidden="1">
      <c r="B31" s="50">
        <v>850172</v>
      </c>
      <c r="C31" s="54" t="s">
        <v>775</v>
      </c>
      <c r="D31" s="54" t="s">
        <v>760</v>
      </c>
      <c r="E31" s="50" t="s">
        <v>29</v>
      </c>
      <c r="F31" s="50" t="s">
        <v>29</v>
      </c>
      <c r="G31" s="50" t="s">
        <v>21</v>
      </c>
      <c r="H31" s="50" t="s">
        <v>751</v>
      </c>
      <c r="I31" s="73" t="s">
        <v>761</v>
      </c>
      <c r="J31" s="50"/>
      <c r="L31" s="50">
        <v>8538</v>
      </c>
      <c r="M31" s="49" t="s">
        <v>734</v>
      </c>
    </row>
    <row r="32" spans="2:15" hidden="1">
      <c r="B32" s="50">
        <v>850180</v>
      </c>
      <c r="C32" s="54" t="s">
        <v>776</v>
      </c>
      <c r="D32" s="54" t="s">
        <v>760</v>
      </c>
      <c r="E32" s="50" t="s">
        <v>29</v>
      </c>
      <c r="F32" s="50" t="s">
        <v>29</v>
      </c>
      <c r="G32" s="50" t="s">
        <v>21</v>
      </c>
      <c r="H32" s="50" t="s">
        <v>751</v>
      </c>
      <c r="I32" s="73" t="s">
        <v>761</v>
      </c>
      <c r="J32" s="50"/>
      <c r="L32" s="50">
        <v>8539</v>
      </c>
      <c r="M32" s="49" t="s">
        <v>734</v>
      </c>
    </row>
    <row r="33" spans="2:13" hidden="1">
      <c r="B33" s="50">
        <v>850410</v>
      </c>
      <c r="C33" s="54" t="s">
        <v>777</v>
      </c>
      <c r="D33" s="54" t="s">
        <v>778</v>
      </c>
      <c r="E33" s="49" t="s">
        <v>29</v>
      </c>
      <c r="F33" s="50" t="s">
        <v>29</v>
      </c>
      <c r="G33" s="50" t="s">
        <v>21</v>
      </c>
      <c r="H33" s="50" t="s">
        <v>29</v>
      </c>
      <c r="I33" s="73" t="s">
        <v>733</v>
      </c>
      <c r="L33" s="50">
        <v>8540</v>
      </c>
      <c r="M33" s="49" t="s">
        <v>734</v>
      </c>
    </row>
    <row r="34" spans="2:13" hidden="1">
      <c r="B34" s="50">
        <v>850423</v>
      </c>
      <c r="C34" s="51" t="s">
        <v>779</v>
      </c>
      <c r="D34" s="54" t="s">
        <v>778</v>
      </c>
      <c r="E34" s="49" t="s">
        <v>29</v>
      </c>
      <c r="F34" s="50" t="s">
        <v>29</v>
      </c>
      <c r="G34" s="50" t="s">
        <v>21</v>
      </c>
      <c r="H34" s="50" t="s">
        <v>29</v>
      </c>
      <c r="I34" s="73" t="s">
        <v>780</v>
      </c>
      <c r="L34" s="50">
        <v>8541</v>
      </c>
      <c r="M34" s="49" t="s">
        <v>734</v>
      </c>
    </row>
    <row r="35" spans="2:13" hidden="1">
      <c r="B35" s="50">
        <v>850433</v>
      </c>
      <c r="C35" s="51" t="s">
        <v>781</v>
      </c>
      <c r="D35" s="54" t="s">
        <v>778</v>
      </c>
      <c r="E35" s="49" t="s">
        <v>29</v>
      </c>
      <c r="F35" s="50" t="s">
        <v>29</v>
      </c>
      <c r="G35" s="50" t="s">
        <v>21</v>
      </c>
      <c r="H35" s="50" t="s">
        <v>29</v>
      </c>
      <c r="I35" s="73" t="s">
        <v>733</v>
      </c>
      <c r="L35" s="50">
        <v>8542</v>
      </c>
      <c r="M35" s="49" t="s">
        <v>734</v>
      </c>
    </row>
    <row r="36" spans="2:13" hidden="1">
      <c r="B36" s="50">
        <v>850434</v>
      </c>
      <c r="C36" s="51" t="s">
        <v>782</v>
      </c>
      <c r="D36" s="54" t="s">
        <v>778</v>
      </c>
      <c r="E36" s="49" t="s">
        <v>29</v>
      </c>
      <c r="F36" s="50" t="s">
        <v>29</v>
      </c>
      <c r="G36" s="50" t="s">
        <v>21</v>
      </c>
      <c r="H36" s="50" t="s">
        <v>29</v>
      </c>
      <c r="I36" s="73" t="s">
        <v>733</v>
      </c>
      <c r="L36" s="50">
        <v>8543</v>
      </c>
      <c r="M36" s="49" t="s">
        <v>734</v>
      </c>
    </row>
    <row r="37" spans="2:13" hidden="1">
      <c r="B37" s="50">
        <v>850520</v>
      </c>
      <c r="C37" s="51" t="s">
        <v>783</v>
      </c>
      <c r="D37" s="54" t="s">
        <v>784</v>
      </c>
      <c r="E37" s="49" t="s">
        <v>29</v>
      </c>
      <c r="F37" s="50" t="s">
        <v>29</v>
      </c>
      <c r="G37" s="50" t="s">
        <v>21</v>
      </c>
      <c r="H37" s="50" t="s">
        <v>29</v>
      </c>
      <c r="I37" s="73" t="s">
        <v>733</v>
      </c>
      <c r="L37" s="50">
        <v>8544</v>
      </c>
      <c r="M37" s="49" t="s">
        <v>734</v>
      </c>
    </row>
    <row r="38" spans="2:13" hidden="1">
      <c r="B38" s="50">
        <v>850590</v>
      </c>
      <c r="C38" s="51" t="s">
        <v>785</v>
      </c>
      <c r="D38" s="54" t="s">
        <v>784</v>
      </c>
      <c r="E38" s="49" t="s">
        <v>29</v>
      </c>
      <c r="F38" s="50" t="s">
        <v>29</v>
      </c>
      <c r="G38" s="50" t="s">
        <v>21</v>
      </c>
      <c r="H38" s="50" t="s">
        <v>29</v>
      </c>
      <c r="I38" s="73" t="s">
        <v>733</v>
      </c>
      <c r="L38" s="50"/>
    </row>
    <row r="39" spans="2:13" hidden="1">
      <c r="B39" s="50">
        <v>851110</v>
      </c>
      <c r="C39" s="75" t="s">
        <v>786</v>
      </c>
      <c r="D39" s="54" t="s">
        <v>787</v>
      </c>
      <c r="E39" s="49" t="s">
        <v>29</v>
      </c>
      <c r="F39" s="50" t="s">
        <v>29</v>
      </c>
      <c r="G39" s="50" t="s">
        <v>21</v>
      </c>
      <c r="H39" s="50" t="s">
        <v>29</v>
      </c>
      <c r="I39" s="73" t="s">
        <v>738</v>
      </c>
      <c r="L39" s="50"/>
    </row>
    <row r="40" spans="2:13" hidden="1">
      <c r="B40" s="50">
        <v>851129.99999999988</v>
      </c>
      <c r="C40" s="75" t="s">
        <v>788</v>
      </c>
      <c r="D40" s="54" t="s">
        <v>787</v>
      </c>
      <c r="E40" s="49" t="s">
        <v>29</v>
      </c>
      <c r="F40" s="50" t="s">
        <v>29</v>
      </c>
      <c r="G40" s="50" t="s">
        <v>21</v>
      </c>
      <c r="H40" s="50" t="s">
        <v>29</v>
      </c>
      <c r="I40" s="73" t="s">
        <v>738</v>
      </c>
      <c r="L40" s="50"/>
    </row>
    <row r="41" spans="2:13" hidden="1">
      <c r="B41" s="50">
        <v>851140</v>
      </c>
      <c r="C41" s="75" t="s">
        <v>789</v>
      </c>
      <c r="D41" s="54" t="s">
        <v>787</v>
      </c>
      <c r="E41" s="49" t="s">
        <v>29</v>
      </c>
      <c r="F41" s="50" t="s">
        <v>29</v>
      </c>
      <c r="G41" s="50" t="s">
        <v>21</v>
      </c>
      <c r="H41" s="50" t="s">
        <v>29</v>
      </c>
      <c r="I41" s="73" t="s">
        <v>738</v>
      </c>
      <c r="L41" s="50"/>
    </row>
    <row r="42" spans="2:13" hidden="1">
      <c r="B42" s="50">
        <v>851150</v>
      </c>
      <c r="C42" s="75" t="s">
        <v>790</v>
      </c>
      <c r="D42" s="54" t="s">
        <v>787</v>
      </c>
      <c r="E42" s="49" t="s">
        <v>29</v>
      </c>
      <c r="F42" s="50" t="s">
        <v>29</v>
      </c>
      <c r="G42" s="50" t="s">
        <v>21</v>
      </c>
      <c r="H42" s="50" t="s">
        <v>29</v>
      </c>
      <c r="I42" s="73" t="s">
        <v>738</v>
      </c>
      <c r="L42" s="50"/>
    </row>
    <row r="43" spans="2:13" hidden="1">
      <c r="B43" s="50">
        <v>851179.99999999988</v>
      </c>
      <c r="C43" s="75" t="s">
        <v>791</v>
      </c>
      <c r="D43" s="54" t="s">
        <v>787</v>
      </c>
      <c r="E43" s="49" t="s">
        <v>29</v>
      </c>
      <c r="F43" s="50" t="s">
        <v>29</v>
      </c>
      <c r="G43" s="50" t="s">
        <v>21</v>
      </c>
      <c r="H43" s="50" t="s">
        <v>29</v>
      </c>
      <c r="I43" s="73" t="s">
        <v>738</v>
      </c>
      <c r="L43" s="50"/>
    </row>
    <row r="44" spans="2:13" hidden="1">
      <c r="B44" s="50">
        <v>851190</v>
      </c>
      <c r="C44" s="75" t="s">
        <v>792</v>
      </c>
      <c r="D44" s="54" t="s">
        <v>787</v>
      </c>
      <c r="E44" s="49" t="s">
        <v>29</v>
      </c>
      <c r="F44" s="50" t="s">
        <v>29</v>
      </c>
      <c r="G44" s="50" t="s">
        <v>21</v>
      </c>
      <c r="H44" s="50" t="s">
        <v>29</v>
      </c>
      <c r="I44" s="73" t="s">
        <v>738</v>
      </c>
      <c r="L44" s="50"/>
    </row>
    <row r="45" spans="2:13" hidden="1">
      <c r="B45" s="50">
        <v>851610</v>
      </c>
      <c r="C45" s="75" t="s">
        <v>793</v>
      </c>
      <c r="D45" s="54" t="s">
        <v>794</v>
      </c>
      <c r="E45" s="49" t="s">
        <v>29</v>
      </c>
      <c r="F45" s="50" t="s">
        <v>29</v>
      </c>
      <c r="G45" s="50" t="s">
        <v>21</v>
      </c>
      <c r="H45" s="50" t="s">
        <v>29</v>
      </c>
      <c r="I45" s="73" t="s">
        <v>795</v>
      </c>
      <c r="L45" s="50"/>
    </row>
    <row r="46" spans="2:13" hidden="1">
      <c r="B46" s="50">
        <v>851620.99999999988</v>
      </c>
      <c r="C46" s="75" t="s">
        <v>796</v>
      </c>
      <c r="D46" s="54" t="s">
        <v>794</v>
      </c>
      <c r="E46" s="49" t="s">
        <v>29</v>
      </c>
      <c r="F46" s="50" t="s">
        <v>29</v>
      </c>
      <c r="G46" s="50" t="s">
        <v>21</v>
      </c>
      <c r="H46" s="50" t="s">
        <v>29</v>
      </c>
      <c r="I46" s="73" t="s">
        <v>795</v>
      </c>
      <c r="L46" s="50"/>
    </row>
    <row r="47" spans="2:13" hidden="1">
      <c r="B47" s="50">
        <v>851629.00000000012</v>
      </c>
      <c r="C47" s="75" t="s">
        <v>797</v>
      </c>
      <c r="D47" s="54" t="s">
        <v>794</v>
      </c>
      <c r="E47" s="49" t="s">
        <v>29</v>
      </c>
      <c r="F47" s="50" t="s">
        <v>29</v>
      </c>
      <c r="G47" s="50" t="s">
        <v>21</v>
      </c>
      <c r="H47" s="50" t="s">
        <v>29</v>
      </c>
      <c r="I47" s="73" t="s">
        <v>795</v>
      </c>
      <c r="L47" s="50"/>
    </row>
    <row r="48" spans="2:13" hidden="1">
      <c r="B48" s="50">
        <v>851631</v>
      </c>
      <c r="C48" s="75" t="s">
        <v>798</v>
      </c>
      <c r="D48" s="54" t="s">
        <v>799</v>
      </c>
      <c r="E48" s="49" t="s">
        <v>29</v>
      </c>
      <c r="F48" s="50" t="s">
        <v>29</v>
      </c>
      <c r="G48" s="50" t="s">
        <v>21</v>
      </c>
      <c r="H48" s="50" t="s">
        <v>29</v>
      </c>
      <c r="I48" s="73" t="s">
        <v>795</v>
      </c>
      <c r="L48" s="50"/>
    </row>
    <row r="49" spans="2:10" hidden="1">
      <c r="B49" s="50">
        <v>851632</v>
      </c>
      <c r="C49" s="75" t="s">
        <v>800</v>
      </c>
      <c r="D49" s="54" t="s">
        <v>801</v>
      </c>
      <c r="E49" s="49" t="s">
        <v>29</v>
      </c>
      <c r="F49" s="50" t="s">
        <v>29</v>
      </c>
      <c r="G49" s="50" t="s">
        <v>21</v>
      </c>
      <c r="H49" s="50" t="s">
        <v>29</v>
      </c>
      <c r="I49" s="73" t="s">
        <v>795</v>
      </c>
    </row>
    <row r="50" spans="2:10" hidden="1">
      <c r="B50" s="50">
        <v>851633</v>
      </c>
      <c r="C50" s="75" t="s">
        <v>802</v>
      </c>
      <c r="D50" s="54" t="s">
        <v>328</v>
      </c>
      <c r="E50" s="49" t="s">
        <v>29</v>
      </c>
      <c r="F50" s="50" t="s">
        <v>29</v>
      </c>
      <c r="G50" s="50" t="s">
        <v>21</v>
      </c>
      <c r="H50" s="50" t="s">
        <v>29</v>
      </c>
      <c r="I50" s="73" t="s">
        <v>795</v>
      </c>
    </row>
    <row r="51" spans="2:10" hidden="1">
      <c r="B51" s="50">
        <v>851640</v>
      </c>
      <c r="C51" s="75" t="s">
        <v>803</v>
      </c>
      <c r="D51" s="54" t="s">
        <v>804</v>
      </c>
      <c r="E51" s="49" t="s">
        <v>29</v>
      </c>
      <c r="F51" s="50" t="s">
        <v>29</v>
      </c>
      <c r="G51" s="50" t="s">
        <v>21</v>
      </c>
      <c r="H51" s="50" t="s">
        <v>29</v>
      </c>
      <c r="I51" s="73" t="s">
        <v>795</v>
      </c>
    </row>
    <row r="52" spans="2:10" hidden="1">
      <c r="B52" s="50">
        <v>851672</v>
      </c>
      <c r="C52" s="75" t="s">
        <v>338</v>
      </c>
      <c r="D52" s="54" t="s">
        <v>338</v>
      </c>
      <c r="E52" s="49" t="s">
        <v>29</v>
      </c>
      <c r="F52" s="50" t="s">
        <v>29</v>
      </c>
      <c r="G52" s="50" t="s">
        <v>21</v>
      </c>
      <c r="H52" s="50" t="s">
        <v>29</v>
      </c>
      <c r="I52" s="73" t="s">
        <v>795</v>
      </c>
    </row>
    <row r="53" spans="2:10" hidden="1">
      <c r="B53" s="50">
        <v>851680</v>
      </c>
      <c r="C53" s="75" t="s">
        <v>805</v>
      </c>
      <c r="D53" s="54" t="s">
        <v>806</v>
      </c>
      <c r="E53" s="49" t="s">
        <v>29</v>
      </c>
      <c r="F53" s="50" t="s">
        <v>29</v>
      </c>
      <c r="G53" s="50" t="s">
        <v>21</v>
      </c>
      <c r="H53" s="50" t="s">
        <v>29</v>
      </c>
      <c r="I53" s="73" t="s">
        <v>795</v>
      </c>
    </row>
    <row r="54" spans="2:10" hidden="1">
      <c r="B54" s="50">
        <v>851690</v>
      </c>
      <c r="C54" s="75" t="s">
        <v>792</v>
      </c>
      <c r="D54" s="54" t="s">
        <v>806</v>
      </c>
      <c r="E54" s="49" t="s">
        <v>29</v>
      </c>
      <c r="F54" s="50" t="s">
        <v>29</v>
      </c>
      <c r="G54" s="50" t="s">
        <v>21</v>
      </c>
      <c r="H54" s="50" t="s">
        <v>29</v>
      </c>
      <c r="I54" s="73" t="s">
        <v>795</v>
      </c>
    </row>
    <row r="55" spans="2:10" hidden="1">
      <c r="B55" s="50">
        <v>851712</v>
      </c>
      <c r="C55" s="75" t="s">
        <v>667</v>
      </c>
      <c r="D55" s="53" t="s">
        <v>807</v>
      </c>
      <c r="E55" s="49" t="s">
        <v>21</v>
      </c>
      <c r="F55" s="50" t="s">
        <v>747</v>
      </c>
      <c r="G55" s="50" t="s">
        <v>747</v>
      </c>
      <c r="H55" s="50" t="s">
        <v>747</v>
      </c>
      <c r="I55" s="73" t="s">
        <v>808</v>
      </c>
      <c r="J55" s="50" t="s">
        <v>29</v>
      </c>
    </row>
    <row r="56" spans="2:10" hidden="1">
      <c r="B56" s="50">
        <v>851770</v>
      </c>
      <c r="C56" s="75" t="s">
        <v>471</v>
      </c>
      <c r="D56" s="53" t="s">
        <v>807</v>
      </c>
      <c r="E56" s="49" t="s">
        <v>21</v>
      </c>
      <c r="F56" s="50" t="s">
        <v>747</v>
      </c>
      <c r="G56" s="50" t="s">
        <v>747</v>
      </c>
      <c r="H56" s="50" t="s">
        <v>747</v>
      </c>
      <c r="I56" s="73" t="s">
        <v>808</v>
      </c>
      <c r="J56" s="50" t="s">
        <v>29</v>
      </c>
    </row>
    <row r="57" spans="2:10" hidden="1">
      <c r="B57" s="50">
        <v>851950</v>
      </c>
      <c r="C57" s="75" t="s">
        <v>713</v>
      </c>
      <c r="D57" s="53" t="s">
        <v>809</v>
      </c>
      <c r="E57" s="49" t="s">
        <v>21</v>
      </c>
      <c r="F57" s="50" t="s">
        <v>747</v>
      </c>
      <c r="G57" s="50" t="s">
        <v>747</v>
      </c>
      <c r="H57" s="50" t="s">
        <v>747</v>
      </c>
      <c r="I57" s="73" t="s">
        <v>808</v>
      </c>
      <c r="J57" s="50" t="s">
        <v>29</v>
      </c>
    </row>
    <row r="58" spans="2:10" hidden="1">
      <c r="B58" s="50">
        <v>852580</v>
      </c>
      <c r="C58" s="75" t="s">
        <v>549</v>
      </c>
      <c r="D58" s="53" t="s">
        <v>810</v>
      </c>
      <c r="E58" s="49" t="s">
        <v>21</v>
      </c>
      <c r="F58" s="50" t="s">
        <v>747</v>
      </c>
      <c r="G58" s="50" t="s">
        <v>747</v>
      </c>
      <c r="H58" s="50" t="s">
        <v>747</v>
      </c>
      <c r="I58" s="73" t="s">
        <v>808</v>
      </c>
      <c r="J58" s="50" t="s">
        <v>29</v>
      </c>
    </row>
    <row r="59" spans="2:10" hidden="1">
      <c r="B59" s="50">
        <v>853510</v>
      </c>
      <c r="C59" s="75" t="s">
        <v>811</v>
      </c>
      <c r="D59" s="53" t="s">
        <v>812</v>
      </c>
      <c r="E59" s="49" t="s">
        <v>29</v>
      </c>
      <c r="F59" s="50" t="s">
        <v>29</v>
      </c>
      <c r="G59" s="50" t="s">
        <v>21</v>
      </c>
      <c r="H59" s="50" t="s">
        <v>29</v>
      </c>
      <c r="I59" s="73" t="s">
        <v>795</v>
      </c>
    </row>
    <row r="60" spans="2:10" hidden="1">
      <c r="B60" s="50">
        <v>853520.99999999988</v>
      </c>
      <c r="C60" s="75" t="s">
        <v>813</v>
      </c>
      <c r="D60" s="75" t="s">
        <v>249</v>
      </c>
      <c r="E60" s="49" t="s">
        <v>29</v>
      </c>
      <c r="F60" s="50" t="s">
        <v>29</v>
      </c>
      <c r="G60" s="50" t="s">
        <v>21</v>
      </c>
      <c r="H60" s="50" t="s">
        <v>29</v>
      </c>
      <c r="I60" s="73" t="s">
        <v>795</v>
      </c>
    </row>
    <row r="61" spans="2:10" hidden="1">
      <c r="B61" s="50">
        <v>853529.00000000012</v>
      </c>
      <c r="C61" s="75" t="s">
        <v>814</v>
      </c>
      <c r="D61" s="75" t="s">
        <v>249</v>
      </c>
      <c r="E61" s="49" t="s">
        <v>29</v>
      </c>
      <c r="F61" s="50" t="s">
        <v>29</v>
      </c>
      <c r="G61" s="50" t="s">
        <v>21</v>
      </c>
      <c r="H61" s="50" t="s">
        <v>29</v>
      </c>
      <c r="I61" s="73" t="s">
        <v>795</v>
      </c>
    </row>
    <row r="62" spans="2:10" hidden="1">
      <c r="B62" s="50">
        <v>853529.99999999988</v>
      </c>
      <c r="C62" s="75" t="s">
        <v>815</v>
      </c>
      <c r="D62" s="75" t="s">
        <v>249</v>
      </c>
      <c r="E62" s="49" t="s">
        <v>29</v>
      </c>
      <c r="F62" s="50" t="s">
        <v>29</v>
      </c>
      <c r="G62" s="50" t="s">
        <v>21</v>
      </c>
      <c r="H62" s="50" t="s">
        <v>29</v>
      </c>
      <c r="I62" s="73" t="s">
        <v>795</v>
      </c>
    </row>
    <row r="63" spans="2:10" hidden="1">
      <c r="B63" s="50">
        <v>853540</v>
      </c>
      <c r="C63" s="76" t="s">
        <v>816</v>
      </c>
      <c r="D63" s="75" t="s">
        <v>249</v>
      </c>
      <c r="E63" s="49" t="s">
        <v>29</v>
      </c>
      <c r="F63" s="50" t="s">
        <v>29</v>
      </c>
      <c r="G63" s="50" t="s">
        <v>21</v>
      </c>
      <c r="H63" s="50" t="s">
        <v>29</v>
      </c>
      <c r="I63" s="73" t="s">
        <v>795</v>
      </c>
    </row>
    <row r="64" spans="2:10" hidden="1">
      <c r="B64" s="50">
        <v>853590</v>
      </c>
      <c r="C64" s="76" t="s">
        <v>745</v>
      </c>
      <c r="D64" s="75" t="s">
        <v>249</v>
      </c>
      <c r="E64" s="49" t="s">
        <v>29</v>
      </c>
      <c r="F64" s="50" t="s">
        <v>29</v>
      </c>
      <c r="G64" s="50" t="s">
        <v>21</v>
      </c>
      <c r="H64" s="50" t="s">
        <v>29</v>
      </c>
      <c r="I64" s="73" t="s">
        <v>795</v>
      </c>
    </row>
    <row r="65" spans="2:10" hidden="1">
      <c r="B65" s="50">
        <v>853630</v>
      </c>
      <c r="C65" s="76" t="s">
        <v>817</v>
      </c>
      <c r="D65" s="53" t="s">
        <v>812</v>
      </c>
      <c r="E65" s="49" t="s">
        <v>29</v>
      </c>
      <c r="F65" s="50" t="s">
        <v>29</v>
      </c>
      <c r="G65" s="50" t="s">
        <v>21</v>
      </c>
      <c r="H65" s="50" t="s">
        <v>29</v>
      </c>
      <c r="I65" s="73" t="s">
        <v>795</v>
      </c>
    </row>
    <row r="66" spans="2:10" hidden="1">
      <c r="B66" s="50">
        <v>853661</v>
      </c>
      <c r="C66" s="77" t="s">
        <v>515</v>
      </c>
      <c r="D66" s="75" t="s">
        <v>249</v>
      </c>
      <c r="E66" s="49" t="s">
        <v>29</v>
      </c>
      <c r="F66" s="50" t="s">
        <v>29</v>
      </c>
      <c r="G66" s="50" t="s">
        <v>21</v>
      </c>
      <c r="H66" s="50" t="s">
        <v>29</v>
      </c>
      <c r="I66" s="73" t="s">
        <v>795</v>
      </c>
    </row>
    <row r="67" spans="2:10" hidden="1">
      <c r="B67" s="50">
        <v>853670</v>
      </c>
      <c r="C67" s="77" t="s">
        <v>818</v>
      </c>
      <c r="D67" s="75" t="s">
        <v>249</v>
      </c>
      <c r="E67" s="49" t="s">
        <v>29</v>
      </c>
      <c r="F67" s="50" t="s">
        <v>29</v>
      </c>
      <c r="G67" s="50" t="s">
        <v>21</v>
      </c>
      <c r="H67" s="50" t="s">
        <v>29</v>
      </c>
      <c r="I67" s="73" t="s">
        <v>795</v>
      </c>
    </row>
    <row r="68" spans="2:10" hidden="1">
      <c r="B68" s="50">
        <v>853950</v>
      </c>
      <c r="C68" s="54" t="s">
        <v>710</v>
      </c>
      <c r="D68" s="53" t="s">
        <v>819</v>
      </c>
      <c r="E68" s="49" t="s">
        <v>21</v>
      </c>
      <c r="F68" s="50" t="s">
        <v>747</v>
      </c>
      <c r="G68" s="50" t="s">
        <v>747</v>
      </c>
      <c r="H68" s="50" t="s">
        <v>747</v>
      </c>
      <c r="I68" s="73" t="s">
        <v>808</v>
      </c>
      <c r="J68" s="50" t="s">
        <v>29</v>
      </c>
    </row>
    <row r="69" spans="2:10" hidden="1">
      <c r="B69" s="50">
        <v>853951</v>
      </c>
      <c r="C69" s="54" t="s">
        <v>820</v>
      </c>
      <c r="D69" s="53" t="s">
        <v>819</v>
      </c>
      <c r="E69" s="49" t="s">
        <v>21</v>
      </c>
      <c r="F69" s="50" t="s">
        <v>747</v>
      </c>
      <c r="G69" s="50" t="s">
        <v>747</v>
      </c>
      <c r="H69" s="50" t="s">
        <v>747</v>
      </c>
      <c r="I69" s="73" t="s">
        <v>821</v>
      </c>
      <c r="J69" s="50"/>
    </row>
    <row r="70" spans="2:10" hidden="1">
      <c r="B70" s="50">
        <v>853952</v>
      </c>
      <c r="C70" s="54" t="s">
        <v>822</v>
      </c>
      <c r="D70" s="53" t="s">
        <v>819</v>
      </c>
      <c r="E70" s="49" t="s">
        <v>21</v>
      </c>
      <c r="F70" s="50" t="s">
        <v>747</v>
      </c>
      <c r="G70" s="50" t="s">
        <v>747</v>
      </c>
      <c r="H70" s="50" t="s">
        <v>747</v>
      </c>
      <c r="I70" s="73" t="s">
        <v>821</v>
      </c>
      <c r="J70" s="50"/>
    </row>
    <row r="71" spans="2:10" hidden="1">
      <c r="B71" s="50">
        <v>854140</v>
      </c>
      <c r="C71" s="54" t="s">
        <v>478</v>
      </c>
      <c r="D71" s="53" t="s">
        <v>479</v>
      </c>
      <c r="E71" s="49" t="s">
        <v>21</v>
      </c>
      <c r="F71" s="50" t="s">
        <v>747</v>
      </c>
      <c r="G71" s="50" t="s">
        <v>747</v>
      </c>
      <c r="H71" s="50" t="s">
        <v>747</v>
      </c>
      <c r="I71" s="73" t="s">
        <v>808</v>
      </c>
      <c r="J71" s="50" t="s">
        <v>29</v>
      </c>
    </row>
    <row r="72" spans="2:10" hidden="1">
      <c r="B72" s="50">
        <v>854150</v>
      </c>
      <c r="C72" s="54" t="s">
        <v>666</v>
      </c>
      <c r="D72" s="53" t="s">
        <v>63</v>
      </c>
      <c r="E72" s="49" t="s">
        <v>21</v>
      </c>
      <c r="F72" s="50" t="s">
        <v>747</v>
      </c>
      <c r="G72" s="50" t="s">
        <v>747</v>
      </c>
      <c r="H72" s="50" t="s">
        <v>747</v>
      </c>
      <c r="I72" s="73" t="s">
        <v>808</v>
      </c>
      <c r="J72" s="50" t="s">
        <v>29</v>
      </c>
    </row>
    <row r="73" spans="2:10" hidden="1">
      <c r="B73" s="50">
        <v>854411</v>
      </c>
      <c r="C73" s="54" t="s">
        <v>823</v>
      </c>
      <c r="D73" s="49"/>
      <c r="E73" s="49" t="s">
        <v>29</v>
      </c>
      <c r="F73" s="49" t="s">
        <v>29</v>
      </c>
      <c r="G73" s="50" t="s">
        <v>21</v>
      </c>
      <c r="H73" s="49" t="s">
        <v>29</v>
      </c>
      <c r="I73" s="73" t="s">
        <v>733</v>
      </c>
    </row>
    <row r="74" spans="2:10" hidden="1">
      <c r="B74" s="50">
        <v>854419</v>
      </c>
      <c r="C74" s="54" t="s">
        <v>824</v>
      </c>
      <c r="D74" s="49"/>
      <c r="E74" s="49" t="s">
        <v>29</v>
      </c>
      <c r="F74" s="49" t="s">
        <v>29</v>
      </c>
      <c r="G74" s="50" t="s">
        <v>21</v>
      </c>
      <c r="H74" s="49" t="s">
        <v>29</v>
      </c>
      <c r="I74" s="73" t="s">
        <v>733</v>
      </c>
    </row>
    <row r="75" spans="2:10" hidden="1">
      <c r="B75" s="50">
        <v>854430</v>
      </c>
      <c r="C75" s="54" t="s">
        <v>825</v>
      </c>
      <c r="D75" s="49"/>
      <c r="E75" s="49" t="s">
        <v>29</v>
      </c>
      <c r="F75" s="49" t="s">
        <v>29</v>
      </c>
      <c r="G75" s="50" t="s">
        <v>21</v>
      </c>
      <c r="H75" s="49" t="s">
        <v>29</v>
      </c>
      <c r="I75" s="73" t="s">
        <v>733</v>
      </c>
    </row>
    <row r="76" spans="2:10" hidden="1">
      <c r="B76" s="50">
        <v>901380</v>
      </c>
      <c r="C76" s="54" t="s">
        <v>399</v>
      </c>
      <c r="D76" s="54" t="s">
        <v>400</v>
      </c>
      <c r="E76" s="49" t="s">
        <v>21</v>
      </c>
      <c r="F76" s="50" t="s">
        <v>747</v>
      </c>
      <c r="G76" s="50"/>
      <c r="H76" s="50"/>
      <c r="I76" s="73" t="s">
        <v>826</v>
      </c>
      <c r="J76" s="50" t="s">
        <v>21</v>
      </c>
    </row>
    <row r="77" spans="2:10">
      <c r="B77" s="50">
        <v>854020</v>
      </c>
      <c r="C77" s="54" t="s">
        <v>606</v>
      </c>
      <c r="D77" s="54" t="s">
        <v>607</v>
      </c>
      <c r="E77" s="49" t="s">
        <v>21</v>
      </c>
      <c r="F77" s="50" t="s">
        <v>747</v>
      </c>
      <c r="G77" s="50"/>
      <c r="H77" s="50"/>
      <c r="I77" s="73" t="s">
        <v>826</v>
      </c>
      <c r="J77" s="50" t="s">
        <v>21</v>
      </c>
    </row>
    <row r="78" spans="2:10">
      <c r="B78" s="50">
        <v>854091</v>
      </c>
      <c r="C78" s="54" t="s">
        <v>691</v>
      </c>
      <c r="D78" s="54" t="s">
        <v>607</v>
      </c>
      <c r="E78" s="49" t="s">
        <v>21</v>
      </c>
      <c r="F78" s="50" t="s">
        <v>747</v>
      </c>
      <c r="G78" s="50"/>
      <c r="H78" s="50"/>
      <c r="I78" s="73" t="s">
        <v>826</v>
      </c>
      <c r="J78" s="50" t="s">
        <v>21</v>
      </c>
    </row>
    <row r="79" spans="2:10">
      <c r="B79" s="50">
        <v>854040</v>
      </c>
      <c r="C79" s="54" t="s">
        <v>700</v>
      </c>
      <c r="D79" s="54" t="s">
        <v>701</v>
      </c>
      <c r="E79" s="49" t="s">
        <v>21</v>
      </c>
      <c r="F79" s="50" t="s">
        <v>747</v>
      </c>
      <c r="G79" s="50"/>
      <c r="H79" s="50"/>
      <c r="I79" s="73" t="s">
        <v>826</v>
      </c>
      <c r="J79" s="50" t="s">
        <v>21</v>
      </c>
    </row>
    <row r="80" spans="2:10">
      <c r="B80" s="50">
        <v>854060</v>
      </c>
      <c r="C80" s="54" t="s">
        <v>707</v>
      </c>
      <c r="D80" s="54" t="s">
        <v>607</v>
      </c>
      <c r="E80" s="49" t="s">
        <v>21</v>
      </c>
      <c r="F80" s="50" t="s">
        <v>747</v>
      </c>
      <c r="G80" s="50"/>
      <c r="H80" s="50"/>
      <c r="I80" s="73" t="s">
        <v>826</v>
      </c>
      <c r="J80" s="50" t="s">
        <v>21</v>
      </c>
    </row>
    <row r="81" spans="2:10">
      <c r="B81" s="50">
        <v>854011</v>
      </c>
      <c r="C81" s="54" t="s">
        <v>706</v>
      </c>
      <c r="D81" s="54" t="s">
        <v>607</v>
      </c>
      <c r="E81" s="49" t="s">
        <v>21</v>
      </c>
      <c r="F81" s="50" t="s">
        <v>747</v>
      </c>
      <c r="G81" s="50"/>
      <c r="H81" s="50"/>
      <c r="I81" s="73" t="s">
        <v>826</v>
      </c>
      <c r="J81" s="50" t="s">
        <v>21</v>
      </c>
    </row>
    <row r="82" spans="2:10">
      <c r="B82" s="50">
        <v>854012</v>
      </c>
      <c r="C82" s="54" t="s">
        <v>709</v>
      </c>
      <c r="D82" s="54" t="s">
        <v>607</v>
      </c>
      <c r="E82" s="49" t="s">
        <v>21</v>
      </c>
      <c r="F82" s="50" t="s">
        <v>747</v>
      </c>
      <c r="G82" s="50"/>
      <c r="H82" s="50"/>
      <c r="I82" s="73" t="s">
        <v>826</v>
      </c>
      <c r="J82" s="50" t="s">
        <v>21</v>
      </c>
    </row>
    <row r="83" spans="2:10">
      <c r="C83" s="49"/>
      <c r="D83" s="49"/>
      <c r="E83" s="49"/>
      <c r="F83" s="50"/>
      <c r="G83" s="50"/>
      <c r="H83" s="50"/>
    </row>
    <row r="84" spans="2:10">
      <c r="C84" s="49"/>
      <c r="D84" s="49"/>
      <c r="E84" s="49"/>
      <c r="F84" s="50"/>
      <c r="G84" s="50"/>
      <c r="H84" s="50"/>
    </row>
    <row r="85" spans="2:10">
      <c r="C85" s="49"/>
      <c r="D85" s="49"/>
      <c r="E85" s="49"/>
      <c r="F85" s="50"/>
      <c r="G85" s="50"/>
      <c r="H85" s="50"/>
    </row>
    <row r="86" spans="2:10">
      <c r="C86" s="49"/>
      <c r="D86" s="49"/>
      <c r="E86" s="49"/>
      <c r="F86" s="50"/>
      <c r="G86" s="50"/>
      <c r="H86" s="50"/>
    </row>
    <row r="87" spans="2:10">
      <c r="C87" s="49"/>
      <c r="D87" s="49"/>
      <c r="E87" s="49"/>
      <c r="F87" s="50"/>
      <c r="G87" s="50"/>
      <c r="H87" s="50"/>
    </row>
    <row r="88" spans="2:10">
      <c r="C88" s="49"/>
      <c r="D88" s="49"/>
      <c r="E88" s="49"/>
      <c r="F88" s="50"/>
      <c r="G88" s="50"/>
      <c r="H88" s="50"/>
    </row>
    <row r="89" spans="2:10">
      <c r="C89" s="49"/>
      <c r="D89" s="49"/>
      <c r="E89" s="49"/>
      <c r="F89" s="50"/>
      <c r="G89" s="50"/>
      <c r="H89" s="50"/>
    </row>
    <row r="90" spans="2:10">
      <c r="C90" s="49"/>
      <c r="D90" s="49"/>
      <c r="E90" s="49"/>
      <c r="F90" s="50"/>
      <c r="G90" s="50"/>
      <c r="H90" s="50"/>
    </row>
    <row r="91" spans="2:10">
      <c r="C91" s="49"/>
      <c r="D91" s="49"/>
      <c r="E91" s="49"/>
      <c r="F91" s="50"/>
      <c r="G91" s="50"/>
      <c r="H91" s="50"/>
    </row>
    <row r="92" spans="2:10">
      <c r="C92" s="49"/>
      <c r="D92" s="49"/>
      <c r="E92" s="49"/>
      <c r="F92" s="50"/>
      <c r="G92" s="50"/>
      <c r="H92" s="50"/>
    </row>
    <row r="93" spans="2:10">
      <c r="C93" s="49"/>
      <c r="D93" s="49"/>
      <c r="E93" s="49"/>
      <c r="F93" s="50"/>
      <c r="G93" s="50"/>
      <c r="H93" s="50"/>
    </row>
    <row r="94" spans="2:10">
      <c r="C94" s="49"/>
      <c r="D94" s="49"/>
      <c r="E94" s="49"/>
      <c r="F94" s="50"/>
      <c r="G94" s="50"/>
      <c r="H94" s="50"/>
    </row>
    <row r="95" spans="2:10">
      <c r="C95" s="49"/>
      <c r="D95" s="49"/>
      <c r="E95" s="49"/>
      <c r="F95" s="50"/>
      <c r="G95" s="50"/>
      <c r="H95" s="50"/>
    </row>
    <row r="96" spans="2:10">
      <c r="C96" s="49"/>
      <c r="D96" s="49"/>
      <c r="E96" s="49"/>
      <c r="F96" s="50"/>
      <c r="G96" s="50"/>
      <c r="H96" s="50"/>
    </row>
    <row r="97" spans="2:8">
      <c r="C97" s="49"/>
      <c r="D97" s="49"/>
      <c r="E97" s="49"/>
      <c r="F97" s="50"/>
      <c r="G97" s="50"/>
      <c r="H97" s="50"/>
    </row>
    <row r="98" spans="2:8">
      <c r="C98" s="49"/>
      <c r="D98" s="49"/>
      <c r="E98" s="49"/>
      <c r="F98" s="50"/>
      <c r="G98" s="50"/>
      <c r="H98" s="50"/>
    </row>
    <row r="99" spans="2:8">
      <c r="B99" s="50"/>
      <c r="C99" s="49"/>
      <c r="D99" s="49"/>
      <c r="E99" s="49"/>
      <c r="F99" s="50"/>
      <c r="G99" s="50"/>
      <c r="H99" s="50"/>
    </row>
    <row r="100" spans="2:8">
      <c r="B100" s="50"/>
      <c r="C100" s="49"/>
      <c r="D100" s="49"/>
      <c r="E100" s="49"/>
      <c r="F100" s="50"/>
      <c r="G100" s="50"/>
      <c r="H100" s="50"/>
    </row>
    <row r="101" spans="2:8">
      <c r="B101" s="50"/>
      <c r="C101" s="49"/>
      <c r="D101" s="49"/>
      <c r="E101" s="49"/>
      <c r="F101" s="50"/>
      <c r="G101" s="50"/>
      <c r="H101" s="50"/>
    </row>
    <row r="102" spans="2:8">
      <c r="B102" s="50"/>
      <c r="C102" s="49"/>
      <c r="D102" s="49"/>
      <c r="E102" s="49"/>
      <c r="F102" s="50"/>
      <c r="G102" s="50"/>
      <c r="H102" s="50"/>
    </row>
    <row r="103" spans="2:8">
      <c r="B103" s="50"/>
      <c r="C103" s="49"/>
      <c r="D103" s="49"/>
      <c r="E103" s="49"/>
      <c r="F103" s="50"/>
      <c r="G103" s="50"/>
      <c r="H103" s="50"/>
    </row>
    <row r="104" spans="2:8">
      <c r="B104" s="50"/>
      <c r="C104" s="49"/>
      <c r="D104" s="49"/>
      <c r="E104" s="49"/>
      <c r="F104" s="50"/>
      <c r="G104" s="50"/>
      <c r="H104" s="50"/>
    </row>
    <row r="105" spans="2:8">
      <c r="B105" s="50"/>
      <c r="C105" s="49"/>
      <c r="D105" s="49"/>
      <c r="E105" s="49"/>
      <c r="F105" s="50"/>
      <c r="G105" s="50"/>
      <c r="H105" s="50"/>
    </row>
    <row r="106" spans="2:8">
      <c r="B106" s="50"/>
      <c r="C106" s="49"/>
      <c r="D106" s="49"/>
      <c r="E106" s="49"/>
      <c r="F106" s="50"/>
      <c r="G106" s="50"/>
      <c r="H106" s="50"/>
    </row>
    <row r="107" spans="2:8">
      <c r="B107" s="50"/>
      <c r="C107" s="49"/>
      <c r="D107" s="49"/>
      <c r="E107" s="49"/>
      <c r="F107" s="50"/>
      <c r="G107" s="50"/>
      <c r="H107" s="50"/>
    </row>
    <row r="108" spans="2:8">
      <c r="B108" s="50"/>
      <c r="C108" s="49"/>
      <c r="D108" s="49"/>
      <c r="E108" s="49"/>
      <c r="F108" s="50"/>
      <c r="G108" s="50"/>
      <c r="H108" s="50"/>
    </row>
    <row r="109" spans="2:8">
      <c r="B109" s="50"/>
      <c r="C109" s="49"/>
      <c r="D109" s="49"/>
      <c r="E109" s="49"/>
      <c r="F109" s="50"/>
      <c r="G109" s="50"/>
      <c r="H109" s="50"/>
    </row>
    <row r="110" spans="2:8">
      <c r="B110" s="50"/>
      <c r="C110" s="49"/>
      <c r="D110" s="49"/>
      <c r="E110" s="49"/>
      <c r="F110" s="50"/>
      <c r="G110" s="50"/>
      <c r="H110" s="50"/>
    </row>
    <row r="111" spans="2:8">
      <c r="B111" s="50"/>
      <c r="C111" s="49"/>
      <c r="D111" s="49"/>
      <c r="E111" s="49"/>
      <c r="F111" s="50"/>
      <c r="G111" s="50"/>
      <c r="H111" s="50"/>
    </row>
    <row r="112" spans="2:8">
      <c r="B112" s="50"/>
      <c r="C112" s="49"/>
      <c r="D112" s="49"/>
      <c r="E112" s="49"/>
      <c r="F112" s="50"/>
      <c r="G112" s="50"/>
      <c r="H112" s="50"/>
    </row>
    <row r="113" spans="2:8">
      <c r="B113" s="50"/>
      <c r="C113" s="49"/>
      <c r="D113" s="49"/>
      <c r="E113" s="49"/>
      <c r="F113" s="50"/>
      <c r="G113" s="50"/>
      <c r="H113" s="50"/>
    </row>
    <row r="114" spans="2:8">
      <c r="B114" s="50"/>
      <c r="C114" s="49"/>
      <c r="D114" s="49"/>
      <c r="E114" s="49"/>
      <c r="F114" s="50"/>
      <c r="G114" s="50"/>
      <c r="H114" s="50"/>
    </row>
    <row r="115" spans="2:8">
      <c r="B115" s="50"/>
      <c r="C115" s="49"/>
      <c r="D115" s="49"/>
      <c r="E115" s="49"/>
      <c r="F115" s="50"/>
      <c r="G115" s="50"/>
      <c r="H115" s="50"/>
    </row>
    <row r="116" spans="2:8">
      <c r="B116" s="50"/>
      <c r="C116" s="49"/>
      <c r="D116" s="49"/>
      <c r="E116" s="49"/>
      <c r="F116" s="50"/>
      <c r="G116" s="50"/>
      <c r="H116" s="50"/>
    </row>
    <row r="117" spans="2:8">
      <c r="B117" s="50"/>
      <c r="C117" s="49"/>
      <c r="D117" s="49"/>
      <c r="E117" s="49"/>
      <c r="F117" s="50"/>
      <c r="G117" s="50"/>
      <c r="H117" s="50"/>
    </row>
    <row r="118" spans="2:8">
      <c r="B118" s="50"/>
      <c r="C118" s="49"/>
      <c r="D118" s="49"/>
      <c r="E118" s="49"/>
      <c r="F118" s="50"/>
      <c r="G118" s="50"/>
      <c r="H118" s="50"/>
    </row>
    <row r="119" spans="2:8">
      <c r="B119" s="50"/>
      <c r="C119" s="49"/>
      <c r="D119" s="49"/>
      <c r="E119" s="49"/>
      <c r="F119" s="50"/>
      <c r="G119" s="50"/>
      <c r="H119" s="50"/>
    </row>
    <row r="120" spans="2:8">
      <c r="B120" s="50"/>
      <c r="C120" s="49"/>
      <c r="D120" s="49"/>
      <c r="E120" s="49"/>
      <c r="F120" s="50"/>
      <c r="G120" s="50"/>
      <c r="H120" s="50"/>
    </row>
    <row r="121" spans="2:8">
      <c r="B121" s="50"/>
      <c r="C121" s="49"/>
      <c r="D121" s="49"/>
      <c r="E121" s="49"/>
      <c r="F121" s="50"/>
      <c r="G121" s="50"/>
      <c r="H121" s="50"/>
    </row>
    <row r="122" spans="2:8">
      <c r="B122" s="50"/>
      <c r="C122" s="49"/>
      <c r="D122" s="49"/>
      <c r="E122" s="49"/>
      <c r="F122" s="50"/>
      <c r="G122" s="50"/>
      <c r="H122" s="50"/>
    </row>
    <row r="123" spans="2:8">
      <c r="B123" s="50"/>
      <c r="C123" s="49"/>
      <c r="D123" s="49"/>
      <c r="E123" s="49"/>
      <c r="F123" s="50"/>
      <c r="G123" s="50"/>
      <c r="H123" s="50"/>
    </row>
    <row r="124" spans="2:8">
      <c r="B124" s="50"/>
      <c r="C124" s="49"/>
      <c r="D124" s="49"/>
      <c r="E124" s="49"/>
      <c r="F124" s="50"/>
      <c r="G124" s="50"/>
      <c r="H124" s="50"/>
    </row>
    <row r="125" spans="2:8">
      <c r="B125" s="50"/>
      <c r="C125" s="49"/>
      <c r="D125" s="49"/>
      <c r="E125" s="49"/>
      <c r="F125" s="50"/>
      <c r="G125" s="50"/>
      <c r="H125" s="50"/>
    </row>
    <row r="126" spans="2:8">
      <c r="B126" s="50"/>
      <c r="C126" s="49"/>
      <c r="D126" s="49"/>
      <c r="E126" s="49"/>
      <c r="F126" s="50"/>
      <c r="G126" s="50"/>
      <c r="H126" s="50"/>
    </row>
    <row r="127" spans="2:8">
      <c r="B127" s="50"/>
      <c r="C127" s="49"/>
      <c r="D127" s="49"/>
      <c r="E127" s="49"/>
      <c r="F127" s="50"/>
      <c r="G127" s="50"/>
      <c r="H127" s="50"/>
    </row>
    <row r="128" spans="2:8">
      <c r="B128" s="50"/>
      <c r="C128" s="49"/>
      <c r="D128" s="49"/>
      <c r="E128" s="49"/>
      <c r="F128" s="50"/>
      <c r="G128" s="50"/>
      <c r="H128" s="50"/>
    </row>
    <row r="129" spans="2:8">
      <c r="B129" s="50"/>
      <c r="C129" s="49"/>
      <c r="D129" s="49"/>
      <c r="E129" s="49"/>
      <c r="F129" s="50"/>
      <c r="G129" s="50"/>
      <c r="H129" s="50"/>
    </row>
    <row r="130" spans="2:8">
      <c r="B130" s="50"/>
      <c r="C130" s="49"/>
      <c r="D130" s="49"/>
      <c r="E130" s="49"/>
      <c r="F130" s="50"/>
      <c r="G130" s="50"/>
      <c r="H130" s="50"/>
    </row>
    <row r="131" spans="2:8">
      <c r="B131" s="50"/>
      <c r="C131" s="49"/>
      <c r="D131" s="49"/>
      <c r="E131" s="49"/>
      <c r="F131" s="50"/>
      <c r="G131" s="50"/>
      <c r="H131" s="50"/>
    </row>
    <row r="132" spans="2:8">
      <c r="B132" s="50"/>
      <c r="C132" s="49"/>
      <c r="D132" s="49"/>
      <c r="E132" s="49"/>
      <c r="F132" s="50"/>
      <c r="G132" s="50"/>
      <c r="H132" s="50"/>
    </row>
    <row r="133" spans="2:8">
      <c r="B133" s="50"/>
      <c r="C133" s="49"/>
      <c r="D133" s="49"/>
      <c r="E133" s="49"/>
      <c r="F133" s="50"/>
      <c r="G133" s="50"/>
      <c r="H133" s="50"/>
    </row>
    <row r="134" spans="2:8">
      <c r="B134" s="50"/>
      <c r="C134" s="49"/>
      <c r="D134" s="49"/>
      <c r="E134" s="49"/>
      <c r="F134" s="50"/>
      <c r="G134" s="50"/>
      <c r="H134" s="50"/>
    </row>
    <row r="135" spans="2:8">
      <c r="B135" s="50"/>
      <c r="C135" s="49"/>
      <c r="D135" s="49"/>
      <c r="E135" s="49"/>
      <c r="F135" s="50"/>
      <c r="G135" s="50"/>
      <c r="H135" s="50"/>
    </row>
    <row r="136" spans="2:8">
      <c r="B136" s="50"/>
      <c r="C136" s="49"/>
      <c r="D136" s="49"/>
      <c r="E136" s="49"/>
      <c r="F136" s="50"/>
      <c r="G136" s="50"/>
      <c r="H136" s="50"/>
    </row>
    <row r="137" spans="2:8">
      <c r="B137" s="50"/>
      <c r="C137" s="49"/>
      <c r="D137" s="49"/>
      <c r="E137" s="49"/>
      <c r="F137" s="50"/>
      <c r="G137" s="50"/>
      <c r="H137" s="50"/>
    </row>
    <row r="138" spans="2:8">
      <c r="B138" s="50"/>
      <c r="C138" s="49"/>
      <c r="D138" s="49"/>
      <c r="E138" s="49"/>
      <c r="F138" s="50"/>
      <c r="G138" s="50"/>
      <c r="H138" s="50"/>
    </row>
    <row r="139" spans="2:8">
      <c r="B139" s="50"/>
      <c r="C139" s="49"/>
      <c r="D139" s="49"/>
      <c r="E139" s="49"/>
      <c r="F139" s="50"/>
      <c r="G139" s="50"/>
      <c r="H139" s="50"/>
    </row>
    <row r="140" spans="2:8">
      <c r="B140" s="50"/>
      <c r="C140" s="49"/>
      <c r="D140" s="49"/>
      <c r="E140" s="49"/>
      <c r="F140" s="50"/>
      <c r="G140" s="50"/>
      <c r="H140" s="50"/>
    </row>
    <row r="141" spans="2:8">
      <c r="B141" s="50"/>
      <c r="C141" s="49"/>
      <c r="D141" s="49"/>
      <c r="E141" s="49"/>
      <c r="F141" s="50"/>
      <c r="G141" s="50"/>
      <c r="H141" s="50"/>
    </row>
    <row r="142" spans="2:8">
      <c r="B142" s="50"/>
      <c r="C142" s="49"/>
      <c r="D142" s="49"/>
      <c r="E142" s="49"/>
      <c r="F142" s="50"/>
      <c r="G142" s="50"/>
      <c r="H142" s="50"/>
    </row>
    <row r="143" spans="2:8">
      <c r="B143" s="50"/>
      <c r="C143" s="49"/>
      <c r="D143" s="49"/>
      <c r="E143" s="49"/>
      <c r="F143" s="50"/>
      <c r="G143" s="50"/>
      <c r="H143" s="50"/>
    </row>
    <row r="144" spans="2:8">
      <c r="B144" s="50"/>
      <c r="C144" s="49"/>
      <c r="D144" s="49"/>
      <c r="E144" s="49"/>
      <c r="F144" s="50"/>
      <c r="G144" s="50"/>
      <c r="H144" s="50"/>
    </row>
    <row r="145" spans="2:8">
      <c r="B145" s="50"/>
      <c r="C145" s="49"/>
      <c r="D145" s="49"/>
      <c r="E145" s="49"/>
      <c r="F145" s="50"/>
      <c r="G145" s="50"/>
      <c r="H145" s="50"/>
    </row>
    <row r="146" spans="2:8">
      <c r="B146" s="50"/>
      <c r="C146" s="49"/>
      <c r="D146" s="49"/>
      <c r="E146" s="49"/>
      <c r="F146" s="50"/>
      <c r="G146" s="50"/>
      <c r="H146" s="50"/>
    </row>
    <row r="147" spans="2:8">
      <c r="B147" s="50"/>
      <c r="C147" s="49"/>
      <c r="D147" s="49"/>
      <c r="E147" s="49"/>
      <c r="F147" s="50"/>
      <c r="G147" s="50"/>
      <c r="H147" s="50"/>
    </row>
    <row r="148" spans="2:8">
      <c r="B148" s="50"/>
      <c r="C148" s="49"/>
      <c r="D148" s="49"/>
      <c r="E148" s="49"/>
      <c r="F148" s="50"/>
      <c r="G148" s="50"/>
      <c r="H148" s="50"/>
    </row>
    <row r="149" spans="2:8">
      <c r="B149" s="50"/>
      <c r="C149" s="49"/>
      <c r="D149" s="49"/>
      <c r="E149" s="49"/>
      <c r="F149" s="50"/>
      <c r="G149" s="50"/>
      <c r="H149" s="50"/>
    </row>
    <row r="150" spans="2:8">
      <c r="B150" s="50"/>
      <c r="C150" s="49"/>
      <c r="D150" s="49"/>
      <c r="E150" s="49"/>
      <c r="F150" s="50"/>
      <c r="G150" s="50"/>
      <c r="H150" s="50"/>
    </row>
    <row r="151" spans="2:8">
      <c r="B151" s="50"/>
      <c r="C151" s="49"/>
      <c r="D151" s="49"/>
      <c r="E151" s="49"/>
      <c r="F151" s="50"/>
      <c r="G151" s="50"/>
      <c r="H151" s="50"/>
    </row>
    <row r="152" spans="2:8">
      <c r="B152" s="50"/>
      <c r="C152" s="49"/>
      <c r="D152" s="49"/>
      <c r="E152" s="49"/>
      <c r="F152" s="50"/>
      <c r="G152" s="50"/>
      <c r="H152" s="50"/>
    </row>
    <row r="153" spans="2:8">
      <c r="B153" s="50"/>
      <c r="C153" s="49"/>
      <c r="D153" s="49"/>
      <c r="E153" s="49"/>
      <c r="F153" s="50"/>
      <c r="G153" s="50"/>
      <c r="H153" s="50"/>
    </row>
    <row r="154" spans="2:8">
      <c r="B154" s="50"/>
      <c r="C154" s="49"/>
      <c r="D154" s="49"/>
      <c r="E154" s="49"/>
      <c r="F154" s="50"/>
      <c r="G154" s="50"/>
      <c r="H154" s="50"/>
    </row>
    <row r="155" spans="2:8">
      <c r="B155" s="50"/>
      <c r="C155" s="49"/>
      <c r="D155" s="49"/>
      <c r="E155" s="49"/>
      <c r="F155" s="50"/>
      <c r="G155" s="50"/>
      <c r="H155" s="50"/>
    </row>
    <row r="156" spans="2:8">
      <c r="B156" s="50"/>
      <c r="C156" s="49"/>
      <c r="D156" s="49"/>
      <c r="E156" s="49"/>
      <c r="F156" s="50"/>
      <c r="G156" s="50"/>
      <c r="H156" s="50"/>
    </row>
    <row r="157" spans="2:8">
      <c r="B157" s="50"/>
      <c r="C157" s="49"/>
      <c r="D157" s="49"/>
      <c r="E157" s="49"/>
      <c r="F157" s="50"/>
      <c r="G157" s="50"/>
      <c r="H157" s="50"/>
    </row>
    <row r="158" spans="2:8">
      <c r="B158" s="50"/>
      <c r="C158" s="49"/>
      <c r="D158" s="49"/>
      <c r="E158" s="49"/>
      <c r="F158" s="50"/>
      <c r="G158" s="50"/>
      <c r="H158" s="50"/>
    </row>
    <row r="159" spans="2:8">
      <c r="B159" s="50"/>
      <c r="C159" s="49"/>
      <c r="D159" s="49"/>
      <c r="E159" s="49"/>
      <c r="F159" s="50"/>
      <c r="G159" s="50"/>
      <c r="H159" s="50"/>
    </row>
    <row r="160" spans="2:8">
      <c r="B160" s="50"/>
      <c r="C160" s="49"/>
      <c r="D160" s="49"/>
      <c r="E160" s="49"/>
      <c r="F160" s="50"/>
      <c r="G160" s="50"/>
      <c r="H160" s="50"/>
    </row>
    <row r="161" spans="2:8">
      <c r="B161" s="50"/>
      <c r="C161" s="49"/>
      <c r="D161" s="49"/>
      <c r="E161" s="49"/>
      <c r="F161" s="50"/>
      <c r="G161" s="50"/>
      <c r="H161" s="50"/>
    </row>
    <row r="162" spans="2:8">
      <c r="B162" s="50"/>
      <c r="C162" s="49"/>
      <c r="D162" s="49"/>
      <c r="E162" s="49"/>
      <c r="F162" s="50"/>
      <c r="G162" s="50"/>
      <c r="H162" s="50"/>
    </row>
    <row r="163" spans="2:8">
      <c r="B163" s="50"/>
      <c r="C163" s="49"/>
      <c r="D163" s="49"/>
      <c r="E163" s="49"/>
      <c r="F163" s="50"/>
      <c r="G163" s="50"/>
      <c r="H163" s="50"/>
    </row>
    <row r="164" spans="2:8">
      <c r="B164" s="50"/>
      <c r="C164" s="49"/>
      <c r="D164" s="49"/>
      <c r="E164" s="49"/>
      <c r="F164" s="50"/>
      <c r="G164" s="50"/>
      <c r="H164" s="50"/>
    </row>
    <row r="165" spans="2:8">
      <c r="B165" s="50"/>
      <c r="C165" s="49"/>
      <c r="D165" s="49"/>
      <c r="E165" s="49"/>
      <c r="F165" s="50"/>
      <c r="G165" s="50"/>
      <c r="H165" s="50"/>
    </row>
    <row r="166" spans="2:8">
      <c r="B166" s="50"/>
      <c r="C166" s="49"/>
      <c r="D166" s="49"/>
      <c r="E166" s="49"/>
      <c r="F166" s="50"/>
      <c r="G166" s="50"/>
      <c r="H166" s="50"/>
    </row>
    <row r="167" spans="2:8">
      <c r="B167" s="50"/>
      <c r="C167" s="49"/>
      <c r="D167" s="49"/>
      <c r="E167" s="49"/>
      <c r="F167" s="50"/>
      <c r="G167" s="50"/>
      <c r="H167" s="50"/>
    </row>
    <row r="168" spans="2:8">
      <c r="B168" s="50"/>
      <c r="C168" s="49"/>
      <c r="D168" s="49"/>
      <c r="E168" s="49"/>
      <c r="F168" s="50"/>
      <c r="G168" s="50"/>
      <c r="H168" s="50"/>
    </row>
    <row r="169" spans="2:8">
      <c r="B169" s="50"/>
      <c r="C169" s="49"/>
      <c r="D169" s="49"/>
      <c r="E169" s="49"/>
      <c r="F169" s="50"/>
      <c r="G169" s="50"/>
      <c r="H169" s="50"/>
    </row>
    <row r="170" spans="2:8">
      <c r="B170" s="50"/>
      <c r="C170" s="49"/>
      <c r="D170" s="49"/>
      <c r="E170" s="49"/>
      <c r="F170" s="50"/>
      <c r="G170" s="50"/>
      <c r="H170" s="50"/>
    </row>
    <row r="171" spans="2:8">
      <c r="B171" s="50"/>
      <c r="C171" s="49"/>
      <c r="D171" s="49"/>
      <c r="E171" s="49"/>
      <c r="F171" s="50"/>
      <c r="G171" s="50"/>
      <c r="H171" s="50"/>
    </row>
    <row r="172" spans="2:8">
      <c r="B172" s="50"/>
      <c r="C172" s="49"/>
      <c r="D172" s="49"/>
      <c r="E172" s="49"/>
      <c r="F172" s="50"/>
      <c r="G172" s="50"/>
      <c r="H172" s="50"/>
    </row>
    <row r="173" spans="2:8">
      <c r="B173" s="50"/>
      <c r="C173" s="49"/>
      <c r="D173" s="49"/>
      <c r="E173" s="49"/>
      <c r="F173" s="50"/>
      <c r="G173" s="50"/>
      <c r="H173" s="50"/>
    </row>
    <row r="174" spans="2:8">
      <c r="B174" s="50"/>
      <c r="C174" s="49"/>
      <c r="D174" s="49"/>
      <c r="E174" s="49"/>
      <c r="F174" s="50"/>
      <c r="G174" s="50"/>
      <c r="H174" s="50"/>
    </row>
    <row r="175" spans="2:8">
      <c r="B175" s="50"/>
      <c r="C175" s="49"/>
      <c r="D175" s="49"/>
      <c r="E175" s="49"/>
      <c r="F175" s="50"/>
      <c r="G175" s="50"/>
      <c r="H175" s="50"/>
    </row>
    <row r="176" spans="2:8">
      <c r="B176" s="50"/>
      <c r="C176" s="49"/>
      <c r="D176" s="49"/>
      <c r="E176" s="49"/>
      <c r="F176" s="50"/>
      <c r="G176" s="50"/>
      <c r="H176" s="50"/>
    </row>
    <row r="177" spans="2:8">
      <c r="B177" s="50"/>
      <c r="C177" s="49"/>
      <c r="D177" s="49"/>
      <c r="E177" s="49"/>
      <c r="F177" s="50"/>
      <c r="G177" s="50"/>
      <c r="H177" s="50"/>
    </row>
    <row r="178" spans="2:8">
      <c r="B178" s="50"/>
      <c r="C178" s="49"/>
      <c r="D178" s="49"/>
      <c r="E178" s="49"/>
      <c r="F178" s="50"/>
      <c r="G178" s="50"/>
      <c r="H178" s="50"/>
    </row>
    <row r="179" spans="2:8">
      <c r="B179" s="50"/>
      <c r="C179" s="49"/>
      <c r="D179" s="49"/>
      <c r="E179" s="49"/>
      <c r="F179" s="50"/>
      <c r="G179" s="50"/>
      <c r="H179" s="50"/>
    </row>
    <row r="180" spans="2:8">
      <c r="B180" s="50"/>
      <c r="C180" s="49"/>
      <c r="D180" s="49"/>
      <c r="E180" s="49"/>
      <c r="F180" s="50"/>
      <c r="G180" s="50"/>
      <c r="H180" s="50"/>
    </row>
    <row r="181" spans="2:8">
      <c r="B181" s="50"/>
      <c r="C181" s="49"/>
      <c r="D181" s="49"/>
      <c r="E181" s="49"/>
      <c r="F181" s="50"/>
      <c r="G181" s="50"/>
      <c r="H181" s="50"/>
    </row>
    <row r="182" spans="2:8">
      <c r="B182" s="50"/>
      <c r="C182" s="49"/>
      <c r="D182" s="49"/>
      <c r="E182" s="49"/>
      <c r="F182" s="50"/>
      <c r="G182" s="50"/>
      <c r="H182" s="50"/>
    </row>
    <row r="183" spans="2:8">
      <c r="B183" s="50"/>
      <c r="C183" s="49"/>
      <c r="D183" s="49"/>
      <c r="E183" s="49"/>
      <c r="F183" s="50"/>
      <c r="G183" s="50"/>
      <c r="H183" s="50"/>
    </row>
    <row r="184" spans="2:8">
      <c r="B184" s="50"/>
      <c r="C184" s="49"/>
      <c r="D184" s="49"/>
      <c r="E184" s="49"/>
      <c r="F184" s="50"/>
      <c r="G184" s="50"/>
      <c r="H184" s="50"/>
    </row>
    <row r="185" spans="2:8">
      <c r="B185" s="50"/>
      <c r="C185" s="49"/>
      <c r="D185" s="49"/>
      <c r="E185" s="49"/>
      <c r="F185" s="50"/>
      <c r="G185" s="50"/>
      <c r="H185" s="50"/>
    </row>
    <row r="186" spans="2:8">
      <c r="B186" s="50"/>
      <c r="C186" s="49"/>
      <c r="D186" s="49"/>
      <c r="E186" s="49"/>
      <c r="F186" s="50"/>
      <c r="G186" s="50"/>
      <c r="H186" s="50"/>
    </row>
    <row r="187" spans="2:8">
      <c r="B187" s="50"/>
      <c r="C187" s="49"/>
      <c r="D187" s="49"/>
      <c r="E187" s="49"/>
      <c r="F187" s="50"/>
      <c r="G187" s="50"/>
      <c r="H187" s="50"/>
    </row>
    <row r="188" spans="2:8">
      <c r="B188" s="50"/>
      <c r="C188" s="49"/>
      <c r="D188" s="49"/>
      <c r="E188" s="49"/>
      <c r="F188" s="50"/>
      <c r="G188" s="50"/>
      <c r="H188" s="50"/>
    </row>
    <row r="189" spans="2:8">
      <c r="B189" s="50"/>
      <c r="C189" s="49"/>
      <c r="D189" s="49"/>
      <c r="E189" s="49"/>
      <c r="F189" s="50"/>
      <c r="G189" s="50"/>
      <c r="H189" s="50"/>
    </row>
    <row r="190" spans="2:8">
      <c r="B190" s="50"/>
      <c r="C190" s="49"/>
      <c r="D190" s="49"/>
      <c r="E190" s="49"/>
      <c r="F190" s="50"/>
      <c r="G190" s="50"/>
      <c r="H190" s="50"/>
    </row>
    <row r="191" spans="2:8">
      <c r="B191" s="50"/>
      <c r="C191" s="49"/>
      <c r="D191" s="49"/>
      <c r="E191" s="49"/>
      <c r="F191" s="50"/>
      <c r="G191" s="50"/>
      <c r="H191" s="50"/>
    </row>
    <row r="192" spans="2:8">
      <c r="B192" s="50"/>
      <c r="C192" s="49"/>
      <c r="D192" s="49"/>
      <c r="E192" s="49"/>
      <c r="F192" s="50"/>
      <c r="G192" s="50"/>
      <c r="H192" s="50"/>
    </row>
    <row r="193" spans="2:8">
      <c r="B193" s="50"/>
      <c r="C193" s="49"/>
      <c r="D193" s="49"/>
      <c r="E193" s="49"/>
      <c r="F193" s="50"/>
      <c r="G193" s="50"/>
      <c r="H193" s="50"/>
    </row>
    <row r="194" spans="2:8">
      <c r="B194" s="50"/>
      <c r="C194" s="49"/>
      <c r="D194" s="49"/>
      <c r="E194" s="49"/>
      <c r="F194" s="50"/>
      <c r="G194" s="50"/>
      <c r="H194" s="50"/>
    </row>
    <row r="195" spans="2:8">
      <c r="B195" s="50"/>
      <c r="C195" s="49"/>
      <c r="D195" s="49"/>
      <c r="E195" s="49"/>
      <c r="F195" s="50"/>
      <c r="G195" s="50"/>
      <c r="H195" s="50"/>
    </row>
    <row r="196" spans="2:8">
      <c r="B196" s="50"/>
      <c r="C196" s="49"/>
      <c r="D196" s="49"/>
      <c r="E196" s="49"/>
      <c r="F196" s="50"/>
      <c r="G196" s="50"/>
      <c r="H196" s="50"/>
    </row>
    <row r="197" spans="2:8">
      <c r="B197" s="50"/>
      <c r="C197" s="49"/>
      <c r="D197" s="49"/>
      <c r="E197" s="49"/>
      <c r="F197" s="50"/>
      <c r="G197" s="50"/>
      <c r="H197" s="50"/>
    </row>
    <row r="198" spans="2:8">
      <c r="B198" s="50"/>
      <c r="C198" s="49"/>
      <c r="D198" s="49"/>
      <c r="E198" s="49"/>
      <c r="F198" s="50"/>
      <c r="G198" s="50"/>
      <c r="H198" s="50"/>
    </row>
    <row r="199" spans="2:8">
      <c r="B199" s="50"/>
      <c r="C199" s="49"/>
      <c r="D199" s="49"/>
      <c r="E199" s="49"/>
      <c r="F199" s="50"/>
      <c r="G199" s="50"/>
      <c r="H199" s="50"/>
    </row>
    <row r="200" spans="2:8">
      <c r="B200" s="50"/>
      <c r="C200" s="49"/>
      <c r="D200" s="49"/>
      <c r="E200" s="49"/>
      <c r="F200" s="50"/>
      <c r="G200" s="50"/>
      <c r="H200" s="50"/>
    </row>
    <row r="201" spans="2:8">
      <c r="B201" s="50"/>
      <c r="C201" s="49"/>
      <c r="D201" s="49"/>
      <c r="E201" s="49"/>
      <c r="F201" s="50"/>
      <c r="G201" s="50"/>
      <c r="H201" s="50"/>
    </row>
    <row r="202" spans="2:8">
      <c r="B202" s="50"/>
      <c r="C202" s="49"/>
      <c r="D202" s="49"/>
      <c r="E202" s="49"/>
      <c r="F202" s="50"/>
      <c r="G202" s="50"/>
      <c r="H202" s="50"/>
    </row>
    <row r="203" spans="2:8">
      <c r="B203" s="50"/>
      <c r="C203" s="49"/>
      <c r="D203" s="49"/>
      <c r="E203" s="49"/>
      <c r="F203" s="50"/>
      <c r="G203" s="50"/>
      <c r="H203" s="50"/>
    </row>
    <row r="204" spans="2:8">
      <c r="B204" s="50"/>
      <c r="C204" s="49"/>
      <c r="D204" s="49"/>
      <c r="E204" s="49"/>
      <c r="F204" s="50"/>
      <c r="G204" s="50"/>
      <c r="H204" s="50"/>
    </row>
    <row r="205" spans="2:8">
      <c r="B205" s="50"/>
      <c r="C205" s="49"/>
      <c r="D205" s="49"/>
      <c r="E205" s="49"/>
      <c r="F205" s="50"/>
      <c r="G205" s="50"/>
      <c r="H205" s="50"/>
    </row>
    <row r="206" spans="2:8">
      <c r="B206" s="50"/>
      <c r="C206" s="49"/>
      <c r="D206" s="49"/>
      <c r="E206" s="49"/>
      <c r="F206" s="50"/>
      <c r="G206" s="50"/>
      <c r="H206" s="50"/>
    </row>
    <row r="207" spans="2:8">
      <c r="B207" s="50"/>
      <c r="C207" s="49"/>
      <c r="D207" s="49"/>
      <c r="E207" s="49"/>
      <c r="F207" s="50"/>
      <c r="G207" s="50"/>
      <c r="H207" s="50"/>
    </row>
    <row r="208" spans="2:8">
      <c r="B208" s="50"/>
      <c r="C208" s="49"/>
      <c r="D208" s="49"/>
      <c r="E208" s="49"/>
      <c r="F208" s="50"/>
      <c r="G208" s="50"/>
      <c r="H208" s="50"/>
    </row>
    <row r="209" spans="2:8">
      <c r="B209" s="50"/>
      <c r="C209" s="49"/>
      <c r="D209" s="49"/>
      <c r="E209" s="49"/>
      <c r="F209" s="50"/>
      <c r="G209" s="50"/>
      <c r="H209" s="50"/>
    </row>
    <row r="210" spans="2:8">
      <c r="B210" s="50"/>
      <c r="C210" s="49"/>
      <c r="D210" s="49"/>
      <c r="E210" s="49"/>
      <c r="F210" s="50"/>
      <c r="G210" s="50"/>
      <c r="H210" s="50"/>
    </row>
    <row r="211" spans="2:8">
      <c r="B211" s="50"/>
      <c r="C211" s="49"/>
      <c r="D211" s="49"/>
      <c r="E211" s="49"/>
      <c r="F211" s="50"/>
      <c r="G211" s="50"/>
      <c r="H211" s="50"/>
    </row>
    <row r="212" spans="2:8">
      <c r="B212" s="50"/>
      <c r="C212" s="49"/>
      <c r="D212" s="49"/>
      <c r="E212" s="49"/>
      <c r="F212" s="50"/>
      <c r="G212" s="50"/>
      <c r="H212" s="50"/>
    </row>
    <row r="213" spans="2:8">
      <c r="B213" s="50"/>
      <c r="C213" s="49"/>
      <c r="D213" s="49"/>
      <c r="E213" s="49"/>
      <c r="F213" s="50"/>
      <c r="G213" s="50"/>
      <c r="H213" s="50"/>
    </row>
    <row r="214" spans="2:8">
      <c r="B214" s="50"/>
      <c r="C214" s="49"/>
      <c r="D214" s="49"/>
      <c r="E214" s="49"/>
      <c r="F214" s="50"/>
      <c r="G214" s="50"/>
      <c r="H214" s="50"/>
    </row>
    <row r="215" spans="2:8">
      <c r="B215" s="50"/>
      <c r="C215" s="49"/>
      <c r="D215" s="49"/>
      <c r="E215" s="49"/>
      <c r="F215" s="50"/>
      <c r="G215" s="50"/>
      <c r="H215" s="50"/>
    </row>
    <row r="216" spans="2:8">
      <c r="B216" s="50"/>
      <c r="C216" s="49"/>
      <c r="D216" s="49"/>
      <c r="E216" s="49"/>
      <c r="F216" s="50"/>
      <c r="G216" s="50"/>
      <c r="H216" s="50"/>
    </row>
    <row r="217" spans="2:8">
      <c r="B217" s="50"/>
      <c r="C217" s="49"/>
      <c r="D217" s="49"/>
      <c r="E217" s="49"/>
      <c r="F217" s="50"/>
      <c r="G217" s="50"/>
      <c r="H217" s="50"/>
    </row>
    <row r="218" spans="2:8">
      <c r="B218" s="50"/>
      <c r="C218" s="49"/>
      <c r="D218" s="49"/>
      <c r="E218" s="49"/>
      <c r="F218" s="50"/>
      <c r="G218" s="50"/>
      <c r="H218" s="50"/>
    </row>
    <row r="219" spans="2:8">
      <c r="B219" s="50"/>
      <c r="C219" s="49"/>
      <c r="D219" s="49"/>
      <c r="E219" s="49"/>
      <c r="F219" s="50"/>
      <c r="G219" s="50"/>
      <c r="H219" s="50"/>
    </row>
    <row r="220" spans="2:8">
      <c r="B220" s="50"/>
      <c r="C220" s="49"/>
      <c r="D220" s="49"/>
      <c r="E220" s="49"/>
      <c r="F220" s="50"/>
      <c r="G220" s="50"/>
      <c r="H220" s="50"/>
    </row>
    <row r="221" spans="2:8">
      <c r="B221" s="50"/>
      <c r="C221" s="49"/>
      <c r="D221" s="49"/>
      <c r="E221" s="49"/>
      <c r="F221" s="50"/>
      <c r="G221" s="50"/>
      <c r="H221" s="50"/>
    </row>
    <row r="222" spans="2:8">
      <c r="B222" s="50"/>
      <c r="C222" s="49"/>
      <c r="D222" s="49"/>
      <c r="E222" s="49"/>
      <c r="F222" s="50"/>
      <c r="G222" s="50"/>
      <c r="H222" s="50"/>
    </row>
    <row r="223" spans="2:8">
      <c r="B223" s="50"/>
      <c r="C223" s="49"/>
      <c r="D223" s="49"/>
      <c r="E223" s="49"/>
      <c r="F223" s="50"/>
      <c r="G223" s="50"/>
      <c r="H223" s="50"/>
    </row>
    <row r="224" spans="2:8">
      <c r="B224" s="50"/>
      <c r="C224" s="49"/>
      <c r="D224" s="49"/>
      <c r="E224" s="49"/>
      <c r="F224" s="50"/>
      <c r="G224" s="50"/>
      <c r="H224" s="50"/>
    </row>
    <row r="225" spans="2:8">
      <c r="B225" s="50"/>
      <c r="C225" s="49"/>
      <c r="D225" s="49"/>
      <c r="E225" s="49"/>
      <c r="F225" s="50"/>
      <c r="G225" s="50"/>
      <c r="H225" s="50"/>
    </row>
    <row r="226" spans="2:8">
      <c r="B226" s="50"/>
      <c r="C226" s="49"/>
      <c r="D226" s="49"/>
      <c r="E226" s="49"/>
      <c r="F226" s="50"/>
      <c r="G226" s="50"/>
      <c r="H226" s="50"/>
    </row>
    <row r="227" spans="2:8">
      <c r="B227" s="50"/>
      <c r="C227" s="49"/>
      <c r="D227" s="49"/>
      <c r="E227" s="49"/>
      <c r="F227" s="50"/>
      <c r="G227" s="50"/>
      <c r="H227" s="50"/>
    </row>
    <row r="228" spans="2:8">
      <c r="B228" s="50"/>
      <c r="C228" s="49"/>
      <c r="D228" s="49"/>
      <c r="E228" s="49"/>
      <c r="F228" s="50"/>
      <c r="G228" s="50"/>
      <c r="H228" s="50"/>
    </row>
    <row r="229" spans="2:8">
      <c r="B229" s="50"/>
      <c r="C229" s="49"/>
      <c r="D229" s="49"/>
      <c r="E229" s="49"/>
      <c r="F229" s="50"/>
      <c r="G229" s="50"/>
      <c r="H229" s="50"/>
    </row>
    <row r="230" spans="2:8">
      <c r="B230" s="50"/>
      <c r="C230" s="49"/>
      <c r="D230" s="49"/>
      <c r="E230" s="49"/>
      <c r="F230" s="50"/>
      <c r="G230" s="50"/>
      <c r="H230" s="50"/>
    </row>
    <row r="231" spans="2:8">
      <c r="B231" s="50"/>
      <c r="C231" s="49"/>
      <c r="D231" s="49"/>
      <c r="E231" s="49"/>
      <c r="F231" s="50"/>
      <c r="G231" s="50"/>
      <c r="H231" s="50"/>
    </row>
    <row r="232" spans="2:8">
      <c r="B232" s="50"/>
      <c r="C232" s="49"/>
      <c r="D232" s="49"/>
      <c r="E232" s="49"/>
      <c r="F232" s="50"/>
      <c r="G232" s="50"/>
      <c r="H232" s="50"/>
    </row>
    <row r="233" spans="2:8">
      <c r="B233" s="50"/>
      <c r="C233" s="49"/>
      <c r="D233" s="49"/>
      <c r="E233" s="49"/>
      <c r="F233" s="50"/>
      <c r="G233" s="50"/>
      <c r="H233" s="50"/>
    </row>
    <row r="234" spans="2:8">
      <c r="B234" s="50"/>
      <c r="C234" s="49"/>
      <c r="D234" s="49"/>
      <c r="E234" s="49"/>
      <c r="F234" s="50"/>
      <c r="G234" s="50"/>
      <c r="H234" s="50"/>
    </row>
    <row r="235" spans="2:8">
      <c r="B235" s="50"/>
      <c r="C235" s="49"/>
      <c r="D235" s="49"/>
      <c r="E235" s="49"/>
      <c r="F235" s="50"/>
      <c r="G235" s="50"/>
      <c r="H235" s="50"/>
    </row>
    <row r="236" spans="2:8">
      <c r="B236" s="50"/>
      <c r="C236" s="49"/>
      <c r="D236" s="49"/>
      <c r="E236" s="49"/>
      <c r="F236" s="50"/>
      <c r="G236" s="50"/>
      <c r="H236" s="50"/>
    </row>
    <row r="237" spans="2:8">
      <c r="B237" s="50"/>
      <c r="C237" s="49"/>
      <c r="D237" s="49"/>
      <c r="E237" s="49"/>
      <c r="F237" s="50"/>
      <c r="G237" s="50"/>
      <c r="H237" s="50"/>
    </row>
    <row r="238" spans="2:8">
      <c r="B238" s="50"/>
      <c r="C238" s="49"/>
      <c r="D238" s="49"/>
      <c r="E238" s="49"/>
      <c r="F238" s="50"/>
      <c r="G238" s="50"/>
      <c r="H238" s="50"/>
    </row>
    <row r="239" spans="2:8">
      <c r="B239" s="50"/>
      <c r="C239" s="49"/>
      <c r="D239" s="49"/>
      <c r="E239" s="49"/>
      <c r="F239" s="50"/>
      <c r="G239" s="50"/>
      <c r="H239" s="50"/>
    </row>
    <row r="240" spans="2:8">
      <c r="B240" s="50"/>
      <c r="C240" s="49"/>
      <c r="D240" s="49"/>
      <c r="E240" s="49"/>
      <c r="F240" s="50"/>
      <c r="G240" s="50"/>
      <c r="H240" s="50"/>
    </row>
    <row r="241" spans="2:8">
      <c r="B241" s="50"/>
      <c r="C241" s="49"/>
      <c r="D241" s="49"/>
      <c r="E241" s="49"/>
      <c r="F241" s="50"/>
      <c r="G241" s="50"/>
      <c r="H241" s="50"/>
    </row>
    <row r="242" spans="2:8">
      <c r="B242" s="50"/>
      <c r="C242" s="49"/>
      <c r="D242" s="49"/>
      <c r="E242" s="49"/>
      <c r="F242" s="50"/>
      <c r="G242" s="50"/>
      <c r="H242" s="50"/>
    </row>
    <row r="243" spans="2:8">
      <c r="B243" s="50"/>
      <c r="C243" s="49"/>
      <c r="D243" s="49"/>
      <c r="E243" s="49"/>
      <c r="F243" s="50"/>
      <c r="G243" s="50"/>
      <c r="H243" s="50"/>
    </row>
    <row r="244" spans="2:8">
      <c r="B244" s="50"/>
      <c r="C244" s="49"/>
      <c r="D244" s="49"/>
      <c r="E244" s="49"/>
      <c r="F244" s="50"/>
      <c r="G244" s="50"/>
      <c r="H244" s="50"/>
    </row>
    <row r="245" spans="2:8">
      <c r="B245" s="50"/>
      <c r="C245" s="49"/>
      <c r="D245" s="49"/>
      <c r="E245" s="49"/>
      <c r="F245" s="50"/>
      <c r="G245" s="50"/>
      <c r="H245" s="50"/>
    </row>
    <row r="246" spans="2:8">
      <c r="B246" s="50"/>
      <c r="C246" s="49"/>
      <c r="D246" s="49"/>
      <c r="E246" s="49"/>
      <c r="F246" s="50"/>
      <c r="G246" s="50"/>
      <c r="H246" s="50"/>
    </row>
    <row r="247" spans="2:8">
      <c r="B247" s="50"/>
      <c r="C247" s="49"/>
      <c r="D247" s="49"/>
      <c r="E247" s="49"/>
      <c r="F247" s="50"/>
      <c r="G247" s="50"/>
      <c r="H247" s="50"/>
    </row>
    <row r="248" spans="2:8">
      <c r="B248" s="50"/>
      <c r="C248" s="49"/>
      <c r="D248" s="49"/>
      <c r="E248" s="49"/>
      <c r="F248" s="50"/>
      <c r="G248" s="50"/>
      <c r="H248" s="50"/>
    </row>
    <row r="249" spans="2:8">
      <c r="B249" s="50"/>
      <c r="C249" s="49"/>
      <c r="D249" s="49"/>
      <c r="E249" s="49"/>
      <c r="F249" s="50"/>
      <c r="G249" s="50"/>
      <c r="H249" s="50"/>
    </row>
    <row r="250" spans="2:8">
      <c r="B250" s="50"/>
      <c r="C250" s="49"/>
      <c r="D250" s="49"/>
      <c r="E250" s="49"/>
      <c r="F250" s="50"/>
      <c r="G250" s="50"/>
      <c r="H250" s="50"/>
    </row>
    <row r="251" spans="2:8">
      <c r="B251" s="50"/>
      <c r="C251" s="49"/>
      <c r="D251" s="49"/>
      <c r="E251" s="49"/>
      <c r="F251" s="50"/>
      <c r="G251" s="50"/>
      <c r="H251" s="50"/>
    </row>
    <row r="252" spans="2:8">
      <c r="B252" s="50"/>
      <c r="C252" s="49"/>
      <c r="D252" s="49"/>
      <c r="E252" s="49"/>
      <c r="F252" s="50"/>
      <c r="G252" s="50"/>
      <c r="H252" s="50"/>
    </row>
    <row r="253" spans="2:8">
      <c r="B253" s="50"/>
      <c r="C253" s="49"/>
      <c r="D253" s="49"/>
      <c r="E253" s="49"/>
      <c r="F253" s="50"/>
      <c r="G253" s="50"/>
      <c r="H253" s="50"/>
    </row>
    <row r="254" spans="2:8">
      <c r="B254" s="50"/>
      <c r="C254" s="49"/>
      <c r="D254" s="49"/>
      <c r="E254" s="49"/>
      <c r="F254" s="50"/>
      <c r="G254" s="50"/>
      <c r="H254" s="50"/>
    </row>
    <row r="255" spans="2:8">
      <c r="B255" s="50"/>
      <c r="C255" s="49"/>
      <c r="D255" s="49"/>
      <c r="E255" s="49"/>
      <c r="F255" s="50"/>
      <c r="G255" s="50"/>
      <c r="H255" s="50"/>
    </row>
    <row r="256" spans="2:8">
      <c r="B256" s="50"/>
      <c r="C256" s="49"/>
      <c r="D256" s="49"/>
      <c r="E256" s="49"/>
      <c r="F256" s="50"/>
      <c r="G256" s="50"/>
      <c r="H256" s="50"/>
    </row>
    <row r="257" spans="2:8">
      <c r="B257" s="50"/>
      <c r="C257" s="49"/>
      <c r="D257" s="49"/>
      <c r="E257" s="49"/>
      <c r="F257" s="50"/>
      <c r="G257" s="50"/>
      <c r="H257" s="50"/>
    </row>
    <row r="258" spans="2:8">
      <c r="B258" s="50"/>
      <c r="C258" s="49"/>
      <c r="D258" s="49"/>
      <c r="E258" s="49"/>
      <c r="F258" s="50"/>
      <c r="G258" s="50"/>
      <c r="H258" s="50"/>
    </row>
    <row r="259" spans="2:8">
      <c r="B259" s="50"/>
      <c r="C259" s="49"/>
      <c r="D259" s="49"/>
      <c r="E259" s="49"/>
      <c r="F259" s="50"/>
      <c r="G259" s="50"/>
      <c r="H259" s="50"/>
    </row>
    <row r="260" spans="2:8">
      <c r="B260" s="50"/>
      <c r="C260" s="49"/>
      <c r="D260" s="49"/>
      <c r="E260" s="49"/>
      <c r="F260" s="50"/>
      <c r="G260" s="50"/>
      <c r="H260" s="50"/>
    </row>
    <row r="261" spans="2:8">
      <c r="B261" s="50"/>
      <c r="C261" s="49"/>
      <c r="D261" s="49"/>
      <c r="E261" s="49"/>
      <c r="F261" s="50"/>
      <c r="G261" s="50"/>
      <c r="H261" s="50"/>
    </row>
    <row r="262" spans="2:8">
      <c r="B262" s="50"/>
      <c r="C262" s="49"/>
      <c r="D262" s="49"/>
      <c r="E262" s="49"/>
      <c r="F262" s="50"/>
      <c r="G262" s="50"/>
      <c r="H262" s="50"/>
    </row>
    <row r="263" spans="2:8">
      <c r="B263" s="50"/>
      <c r="C263" s="49"/>
      <c r="D263" s="49"/>
      <c r="E263" s="49"/>
      <c r="F263" s="50"/>
      <c r="G263" s="50"/>
      <c r="H263" s="50"/>
    </row>
    <row r="264" spans="2:8">
      <c r="B264" s="50"/>
      <c r="C264" s="49"/>
      <c r="D264" s="49"/>
      <c r="E264" s="49"/>
      <c r="F264" s="50"/>
      <c r="G264" s="50"/>
      <c r="H264" s="50"/>
    </row>
    <row r="265" spans="2:8">
      <c r="B265" s="50"/>
      <c r="C265" s="49"/>
      <c r="D265" s="49"/>
      <c r="E265" s="49"/>
      <c r="F265" s="50"/>
      <c r="G265" s="50"/>
      <c r="H265" s="50"/>
    </row>
    <row r="266" spans="2:8">
      <c r="B266" s="50"/>
      <c r="C266" s="49"/>
      <c r="D266" s="49"/>
      <c r="E266" s="49"/>
      <c r="F266" s="50"/>
      <c r="G266" s="50"/>
      <c r="H266" s="50"/>
    </row>
    <row r="267" spans="2:8">
      <c r="B267" s="50"/>
      <c r="C267" s="49"/>
      <c r="D267" s="49"/>
      <c r="E267" s="49"/>
      <c r="F267" s="50"/>
      <c r="G267" s="50"/>
      <c r="H267" s="50"/>
    </row>
    <row r="268" spans="2:8">
      <c r="B268" s="50"/>
      <c r="C268" s="49"/>
      <c r="D268" s="49"/>
      <c r="E268" s="49"/>
      <c r="F268" s="50"/>
      <c r="G268" s="50"/>
      <c r="H268" s="50"/>
    </row>
    <row r="269" spans="2:8">
      <c r="B269" s="50"/>
      <c r="C269" s="49"/>
      <c r="D269" s="49"/>
      <c r="E269" s="49"/>
      <c r="F269" s="50"/>
      <c r="G269" s="50"/>
      <c r="H269" s="50"/>
    </row>
    <row r="270" spans="2:8">
      <c r="B270" s="50"/>
      <c r="C270" s="49"/>
      <c r="D270" s="49"/>
      <c r="E270" s="49"/>
      <c r="F270" s="50"/>
      <c r="G270" s="50"/>
      <c r="H270" s="50"/>
    </row>
    <row r="271" spans="2:8">
      <c r="B271" s="50"/>
      <c r="C271" s="49"/>
      <c r="D271" s="49"/>
      <c r="E271" s="49"/>
      <c r="F271" s="50"/>
      <c r="G271" s="50"/>
      <c r="H271" s="50"/>
    </row>
    <row r="272" spans="2:8">
      <c r="B272" s="50"/>
      <c r="C272" s="49"/>
      <c r="D272" s="49"/>
      <c r="E272" s="49"/>
      <c r="F272" s="50"/>
      <c r="G272" s="50"/>
      <c r="H272" s="50"/>
    </row>
    <row r="273" spans="2:8">
      <c r="B273" s="50"/>
      <c r="C273" s="49"/>
      <c r="D273" s="49"/>
      <c r="E273" s="49"/>
      <c r="F273" s="50"/>
      <c r="G273" s="50"/>
      <c r="H273" s="50"/>
    </row>
    <row r="274" spans="2:8">
      <c r="B274" s="50"/>
      <c r="C274" s="49"/>
      <c r="D274" s="49"/>
      <c r="E274" s="49"/>
      <c r="F274" s="50"/>
      <c r="G274" s="50"/>
      <c r="H274" s="50"/>
    </row>
    <row r="275" spans="2:8">
      <c r="B275" s="50"/>
      <c r="C275" s="49"/>
      <c r="D275" s="49"/>
      <c r="E275" s="49"/>
      <c r="F275" s="50"/>
      <c r="G275" s="50"/>
      <c r="H275" s="50"/>
    </row>
    <row r="276" spans="2:8">
      <c r="B276" s="50"/>
      <c r="C276" s="49"/>
      <c r="D276" s="49"/>
      <c r="E276" s="49"/>
      <c r="F276" s="50"/>
      <c r="G276" s="50"/>
      <c r="H276" s="50"/>
    </row>
    <row r="277" spans="2:8">
      <c r="B277" s="50"/>
      <c r="C277" s="49"/>
      <c r="D277" s="49"/>
      <c r="E277" s="49"/>
      <c r="F277" s="50"/>
      <c r="G277" s="50"/>
      <c r="H277" s="50"/>
    </row>
    <row r="278" spans="2:8">
      <c r="B278" s="50"/>
      <c r="C278" s="49"/>
      <c r="D278" s="49"/>
      <c r="E278" s="49"/>
      <c r="F278" s="50"/>
      <c r="G278" s="50"/>
      <c r="H278" s="50"/>
    </row>
    <row r="279" spans="2:8">
      <c r="B279" s="50"/>
      <c r="C279" s="49"/>
      <c r="D279" s="49"/>
      <c r="E279" s="49"/>
      <c r="F279" s="50"/>
      <c r="G279" s="50"/>
      <c r="H279" s="50"/>
    </row>
    <row r="280" spans="2:8">
      <c r="B280" s="50"/>
      <c r="C280" s="49"/>
      <c r="D280" s="49"/>
      <c r="E280" s="49"/>
      <c r="F280" s="50"/>
      <c r="G280" s="50"/>
      <c r="H280" s="50"/>
    </row>
    <row r="281" spans="2:8">
      <c r="B281" s="50"/>
      <c r="C281" s="49"/>
      <c r="D281" s="49"/>
      <c r="E281" s="49"/>
      <c r="F281" s="50"/>
      <c r="G281" s="50"/>
      <c r="H281" s="50"/>
    </row>
    <row r="282" spans="2:8">
      <c r="B282" s="50"/>
      <c r="C282" s="49"/>
      <c r="D282" s="49"/>
      <c r="E282" s="49"/>
      <c r="F282" s="50"/>
      <c r="G282" s="50"/>
      <c r="H282" s="50"/>
    </row>
    <row r="283" spans="2:8">
      <c r="B283" s="50"/>
      <c r="C283" s="49"/>
      <c r="D283" s="49"/>
      <c r="E283" s="49"/>
      <c r="F283" s="50"/>
      <c r="G283" s="50"/>
      <c r="H283" s="50"/>
    </row>
    <row r="284" spans="2:8">
      <c r="B284" s="50"/>
      <c r="C284" s="49"/>
      <c r="D284" s="49"/>
      <c r="E284" s="49"/>
      <c r="F284" s="50"/>
      <c r="G284" s="50"/>
      <c r="H284" s="50"/>
    </row>
    <row r="285" spans="2:8">
      <c r="B285" s="50"/>
      <c r="C285" s="49"/>
      <c r="D285" s="49"/>
      <c r="E285" s="49"/>
      <c r="F285" s="50"/>
      <c r="G285" s="50"/>
      <c r="H285" s="50"/>
    </row>
    <row r="286" spans="2:8">
      <c r="B286" s="50"/>
      <c r="C286" s="49"/>
      <c r="D286" s="49"/>
      <c r="E286" s="49"/>
      <c r="F286" s="50"/>
      <c r="G286" s="50"/>
      <c r="H286" s="50"/>
    </row>
    <row r="287" spans="2:8">
      <c r="B287" s="50"/>
      <c r="C287" s="49"/>
      <c r="D287" s="49"/>
      <c r="E287" s="49"/>
      <c r="F287" s="50"/>
      <c r="G287" s="50"/>
      <c r="H287" s="50"/>
    </row>
    <row r="288" spans="2:8">
      <c r="B288" s="50"/>
      <c r="C288" s="49"/>
      <c r="D288" s="49"/>
      <c r="E288" s="49"/>
      <c r="F288" s="50"/>
      <c r="G288" s="50"/>
      <c r="H288" s="50"/>
    </row>
    <row r="289" spans="2:8">
      <c r="B289" s="50"/>
      <c r="C289" s="49"/>
      <c r="D289" s="49"/>
      <c r="E289" s="49"/>
      <c r="F289" s="50"/>
      <c r="G289" s="50"/>
      <c r="H289" s="50"/>
    </row>
    <row r="290" spans="2:8">
      <c r="B290" s="50"/>
      <c r="C290" s="49"/>
      <c r="D290" s="49"/>
      <c r="E290" s="49"/>
      <c r="F290" s="50"/>
      <c r="G290" s="50"/>
      <c r="H290" s="50"/>
    </row>
    <row r="291" spans="2:8">
      <c r="B291" s="50"/>
      <c r="C291" s="49"/>
      <c r="D291" s="49"/>
      <c r="E291" s="49"/>
      <c r="F291" s="50"/>
      <c r="G291" s="50"/>
      <c r="H291" s="50"/>
    </row>
    <row r="292" spans="2:8">
      <c r="B292" s="50"/>
      <c r="C292" s="49"/>
      <c r="D292" s="49"/>
      <c r="E292" s="49"/>
      <c r="F292" s="50"/>
      <c r="G292" s="50"/>
      <c r="H292" s="50"/>
    </row>
    <row r="293" spans="2:8">
      <c r="B293" s="50"/>
      <c r="C293" s="49"/>
      <c r="D293" s="49"/>
      <c r="E293" s="49"/>
      <c r="F293" s="50"/>
      <c r="G293" s="50"/>
      <c r="H293" s="50"/>
    </row>
    <row r="294" spans="2:8">
      <c r="B294" s="50"/>
      <c r="C294" s="49"/>
      <c r="D294" s="49"/>
      <c r="E294" s="49"/>
      <c r="F294" s="50"/>
      <c r="G294" s="50"/>
      <c r="H294" s="50"/>
    </row>
    <row r="295" spans="2:8">
      <c r="B295" s="50"/>
      <c r="C295" s="49"/>
      <c r="D295" s="49"/>
      <c r="E295" s="49"/>
      <c r="F295" s="50"/>
      <c r="G295" s="50"/>
      <c r="H295" s="50"/>
    </row>
    <row r="296" spans="2:8">
      <c r="B296" s="50"/>
      <c r="C296" s="49"/>
      <c r="D296" s="49"/>
      <c r="E296" s="49"/>
      <c r="F296" s="50"/>
      <c r="G296" s="50"/>
      <c r="H296" s="50"/>
    </row>
    <row r="297" spans="2:8">
      <c r="B297" s="50"/>
      <c r="C297" s="49"/>
      <c r="D297" s="49"/>
      <c r="E297" s="49"/>
      <c r="F297" s="50"/>
      <c r="G297" s="50"/>
      <c r="H297" s="50"/>
    </row>
    <row r="298" spans="2:8">
      <c r="B298" s="50"/>
      <c r="C298" s="49"/>
      <c r="D298" s="49"/>
      <c r="E298" s="49"/>
      <c r="F298" s="50"/>
      <c r="G298" s="50"/>
      <c r="H298" s="50"/>
    </row>
    <row r="299" spans="2:8">
      <c r="B299" s="50"/>
      <c r="C299" s="49"/>
      <c r="D299" s="49"/>
      <c r="E299" s="49"/>
      <c r="F299" s="50"/>
      <c r="G299" s="50"/>
      <c r="H299" s="50"/>
    </row>
    <row r="300" spans="2:8">
      <c r="B300" s="50"/>
      <c r="C300" s="49"/>
      <c r="D300" s="49"/>
      <c r="E300" s="49"/>
      <c r="F300" s="50"/>
      <c r="G300" s="50"/>
      <c r="H300" s="50"/>
    </row>
    <row r="301" spans="2:8">
      <c r="B301" s="50"/>
      <c r="C301" s="49"/>
      <c r="D301" s="49"/>
      <c r="E301" s="49"/>
      <c r="F301" s="50"/>
      <c r="G301" s="50"/>
      <c r="H301" s="50"/>
    </row>
    <row r="302" spans="2:8">
      <c r="B302" s="50"/>
      <c r="C302" s="49"/>
      <c r="D302" s="49"/>
      <c r="E302" s="49"/>
      <c r="F302" s="50"/>
      <c r="G302" s="50"/>
      <c r="H302" s="50"/>
    </row>
    <row r="303" spans="2:8">
      <c r="B303" s="50"/>
      <c r="C303" s="49"/>
      <c r="D303" s="49"/>
      <c r="E303" s="49"/>
      <c r="F303" s="50"/>
      <c r="G303" s="50"/>
      <c r="H303" s="50"/>
    </row>
    <row r="304" spans="2:8">
      <c r="B304" s="50"/>
      <c r="C304" s="49"/>
      <c r="D304" s="49"/>
      <c r="E304" s="49"/>
      <c r="F304" s="50"/>
      <c r="G304" s="50"/>
      <c r="H304" s="50"/>
    </row>
    <row r="305" spans="2:8">
      <c r="B305" s="50"/>
      <c r="C305" s="49"/>
      <c r="D305" s="49"/>
      <c r="E305" s="49"/>
      <c r="F305" s="50"/>
      <c r="G305" s="50"/>
      <c r="H305" s="50"/>
    </row>
    <row r="306" spans="2:8">
      <c r="B306" s="50"/>
      <c r="C306" s="49"/>
      <c r="D306" s="49"/>
      <c r="E306" s="49"/>
      <c r="F306" s="50"/>
      <c r="G306" s="50"/>
      <c r="H306" s="50"/>
    </row>
    <row r="307" spans="2:8">
      <c r="B307" s="50"/>
      <c r="C307" s="49"/>
      <c r="D307" s="49"/>
      <c r="E307" s="49"/>
      <c r="F307" s="50"/>
      <c r="G307" s="50"/>
      <c r="H307" s="50"/>
    </row>
    <row r="308" spans="2:8">
      <c r="B308" s="50"/>
      <c r="C308" s="49"/>
      <c r="D308" s="49"/>
      <c r="E308" s="49"/>
      <c r="F308" s="50"/>
      <c r="G308" s="50"/>
      <c r="H308" s="50"/>
    </row>
    <row r="309" spans="2:8">
      <c r="B309" s="50"/>
      <c r="C309" s="49"/>
      <c r="D309" s="49"/>
      <c r="E309" s="49"/>
      <c r="F309" s="50"/>
      <c r="G309" s="50"/>
      <c r="H309" s="50"/>
    </row>
    <row r="310" spans="2:8">
      <c r="B310" s="50"/>
      <c r="C310" s="49"/>
      <c r="D310" s="49"/>
      <c r="E310" s="49"/>
      <c r="F310" s="50"/>
      <c r="G310" s="50"/>
      <c r="H310" s="50"/>
    </row>
    <row r="311" spans="2:8">
      <c r="B311" s="50"/>
      <c r="C311" s="49"/>
      <c r="D311" s="49"/>
      <c r="E311" s="49"/>
      <c r="F311" s="50"/>
      <c r="G311" s="50"/>
      <c r="H311" s="50"/>
    </row>
    <row r="312" spans="2:8">
      <c r="B312" s="50"/>
      <c r="C312" s="49"/>
      <c r="D312" s="49"/>
      <c r="E312" s="49"/>
      <c r="F312" s="50"/>
      <c r="G312" s="50"/>
      <c r="H312" s="50"/>
    </row>
    <row r="313" spans="2:8">
      <c r="B313" s="50"/>
      <c r="C313" s="49"/>
      <c r="D313" s="49"/>
      <c r="E313" s="49"/>
      <c r="F313" s="50"/>
      <c r="G313" s="50"/>
      <c r="H313" s="50"/>
    </row>
    <row r="314" spans="2:8">
      <c r="B314" s="50"/>
      <c r="C314" s="49"/>
      <c r="D314" s="49"/>
      <c r="E314" s="49"/>
      <c r="F314" s="50"/>
      <c r="G314" s="50"/>
      <c r="H314" s="50"/>
    </row>
    <row r="315" spans="2:8">
      <c r="B315" s="50"/>
      <c r="C315" s="49"/>
      <c r="D315" s="49"/>
      <c r="E315" s="49"/>
      <c r="F315" s="50"/>
      <c r="G315" s="50"/>
      <c r="H315" s="50"/>
    </row>
    <row r="316" spans="2:8">
      <c r="B316" s="50"/>
      <c r="C316" s="49"/>
      <c r="D316" s="49"/>
      <c r="E316" s="49"/>
      <c r="F316" s="50"/>
      <c r="G316" s="50"/>
      <c r="H316" s="50"/>
    </row>
    <row r="317" spans="2:8">
      <c r="B317" s="50"/>
      <c r="C317" s="49"/>
      <c r="D317" s="49"/>
      <c r="E317" s="49"/>
      <c r="F317" s="50"/>
      <c r="G317" s="50"/>
      <c r="H317" s="50"/>
    </row>
    <row r="318" spans="2:8">
      <c r="B318" s="50"/>
      <c r="C318" s="49"/>
      <c r="D318" s="49"/>
      <c r="E318" s="49"/>
      <c r="F318" s="50"/>
      <c r="G318" s="50"/>
      <c r="H318" s="50"/>
    </row>
    <row r="319" spans="2:8">
      <c r="B319" s="50"/>
      <c r="C319" s="49"/>
      <c r="D319" s="49"/>
      <c r="E319" s="49"/>
      <c r="F319" s="50"/>
      <c r="G319" s="50"/>
      <c r="H319" s="50"/>
    </row>
    <row r="320" spans="2:8">
      <c r="B320" s="50"/>
      <c r="C320" s="49"/>
      <c r="D320" s="49"/>
      <c r="E320" s="49"/>
      <c r="F320" s="50"/>
      <c r="G320" s="50"/>
      <c r="H320" s="50"/>
    </row>
  </sheetData>
  <autoFilter ref="B2:J82" xr:uid="{E801E785-11F8-47A0-8DDE-7CA484085661}">
    <filterColumn colId="2">
      <filters>
        <filter val="Cathode ray tubes"/>
        <filter val="Display tubes"/>
        <filter val="Laptop"/>
        <filter val="Office Machines"/>
        <filter val="Other Component in Laptop"/>
        <filter val="Printing Machinery"/>
      </filters>
    </filterColumn>
  </autoFilter>
  <mergeCells count="1">
    <mergeCell ref="F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59F3-C60A-443D-8225-FF78BA3A1C24}">
  <sheetPr filterMode="1"/>
  <dimension ref="B2:R427"/>
  <sheetViews>
    <sheetView showGridLines="0" zoomScale="80" zoomScaleNormal="80" workbookViewId="0">
      <pane xSplit="3" ySplit="2" topLeftCell="D3" activePane="bottomRight" state="frozen"/>
      <selection pane="bottomRight" activeCell="C3" sqref="C3"/>
      <selection pane="bottomLeft" activeCell="A3" sqref="A3"/>
      <selection pane="topRight" activeCell="D1" sqref="D1"/>
    </sheetView>
  </sheetViews>
  <sheetFormatPr defaultColWidth="15.42578125" defaultRowHeight="15"/>
  <cols>
    <col min="1" max="1" width="10.42578125" style="4" customWidth="1"/>
    <col min="2" max="2" width="7.42578125" style="4" bestFit="1" customWidth="1"/>
    <col min="3" max="3" width="10.42578125" style="12" customWidth="1"/>
    <col min="4" max="4" width="40.42578125" style="4" customWidth="1"/>
    <col min="5" max="8" width="15.42578125" style="12" customWidth="1"/>
    <col min="9" max="9" width="15.42578125" style="13" customWidth="1"/>
    <col min="10" max="10" width="15.42578125" style="12" customWidth="1"/>
    <col min="11" max="16" width="10.42578125" style="12" customWidth="1"/>
    <col min="17" max="16384" width="15.42578125" style="4"/>
  </cols>
  <sheetData>
    <row r="2" spans="2:17" ht="63.95">
      <c r="B2" s="1" t="s">
        <v>716</v>
      </c>
      <c r="C2" s="2" t="s">
        <v>1</v>
      </c>
      <c r="D2" s="1" t="s">
        <v>2</v>
      </c>
      <c r="E2" s="1" t="s">
        <v>3</v>
      </c>
      <c r="F2" s="1" t="s">
        <v>4</v>
      </c>
      <c r="G2" s="1" t="s">
        <v>5</v>
      </c>
      <c r="H2" s="1" t="s">
        <v>6</v>
      </c>
      <c r="I2" s="2" t="s">
        <v>7</v>
      </c>
      <c r="J2" s="2" t="s">
        <v>8</v>
      </c>
      <c r="K2" s="2" t="s">
        <v>9</v>
      </c>
      <c r="L2" s="2" t="s">
        <v>10</v>
      </c>
      <c r="M2" s="2" t="s">
        <v>11</v>
      </c>
      <c r="N2" s="3" t="s">
        <v>12</v>
      </c>
      <c r="O2" s="2" t="s">
        <v>13</v>
      </c>
      <c r="P2" s="2" t="s">
        <v>717</v>
      </c>
      <c r="Q2" s="2" t="s">
        <v>15</v>
      </c>
    </row>
    <row r="3" spans="2:17" ht="36" customHeight="1">
      <c r="B3" s="5">
        <v>1</v>
      </c>
      <c r="C3" s="5">
        <v>854239</v>
      </c>
      <c r="D3" s="6" t="s">
        <v>16</v>
      </c>
      <c r="E3" s="6" t="s">
        <v>17</v>
      </c>
      <c r="F3" s="6" t="s">
        <v>18</v>
      </c>
      <c r="G3" s="6" t="s">
        <v>19</v>
      </c>
      <c r="H3" s="6" t="s">
        <v>20</v>
      </c>
      <c r="I3" s="5" t="s">
        <v>12</v>
      </c>
      <c r="J3" s="5" t="s">
        <v>21</v>
      </c>
      <c r="K3" s="5" t="s">
        <v>21</v>
      </c>
      <c r="L3" s="5" t="s">
        <v>21</v>
      </c>
      <c r="M3" s="5" t="s">
        <v>21</v>
      </c>
      <c r="N3" s="7" t="s">
        <v>21</v>
      </c>
      <c r="O3" s="5" t="s">
        <v>21</v>
      </c>
      <c r="P3" s="8">
        <v>404.53680532142982</v>
      </c>
      <c r="Q3" s="9">
        <f t="shared" ref="Q3:Q66" si="0">P3/SUM($P$3:$P$425)</f>
        <v>8.5252333960959811E-2</v>
      </c>
    </row>
    <row r="4" spans="2:17" ht="63.95">
      <c r="B4" s="5">
        <v>2</v>
      </c>
      <c r="C4" s="5">
        <v>854231</v>
      </c>
      <c r="D4" s="6" t="s">
        <v>22</v>
      </c>
      <c r="E4" s="6" t="s">
        <v>23</v>
      </c>
      <c r="F4" s="6" t="s">
        <v>18</v>
      </c>
      <c r="G4" s="6" t="s">
        <v>19</v>
      </c>
      <c r="H4" s="6" t="s">
        <v>20</v>
      </c>
      <c r="I4" s="5" t="s">
        <v>12</v>
      </c>
      <c r="J4" s="5" t="s">
        <v>21</v>
      </c>
      <c r="K4" s="5" t="s">
        <v>21</v>
      </c>
      <c r="L4" s="5" t="s">
        <v>21</v>
      </c>
      <c r="M4" s="5" t="s">
        <v>21</v>
      </c>
      <c r="N4" s="7" t="s">
        <v>21</v>
      </c>
      <c r="O4" s="5" t="s">
        <v>21</v>
      </c>
      <c r="P4" s="8">
        <v>366.77031172809404</v>
      </c>
      <c r="Q4" s="9">
        <f t="shared" si="0"/>
        <v>7.7293399985112365E-2</v>
      </c>
    </row>
    <row r="5" spans="2:17" ht="32.1">
      <c r="B5" s="5">
        <v>3</v>
      </c>
      <c r="C5" s="5">
        <v>851713</v>
      </c>
      <c r="D5" s="6" t="s">
        <v>24</v>
      </c>
      <c r="E5" s="6" t="s">
        <v>25</v>
      </c>
      <c r="F5" s="6" t="s">
        <v>26</v>
      </c>
      <c r="G5" s="6" t="s">
        <v>27</v>
      </c>
      <c r="H5" s="6" t="s">
        <v>28</v>
      </c>
      <c r="I5" s="5" t="s">
        <v>12</v>
      </c>
      <c r="J5" s="5" t="s">
        <v>21</v>
      </c>
      <c r="K5" s="5" t="s">
        <v>21</v>
      </c>
      <c r="L5" s="5" t="s">
        <v>21</v>
      </c>
      <c r="M5" s="5" t="s">
        <v>21</v>
      </c>
      <c r="N5" s="7" t="s">
        <v>21</v>
      </c>
      <c r="O5" s="5" t="s">
        <v>29</v>
      </c>
      <c r="P5" s="8">
        <v>247.35227807067304</v>
      </c>
      <c r="Q5" s="9">
        <f t="shared" si="0"/>
        <v>5.2127170479160698E-2</v>
      </c>
    </row>
    <row r="6" spans="2:17" ht="32.1">
      <c r="B6" s="5">
        <v>4</v>
      </c>
      <c r="C6" s="5">
        <v>854232</v>
      </c>
      <c r="D6" s="6" t="s">
        <v>30</v>
      </c>
      <c r="E6" s="6" t="s">
        <v>31</v>
      </c>
      <c r="F6" s="6" t="s">
        <v>18</v>
      </c>
      <c r="G6" s="6" t="s">
        <v>19</v>
      </c>
      <c r="H6" s="6" t="s">
        <v>20</v>
      </c>
      <c r="I6" s="5" t="s">
        <v>12</v>
      </c>
      <c r="J6" s="5" t="s">
        <v>21</v>
      </c>
      <c r="K6" s="5" t="s">
        <v>21</v>
      </c>
      <c r="L6" s="5" t="s">
        <v>21</v>
      </c>
      <c r="M6" s="5" t="s">
        <v>21</v>
      </c>
      <c r="N6" s="7" t="s">
        <v>21</v>
      </c>
      <c r="O6" s="5" t="s">
        <v>21</v>
      </c>
      <c r="P6" s="8">
        <v>243.91543533752704</v>
      </c>
      <c r="Q6" s="9">
        <f t="shared" si="0"/>
        <v>5.1402888137966417E-2</v>
      </c>
    </row>
    <row r="7" spans="2:17" ht="80.099999999999994">
      <c r="B7" s="5">
        <v>5</v>
      </c>
      <c r="C7" s="5">
        <v>851762</v>
      </c>
      <c r="D7" s="6" t="s">
        <v>32</v>
      </c>
      <c r="E7" s="6" t="s">
        <v>33</v>
      </c>
      <c r="F7" s="6" t="s">
        <v>26</v>
      </c>
      <c r="G7" s="6" t="s">
        <v>27</v>
      </c>
      <c r="H7" s="6" t="s">
        <v>20</v>
      </c>
      <c r="I7" s="5" t="s">
        <v>12</v>
      </c>
      <c r="J7" s="5" t="s">
        <v>21</v>
      </c>
      <c r="K7" s="5" t="s">
        <v>21</v>
      </c>
      <c r="L7" s="5" t="s">
        <v>21</v>
      </c>
      <c r="M7" s="5" t="s">
        <v>21</v>
      </c>
      <c r="N7" s="7" t="s">
        <v>21</v>
      </c>
      <c r="O7" s="5" t="s">
        <v>21</v>
      </c>
      <c r="P7" s="8">
        <v>184.13039355484503</v>
      </c>
      <c r="Q7" s="9">
        <f t="shared" si="0"/>
        <v>3.8803751839657528E-2</v>
      </c>
    </row>
    <row r="8" spans="2:17" ht="48">
      <c r="B8" s="5">
        <v>6</v>
      </c>
      <c r="C8" s="5">
        <v>847130</v>
      </c>
      <c r="D8" s="6" t="s">
        <v>34</v>
      </c>
      <c r="E8" s="6" t="s">
        <v>35</v>
      </c>
      <c r="F8" s="6" t="s">
        <v>36</v>
      </c>
      <c r="G8" s="6" t="s">
        <v>37</v>
      </c>
      <c r="H8" s="6" t="s">
        <v>28</v>
      </c>
      <c r="I8" s="5" t="s">
        <v>12</v>
      </c>
      <c r="J8" s="5" t="s">
        <v>21</v>
      </c>
      <c r="K8" s="5" t="s">
        <v>21</v>
      </c>
      <c r="L8" s="5" t="s">
        <v>21</v>
      </c>
      <c r="M8" s="5" t="s">
        <v>21</v>
      </c>
      <c r="N8" s="7" t="s">
        <v>21</v>
      </c>
      <c r="O8" s="5" t="s">
        <v>21</v>
      </c>
      <c r="P8" s="8">
        <v>176.99718579195005</v>
      </c>
      <c r="Q8" s="9">
        <f t="shared" si="0"/>
        <v>3.7300495269635317E-2</v>
      </c>
    </row>
    <row r="9" spans="2:17" ht="48">
      <c r="B9" s="5">
        <v>7</v>
      </c>
      <c r="C9" s="5">
        <v>847330</v>
      </c>
      <c r="D9" s="6" t="s">
        <v>545</v>
      </c>
      <c r="E9" s="6" t="s">
        <v>546</v>
      </c>
      <c r="F9" s="6" t="s">
        <v>36</v>
      </c>
      <c r="G9" s="6" t="s">
        <v>37</v>
      </c>
      <c r="H9" s="6" t="s">
        <v>20</v>
      </c>
      <c r="I9" s="5" t="s">
        <v>12</v>
      </c>
      <c r="J9" s="5" t="s">
        <v>21</v>
      </c>
      <c r="K9" s="5" t="s">
        <v>21</v>
      </c>
      <c r="L9" s="5" t="s">
        <v>21</v>
      </c>
      <c r="M9" s="5" t="s">
        <v>21</v>
      </c>
      <c r="N9" s="7" t="s">
        <v>21</v>
      </c>
      <c r="O9" s="5" t="s">
        <v>21</v>
      </c>
      <c r="P9" s="8">
        <v>139.41621447178804</v>
      </c>
      <c r="Q9" s="9">
        <f t="shared" si="0"/>
        <v>2.938065837119036E-2</v>
      </c>
    </row>
    <row r="10" spans="2:17" ht="48">
      <c r="B10" s="5">
        <v>8</v>
      </c>
      <c r="C10" s="5">
        <v>850760</v>
      </c>
      <c r="D10" s="6" t="s">
        <v>41</v>
      </c>
      <c r="E10" s="6" t="s">
        <v>42</v>
      </c>
      <c r="F10" s="6" t="s">
        <v>26</v>
      </c>
      <c r="G10" s="6" t="s">
        <v>43</v>
      </c>
      <c r="H10" s="6" t="s">
        <v>20</v>
      </c>
      <c r="I10" s="5" t="s">
        <v>12</v>
      </c>
      <c r="J10" s="5" t="s">
        <v>21</v>
      </c>
      <c r="K10" s="5" t="s">
        <v>21</v>
      </c>
      <c r="L10" s="5" t="s">
        <v>29</v>
      </c>
      <c r="M10" s="5" t="s">
        <v>21</v>
      </c>
      <c r="N10" s="7" t="s">
        <v>21</v>
      </c>
      <c r="O10" s="5" t="s">
        <v>29</v>
      </c>
      <c r="P10" s="8">
        <v>99.330582854949952</v>
      </c>
      <c r="Q10" s="9">
        <f t="shared" si="0"/>
        <v>2.0932987828779871E-2</v>
      </c>
    </row>
    <row r="11" spans="2:17" ht="80.099999999999994">
      <c r="B11" s="5">
        <v>9</v>
      </c>
      <c r="C11" s="5">
        <v>847150</v>
      </c>
      <c r="D11" s="6" t="s">
        <v>44</v>
      </c>
      <c r="E11" s="6" t="s">
        <v>45</v>
      </c>
      <c r="F11" s="6" t="s">
        <v>36</v>
      </c>
      <c r="G11" s="6" t="s">
        <v>37</v>
      </c>
      <c r="H11" s="6" t="s">
        <v>28</v>
      </c>
      <c r="I11" s="5" t="s">
        <v>12</v>
      </c>
      <c r="J11" s="5" t="s">
        <v>21</v>
      </c>
      <c r="K11" s="5" t="s">
        <v>21</v>
      </c>
      <c r="L11" s="5" t="s">
        <v>21</v>
      </c>
      <c r="M11" s="5" t="s">
        <v>21</v>
      </c>
      <c r="N11" s="7" t="s">
        <v>21</v>
      </c>
      <c r="O11" s="5" t="s">
        <v>21</v>
      </c>
      <c r="P11" s="8">
        <v>96.388707866681983</v>
      </c>
      <c r="Q11" s="9">
        <f t="shared" si="0"/>
        <v>2.0313015293099371E-2</v>
      </c>
    </row>
    <row r="12" spans="2:17" ht="32.1">
      <c r="B12" s="5">
        <v>10</v>
      </c>
      <c r="C12" s="5">
        <v>850440</v>
      </c>
      <c r="D12" s="6" t="s">
        <v>46</v>
      </c>
      <c r="E12" s="6" t="s">
        <v>47</v>
      </c>
      <c r="F12" s="6" t="s">
        <v>26</v>
      </c>
      <c r="G12" s="6" t="s">
        <v>40</v>
      </c>
      <c r="H12" s="6" t="s">
        <v>20</v>
      </c>
      <c r="I12" s="5" t="s">
        <v>12</v>
      </c>
      <c r="J12" s="5" t="s">
        <v>21</v>
      </c>
      <c r="K12" s="5" t="s">
        <v>21</v>
      </c>
      <c r="L12" s="5" t="s">
        <v>21</v>
      </c>
      <c r="M12" s="5" t="s">
        <v>21</v>
      </c>
      <c r="N12" s="7" t="s">
        <v>21</v>
      </c>
      <c r="O12" s="5" t="s">
        <v>21</v>
      </c>
      <c r="P12" s="8">
        <v>92.78722004446999</v>
      </c>
      <c r="Q12" s="9">
        <f t="shared" si="0"/>
        <v>1.9554035545059911E-2</v>
      </c>
    </row>
    <row r="13" spans="2:17" ht="15.95">
      <c r="B13" s="5">
        <v>11</v>
      </c>
      <c r="C13" s="5">
        <v>392690</v>
      </c>
      <c r="D13" s="6" t="s">
        <v>48</v>
      </c>
      <c r="E13" s="6" t="s">
        <v>49</v>
      </c>
      <c r="F13" s="6" t="s">
        <v>50</v>
      </c>
      <c r="G13" s="6" t="s">
        <v>51</v>
      </c>
      <c r="H13" s="6" t="s">
        <v>20</v>
      </c>
      <c r="I13" s="5" t="s">
        <v>11</v>
      </c>
      <c r="J13" s="5" t="s">
        <v>21</v>
      </c>
      <c r="K13" s="5" t="s">
        <v>29</v>
      </c>
      <c r="L13" s="5" t="s">
        <v>29</v>
      </c>
      <c r="M13" s="5" t="s">
        <v>21</v>
      </c>
      <c r="N13" s="7" t="s">
        <v>29</v>
      </c>
      <c r="O13" s="5" t="s">
        <v>29</v>
      </c>
      <c r="P13" s="8">
        <v>81.476549746991992</v>
      </c>
      <c r="Q13" s="9">
        <f t="shared" si="0"/>
        <v>1.7170417963572517E-2</v>
      </c>
    </row>
    <row r="14" spans="2:17" ht="63.95">
      <c r="B14" s="5">
        <v>12</v>
      </c>
      <c r="C14" s="5">
        <v>853710</v>
      </c>
      <c r="D14" s="6" t="s">
        <v>52</v>
      </c>
      <c r="E14" s="6" t="s">
        <v>53</v>
      </c>
      <c r="F14" s="6" t="s">
        <v>54</v>
      </c>
      <c r="G14" s="6" t="s">
        <v>19</v>
      </c>
      <c r="H14" s="6" t="s">
        <v>20</v>
      </c>
      <c r="I14" s="5" t="s">
        <v>12</v>
      </c>
      <c r="J14" s="5" t="s">
        <v>21</v>
      </c>
      <c r="K14" s="5" t="s">
        <v>21</v>
      </c>
      <c r="L14" s="5" t="s">
        <v>21</v>
      </c>
      <c r="M14" s="5" t="s">
        <v>21</v>
      </c>
      <c r="N14" s="7" t="s">
        <v>21</v>
      </c>
      <c r="O14" s="5" t="s">
        <v>21</v>
      </c>
      <c r="P14" s="8">
        <v>73.863929916992035</v>
      </c>
      <c r="Q14" s="9">
        <f t="shared" si="0"/>
        <v>1.5566129801091689E-2</v>
      </c>
    </row>
    <row r="15" spans="2:17" ht="32.1">
      <c r="B15" s="5">
        <v>13</v>
      </c>
      <c r="C15" s="5">
        <v>851779</v>
      </c>
      <c r="D15" s="6" t="s">
        <v>55</v>
      </c>
      <c r="E15" s="6" t="s">
        <v>56</v>
      </c>
      <c r="F15" s="6" t="s">
        <v>26</v>
      </c>
      <c r="G15" s="6" t="s">
        <v>27</v>
      </c>
      <c r="H15" s="6" t="s">
        <v>20</v>
      </c>
      <c r="I15" s="5" t="s">
        <v>12</v>
      </c>
      <c r="J15" s="5" t="s">
        <v>21</v>
      </c>
      <c r="K15" s="5" t="s">
        <v>29</v>
      </c>
      <c r="L15" s="5" t="s">
        <v>29</v>
      </c>
      <c r="M15" s="5" t="s">
        <v>21</v>
      </c>
      <c r="N15" s="7" t="s">
        <v>21</v>
      </c>
      <c r="O15" s="5" t="s">
        <v>29</v>
      </c>
      <c r="P15" s="8">
        <v>62.043346846057013</v>
      </c>
      <c r="Q15" s="9">
        <f t="shared" si="0"/>
        <v>1.3075052889620273E-2</v>
      </c>
    </row>
    <row r="16" spans="2:17" ht="48">
      <c r="B16" s="5">
        <v>14</v>
      </c>
      <c r="C16" s="5">
        <v>847170</v>
      </c>
      <c r="D16" s="6" t="s">
        <v>80</v>
      </c>
      <c r="E16" s="6" t="s">
        <v>81</v>
      </c>
      <c r="F16" s="6" t="s">
        <v>36</v>
      </c>
      <c r="G16" s="6" t="s">
        <v>37</v>
      </c>
      <c r="H16" s="6" t="s">
        <v>20</v>
      </c>
      <c r="I16" s="5" t="s">
        <v>12</v>
      </c>
      <c r="J16" s="5" t="s">
        <v>21</v>
      </c>
      <c r="K16" s="5" t="s">
        <v>21</v>
      </c>
      <c r="L16" s="5" t="s">
        <v>21</v>
      </c>
      <c r="M16" s="5" t="s">
        <v>21</v>
      </c>
      <c r="N16" s="7" t="s">
        <v>21</v>
      </c>
      <c r="O16" s="5" t="s">
        <v>21</v>
      </c>
      <c r="P16" s="8">
        <v>58.01142586642699</v>
      </c>
      <c r="Q16" s="9">
        <f t="shared" si="0"/>
        <v>1.2225363394528465E-2</v>
      </c>
    </row>
    <row r="17" spans="2:17" ht="32.1">
      <c r="B17" s="5">
        <v>15</v>
      </c>
      <c r="C17" s="5">
        <v>853400</v>
      </c>
      <c r="D17" s="6" t="s">
        <v>58</v>
      </c>
      <c r="E17" s="6" t="s">
        <v>59</v>
      </c>
      <c r="F17" s="6" t="s">
        <v>18</v>
      </c>
      <c r="G17" s="6" t="s">
        <v>19</v>
      </c>
      <c r="H17" s="6" t="s">
        <v>20</v>
      </c>
      <c r="I17" s="5" t="s">
        <v>12</v>
      </c>
      <c r="J17" s="5" t="s">
        <v>21</v>
      </c>
      <c r="K17" s="5" t="s">
        <v>21</v>
      </c>
      <c r="L17" s="5" t="s">
        <v>21</v>
      </c>
      <c r="M17" s="5" t="s">
        <v>21</v>
      </c>
      <c r="N17" s="7" t="s">
        <v>21</v>
      </c>
      <c r="O17" s="5" t="s">
        <v>21</v>
      </c>
      <c r="P17" s="8">
        <v>57.514578587262001</v>
      </c>
      <c r="Q17" s="9">
        <f t="shared" si="0"/>
        <v>1.2120657494808632E-2</v>
      </c>
    </row>
    <row r="18" spans="2:17" ht="15.95">
      <c r="B18" s="5">
        <v>16</v>
      </c>
      <c r="C18" s="5">
        <v>732690</v>
      </c>
      <c r="D18" s="6" t="s">
        <v>60</v>
      </c>
      <c r="E18" s="6" t="s">
        <v>61</v>
      </c>
      <c r="F18" s="6" t="s">
        <v>50</v>
      </c>
      <c r="G18" s="6" t="s">
        <v>51</v>
      </c>
      <c r="H18" s="6" t="s">
        <v>20</v>
      </c>
      <c r="I18" s="5" t="s">
        <v>11</v>
      </c>
      <c r="J18" s="5" t="s">
        <v>21</v>
      </c>
      <c r="K18" s="5" t="s">
        <v>29</v>
      </c>
      <c r="L18" s="5" t="s">
        <v>29</v>
      </c>
      <c r="M18" s="5" t="s">
        <v>21</v>
      </c>
      <c r="N18" s="7" t="s">
        <v>29</v>
      </c>
      <c r="O18" s="5" t="s">
        <v>29</v>
      </c>
      <c r="P18" s="8">
        <v>57.448669347698001</v>
      </c>
      <c r="Q18" s="9">
        <f t="shared" si="0"/>
        <v>1.210676774132141E-2</v>
      </c>
    </row>
    <row r="19" spans="2:17" ht="48">
      <c r="B19" s="5">
        <v>17</v>
      </c>
      <c r="C19" s="5">
        <v>854143</v>
      </c>
      <c r="D19" s="6" t="s">
        <v>62</v>
      </c>
      <c r="E19" s="6" t="s">
        <v>63</v>
      </c>
      <c r="F19" s="6" t="s">
        <v>18</v>
      </c>
      <c r="G19" s="6" t="s">
        <v>19</v>
      </c>
      <c r="H19" s="6" t="s">
        <v>20</v>
      </c>
      <c r="I19" s="5" t="s">
        <v>12</v>
      </c>
      <c r="J19" s="5" t="s">
        <v>21</v>
      </c>
      <c r="K19" s="5" t="s">
        <v>29</v>
      </c>
      <c r="L19" s="5" t="s">
        <v>29</v>
      </c>
      <c r="M19" s="5" t="s">
        <v>29</v>
      </c>
      <c r="N19" s="7" t="s">
        <v>21</v>
      </c>
      <c r="O19" s="5" t="s">
        <v>29</v>
      </c>
      <c r="P19" s="8">
        <v>54.988609705479988</v>
      </c>
      <c r="Q19" s="9">
        <f t="shared" si="0"/>
        <v>1.1588333266575386E-2</v>
      </c>
    </row>
    <row r="20" spans="2:17" ht="48">
      <c r="B20" s="5">
        <v>18</v>
      </c>
      <c r="C20" s="5">
        <v>852351</v>
      </c>
      <c r="D20" s="6" t="s">
        <v>64</v>
      </c>
      <c r="E20" s="6" t="s">
        <v>65</v>
      </c>
      <c r="F20" s="6" t="s">
        <v>66</v>
      </c>
      <c r="G20" s="6" t="s">
        <v>67</v>
      </c>
      <c r="H20" s="6" t="s">
        <v>28</v>
      </c>
      <c r="I20" s="5" t="s">
        <v>12</v>
      </c>
      <c r="J20" s="5" t="s">
        <v>21</v>
      </c>
      <c r="K20" s="5" t="s">
        <v>21</v>
      </c>
      <c r="L20" s="5" t="s">
        <v>21</v>
      </c>
      <c r="M20" s="5" t="s">
        <v>21</v>
      </c>
      <c r="N20" s="7" t="s">
        <v>21</v>
      </c>
      <c r="O20" s="5" t="s">
        <v>21</v>
      </c>
      <c r="P20" s="8">
        <v>49.250293859564998</v>
      </c>
      <c r="Q20" s="9">
        <f t="shared" si="0"/>
        <v>1.0379037072918276E-2</v>
      </c>
    </row>
    <row r="21" spans="2:17" ht="48">
      <c r="B21" s="5">
        <v>19</v>
      </c>
      <c r="C21" s="5">
        <v>852990</v>
      </c>
      <c r="D21" s="6" t="s">
        <v>68</v>
      </c>
      <c r="E21" s="6" t="s">
        <v>69</v>
      </c>
      <c r="F21" s="6" t="s">
        <v>26</v>
      </c>
      <c r="G21" s="6" t="s">
        <v>67</v>
      </c>
      <c r="H21" s="6" t="s">
        <v>20</v>
      </c>
      <c r="I21" s="5" t="s">
        <v>12</v>
      </c>
      <c r="J21" s="5" t="s">
        <v>21</v>
      </c>
      <c r="K21" s="5" t="s">
        <v>21</v>
      </c>
      <c r="L21" s="5" t="s">
        <v>21</v>
      </c>
      <c r="M21" s="5" t="s">
        <v>21</v>
      </c>
      <c r="N21" s="7" t="s">
        <v>21</v>
      </c>
      <c r="O21" s="5" t="s">
        <v>21</v>
      </c>
      <c r="P21" s="8">
        <v>48.009226084309979</v>
      </c>
      <c r="Q21" s="9">
        <f t="shared" si="0"/>
        <v>1.0117493690332461E-2</v>
      </c>
    </row>
    <row r="22" spans="2:17" ht="63.95">
      <c r="B22" s="5">
        <v>20</v>
      </c>
      <c r="C22" s="5">
        <v>852872</v>
      </c>
      <c r="D22" s="6" t="s">
        <v>70</v>
      </c>
      <c r="E22" s="6" t="s">
        <v>71</v>
      </c>
      <c r="F22" s="6" t="s">
        <v>66</v>
      </c>
      <c r="G22" s="6" t="s">
        <v>67</v>
      </c>
      <c r="H22" s="6" t="s">
        <v>28</v>
      </c>
      <c r="I22" s="5" t="s">
        <v>12</v>
      </c>
      <c r="J22" s="5" t="s">
        <v>21</v>
      </c>
      <c r="K22" s="5" t="s">
        <v>21</v>
      </c>
      <c r="L22" s="5" t="s">
        <v>21</v>
      </c>
      <c r="M22" s="5" t="s">
        <v>29</v>
      </c>
      <c r="N22" s="7" t="s">
        <v>21</v>
      </c>
      <c r="O22" s="5" t="s">
        <v>21</v>
      </c>
      <c r="P22" s="8">
        <v>46.588162500374018</v>
      </c>
      <c r="Q22" s="9">
        <f t="shared" si="0"/>
        <v>9.8180178808539974E-3</v>
      </c>
    </row>
    <row r="23" spans="2:17" ht="48">
      <c r="B23" s="5">
        <v>21</v>
      </c>
      <c r="C23" s="5">
        <v>853690</v>
      </c>
      <c r="D23" s="6" t="s">
        <v>72</v>
      </c>
      <c r="E23" s="6" t="s">
        <v>73</v>
      </c>
      <c r="F23" s="6" t="s">
        <v>54</v>
      </c>
      <c r="G23" s="6" t="s">
        <v>51</v>
      </c>
      <c r="H23" s="6" t="s">
        <v>20</v>
      </c>
      <c r="I23" s="5" t="s">
        <v>11</v>
      </c>
      <c r="J23" s="5" t="s">
        <v>21</v>
      </c>
      <c r="K23" s="5" t="s">
        <v>21</v>
      </c>
      <c r="L23" s="5" t="s">
        <v>29</v>
      </c>
      <c r="M23" s="5" t="s">
        <v>21</v>
      </c>
      <c r="N23" s="7" t="s">
        <v>29</v>
      </c>
      <c r="O23" s="5" t="s">
        <v>29</v>
      </c>
      <c r="P23" s="8">
        <v>45.462116568888987</v>
      </c>
      <c r="Q23" s="9">
        <f t="shared" si="0"/>
        <v>9.5807142720264506E-3</v>
      </c>
    </row>
    <row r="24" spans="2:17" ht="48">
      <c r="B24" s="5">
        <v>22</v>
      </c>
      <c r="C24" s="5">
        <v>854370</v>
      </c>
      <c r="D24" s="6" t="s">
        <v>74</v>
      </c>
      <c r="E24" s="6" t="s">
        <v>75</v>
      </c>
      <c r="F24" s="6" t="s">
        <v>54</v>
      </c>
      <c r="G24" s="6" t="s">
        <v>40</v>
      </c>
      <c r="H24" s="6" t="s">
        <v>20</v>
      </c>
      <c r="I24" s="5" t="s">
        <v>12</v>
      </c>
      <c r="J24" s="5" t="s">
        <v>21</v>
      </c>
      <c r="K24" s="5" t="s">
        <v>21</v>
      </c>
      <c r="L24" s="5" t="s">
        <v>21</v>
      </c>
      <c r="M24" s="5" t="s">
        <v>29</v>
      </c>
      <c r="N24" s="7" t="s">
        <v>21</v>
      </c>
      <c r="O24" s="5" t="s">
        <v>21</v>
      </c>
      <c r="P24" s="8">
        <v>43.254493399251977</v>
      </c>
      <c r="Q24" s="9">
        <f t="shared" si="0"/>
        <v>9.1154784140226128E-3</v>
      </c>
    </row>
    <row r="25" spans="2:17" ht="32.1">
      <c r="B25" s="5">
        <v>23</v>
      </c>
      <c r="C25" s="5">
        <v>844399</v>
      </c>
      <c r="D25" s="6" t="s">
        <v>57</v>
      </c>
      <c r="E25" s="6" t="s">
        <v>39</v>
      </c>
      <c r="F25" s="6" t="s">
        <v>36</v>
      </c>
      <c r="G25" s="6" t="s">
        <v>40</v>
      </c>
      <c r="H25" s="6" t="s">
        <v>20</v>
      </c>
      <c r="I25" s="5" t="s">
        <v>12</v>
      </c>
      <c r="J25" s="5" t="s">
        <v>21</v>
      </c>
      <c r="K25" s="5" t="s">
        <v>29</v>
      </c>
      <c r="L25" s="5" t="s">
        <v>29</v>
      </c>
      <c r="M25" s="5" t="s">
        <v>29</v>
      </c>
      <c r="N25" s="7" t="s">
        <v>21</v>
      </c>
      <c r="O25" s="5" t="s">
        <v>21</v>
      </c>
      <c r="P25" s="8">
        <v>39.956587402628017</v>
      </c>
      <c r="Q25" s="9">
        <f t="shared" si="0"/>
        <v>8.4204756857229144E-3</v>
      </c>
    </row>
    <row r="26" spans="2:17" ht="32.1">
      <c r="B26" s="5">
        <v>24</v>
      </c>
      <c r="C26" s="5">
        <v>854442</v>
      </c>
      <c r="D26" s="6" t="s">
        <v>78</v>
      </c>
      <c r="E26" s="6" t="s">
        <v>79</v>
      </c>
      <c r="F26" s="6" t="s">
        <v>54</v>
      </c>
      <c r="G26" s="6" t="s">
        <v>51</v>
      </c>
      <c r="H26" s="6" t="s">
        <v>20</v>
      </c>
      <c r="I26" s="5" t="s">
        <v>11</v>
      </c>
      <c r="J26" s="5" t="s">
        <v>21</v>
      </c>
      <c r="K26" s="5" t="s">
        <v>21</v>
      </c>
      <c r="L26" s="5" t="s">
        <v>29</v>
      </c>
      <c r="M26" s="5" t="s">
        <v>21</v>
      </c>
      <c r="N26" s="7" t="s">
        <v>29</v>
      </c>
      <c r="O26" s="5" t="s">
        <v>29</v>
      </c>
      <c r="P26" s="8">
        <v>39.618274161733027</v>
      </c>
      <c r="Q26" s="9">
        <f t="shared" si="0"/>
        <v>8.3491793462630772E-3</v>
      </c>
    </row>
    <row r="27" spans="2:17" ht="48">
      <c r="B27" s="5">
        <v>25</v>
      </c>
      <c r="C27" s="5">
        <v>847180</v>
      </c>
      <c r="D27" s="6" t="s">
        <v>205</v>
      </c>
      <c r="E27" s="6" t="s">
        <v>206</v>
      </c>
      <c r="F27" s="6" t="s">
        <v>36</v>
      </c>
      <c r="G27" s="6" t="s">
        <v>37</v>
      </c>
      <c r="H27" s="6" t="s">
        <v>20</v>
      </c>
      <c r="I27" s="5" t="s">
        <v>12</v>
      </c>
      <c r="J27" s="5" t="s">
        <v>21</v>
      </c>
      <c r="K27" s="5" t="s">
        <v>21</v>
      </c>
      <c r="L27" s="5" t="s">
        <v>21</v>
      </c>
      <c r="M27" s="5" t="s">
        <v>21</v>
      </c>
      <c r="N27" s="7" t="s">
        <v>21</v>
      </c>
      <c r="O27" s="5" t="s">
        <v>21</v>
      </c>
      <c r="P27" s="8">
        <v>39.253679765066011</v>
      </c>
      <c r="Q27" s="9">
        <f t="shared" si="0"/>
        <v>8.2723444999497631E-3</v>
      </c>
    </row>
    <row r="28" spans="2:17" ht="32.1">
      <c r="B28" s="5">
        <v>26</v>
      </c>
      <c r="C28" s="5">
        <v>854449</v>
      </c>
      <c r="D28" s="6" t="s">
        <v>82</v>
      </c>
      <c r="E28" s="6" t="s">
        <v>79</v>
      </c>
      <c r="F28" s="6" t="s">
        <v>54</v>
      </c>
      <c r="G28" s="6" t="s">
        <v>51</v>
      </c>
      <c r="H28" s="6" t="s">
        <v>20</v>
      </c>
      <c r="I28" s="5" t="s">
        <v>11</v>
      </c>
      <c r="J28" s="5" t="s">
        <v>21</v>
      </c>
      <c r="K28" s="5" t="s">
        <v>21</v>
      </c>
      <c r="L28" s="5" t="s">
        <v>29</v>
      </c>
      <c r="M28" s="5" t="s">
        <v>21</v>
      </c>
      <c r="N28" s="7" t="s">
        <v>29</v>
      </c>
      <c r="O28" s="5" t="s">
        <v>29</v>
      </c>
      <c r="P28" s="8">
        <v>39.171760331623993</v>
      </c>
      <c r="Q28" s="9">
        <f t="shared" si="0"/>
        <v>8.2550807484052229E-3</v>
      </c>
    </row>
    <row r="29" spans="2:17" ht="48" hidden="1">
      <c r="B29" s="5">
        <v>27</v>
      </c>
      <c r="C29" s="5">
        <v>854430</v>
      </c>
      <c r="D29" s="6" t="s">
        <v>595</v>
      </c>
      <c r="E29" s="6" t="s">
        <v>79</v>
      </c>
      <c r="F29" s="6" t="s">
        <v>54</v>
      </c>
      <c r="G29" s="6" t="s">
        <v>51</v>
      </c>
      <c r="H29" s="6" t="s">
        <v>20</v>
      </c>
      <c r="I29" s="10" t="s">
        <v>306</v>
      </c>
      <c r="J29" s="5" t="s">
        <v>29</v>
      </c>
      <c r="K29" s="5" t="s">
        <v>21</v>
      </c>
      <c r="L29" s="5" t="s">
        <v>29</v>
      </c>
      <c r="M29" s="5" t="s">
        <v>29</v>
      </c>
      <c r="N29" s="7" t="s">
        <v>29</v>
      </c>
      <c r="O29" s="5" t="s">
        <v>29</v>
      </c>
      <c r="P29" s="8">
        <v>39.164978746617976</v>
      </c>
      <c r="Q29" s="11">
        <f t="shared" si="0"/>
        <v>8.2536515930302055E-3</v>
      </c>
    </row>
    <row r="30" spans="2:17" ht="48">
      <c r="B30" s="5">
        <v>28</v>
      </c>
      <c r="C30" s="5">
        <v>853890</v>
      </c>
      <c r="D30" s="6" t="s">
        <v>83</v>
      </c>
      <c r="E30" s="6" t="s">
        <v>84</v>
      </c>
      <c r="F30" s="6" t="s">
        <v>26</v>
      </c>
      <c r="G30" s="6" t="s">
        <v>19</v>
      </c>
      <c r="H30" s="6" t="s">
        <v>20</v>
      </c>
      <c r="I30" s="5" t="s">
        <v>12</v>
      </c>
      <c r="J30" s="5" t="s">
        <v>21</v>
      </c>
      <c r="K30" s="5" t="s">
        <v>21</v>
      </c>
      <c r="L30" s="5" t="s">
        <v>21</v>
      </c>
      <c r="M30" s="5" t="s">
        <v>21</v>
      </c>
      <c r="N30" s="7" t="s">
        <v>21</v>
      </c>
      <c r="O30" s="5" t="s">
        <v>21</v>
      </c>
      <c r="P30" s="8">
        <v>38.297708023977997</v>
      </c>
      <c r="Q30" s="9">
        <f t="shared" si="0"/>
        <v>8.0708824301049201E-3</v>
      </c>
    </row>
    <row r="31" spans="2:17" ht="32.1">
      <c r="B31" s="5">
        <v>29</v>
      </c>
      <c r="C31" s="5">
        <v>854129</v>
      </c>
      <c r="D31" s="6" t="s">
        <v>85</v>
      </c>
      <c r="E31" s="6" t="s">
        <v>86</v>
      </c>
      <c r="F31" s="6" t="s">
        <v>54</v>
      </c>
      <c r="G31" s="6" t="s">
        <v>19</v>
      </c>
      <c r="H31" s="6" t="s">
        <v>20</v>
      </c>
      <c r="I31" s="5" t="s">
        <v>12</v>
      </c>
      <c r="J31" s="5" t="s">
        <v>21</v>
      </c>
      <c r="K31" s="5" t="s">
        <v>21</v>
      </c>
      <c r="L31" s="5" t="s">
        <v>21</v>
      </c>
      <c r="M31" s="5" t="s">
        <v>21</v>
      </c>
      <c r="N31" s="7" t="s">
        <v>21</v>
      </c>
      <c r="O31" s="5" t="s">
        <v>21</v>
      </c>
      <c r="P31" s="8">
        <v>32.615904720193001</v>
      </c>
      <c r="Q31" s="9">
        <f t="shared" si="0"/>
        <v>6.8734957241662915E-3</v>
      </c>
    </row>
    <row r="32" spans="2:17" ht="48">
      <c r="B32" s="5">
        <v>30</v>
      </c>
      <c r="C32" s="5">
        <v>852491</v>
      </c>
      <c r="D32" s="6" t="s">
        <v>87</v>
      </c>
      <c r="E32" s="6" t="s">
        <v>88</v>
      </c>
      <c r="F32" s="6" t="s">
        <v>89</v>
      </c>
      <c r="G32" s="6" t="s">
        <v>67</v>
      </c>
      <c r="H32" s="6" t="s">
        <v>20</v>
      </c>
      <c r="I32" s="5" t="s">
        <v>12</v>
      </c>
      <c r="J32" s="5" t="s">
        <v>21</v>
      </c>
      <c r="K32" s="5" t="s">
        <v>29</v>
      </c>
      <c r="L32" s="5" t="s">
        <v>29</v>
      </c>
      <c r="M32" s="5" t="s">
        <v>29</v>
      </c>
      <c r="N32" s="7" t="s">
        <v>21</v>
      </c>
      <c r="O32" s="5" t="s">
        <v>29</v>
      </c>
      <c r="P32" s="8">
        <v>31.689775099025997</v>
      </c>
      <c r="Q32" s="9">
        <f t="shared" si="0"/>
        <v>6.6783226009392658E-3</v>
      </c>
    </row>
    <row r="33" spans="2:17" ht="32.1">
      <c r="B33" s="5">
        <v>31</v>
      </c>
      <c r="C33" s="5">
        <v>852589</v>
      </c>
      <c r="D33" s="6" t="s">
        <v>90</v>
      </c>
      <c r="E33" s="6" t="s">
        <v>91</v>
      </c>
      <c r="F33" s="6" t="s">
        <v>26</v>
      </c>
      <c r="G33" s="6" t="s">
        <v>67</v>
      </c>
      <c r="H33" s="6" t="s">
        <v>20</v>
      </c>
      <c r="I33" s="5" t="s">
        <v>12</v>
      </c>
      <c r="J33" s="5" t="s">
        <v>21</v>
      </c>
      <c r="K33" s="5" t="s">
        <v>29</v>
      </c>
      <c r="L33" s="5" t="s">
        <v>21</v>
      </c>
      <c r="M33" s="5" t="s">
        <v>21</v>
      </c>
      <c r="N33" s="7" t="s">
        <v>21</v>
      </c>
      <c r="O33" s="5" t="s">
        <v>29</v>
      </c>
      <c r="P33" s="8">
        <v>30.476592218321997</v>
      </c>
      <c r="Q33" s="9">
        <f t="shared" si="0"/>
        <v>6.4226556980988246E-3</v>
      </c>
    </row>
    <row r="34" spans="2:17" ht="32.1">
      <c r="B34" s="5">
        <v>32</v>
      </c>
      <c r="C34" s="5">
        <v>950450</v>
      </c>
      <c r="D34" s="6" t="s">
        <v>92</v>
      </c>
      <c r="E34" s="6" t="s">
        <v>93</v>
      </c>
      <c r="F34" s="6" t="s">
        <v>66</v>
      </c>
      <c r="G34" s="6" t="s">
        <v>67</v>
      </c>
      <c r="H34" s="6" t="s">
        <v>28</v>
      </c>
      <c r="I34" s="5" t="s">
        <v>12</v>
      </c>
      <c r="J34" s="5" t="s">
        <v>21</v>
      </c>
      <c r="K34" s="5" t="s">
        <v>29</v>
      </c>
      <c r="L34" s="5" t="s">
        <v>29</v>
      </c>
      <c r="M34" s="5" t="s">
        <v>29</v>
      </c>
      <c r="N34" s="7" t="s">
        <v>21</v>
      </c>
      <c r="O34" s="5" t="s">
        <v>29</v>
      </c>
      <c r="P34" s="8">
        <v>28.457359448270005</v>
      </c>
      <c r="Q34" s="9">
        <f t="shared" si="0"/>
        <v>5.9971213482128928E-3</v>
      </c>
    </row>
    <row r="35" spans="2:17" ht="48">
      <c r="B35" s="5">
        <v>33</v>
      </c>
      <c r="C35" s="5">
        <v>841590</v>
      </c>
      <c r="D35" s="6" t="s">
        <v>94</v>
      </c>
      <c r="E35" s="6" t="s">
        <v>95</v>
      </c>
      <c r="F35" s="6" t="s">
        <v>66</v>
      </c>
      <c r="G35" s="6" t="s">
        <v>51</v>
      </c>
      <c r="H35" s="6" t="s">
        <v>20</v>
      </c>
      <c r="I35" s="5" t="s">
        <v>96</v>
      </c>
      <c r="J35" s="5" t="s">
        <v>21</v>
      </c>
      <c r="K35" s="5" t="s">
        <v>21</v>
      </c>
      <c r="L35" s="5" t="s">
        <v>29</v>
      </c>
      <c r="M35" s="5" t="s">
        <v>29</v>
      </c>
      <c r="N35" s="7" t="s">
        <v>29</v>
      </c>
      <c r="O35" s="5" t="s">
        <v>29</v>
      </c>
      <c r="P35" s="8">
        <v>26.015526601627002</v>
      </c>
      <c r="Q35" s="9">
        <f t="shared" si="0"/>
        <v>5.4825279995225429E-3</v>
      </c>
    </row>
    <row r="36" spans="2:17" ht="63.95">
      <c r="B36" s="5">
        <v>34</v>
      </c>
      <c r="C36" s="5">
        <v>852852</v>
      </c>
      <c r="D36" s="6" t="s">
        <v>108</v>
      </c>
      <c r="E36" s="6" t="s">
        <v>109</v>
      </c>
      <c r="F36" s="6" t="s">
        <v>36</v>
      </c>
      <c r="G36" s="6" t="s">
        <v>37</v>
      </c>
      <c r="H36" s="6" t="s">
        <v>28</v>
      </c>
      <c r="I36" s="5" t="s">
        <v>12</v>
      </c>
      <c r="J36" s="5" t="s">
        <v>21</v>
      </c>
      <c r="K36" s="5" t="s">
        <v>21</v>
      </c>
      <c r="L36" s="5" t="s">
        <v>21</v>
      </c>
      <c r="M36" s="5" t="s">
        <v>29</v>
      </c>
      <c r="N36" s="7" t="s">
        <v>21</v>
      </c>
      <c r="O36" s="5" t="s">
        <v>21</v>
      </c>
      <c r="P36" s="8">
        <v>25.31792130856401</v>
      </c>
      <c r="Q36" s="9">
        <f t="shared" si="0"/>
        <v>5.3355142330745566E-3</v>
      </c>
    </row>
    <row r="37" spans="2:17" ht="32.1">
      <c r="B37" s="5">
        <v>35</v>
      </c>
      <c r="C37" s="5">
        <v>854233</v>
      </c>
      <c r="D37" s="6" t="s">
        <v>99</v>
      </c>
      <c r="E37" s="6" t="s">
        <v>100</v>
      </c>
      <c r="F37" s="6" t="s">
        <v>18</v>
      </c>
      <c r="G37" s="6" t="s">
        <v>19</v>
      </c>
      <c r="H37" s="6" t="s">
        <v>20</v>
      </c>
      <c r="I37" s="5" t="s">
        <v>12</v>
      </c>
      <c r="J37" s="5" t="s">
        <v>21</v>
      </c>
      <c r="K37" s="5" t="s">
        <v>21</v>
      </c>
      <c r="L37" s="5" t="s">
        <v>21</v>
      </c>
      <c r="M37" s="5" t="s">
        <v>29</v>
      </c>
      <c r="N37" s="7" t="s">
        <v>21</v>
      </c>
      <c r="O37" s="5" t="s">
        <v>21</v>
      </c>
      <c r="P37" s="8">
        <v>24.15399644531</v>
      </c>
      <c r="Q37" s="9">
        <f t="shared" si="0"/>
        <v>5.0902279949812061E-3</v>
      </c>
    </row>
    <row r="38" spans="2:17" ht="32.1">
      <c r="B38" s="5">
        <v>36</v>
      </c>
      <c r="C38" s="5">
        <v>854290</v>
      </c>
      <c r="D38" s="6" t="s">
        <v>97</v>
      </c>
      <c r="E38" s="6" t="s">
        <v>98</v>
      </c>
      <c r="F38" s="6" t="s">
        <v>18</v>
      </c>
      <c r="G38" s="6" t="s">
        <v>19</v>
      </c>
      <c r="H38" s="6" t="s">
        <v>20</v>
      </c>
      <c r="I38" s="5" t="s">
        <v>12</v>
      </c>
      <c r="J38" s="5" t="s">
        <v>21</v>
      </c>
      <c r="K38" s="5" t="s">
        <v>21</v>
      </c>
      <c r="L38" s="5" t="s">
        <v>21</v>
      </c>
      <c r="M38" s="5" t="s">
        <v>29</v>
      </c>
      <c r="N38" s="7" t="s">
        <v>21</v>
      </c>
      <c r="O38" s="5" t="s">
        <v>21</v>
      </c>
      <c r="P38" s="8">
        <v>23.427014579510999</v>
      </c>
      <c r="Q38" s="9">
        <f t="shared" si="0"/>
        <v>4.9370233916141192E-3</v>
      </c>
    </row>
    <row r="39" spans="2:17" ht="48" hidden="1">
      <c r="B39" s="5">
        <v>37</v>
      </c>
      <c r="C39" s="5">
        <v>851220</v>
      </c>
      <c r="D39" s="6" t="s">
        <v>304</v>
      </c>
      <c r="E39" s="6" t="s">
        <v>305</v>
      </c>
      <c r="F39" s="6" t="s">
        <v>66</v>
      </c>
      <c r="G39" s="6" t="s">
        <v>51</v>
      </c>
      <c r="H39" s="6" t="s">
        <v>20</v>
      </c>
      <c r="I39" s="10" t="s">
        <v>306</v>
      </c>
      <c r="J39" s="5" t="s">
        <v>29</v>
      </c>
      <c r="K39" s="5" t="s">
        <v>21</v>
      </c>
      <c r="L39" s="5" t="s">
        <v>29</v>
      </c>
      <c r="M39" s="5" t="s">
        <v>29</v>
      </c>
      <c r="N39" s="7" t="s">
        <v>29</v>
      </c>
      <c r="O39" s="5" t="s">
        <v>29</v>
      </c>
      <c r="P39" s="8">
        <v>23.271218409048998</v>
      </c>
      <c r="Q39" s="11">
        <f t="shared" si="0"/>
        <v>4.9041908112917639E-3</v>
      </c>
    </row>
    <row r="40" spans="2:17" ht="32.1">
      <c r="B40" s="5">
        <v>38</v>
      </c>
      <c r="C40" s="5">
        <v>853669</v>
      </c>
      <c r="D40" s="6" t="s">
        <v>116</v>
      </c>
      <c r="E40" s="6" t="s">
        <v>117</v>
      </c>
      <c r="F40" s="6" t="s">
        <v>54</v>
      </c>
      <c r="G40" s="6" t="s">
        <v>51</v>
      </c>
      <c r="H40" s="6" t="s">
        <v>20</v>
      </c>
      <c r="I40" s="5" t="s">
        <v>11</v>
      </c>
      <c r="J40" s="5" t="s">
        <v>21</v>
      </c>
      <c r="K40" s="5" t="s">
        <v>21</v>
      </c>
      <c r="L40" s="5" t="s">
        <v>29</v>
      </c>
      <c r="M40" s="5" t="s">
        <v>21</v>
      </c>
      <c r="N40" s="7" t="s">
        <v>29</v>
      </c>
      <c r="O40" s="5" t="s">
        <v>29</v>
      </c>
      <c r="P40" s="8">
        <v>23.068362804772015</v>
      </c>
      <c r="Q40" s="9">
        <f t="shared" si="0"/>
        <v>4.8614408970832591E-3</v>
      </c>
    </row>
    <row r="41" spans="2:17" ht="32.1">
      <c r="B41" s="5">
        <v>39</v>
      </c>
      <c r="C41" s="5">
        <v>731815</v>
      </c>
      <c r="D41" s="6" t="s">
        <v>118</v>
      </c>
      <c r="E41" s="6" t="s">
        <v>61</v>
      </c>
      <c r="F41" s="6" t="s">
        <v>50</v>
      </c>
      <c r="G41" s="6" t="s">
        <v>51</v>
      </c>
      <c r="H41" s="6" t="s">
        <v>20</v>
      </c>
      <c r="I41" s="5" t="s">
        <v>11</v>
      </c>
      <c r="J41" s="5" t="s">
        <v>21</v>
      </c>
      <c r="K41" s="5" t="s">
        <v>29</v>
      </c>
      <c r="L41" s="5" t="s">
        <v>29</v>
      </c>
      <c r="M41" s="5" t="s">
        <v>21</v>
      </c>
      <c r="N41" s="7" t="s">
        <v>29</v>
      </c>
      <c r="O41" s="5" t="s">
        <v>29</v>
      </c>
      <c r="P41" s="8">
        <v>23.068260738795004</v>
      </c>
      <c r="Q41" s="9">
        <f t="shared" si="0"/>
        <v>4.8614193876367912E-3</v>
      </c>
    </row>
    <row r="42" spans="2:17" ht="48">
      <c r="B42" s="5">
        <v>40</v>
      </c>
      <c r="C42" s="5">
        <v>847149</v>
      </c>
      <c r="D42" s="6" t="s">
        <v>163</v>
      </c>
      <c r="E42" s="6" t="s">
        <v>164</v>
      </c>
      <c r="F42" s="6" t="s">
        <v>36</v>
      </c>
      <c r="G42" s="6" t="s">
        <v>37</v>
      </c>
      <c r="H42" s="6" t="s">
        <v>28</v>
      </c>
      <c r="I42" s="5" t="s">
        <v>12</v>
      </c>
      <c r="J42" s="5" t="s">
        <v>21</v>
      </c>
      <c r="K42" s="5" t="s">
        <v>21</v>
      </c>
      <c r="L42" s="5" t="s">
        <v>21</v>
      </c>
      <c r="M42" s="5" t="s">
        <v>29</v>
      </c>
      <c r="N42" s="7" t="s">
        <v>21</v>
      </c>
      <c r="O42" s="5" t="s">
        <v>21</v>
      </c>
      <c r="P42" s="8">
        <v>22.810593089326002</v>
      </c>
      <c r="Q42" s="9">
        <f t="shared" si="0"/>
        <v>4.8071183494753488E-3</v>
      </c>
    </row>
    <row r="43" spans="2:17" ht="48">
      <c r="B43" s="5">
        <v>41</v>
      </c>
      <c r="C43" s="5">
        <v>903289</v>
      </c>
      <c r="D43" s="6" t="s">
        <v>132</v>
      </c>
      <c r="E43" s="6" t="s">
        <v>133</v>
      </c>
      <c r="F43" s="6" t="s">
        <v>54</v>
      </c>
      <c r="G43" s="6" t="s">
        <v>40</v>
      </c>
      <c r="H43" s="6" t="s">
        <v>20</v>
      </c>
      <c r="I43" s="5" t="s">
        <v>12</v>
      </c>
      <c r="J43" s="5" t="s">
        <v>21</v>
      </c>
      <c r="K43" s="5" t="s">
        <v>21</v>
      </c>
      <c r="L43" s="5" t="s">
        <v>21</v>
      </c>
      <c r="M43" s="5" t="s">
        <v>21</v>
      </c>
      <c r="N43" s="7" t="s">
        <v>21</v>
      </c>
      <c r="O43" s="5" t="s">
        <v>21</v>
      </c>
      <c r="P43" s="8">
        <v>22.135292829363006</v>
      </c>
      <c r="Q43" s="9">
        <f t="shared" si="0"/>
        <v>4.6648051593552453E-3</v>
      </c>
    </row>
    <row r="44" spans="2:17" ht="15.95">
      <c r="B44" s="5">
        <v>42</v>
      </c>
      <c r="C44" s="5">
        <v>761699</v>
      </c>
      <c r="D44" s="6" t="s">
        <v>159</v>
      </c>
      <c r="E44" s="6" t="s">
        <v>160</v>
      </c>
      <c r="F44" s="6" t="s">
        <v>50</v>
      </c>
      <c r="G44" s="6" t="s">
        <v>51</v>
      </c>
      <c r="H44" s="6" t="s">
        <v>20</v>
      </c>
      <c r="I44" s="5" t="s">
        <v>11</v>
      </c>
      <c r="J44" s="5" t="s">
        <v>21</v>
      </c>
      <c r="K44" s="5" t="s">
        <v>29</v>
      </c>
      <c r="L44" s="5" t="s">
        <v>29</v>
      </c>
      <c r="M44" s="5" t="s">
        <v>21</v>
      </c>
      <c r="N44" s="7" t="s">
        <v>29</v>
      </c>
      <c r="O44" s="5" t="s">
        <v>29</v>
      </c>
      <c r="P44" s="8">
        <v>21.888631400268</v>
      </c>
      <c r="Q44" s="9">
        <f t="shared" si="0"/>
        <v>4.6128235788120689E-3</v>
      </c>
    </row>
    <row r="45" spans="2:17" ht="32.1">
      <c r="B45" s="5">
        <v>43</v>
      </c>
      <c r="C45" s="5">
        <v>853650</v>
      </c>
      <c r="D45" s="6" t="s">
        <v>161</v>
      </c>
      <c r="E45" s="6" t="s">
        <v>162</v>
      </c>
      <c r="F45" s="6" t="s">
        <v>54</v>
      </c>
      <c r="G45" s="6" t="s">
        <v>51</v>
      </c>
      <c r="H45" s="6" t="s">
        <v>20</v>
      </c>
      <c r="I45" s="5" t="s">
        <v>11</v>
      </c>
      <c r="J45" s="5" t="s">
        <v>21</v>
      </c>
      <c r="K45" s="5" t="s">
        <v>21</v>
      </c>
      <c r="L45" s="5" t="s">
        <v>29</v>
      </c>
      <c r="M45" s="5" t="s">
        <v>21</v>
      </c>
      <c r="N45" s="7" t="s">
        <v>29</v>
      </c>
      <c r="O45" s="5" t="s">
        <v>29</v>
      </c>
      <c r="P45" s="8">
        <v>21.497948823236989</v>
      </c>
      <c r="Q45" s="9">
        <f t="shared" si="0"/>
        <v>4.5304908934008809E-3</v>
      </c>
    </row>
    <row r="46" spans="2:17" ht="80.099999999999994">
      <c r="B46" s="5">
        <v>44</v>
      </c>
      <c r="C46" s="5">
        <v>841510</v>
      </c>
      <c r="D46" s="6" t="s">
        <v>127</v>
      </c>
      <c r="E46" s="6" t="s">
        <v>128</v>
      </c>
      <c r="F46" s="6" t="s">
        <v>112</v>
      </c>
      <c r="G46" s="6" t="s">
        <v>51</v>
      </c>
      <c r="H46" s="6" t="s">
        <v>28</v>
      </c>
      <c r="I46" s="5" t="s">
        <v>129</v>
      </c>
      <c r="J46" s="5" t="s">
        <v>21</v>
      </c>
      <c r="K46" s="5" t="s">
        <v>21</v>
      </c>
      <c r="L46" s="5" t="s">
        <v>29</v>
      </c>
      <c r="M46" s="5" t="s">
        <v>29</v>
      </c>
      <c r="N46" s="7" t="s">
        <v>29</v>
      </c>
      <c r="O46" s="5" t="s">
        <v>29</v>
      </c>
      <c r="P46" s="8">
        <v>20.501175731573994</v>
      </c>
      <c r="Q46" s="9">
        <f t="shared" si="0"/>
        <v>4.3204303219623137E-3</v>
      </c>
    </row>
    <row r="47" spans="2:17" ht="32.1">
      <c r="B47" s="5">
        <v>45</v>
      </c>
      <c r="C47" s="5">
        <v>853224</v>
      </c>
      <c r="D47" s="6" t="s">
        <v>165</v>
      </c>
      <c r="E47" s="6" t="s">
        <v>166</v>
      </c>
      <c r="F47" s="6" t="s">
        <v>54</v>
      </c>
      <c r="G47" s="6" t="s">
        <v>19</v>
      </c>
      <c r="H47" s="6" t="s">
        <v>20</v>
      </c>
      <c r="I47" s="5" t="s">
        <v>12</v>
      </c>
      <c r="J47" s="5" t="s">
        <v>21</v>
      </c>
      <c r="K47" s="5" t="s">
        <v>21</v>
      </c>
      <c r="L47" s="5" t="s">
        <v>21</v>
      </c>
      <c r="M47" s="5" t="s">
        <v>21</v>
      </c>
      <c r="N47" s="7" t="s">
        <v>21</v>
      </c>
      <c r="O47" s="5" t="s">
        <v>21</v>
      </c>
      <c r="P47" s="8">
        <v>20.463279419223998</v>
      </c>
      <c r="Q47" s="9">
        <f t="shared" si="0"/>
        <v>4.3124440299022286E-3</v>
      </c>
    </row>
    <row r="48" spans="2:17" ht="48">
      <c r="B48" s="5">
        <v>46</v>
      </c>
      <c r="C48" s="5">
        <v>391990</v>
      </c>
      <c r="D48" s="6" t="s">
        <v>167</v>
      </c>
      <c r="E48" s="6" t="s">
        <v>49</v>
      </c>
      <c r="F48" s="6" t="s">
        <v>50</v>
      </c>
      <c r="G48" s="6" t="s">
        <v>51</v>
      </c>
      <c r="H48" s="6" t="s">
        <v>20</v>
      </c>
      <c r="I48" s="5" t="s">
        <v>11</v>
      </c>
      <c r="J48" s="5" t="s">
        <v>21</v>
      </c>
      <c r="K48" s="5" t="s">
        <v>29</v>
      </c>
      <c r="L48" s="5" t="s">
        <v>29</v>
      </c>
      <c r="M48" s="5" t="s">
        <v>21</v>
      </c>
      <c r="N48" s="7" t="s">
        <v>29</v>
      </c>
      <c r="O48" s="5" t="s">
        <v>29</v>
      </c>
      <c r="P48" s="8">
        <v>19.468839714086997</v>
      </c>
      <c r="Q48" s="9">
        <f t="shared" si="0"/>
        <v>4.1028751977683605E-3</v>
      </c>
    </row>
    <row r="49" spans="2:17" ht="48">
      <c r="B49" s="5">
        <v>47</v>
      </c>
      <c r="C49" s="5">
        <v>841810</v>
      </c>
      <c r="D49" s="6" t="s">
        <v>194</v>
      </c>
      <c r="E49" s="6" t="s">
        <v>195</v>
      </c>
      <c r="F49" s="6" t="s">
        <v>112</v>
      </c>
      <c r="G49" s="6" t="s">
        <v>51</v>
      </c>
      <c r="H49" s="6" t="s">
        <v>28</v>
      </c>
      <c r="I49" s="5" t="s">
        <v>129</v>
      </c>
      <c r="J49" s="5" t="s">
        <v>21</v>
      </c>
      <c r="K49" s="5" t="s">
        <v>21</v>
      </c>
      <c r="L49" s="5" t="s">
        <v>29</v>
      </c>
      <c r="M49" s="5" t="s">
        <v>29</v>
      </c>
      <c r="N49" s="7" t="s">
        <v>29</v>
      </c>
      <c r="O49" s="5" t="s">
        <v>29</v>
      </c>
      <c r="P49" s="8">
        <v>17.881006262867999</v>
      </c>
      <c r="Q49" s="9">
        <f t="shared" si="0"/>
        <v>3.7682542043827321E-3</v>
      </c>
    </row>
    <row r="50" spans="2:17" ht="48">
      <c r="B50" s="5">
        <v>48</v>
      </c>
      <c r="C50" s="5">
        <v>851660</v>
      </c>
      <c r="D50" s="6" t="s">
        <v>192</v>
      </c>
      <c r="E50" s="6" t="s">
        <v>193</v>
      </c>
      <c r="F50" s="6" t="s">
        <v>66</v>
      </c>
      <c r="G50" s="6" t="s">
        <v>51</v>
      </c>
      <c r="H50" s="6" t="s">
        <v>28</v>
      </c>
      <c r="I50" s="5" t="s">
        <v>96</v>
      </c>
      <c r="J50" s="5" t="s">
        <v>21</v>
      </c>
      <c r="K50" s="5" t="s">
        <v>21</v>
      </c>
      <c r="L50" s="5" t="s">
        <v>21</v>
      </c>
      <c r="M50" s="5" t="s">
        <v>29</v>
      </c>
      <c r="N50" s="7" t="s">
        <v>29</v>
      </c>
      <c r="O50" s="5" t="s">
        <v>29</v>
      </c>
      <c r="P50" s="8">
        <v>17.653083483211002</v>
      </c>
      <c r="Q50" s="9">
        <f t="shared" si="0"/>
        <v>3.7202216182916112E-3</v>
      </c>
    </row>
    <row r="51" spans="2:17" ht="63.95">
      <c r="B51" s="5">
        <v>49</v>
      </c>
      <c r="C51" s="5">
        <v>852492</v>
      </c>
      <c r="D51" s="6" t="s">
        <v>168</v>
      </c>
      <c r="E51" s="6" t="s">
        <v>88</v>
      </c>
      <c r="F51" s="6" t="s">
        <v>89</v>
      </c>
      <c r="G51" s="6" t="s">
        <v>67</v>
      </c>
      <c r="H51" s="6" t="s">
        <v>20</v>
      </c>
      <c r="I51" s="5" t="s">
        <v>12</v>
      </c>
      <c r="J51" s="5" t="s">
        <v>21</v>
      </c>
      <c r="K51" s="5" t="s">
        <v>29</v>
      </c>
      <c r="L51" s="5" t="s">
        <v>29</v>
      </c>
      <c r="M51" s="5" t="s">
        <v>29</v>
      </c>
      <c r="N51" s="7" t="s">
        <v>21</v>
      </c>
      <c r="O51" s="5" t="s">
        <v>29</v>
      </c>
      <c r="P51" s="8">
        <v>17.031598455224</v>
      </c>
      <c r="Q51" s="9">
        <f t="shared" si="0"/>
        <v>3.589249483097173E-3</v>
      </c>
    </row>
    <row r="52" spans="2:17" ht="63.95">
      <c r="B52" s="5">
        <v>50</v>
      </c>
      <c r="C52" s="5">
        <v>901819</v>
      </c>
      <c r="D52" s="6" t="s">
        <v>196</v>
      </c>
      <c r="E52" s="6" t="s">
        <v>197</v>
      </c>
      <c r="F52" s="6" t="s">
        <v>198</v>
      </c>
      <c r="G52" s="6" t="s">
        <v>40</v>
      </c>
      <c r="H52" s="6" t="s">
        <v>28</v>
      </c>
      <c r="I52" s="5" t="s">
        <v>12</v>
      </c>
      <c r="J52" s="5" t="s">
        <v>21</v>
      </c>
      <c r="K52" s="5" t="s">
        <v>21</v>
      </c>
      <c r="L52" s="5" t="s">
        <v>29</v>
      </c>
      <c r="M52" s="5" t="s">
        <v>21</v>
      </c>
      <c r="N52" s="7" t="s">
        <v>21</v>
      </c>
      <c r="O52" s="5" t="s">
        <v>21</v>
      </c>
      <c r="P52" s="8">
        <v>16.643749267151001</v>
      </c>
      <c r="Q52" s="9">
        <f t="shared" si="0"/>
        <v>3.5075139078092482E-3</v>
      </c>
    </row>
    <row r="53" spans="2:17" ht="32.1">
      <c r="B53" s="5">
        <v>51</v>
      </c>
      <c r="C53" s="5">
        <v>841430</v>
      </c>
      <c r="D53" s="6" t="s">
        <v>199</v>
      </c>
      <c r="E53" s="6" t="s">
        <v>200</v>
      </c>
      <c r="F53" s="6" t="s">
        <v>112</v>
      </c>
      <c r="G53" s="6" t="s">
        <v>51</v>
      </c>
      <c r="H53" s="6" t="s">
        <v>20</v>
      </c>
      <c r="I53" s="5" t="s">
        <v>129</v>
      </c>
      <c r="J53" s="5" t="s">
        <v>21</v>
      </c>
      <c r="K53" s="5" t="s">
        <v>21</v>
      </c>
      <c r="L53" s="5" t="s">
        <v>29</v>
      </c>
      <c r="M53" s="5" t="s">
        <v>29</v>
      </c>
      <c r="N53" s="7" t="s">
        <v>29</v>
      </c>
      <c r="O53" s="5" t="s">
        <v>29</v>
      </c>
      <c r="P53" s="8">
        <v>16.545230897985999</v>
      </c>
      <c r="Q53" s="9">
        <f t="shared" si="0"/>
        <v>3.4867520863906248E-3</v>
      </c>
    </row>
    <row r="54" spans="2:17" ht="80.099999999999994">
      <c r="B54" s="5">
        <v>52</v>
      </c>
      <c r="C54" s="5">
        <v>844331</v>
      </c>
      <c r="D54" s="6" t="s">
        <v>201</v>
      </c>
      <c r="E54" s="6" t="s">
        <v>153</v>
      </c>
      <c r="F54" s="6" t="s">
        <v>36</v>
      </c>
      <c r="G54" s="6" t="s">
        <v>37</v>
      </c>
      <c r="H54" s="6" t="s">
        <v>28</v>
      </c>
      <c r="I54" s="5" t="s">
        <v>12</v>
      </c>
      <c r="J54" s="5" t="s">
        <v>21</v>
      </c>
      <c r="K54" s="5" t="s">
        <v>21</v>
      </c>
      <c r="L54" s="5" t="s">
        <v>21</v>
      </c>
      <c r="M54" s="5" t="s">
        <v>29</v>
      </c>
      <c r="N54" s="7" t="s">
        <v>21</v>
      </c>
      <c r="O54" s="5" t="s">
        <v>21</v>
      </c>
      <c r="P54" s="8">
        <v>16.384845292273997</v>
      </c>
      <c r="Q54" s="9">
        <f t="shared" si="0"/>
        <v>3.4529523256745976E-3</v>
      </c>
    </row>
    <row r="55" spans="2:17" ht="48" hidden="1">
      <c r="B55" s="5">
        <v>53</v>
      </c>
      <c r="C55" s="5">
        <v>841459</v>
      </c>
      <c r="D55" s="6" t="s">
        <v>104</v>
      </c>
      <c r="E55" s="6" t="s">
        <v>105</v>
      </c>
      <c r="F55" s="6" t="s">
        <v>66</v>
      </c>
      <c r="G55" s="6" t="s">
        <v>51</v>
      </c>
      <c r="H55" s="6" t="s">
        <v>28</v>
      </c>
      <c r="I55" s="10" t="s">
        <v>96</v>
      </c>
      <c r="J55" s="5" t="s">
        <v>29</v>
      </c>
      <c r="K55" s="5" t="s">
        <v>21</v>
      </c>
      <c r="L55" s="5" t="s">
        <v>29</v>
      </c>
      <c r="M55" s="5" t="s">
        <v>29</v>
      </c>
      <c r="N55" s="7" t="s">
        <v>29</v>
      </c>
      <c r="O55" s="5" t="s">
        <v>29</v>
      </c>
      <c r="P55" s="8">
        <v>15.302803886116003</v>
      </c>
      <c r="Q55" s="11">
        <f t="shared" si="0"/>
        <v>3.2249222574486122E-3</v>
      </c>
    </row>
    <row r="56" spans="2:17" ht="63.95">
      <c r="B56" s="5">
        <v>54</v>
      </c>
      <c r="C56" s="5">
        <v>852412</v>
      </c>
      <c r="D56" s="6" t="s">
        <v>586</v>
      </c>
      <c r="E56" s="6" t="s">
        <v>88</v>
      </c>
      <c r="F56" s="6" t="s">
        <v>89</v>
      </c>
      <c r="G56" s="6" t="s">
        <v>67</v>
      </c>
      <c r="H56" s="6" t="s">
        <v>20</v>
      </c>
      <c r="I56" s="5" t="s">
        <v>12</v>
      </c>
      <c r="J56" s="5" t="s">
        <v>21</v>
      </c>
      <c r="K56" s="5" t="s">
        <v>29</v>
      </c>
      <c r="L56" s="5" t="s">
        <v>29</v>
      </c>
      <c r="M56" s="5" t="s">
        <v>29</v>
      </c>
      <c r="N56" s="7" t="s">
        <v>21</v>
      </c>
      <c r="O56" s="5" t="s">
        <v>29</v>
      </c>
      <c r="P56" s="8">
        <v>15.292828763632004</v>
      </c>
      <c r="Q56" s="9">
        <f t="shared" si="0"/>
        <v>3.2228200940307948E-3</v>
      </c>
    </row>
    <row r="57" spans="2:17" ht="32.1">
      <c r="B57" s="5">
        <v>55</v>
      </c>
      <c r="C57" s="5">
        <v>401699</v>
      </c>
      <c r="D57" s="6" t="s">
        <v>203</v>
      </c>
      <c r="E57" s="6" t="s">
        <v>204</v>
      </c>
      <c r="F57" s="6" t="s">
        <v>50</v>
      </c>
      <c r="G57" s="6" t="s">
        <v>51</v>
      </c>
      <c r="H57" s="6" t="s">
        <v>20</v>
      </c>
      <c r="I57" s="5" t="s">
        <v>11</v>
      </c>
      <c r="J57" s="5" t="s">
        <v>21</v>
      </c>
      <c r="K57" s="5" t="s">
        <v>29</v>
      </c>
      <c r="L57" s="5" t="s">
        <v>29</v>
      </c>
      <c r="M57" s="5" t="s">
        <v>21</v>
      </c>
      <c r="N57" s="7" t="s">
        <v>29</v>
      </c>
      <c r="O57" s="5" t="s">
        <v>29</v>
      </c>
      <c r="P57" s="8">
        <v>14.672858477224993</v>
      </c>
      <c r="Q57" s="9">
        <f t="shared" si="0"/>
        <v>3.0921671764040622E-3</v>
      </c>
    </row>
    <row r="58" spans="2:17" ht="63.95">
      <c r="B58" s="5">
        <v>56</v>
      </c>
      <c r="C58" s="5">
        <v>847160</v>
      </c>
      <c r="D58" s="6" t="s">
        <v>76</v>
      </c>
      <c r="E58" s="6" t="s">
        <v>77</v>
      </c>
      <c r="F58" s="6" t="s">
        <v>36</v>
      </c>
      <c r="G58" s="6" t="s">
        <v>37</v>
      </c>
      <c r="H58" s="6" t="s">
        <v>20</v>
      </c>
      <c r="I58" s="5" t="s">
        <v>12</v>
      </c>
      <c r="J58" s="5" t="s">
        <v>21</v>
      </c>
      <c r="K58" s="5" t="s">
        <v>21</v>
      </c>
      <c r="L58" s="5" t="s">
        <v>21</v>
      </c>
      <c r="M58" s="5" t="s">
        <v>21</v>
      </c>
      <c r="N58" s="7" t="s">
        <v>21</v>
      </c>
      <c r="O58" s="5" t="s">
        <v>21</v>
      </c>
      <c r="P58" s="8">
        <v>14.561891622285996</v>
      </c>
      <c r="Q58" s="9">
        <f t="shared" si="0"/>
        <v>3.0687819534739999E-3</v>
      </c>
    </row>
    <row r="59" spans="2:17" ht="32.1">
      <c r="B59" s="5">
        <v>57</v>
      </c>
      <c r="C59" s="5">
        <v>854110</v>
      </c>
      <c r="D59" s="6" t="s">
        <v>207</v>
      </c>
      <c r="E59" s="6" t="s">
        <v>208</v>
      </c>
      <c r="F59" s="6" t="s">
        <v>54</v>
      </c>
      <c r="G59" s="6" t="s">
        <v>19</v>
      </c>
      <c r="H59" s="6" t="s">
        <v>20</v>
      </c>
      <c r="I59" s="5" t="s">
        <v>12</v>
      </c>
      <c r="J59" s="5" t="s">
        <v>21</v>
      </c>
      <c r="K59" s="5" t="s">
        <v>21</v>
      </c>
      <c r="L59" s="5" t="s">
        <v>21</v>
      </c>
      <c r="M59" s="5" t="s">
        <v>21</v>
      </c>
      <c r="N59" s="7" t="s">
        <v>21</v>
      </c>
      <c r="O59" s="5" t="s">
        <v>21</v>
      </c>
      <c r="P59" s="8">
        <v>14.358635623251001</v>
      </c>
      <c r="Q59" s="9">
        <f t="shared" si="0"/>
        <v>3.0259476598291195E-3</v>
      </c>
    </row>
    <row r="60" spans="2:17" ht="48">
      <c r="B60" s="5">
        <v>58</v>
      </c>
      <c r="C60" s="5">
        <v>851830</v>
      </c>
      <c r="D60" s="6" t="s">
        <v>209</v>
      </c>
      <c r="E60" s="6" t="s">
        <v>210</v>
      </c>
      <c r="F60" s="6" t="s">
        <v>66</v>
      </c>
      <c r="G60" s="6" t="s">
        <v>40</v>
      </c>
      <c r="H60" s="6" t="s">
        <v>28</v>
      </c>
      <c r="I60" s="5" t="s">
        <v>12</v>
      </c>
      <c r="J60" s="5" t="s">
        <v>21</v>
      </c>
      <c r="K60" s="5" t="s">
        <v>21</v>
      </c>
      <c r="L60" s="5" t="s">
        <v>21</v>
      </c>
      <c r="M60" s="5" t="s">
        <v>21</v>
      </c>
      <c r="N60" s="7" t="s">
        <v>21</v>
      </c>
      <c r="O60" s="5" t="s">
        <v>21</v>
      </c>
      <c r="P60" s="8">
        <v>14.308445892368999</v>
      </c>
      <c r="Q60" s="9">
        <f t="shared" si="0"/>
        <v>3.0153706452230858E-3</v>
      </c>
    </row>
    <row r="61" spans="2:17" ht="63.95">
      <c r="B61" s="5">
        <v>59</v>
      </c>
      <c r="C61" s="5">
        <v>847141</v>
      </c>
      <c r="D61" s="6" t="s">
        <v>202</v>
      </c>
      <c r="E61" s="6" t="s">
        <v>164</v>
      </c>
      <c r="F61" s="6" t="s">
        <v>36</v>
      </c>
      <c r="G61" s="6" t="s">
        <v>37</v>
      </c>
      <c r="H61" s="6" t="s">
        <v>28</v>
      </c>
      <c r="I61" s="5" t="s">
        <v>12</v>
      </c>
      <c r="J61" s="5" t="s">
        <v>21</v>
      </c>
      <c r="K61" s="5" t="s">
        <v>21</v>
      </c>
      <c r="L61" s="5" t="s">
        <v>21</v>
      </c>
      <c r="M61" s="5" t="s">
        <v>29</v>
      </c>
      <c r="N61" s="7" t="s">
        <v>21</v>
      </c>
      <c r="O61" s="5" t="s">
        <v>21</v>
      </c>
      <c r="P61" s="8">
        <v>14.236101189548007</v>
      </c>
      <c r="Q61" s="9">
        <f t="shared" si="0"/>
        <v>3.0001246782700884E-3</v>
      </c>
    </row>
    <row r="62" spans="2:17" ht="32.1">
      <c r="B62" s="5">
        <v>60</v>
      </c>
      <c r="C62" s="5">
        <v>850490</v>
      </c>
      <c r="D62" s="6" t="s">
        <v>212</v>
      </c>
      <c r="E62" s="6" t="s">
        <v>213</v>
      </c>
      <c r="F62" s="6" t="s">
        <v>54</v>
      </c>
      <c r="G62" s="6" t="s">
        <v>19</v>
      </c>
      <c r="H62" s="6" t="s">
        <v>20</v>
      </c>
      <c r="I62" s="5" t="s">
        <v>12</v>
      </c>
      <c r="J62" s="5" t="s">
        <v>21</v>
      </c>
      <c r="K62" s="5" t="s">
        <v>21</v>
      </c>
      <c r="L62" s="5" t="s">
        <v>21</v>
      </c>
      <c r="M62" s="5" t="s">
        <v>21</v>
      </c>
      <c r="N62" s="7" t="s">
        <v>21</v>
      </c>
      <c r="O62" s="5" t="s">
        <v>21</v>
      </c>
      <c r="P62" s="8">
        <v>14.029447437940995</v>
      </c>
      <c r="Q62" s="9">
        <f t="shared" si="0"/>
        <v>2.9565743401684962E-3</v>
      </c>
    </row>
    <row r="63" spans="2:17" ht="32.1">
      <c r="B63" s="5">
        <v>61</v>
      </c>
      <c r="C63" s="5">
        <v>850110</v>
      </c>
      <c r="D63" s="6" t="s">
        <v>214</v>
      </c>
      <c r="E63" s="6" t="s">
        <v>215</v>
      </c>
      <c r="F63" s="6" t="s">
        <v>54</v>
      </c>
      <c r="G63" s="6" t="s">
        <v>40</v>
      </c>
      <c r="H63" s="6" t="s">
        <v>20</v>
      </c>
      <c r="I63" s="5" t="s">
        <v>12</v>
      </c>
      <c r="J63" s="5" t="s">
        <v>21</v>
      </c>
      <c r="K63" s="5" t="s">
        <v>21</v>
      </c>
      <c r="L63" s="5" t="s">
        <v>21</v>
      </c>
      <c r="M63" s="5" t="s">
        <v>21</v>
      </c>
      <c r="N63" s="7" t="s">
        <v>21</v>
      </c>
      <c r="O63" s="5" t="s">
        <v>21</v>
      </c>
      <c r="P63" s="8">
        <v>13.940885958033011</v>
      </c>
      <c r="Q63" s="9">
        <f t="shared" si="0"/>
        <v>2.937910839686276E-3</v>
      </c>
    </row>
    <row r="64" spans="2:17" ht="32.1">
      <c r="B64" s="5">
        <v>62</v>
      </c>
      <c r="C64" s="5">
        <v>850450</v>
      </c>
      <c r="D64" s="6" t="s">
        <v>216</v>
      </c>
      <c r="E64" s="6" t="s">
        <v>217</v>
      </c>
      <c r="F64" s="6" t="s">
        <v>54</v>
      </c>
      <c r="G64" s="6" t="s">
        <v>40</v>
      </c>
      <c r="H64" s="6" t="s">
        <v>20</v>
      </c>
      <c r="I64" s="5" t="s">
        <v>12</v>
      </c>
      <c r="J64" s="5" t="s">
        <v>21</v>
      </c>
      <c r="K64" s="5" t="s">
        <v>21</v>
      </c>
      <c r="L64" s="5" t="s">
        <v>21</v>
      </c>
      <c r="M64" s="5" t="s">
        <v>21</v>
      </c>
      <c r="N64" s="7" t="s">
        <v>21</v>
      </c>
      <c r="O64" s="5" t="s">
        <v>21</v>
      </c>
      <c r="P64" s="8">
        <v>13.808321591172993</v>
      </c>
      <c r="Q64" s="9">
        <f t="shared" si="0"/>
        <v>2.9099741438746458E-3</v>
      </c>
    </row>
    <row r="65" spans="2:17" ht="48">
      <c r="B65" s="5">
        <v>63</v>
      </c>
      <c r="C65" s="5">
        <v>854141</v>
      </c>
      <c r="D65" s="6" t="s">
        <v>228</v>
      </c>
      <c r="E65" s="6" t="s">
        <v>63</v>
      </c>
      <c r="F65" s="6" t="s">
        <v>18</v>
      </c>
      <c r="G65" s="6" t="s">
        <v>19</v>
      </c>
      <c r="H65" s="6" t="s">
        <v>20</v>
      </c>
      <c r="I65" s="5" t="s">
        <v>12</v>
      </c>
      <c r="J65" s="5" t="s">
        <v>21</v>
      </c>
      <c r="K65" s="5" t="s">
        <v>29</v>
      </c>
      <c r="L65" s="5" t="s">
        <v>29</v>
      </c>
      <c r="M65" s="5" t="s">
        <v>29</v>
      </c>
      <c r="N65" s="7" t="s">
        <v>21</v>
      </c>
      <c r="O65" s="5" t="s">
        <v>29</v>
      </c>
      <c r="P65" s="8">
        <v>13.756354025015</v>
      </c>
      <c r="Q65" s="9">
        <f t="shared" si="0"/>
        <v>2.899022467174378E-3</v>
      </c>
    </row>
    <row r="66" spans="2:17" ht="48">
      <c r="B66" s="5">
        <v>64</v>
      </c>
      <c r="C66" s="5">
        <v>854390</v>
      </c>
      <c r="D66" s="6" t="s">
        <v>222</v>
      </c>
      <c r="E66" s="6" t="s">
        <v>223</v>
      </c>
      <c r="F66" s="6" t="s">
        <v>54</v>
      </c>
      <c r="G66" s="6" t="s">
        <v>40</v>
      </c>
      <c r="H66" s="6" t="s">
        <v>20</v>
      </c>
      <c r="I66" s="5" t="s">
        <v>12</v>
      </c>
      <c r="J66" s="5" t="s">
        <v>21</v>
      </c>
      <c r="K66" s="5" t="s">
        <v>21</v>
      </c>
      <c r="L66" s="5" t="s">
        <v>21</v>
      </c>
      <c r="M66" s="5" t="s">
        <v>21</v>
      </c>
      <c r="N66" s="7" t="s">
        <v>21</v>
      </c>
      <c r="O66" s="5" t="s">
        <v>21</v>
      </c>
      <c r="P66" s="8">
        <v>13.063324289858995</v>
      </c>
      <c r="Q66" s="9">
        <f t="shared" si="0"/>
        <v>2.7529729566003018E-3</v>
      </c>
    </row>
    <row r="67" spans="2:17" ht="32.1">
      <c r="B67" s="5">
        <v>65</v>
      </c>
      <c r="C67" s="5">
        <v>490199</v>
      </c>
      <c r="D67" s="6" t="s">
        <v>224</v>
      </c>
      <c r="E67" s="6" t="s">
        <v>225</v>
      </c>
      <c r="F67" s="6" t="s">
        <v>50</v>
      </c>
      <c r="G67" s="6" t="s">
        <v>51</v>
      </c>
      <c r="H67" s="6" t="s">
        <v>20</v>
      </c>
      <c r="I67" s="5" t="s">
        <v>11</v>
      </c>
      <c r="J67" s="5" t="s">
        <v>21</v>
      </c>
      <c r="K67" s="5" t="s">
        <v>29</v>
      </c>
      <c r="L67" s="5" t="s">
        <v>29</v>
      </c>
      <c r="M67" s="5" t="s">
        <v>21</v>
      </c>
      <c r="N67" s="7" t="s">
        <v>29</v>
      </c>
      <c r="O67" s="5" t="s">
        <v>29</v>
      </c>
      <c r="P67" s="8">
        <v>12.768022887362999</v>
      </c>
      <c r="Q67" s="9">
        <f t="shared" ref="Q67:Q130" si="1">P67/SUM($P$3:$P$425)</f>
        <v>2.6907409582912103E-3</v>
      </c>
    </row>
    <row r="68" spans="2:17" ht="32.1">
      <c r="B68" s="5">
        <v>66</v>
      </c>
      <c r="C68" s="5">
        <v>851714</v>
      </c>
      <c r="D68" s="6" t="s">
        <v>226</v>
      </c>
      <c r="E68" s="6" t="s">
        <v>227</v>
      </c>
      <c r="F68" s="6" t="s">
        <v>26</v>
      </c>
      <c r="G68" s="6" t="s">
        <v>27</v>
      </c>
      <c r="H68" s="6" t="s">
        <v>28</v>
      </c>
      <c r="I68" s="5" t="s">
        <v>12</v>
      </c>
      <c r="J68" s="5" t="s">
        <v>21</v>
      </c>
      <c r="K68" s="5" t="s">
        <v>29</v>
      </c>
      <c r="L68" s="5" t="s">
        <v>21</v>
      </c>
      <c r="M68" s="5" t="s">
        <v>21</v>
      </c>
      <c r="N68" s="7" t="s">
        <v>21</v>
      </c>
      <c r="O68" s="5" t="s">
        <v>29</v>
      </c>
      <c r="P68" s="8">
        <v>12.716539619522004</v>
      </c>
      <c r="Q68" s="9">
        <f t="shared" si="1"/>
        <v>2.6798913429146943E-3</v>
      </c>
    </row>
    <row r="69" spans="2:17" ht="48">
      <c r="B69" s="5">
        <v>67</v>
      </c>
      <c r="C69" s="5">
        <v>852859</v>
      </c>
      <c r="D69" s="6" t="s">
        <v>239</v>
      </c>
      <c r="E69" s="6" t="s">
        <v>109</v>
      </c>
      <c r="F69" s="6" t="s">
        <v>36</v>
      </c>
      <c r="G69" s="6" t="s">
        <v>37</v>
      </c>
      <c r="H69" s="6" t="s">
        <v>28</v>
      </c>
      <c r="I69" s="5" t="s">
        <v>12</v>
      </c>
      <c r="J69" s="5" t="s">
        <v>21</v>
      </c>
      <c r="K69" s="5" t="s">
        <v>21</v>
      </c>
      <c r="L69" s="5" t="s">
        <v>21</v>
      </c>
      <c r="M69" s="5" t="s">
        <v>29</v>
      </c>
      <c r="N69" s="7" t="s">
        <v>21</v>
      </c>
      <c r="O69" s="5" t="s">
        <v>21</v>
      </c>
      <c r="P69" s="8">
        <v>12.642545159476997</v>
      </c>
      <c r="Q69" s="9">
        <f t="shared" si="1"/>
        <v>2.6642977051145301E-3</v>
      </c>
    </row>
    <row r="70" spans="2:17" ht="48">
      <c r="B70" s="5">
        <v>68</v>
      </c>
      <c r="C70" s="5">
        <v>401693</v>
      </c>
      <c r="D70" s="6" t="s">
        <v>236</v>
      </c>
      <c r="E70" s="6" t="s">
        <v>204</v>
      </c>
      <c r="F70" s="6" t="s">
        <v>50</v>
      </c>
      <c r="G70" s="6" t="s">
        <v>51</v>
      </c>
      <c r="H70" s="6" t="s">
        <v>20</v>
      </c>
      <c r="I70" s="5" t="s">
        <v>11</v>
      </c>
      <c r="J70" s="5" t="s">
        <v>21</v>
      </c>
      <c r="K70" s="5" t="s">
        <v>29</v>
      </c>
      <c r="L70" s="5" t="s">
        <v>29</v>
      </c>
      <c r="M70" s="5" t="s">
        <v>21</v>
      </c>
      <c r="N70" s="7" t="s">
        <v>29</v>
      </c>
      <c r="O70" s="5" t="s">
        <v>29</v>
      </c>
      <c r="P70" s="8">
        <v>12.506814945885001</v>
      </c>
      <c r="Q70" s="9">
        <f t="shared" si="1"/>
        <v>2.6356938368248622E-3</v>
      </c>
    </row>
    <row r="71" spans="2:17" ht="63.95">
      <c r="B71" s="5">
        <v>69</v>
      </c>
      <c r="C71" s="5">
        <v>844332</v>
      </c>
      <c r="D71" s="6" t="s">
        <v>245</v>
      </c>
      <c r="E71" s="6" t="s">
        <v>153</v>
      </c>
      <c r="F71" s="6" t="s">
        <v>36</v>
      </c>
      <c r="G71" s="6" t="s">
        <v>37</v>
      </c>
      <c r="H71" s="6" t="s">
        <v>28</v>
      </c>
      <c r="I71" s="5" t="s">
        <v>12</v>
      </c>
      <c r="J71" s="5" t="s">
        <v>21</v>
      </c>
      <c r="K71" s="5" t="s">
        <v>21</v>
      </c>
      <c r="L71" s="5" t="s">
        <v>21</v>
      </c>
      <c r="M71" s="5" t="s">
        <v>29</v>
      </c>
      <c r="N71" s="7" t="s">
        <v>21</v>
      </c>
      <c r="O71" s="5" t="s">
        <v>21</v>
      </c>
      <c r="P71" s="8">
        <v>11.97763236121299</v>
      </c>
      <c r="Q71" s="9">
        <f t="shared" si="1"/>
        <v>2.5241735750307932E-3</v>
      </c>
    </row>
    <row r="72" spans="2:17" ht="32.1">
      <c r="B72" s="5">
        <v>70</v>
      </c>
      <c r="C72" s="5">
        <v>390799</v>
      </c>
      <c r="D72" s="6" t="s">
        <v>240</v>
      </c>
      <c r="E72" s="6" t="s">
        <v>241</v>
      </c>
      <c r="F72" s="6" t="s">
        <v>50</v>
      </c>
      <c r="G72" s="6" t="s">
        <v>51</v>
      </c>
      <c r="H72" s="6" t="s">
        <v>20</v>
      </c>
      <c r="I72" s="5" t="s">
        <v>11</v>
      </c>
      <c r="J72" s="5" t="s">
        <v>21</v>
      </c>
      <c r="K72" s="5" t="s">
        <v>29</v>
      </c>
      <c r="L72" s="5" t="s">
        <v>29</v>
      </c>
      <c r="M72" s="5" t="s">
        <v>21</v>
      </c>
      <c r="N72" s="7" t="s">
        <v>29</v>
      </c>
      <c r="O72" s="5" t="s">
        <v>29</v>
      </c>
      <c r="P72" s="8">
        <v>11.828392334739997</v>
      </c>
      <c r="Q72" s="9">
        <f t="shared" si="1"/>
        <v>2.4927226405055429E-3</v>
      </c>
    </row>
    <row r="73" spans="2:17" ht="48">
      <c r="B73" s="5">
        <v>71</v>
      </c>
      <c r="C73" s="5">
        <v>850710</v>
      </c>
      <c r="D73" s="6" t="s">
        <v>262</v>
      </c>
      <c r="E73" s="6" t="s">
        <v>42</v>
      </c>
      <c r="F73" s="6" t="s">
        <v>26</v>
      </c>
      <c r="G73" s="6" t="s">
        <v>43</v>
      </c>
      <c r="H73" s="6" t="s">
        <v>20</v>
      </c>
      <c r="I73" s="5" t="s">
        <v>12</v>
      </c>
      <c r="J73" s="5" t="s">
        <v>21</v>
      </c>
      <c r="K73" s="5" t="s">
        <v>21</v>
      </c>
      <c r="L73" s="5" t="s">
        <v>29</v>
      </c>
      <c r="M73" s="5" t="s">
        <v>29</v>
      </c>
      <c r="N73" s="7" t="s">
        <v>21</v>
      </c>
      <c r="O73" s="5" t="s">
        <v>29</v>
      </c>
      <c r="P73" s="8">
        <v>11.793224866159003</v>
      </c>
      <c r="Q73" s="9">
        <f t="shared" si="1"/>
        <v>2.4853114266515991E-3</v>
      </c>
    </row>
    <row r="74" spans="2:17" ht="48">
      <c r="B74" s="5">
        <v>72</v>
      </c>
      <c r="C74" s="5">
        <v>902750</v>
      </c>
      <c r="D74" s="6" t="s">
        <v>243</v>
      </c>
      <c r="E74" s="6" t="s">
        <v>244</v>
      </c>
      <c r="F74" s="6" t="s">
        <v>189</v>
      </c>
      <c r="G74" s="6" t="s">
        <v>40</v>
      </c>
      <c r="H74" s="6" t="s">
        <v>28</v>
      </c>
      <c r="I74" s="5" t="s">
        <v>12</v>
      </c>
      <c r="J74" s="5" t="s">
        <v>21</v>
      </c>
      <c r="K74" s="5" t="s">
        <v>21</v>
      </c>
      <c r="L74" s="5" t="s">
        <v>29</v>
      </c>
      <c r="M74" s="5" t="s">
        <v>29</v>
      </c>
      <c r="N74" s="7" t="s">
        <v>21</v>
      </c>
      <c r="O74" s="5" t="s">
        <v>21</v>
      </c>
      <c r="P74" s="8">
        <v>11.656979582007002</v>
      </c>
      <c r="Q74" s="9">
        <f t="shared" si="1"/>
        <v>2.4565990120768528E-3</v>
      </c>
    </row>
    <row r="75" spans="2:17" ht="80.099999999999994">
      <c r="B75" s="5">
        <v>73</v>
      </c>
      <c r="C75" s="5">
        <v>903090</v>
      </c>
      <c r="D75" s="6" t="s">
        <v>252</v>
      </c>
      <c r="E75" s="6" t="s">
        <v>253</v>
      </c>
      <c r="F75" s="6" t="s">
        <v>189</v>
      </c>
      <c r="G75" s="6" t="s">
        <v>40</v>
      </c>
      <c r="H75" s="6" t="s">
        <v>28</v>
      </c>
      <c r="I75" s="5" t="s">
        <v>12</v>
      </c>
      <c r="J75" s="5" t="s">
        <v>21</v>
      </c>
      <c r="K75" s="5" t="s">
        <v>21</v>
      </c>
      <c r="L75" s="5" t="s">
        <v>29</v>
      </c>
      <c r="M75" s="5" t="s">
        <v>29</v>
      </c>
      <c r="N75" s="7" t="s">
        <v>21</v>
      </c>
      <c r="O75" s="5" t="s">
        <v>21</v>
      </c>
      <c r="P75" s="8">
        <v>11.651085774905999</v>
      </c>
      <c r="Q75" s="9">
        <f t="shared" si="1"/>
        <v>2.4553569475609261E-3</v>
      </c>
    </row>
    <row r="76" spans="2:17" ht="32.1">
      <c r="B76" s="5">
        <v>74</v>
      </c>
      <c r="C76" s="5">
        <v>481910</v>
      </c>
      <c r="D76" s="6" t="s">
        <v>250</v>
      </c>
      <c r="E76" s="6" t="s">
        <v>251</v>
      </c>
      <c r="F76" s="6" t="s">
        <v>50</v>
      </c>
      <c r="G76" s="6" t="s">
        <v>51</v>
      </c>
      <c r="H76" s="6" t="s">
        <v>20</v>
      </c>
      <c r="I76" s="5" t="s">
        <v>11</v>
      </c>
      <c r="J76" s="5" t="s">
        <v>21</v>
      </c>
      <c r="K76" s="5" t="s">
        <v>29</v>
      </c>
      <c r="L76" s="5" t="s">
        <v>29</v>
      </c>
      <c r="M76" s="5" t="s">
        <v>21</v>
      </c>
      <c r="N76" s="7" t="s">
        <v>29</v>
      </c>
      <c r="O76" s="5" t="s">
        <v>29</v>
      </c>
      <c r="P76" s="8">
        <v>11.570214343988003</v>
      </c>
      <c r="Q76" s="9">
        <f t="shared" si="1"/>
        <v>2.438314052709755E-3</v>
      </c>
    </row>
    <row r="77" spans="2:17" ht="48">
      <c r="B77" s="5">
        <v>75</v>
      </c>
      <c r="C77" s="5">
        <v>850811</v>
      </c>
      <c r="D77" s="6" t="s">
        <v>218</v>
      </c>
      <c r="E77" s="6" t="s">
        <v>219</v>
      </c>
      <c r="F77" s="6" t="s">
        <v>112</v>
      </c>
      <c r="G77" s="6" t="s">
        <v>51</v>
      </c>
      <c r="H77" s="6" t="s">
        <v>28</v>
      </c>
      <c r="I77" s="5" t="s">
        <v>129</v>
      </c>
      <c r="J77" s="5" t="s">
        <v>21</v>
      </c>
      <c r="K77" s="5" t="s">
        <v>21</v>
      </c>
      <c r="L77" s="5" t="s">
        <v>29</v>
      </c>
      <c r="M77" s="5" t="s">
        <v>29</v>
      </c>
      <c r="N77" s="7" t="s">
        <v>29</v>
      </c>
      <c r="O77" s="5" t="s">
        <v>29</v>
      </c>
      <c r="P77" s="8">
        <v>11.353949433273002</v>
      </c>
      <c r="Q77" s="9">
        <f t="shared" si="1"/>
        <v>2.3927382530549795E-3</v>
      </c>
    </row>
    <row r="78" spans="2:17" ht="32.1">
      <c r="B78" s="5">
        <v>76</v>
      </c>
      <c r="C78" s="5">
        <v>841869</v>
      </c>
      <c r="D78" s="6" t="s">
        <v>211</v>
      </c>
      <c r="E78" s="6" t="s">
        <v>200</v>
      </c>
      <c r="F78" s="6" t="s">
        <v>112</v>
      </c>
      <c r="G78" s="6" t="s">
        <v>51</v>
      </c>
      <c r="H78" s="6" t="s">
        <v>20</v>
      </c>
      <c r="I78" s="5" t="s">
        <v>129</v>
      </c>
      <c r="J78" s="5" t="s">
        <v>21</v>
      </c>
      <c r="K78" s="5" t="s">
        <v>21</v>
      </c>
      <c r="L78" s="5" t="s">
        <v>29</v>
      </c>
      <c r="M78" s="5" t="s">
        <v>29</v>
      </c>
      <c r="N78" s="7" t="s">
        <v>29</v>
      </c>
      <c r="O78" s="5" t="s">
        <v>29</v>
      </c>
      <c r="P78" s="8">
        <v>11.259152979877001</v>
      </c>
      <c r="Q78" s="9">
        <f t="shared" si="1"/>
        <v>2.3727607904436136E-3</v>
      </c>
    </row>
    <row r="79" spans="2:17" ht="32.1">
      <c r="B79" s="5">
        <v>77</v>
      </c>
      <c r="C79" s="5">
        <v>481920</v>
      </c>
      <c r="D79" s="6" t="s">
        <v>256</v>
      </c>
      <c r="E79" s="6" t="s">
        <v>251</v>
      </c>
      <c r="F79" s="6" t="s">
        <v>50</v>
      </c>
      <c r="G79" s="6" t="s">
        <v>51</v>
      </c>
      <c r="H79" s="6" t="s">
        <v>20</v>
      </c>
      <c r="I79" s="5" t="s">
        <v>11</v>
      </c>
      <c r="J79" s="5" t="s">
        <v>21</v>
      </c>
      <c r="K79" s="5" t="s">
        <v>29</v>
      </c>
      <c r="L79" s="5" t="s">
        <v>29</v>
      </c>
      <c r="M79" s="5" t="s">
        <v>21</v>
      </c>
      <c r="N79" s="7" t="s">
        <v>29</v>
      </c>
      <c r="O79" s="5" t="s">
        <v>29</v>
      </c>
      <c r="P79" s="8">
        <v>11.213452696057997</v>
      </c>
      <c r="Q79" s="9">
        <f t="shared" si="1"/>
        <v>2.3631298846595213E-3</v>
      </c>
    </row>
    <row r="80" spans="2:17" ht="32.1">
      <c r="B80" s="5">
        <v>78</v>
      </c>
      <c r="C80" s="5">
        <v>392390</v>
      </c>
      <c r="D80" s="6" t="s">
        <v>261</v>
      </c>
      <c r="E80" s="6" t="s">
        <v>49</v>
      </c>
      <c r="F80" s="6" t="s">
        <v>50</v>
      </c>
      <c r="G80" s="6" t="s">
        <v>51</v>
      </c>
      <c r="H80" s="6" t="s">
        <v>20</v>
      </c>
      <c r="I80" s="5" t="s">
        <v>11</v>
      </c>
      <c r="J80" s="5" t="s">
        <v>21</v>
      </c>
      <c r="K80" s="5" t="s">
        <v>29</v>
      </c>
      <c r="L80" s="5" t="s">
        <v>29</v>
      </c>
      <c r="M80" s="5" t="s">
        <v>21</v>
      </c>
      <c r="N80" s="7" t="s">
        <v>29</v>
      </c>
      <c r="O80" s="5" t="s">
        <v>29</v>
      </c>
      <c r="P80" s="8">
        <v>11.000523106121001</v>
      </c>
      <c r="Q80" s="9">
        <f t="shared" si="1"/>
        <v>2.3182569725469743E-3</v>
      </c>
    </row>
    <row r="81" spans="2:18" ht="48">
      <c r="B81" s="5">
        <v>79</v>
      </c>
      <c r="C81" s="5">
        <v>854470</v>
      </c>
      <c r="D81" s="6" t="s">
        <v>270</v>
      </c>
      <c r="E81" s="6" t="s">
        <v>79</v>
      </c>
      <c r="F81" s="6" t="s">
        <v>54</v>
      </c>
      <c r="G81" s="6" t="s">
        <v>51</v>
      </c>
      <c r="H81" s="6" t="s">
        <v>20</v>
      </c>
      <c r="I81" s="5" t="s">
        <v>96</v>
      </c>
      <c r="J81" s="5" t="s">
        <v>21</v>
      </c>
      <c r="K81" s="5" t="s">
        <v>21</v>
      </c>
      <c r="L81" s="5" t="s">
        <v>29</v>
      </c>
      <c r="M81" s="5" t="s">
        <v>29</v>
      </c>
      <c r="N81" s="7" t="s">
        <v>29</v>
      </c>
      <c r="O81" s="5" t="s">
        <v>29</v>
      </c>
      <c r="P81" s="8">
        <v>10.640499746759005</v>
      </c>
      <c r="Q81" s="9">
        <f t="shared" si="1"/>
        <v>2.2423854294331452E-3</v>
      </c>
    </row>
    <row r="82" spans="2:18" ht="48">
      <c r="B82" s="5">
        <v>80</v>
      </c>
      <c r="C82" s="5">
        <v>853620</v>
      </c>
      <c r="D82" s="6" t="s">
        <v>248</v>
      </c>
      <c r="E82" s="6" t="s">
        <v>249</v>
      </c>
      <c r="F82" s="6" t="s">
        <v>54</v>
      </c>
      <c r="G82" s="6" t="s">
        <v>51</v>
      </c>
      <c r="H82" s="6" t="s">
        <v>20</v>
      </c>
      <c r="I82" s="5" t="s">
        <v>96</v>
      </c>
      <c r="J82" s="5" t="s">
        <v>21</v>
      </c>
      <c r="K82" s="5" t="s">
        <v>21</v>
      </c>
      <c r="L82" s="5" t="s">
        <v>29</v>
      </c>
      <c r="M82" s="5" t="s">
        <v>29</v>
      </c>
      <c r="N82" s="7" t="s">
        <v>29</v>
      </c>
      <c r="O82" s="5" t="s">
        <v>29</v>
      </c>
      <c r="P82" s="8">
        <v>10.535120079712003</v>
      </c>
      <c r="Q82" s="9">
        <f t="shared" si="1"/>
        <v>2.2201776538992293E-3</v>
      </c>
    </row>
    <row r="83" spans="2:18" ht="63.95">
      <c r="B83" s="5">
        <v>81</v>
      </c>
      <c r="C83" s="5">
        <v>850980</v>
      </c>
      <c r="D83" s="6" t="s">
        <v>254</v>
      </c>
      <c r="E83" s="6" t="s">
        <v>255</v>
      </c>
      <c r="F83" s="6" t="s">
        <v>112</v>
      </c>
      <c r="G83" s="6" t="s">
        <v>51</v>
      </c>
      <c r="H83" s="6" t="s">
        <v>28</v>
      </c>
      <c r="I83" s="5" t="s">
        <v>129</v>
      </c>
      <c r="J83" s="5" t="s">
        <v>21</v>
      </c>
      <c r="K83" s="5" t="s">
        <v>21</v>
      </c>
      <c r="L83" s="5" t="s">
        <v>21</v>
      </c>
      <c r="M83" s="5" t="s">
        <v>29</v>
      </c>
      <c r="N83" s="7" t="s">
        <v>29</v>
      </c>
      <c r="O83" s="5" t="s">
        <v>29</v>
      </c>
      <c r="P83" s="8">
        <v>10.456872850058003</v>
      </c>
      <c r="Q83" s="9">
        <f t="shared" si="1"/>
        <v>2.2036877848286454E-3</v>
      </c>
    </row>
    <row r="84" spans="2:18" ht="32.1">
      <c r="B84" s="5">
        <v>82</v>
      </c>
      <c r="C84" s="5">
        <v>392350</v>
      </c>
      <c r="D84" s="6" t="s">
        <v>267</v>
      </c>
      <c r="E84" s="6" t="s">
        <v>49</v>
      </c>
      <c r="F84" s="6" t="s">
        <v>50</v>
      </c>
      <c r="G84" s="6" t="s">
        <v>51</v>
      </c>
      <c r="H84" s="6" t="s">
        <v>20</v>
      </c>
      <c r="I84" s="5" t="s">
        <v>11</v>
      </c>
      <c r="J84" s="5" t="s">
        <v>21</v>
      </c>
      <c r="K84" s="5" t="s">
        <v>29</v>
      </c>
      <c r="L84" s="5" t="s">
        <v>29</v>
      </c>
      <c r="M84" s="5" t="s">
        <v>21</v>
      </c>
      <c r="N84" s="7" t="s">
        <v>29</v>
      </c>
      <c r="O84" s="5" t="s">
        <v>29</v>
      </c>
      <c r="P84" s="8">
        <v>10.454278897201993</v>
      </c>
      <c r="Q84" s="9">
        <f t="shared" si="1"/>
        <v>2.2031411336160718E-3</v>
      </c>
    </row>
    <row r="85" spans="2:18" ht="63.95">
      <c r="B85" s="5">
        <v>83</v>
      </c>
      <c r="C85" s="5">
        <v>854149</v>
      </c>
      <c r="D85" s="6" t="s">
        <v>273</v>
      </c>
      <c r="E85" s="6" t="s">
        <v>63</v>
      </c>
      <c r="F85" s="6" t="s">
        <v>189</v>
      </c>
      <c r="G85" s="6" t="s">
        <v>19</v>
      </c>
      <c r="H85" s="6" t="s">
        <v>20</v>
      </c>
      <c r="I85" s="5" t="s">
        <v>12</v>
      </c>
      <c r="J85" s="5" t="s">
        <v>21</v>
      </c>
      <c r="K85" s="5" t="s">
        <v>29</v>
      </c>
      <c r="L85" s="5" t="s">
        <v>29</v>
      </c>
      <c r="M85" s="5" t="s">
        <v>29</v>
      </c>
      <c r="N85" s="7" t="s">
        <v>21</v>
      </c>
      <c r="O85" s="5" t="s">
        <v>29</v>
      </c>
      <c r="P85" s="8">
        <v>10.060820430140996</v>
      </c>
      <c r="Q85" s="9">
        <f t="shared" si="1"/>
        <v>2.1202234554409073E-3</v>
      </c>
    </row>
    <row r="86" spans="2:18" ht="48">
      <c r="B86" s="5">
        <v>84</v>
      </c>
      <c r="C86" s="5">
        <v>854460</v>
      </c>
      <c r="D86" s="6" t="s">
        <v>263</v>
      </c>
      <c r="E86" s="6" t="s">
        <v>79</v>
      </c>
      <c r="F86" s="6" t="s">
        <v>54</v>
      </c>
      <c r="G86" s="6" t="s">
        <v>51</v>
      </c>
      <c r="H86" s="6" t="s">
        <v>20</v>
      </c>
      <c r="I86" s="5" t="s">
        <v>96</v>
      </c>
      <c r="J86" s="5" t="s">
        <v>21</v>
      </c>
      <c r="K86" s="5" t="s">
        <v>21</v>
      </c>
      <c r="L86" s="5" t="s">
        <v>29</v>
      </c>
      <c r="M86" s="5" t="s">
        <v>29</v>
      </c>
      <c r="N86" s="7" t="s">
        <v>29</v>
      </c>
      <c r="O86" s="5" t="s">
        <v>29</v>
      </c>
      <c r="P86" s="8">
        <v>9.4723717208229932</v>
      </c>
      <c r="Q86" s="9">
        <f t="shared" si="1"/>
        <v>1.9962134142635325E-3</v>
      </c>
    </row>
    <row r="87" spans="2:18" ht="48">
      <c r="B87" s="5">
        <v>85</v>
      </c>
      <c r="C87" s="5">
        <v>320890</v>
      </c>
      <c r="D87" s="6" t="s">
        <v>271</v>
      </c>
      <c r="E87" s="6" t="s">
        <v>272</v>
      </c>
      <c r="F87" s="6" t="s">
        <v>50</v>
      </c>
      <c r="G87" s="6" t="s">
        <v>51</v>
      </c>
      <c r="H87" s="6" t="s">
        <v>20</v>
      </c>
      <c r="I87" s="5" t="s">
        <v>11</v>
      </c>
      <c r="J87" s="5" t="s">
        <v>21</v>
      </c>
      <c r="K87" s="5" t="s">
        <v>29</v>
      </c>
      <c r="L87" s="5" t="s">
        <v>29</v>
      </c>
      <c r="M87" s="5" t="s">
        <v>21</v>
      </c>
      <c r="N87" s="7" t="s">
        <v>29</v>
      </c>
      <c r="O87" s="5" t="s">
        <v>29</v>
      </c>
      <c r="P87" s="8">
        <v>9.1643355417770032</v>
      </c>
      <c r="Q87" s="9">
        <f t="shared" si="1"/>
        <v>1.9312976813496364E-3</v>
      </c>
    </row>
    <row r="88" spans="2:18" ht="32.1">
      <c r="B88" s="5">
        <v>86</v>
      </c>
      <c r="C88" s="5">
        <v>852349</v>
      </c>
      <c r="D88" s="6" t="s">
        <v>281</v>
      </c>
      <c r="E88" s="6" t="s">
        <v>282</v>
      </c>
      <c r="F88" s="6" t="s">
        <v>66</v>
      </c>
      <c r="G88" s="6" t="s">
        <v>67</v>
      </c>
      <c r="H88" s="6" t="s">
        <v>28</v>
      </c>
      <c r="I88" s="5" t="s">
        <v>12</v>
      </c>
      <c r="J88" s="5" t="s">
        <v>21</v>
      </c>
      <c r="K88" s="5" t="s">
        <v>21</v>
      </c>
      <c r="L88" s="5" t="s">
        <v>29</v>
      </c>
      <c r="M88" s="5" t="s">
        <v>29</v>
      </c>
      <c r="N88" s="7" t="s">
        <v>21</v>
      </c>
      <c r="O88" s="5" t="s">
        <v>29</v>
      </c>
      <c r="P88" s="8">
        <v>9.1625495658319984</v>
      </c>
      <c r="Q88" s="9">
        <f t="shared" si="1"/>
        <v>1.9309213036858321E-3</v>
      </c>
    </row>
    <row r="89" spans="2:18" ht="48">
      <c r="B89" s="5">
        <v>87</v>
      </c>
      <c r="C89" s="5">
        <v>854190</v>
      </c>
      <c r="D89" s="6" t="s">
        <v>275</v>
      </c>
      <c r="E89" s="6" t="s">
        <v>276</v>
      </c>
      <c r="F89" s="6" t="s">
        <v>54</v>
      </c>
      <c r="G89" s="6" t="s">
        <v>19</v>
      </c>
      <c r="H89" s="6" t="s">
        <v>20</v>
      </c>
      <c r="I89" s="5" t="s">
        <v>12</v>
      </c>
      <c r="J89" s="5" t="s">
        <v>21</v>
      </c>
      <c r="K89" s="5" t="s">
        <v>21</v>
      </c>
      <c r="L89" s="5" t="s">
        <v>21</v>
      </c>
      <c r="M89" s="5" t="s">
        <v>29</v>
      </c>
      <c r="N89" s="7" t="s">
        <v>21</v>
      </c>
      <c r="O89" s="5" t="s">
        <v>21</v>
      </c>
      <c r="P89" s="8">
        <v>9.037225608068999</v>
      </c>
      <c r="Q89" s="9">
        <f t="shared" si="1"/>
        <v>1.9045104561189927E-3</v>
      </c>
    </row>
    <row r="90" spans="2:18" ht="48">
      <c r="B90" s="5">
        <v>88</v>
      </c>
      <c r="C90" s="5">
        <v>850720</v>
      </c>
      <c r="D90" s="6" t="s">
        <v>290</v>
      </c>
      <c r="E90" s="6" t="s">
        <v>42</v>
      </c>
      <c r="F90" s="6" t="s">
        <v>26</v>
      </c>
      <c r="G90" s="6" t="s">
        <v>43</v>
      </c>
      <c r="H90" s="6" t="s">
        <v>20</v>
      </c>
      <c r="I90" s="5" t="s">
        <v>12</v>
      </c>
      <c r="J90" s="5" t="s">
        <v>21</v>
      </c>
      <c r="K90" s="5" t="s">
        <v>21</v>
      </c>
      <c r="L90" s="5" t="s">
        <v>29</v>
      </c>
      <c r="M90" s="5" t="s">
        <v>29</v>
      </c>
      <c r="N90" s="7" t="s">
        <v>21</v>
      </c>
      <c r="O90" s="5" t="s">
        <v>29</v>
      </c>
      <c r="P90" s="8">
        <v>8.8980630567690042</v>
      </c>
      <c r="Q90" s="9">
        <f t="shared" si="1"/>
        <v>1.8751832548798873E-3</v>
      </c>
    </row>
    <row r="91" spans="2:18" ht="63.95" hidden="1">
      <c r="B91" s="5">
        <v>89</v>
      </c>
      <c r="C91" s="5">
        <v>851290</v>
      </c>
      <c r="D91" s="6" t="s">
        <v>311</v>
      </c>
      <c r="E91" s="6" t="s">
        <v>312</v>
      </c>
      <c r="F91" s="6" t="s">
        <v>66</v>
      </c>
      <c r="G91" s="6" t="s">
        <v>51</v>
      </c>
      <c r="H91" s="6" t="s">
        <v>20</v>
      </c>
      <c r="I91" s="10" t="s">
        <v>96</v>
      </c>
      <c r="J91" s="5" t="s">
        <v>29</v>
      </c>
      <c r="K91" s="5" t="s">
        <v>21</v>
      </c>
      <c r="L91" s="5" t="s">
        <v>29</v>
      </c>
      <c r="M91" s="5" t="s">
        <v>29</v>
      </c>
      <c r="N91" s="7" t="s">
        <v>29</v>
      </c>
      <c r="O91" s="5" t="s">
        <v>29</v>
      </c>
      <c r="P91" s="8">
        <v>8.6818861346259997</v>
      </c>
      <c r="Q91" s="11">
        <f t="shared" si="1"/>
        <v>1.8296259979906301E-3</v>
      </c>
    </row>
    <row r="92" spans="2:18" ht="32.1">
      <c r="B92" s="5">
        <v>90</v>
      </c>
      <c r="C92" s="5">
        <v>901320</v>
      </c>
      <c r="D92" s="6" t="s">
        <v>350</v>
      </c>
      <c r="E92" s="6" t="s">
        <v>188</v>
      </c>
      <c r="F92" s="6" t="s">
        <v>189</v>
      </c>
      <c r="G92" s="6" t="s">
        <v>40</v>
      </c>
      <c r="H92" s="6" t="s">
        <v>28</v>
      </c>
      <c r="I92" s="5" t="s">
        <v>12</v>
      </c>
      <c r="J92" s="5" t="s">
        <v>21</v>
      </c>
      <c r="K92" s="5" t="s">
        <v>21</v>
      </c>
      <c r="L92" s="5" t="s">
        <v>29</v>
      </c>
      <c r="M92" s="5" t="s">
        <v>29</v>
      </c>
      <c r="N92" s="7" t="s">
        <v>21</v>
      </c>
      <c r="O92" s="5" t="s">
        <v>21</v>
      </c>
      <c r="P92" s="8">
        <v>8.6556761399460065</v>
      </c>
      <c r="Q92" s="9">
        <f t="shared" si="1"/>
        <v>1.8241024876692433E-3</v>
      </c>
    </row>
    <row r="93" spans="2:18" ht="32.1">
      <c r="B93" s="5">
        <v>91</v>
      </c>
      <c r="C93" s="5">
        <v>851822</v>
      </c>
      <c r="D93" s="6" t="s">
        <v>279</v>
      </c>
      <c r="E93" s="6" t="s">
        <v>280</v>
      </c>
      <c r="F93" s="6" t="s">
        <v>66</v>
      </c>
      <c r="G93" s="6" t="s">
        <v>40</v>
      </c>
      <c r="H93" s="6" t="s">
        <v>28</v>
      </c>
      <c r="I93" s="5" t="s">
        <v>12</v>
      </c>
      <c r="J93" s="5" t="s">
        <v>21</v>
      </c>
      <c r="K93" s="5" t="s">
        <v>21</v>
      </c>
      <c r="L93" s="5" t="s">
        <v>21</v>
      </c>
      <c r="M93" s="5" t="s">
        <v>21</v>
      </c>
      <c r="N93" s="7" t="s">
        <v>21</v>
      </c>
      <c r="O93" s="5" t="s">
        <v>21</v>
      </c>
      <c r="P93" s="8">
        <v>8.4659445746749995</v>
      </c>
      <c r="Q93" s="9">
        <f t="shared" si="1"/>
        <v>1.7841183414737754E-3</v>
      </c>
    </row>
    <row r="94" spans="2:18" ht="48">
      <c r="B94" s="5">
        <v>92</v>
      </c>
      <c r="C94" s="5">
        <v>910211</v>
      </c>
      <c r="D94" s="6" t="s">
        <v>277</v>
      </c>
      <c r="E94" s="6" t="s">
        <v>278</v>
      </c>
      <c r="F94" s="6" t="s">
        <v>66</v>
      </c>
      <c r="G94" s="6" t="s">
        <v>51</v>
      </c>
      <c r="H94" s="6" t="s">
        <v>28</v>
      </c>
      <c r="I94" s="5" t="s">
        <v>96</v>
      </c>
      <c r="J94" s="5" t="s">
        <v>21</v>
      </c>
      <c r="K94" s="5" t="s">
        <v>21</v>
      </c>
      <c r="L94" s="5" t="s">
        <v>29</v>
      </c>
      <c r="M94" s="5" t="s">
        <v>29</v>
      </c>
      <c r="N94" s="7" t="s">
        <v>29</v>
      </c>
      <c r="O94" s="5" t="s">
        <v>21</v>
      </c>
      <c r="P94" s="8">
        <v>8.4293758056730024</v>
      </c>
      <c r="Q94" s="9">
        <f t="shared" si="1"/>
        <v>1.7764118167114061E-3</v>
      </c>
    </row>
    <row r="95" spans="2:18" ht="63.95">
      <c r="B95" s="5">
        <v>93</v>
      </c>
      <c r="C95" s="5">
        <v>851769</v>
      </c>
      <c r="D95" s="6" t="s">
        <v>283</v>
      </c>
      <c r="E95" s="6" t="s">
        <v>284</v>
      </c>
      <c r="F95" s="6" t="s">
        <v>266</v>
      </c>
      <c r="G95" s="6" t="s">
        <v>27</v>
      </c>
      <c r="H95" s="6" t="s">
        <v>20</v>
      </c>
      <c r="I95" s="5" t="s">
        <v>12</v>
      </c>
      <c r="J95" s="5" t="s">
        <v>21</v>
      </c>
      <c r="K95" s="5" t="s">
        <v>21</v>
      </c>
      <c r="L95" s="5" t="s">
        <v>21</v>
      </c>
      <c r="M95" s="5" t="s">
        <v>21</v>
      </c>
      <c r="N95" s="7" t="s">
        <v>21</v>
      </c>
      <c r="O95" s="5" t="s">
        <v>21</v>
      </c>
      <c r="P95" s="8">
        <v>8.3865549262090013</v>
      </c>
      <c r="Q95" s="9">
        <f t="shared" si="1"/>
        <v>1.7673877183635031E-3</v>
      </c>
      <c r="R95" s="16"/>
    </row>
    <row r="96" spans="2:18" ht="32.1">
      <c r="B96" s="5">
        <v>94</v>
      </c>
      <c r="C96" s="5">
        <v>852691</v>
      </c>
      <c r="D96" s="6" t="s">
        <v>264</v>
      </c>
      <c r="E96" s="6" t="s">
        <v>265</v>
      </c>
      <c r="F96" s="6" t="s">
        <v>266</v>
      </c>
      <c r="G96" s="6" t="s">
        <v>27</v>
      </c>
      <c r="H96" s="6" t="s">
        <v>20</v>
      </c>
      <c r="I96" s="5" t="s">
        <v>12</v>
      </c>
      <c r="J96" s="5" t="s">
        <v>21</v>
      </c>
      <c r="K96" s="5" t="s">
        <v>21</v>
      </c>
      <c r="L96" s="5" t="s">
        <v>21</v>
      </c>
      <c r="M96" s="5" t="s">
        <v>29</v>
      </c>
      <c r="N96" s="7" t="s">
        <v>21</v>
      </c>
      <c r="O96" s="5" t="s">
        <v>21</v>
      </c>
      <c r="P96" s="8">
        <v>8.3349103638669977</v>
      </c>
      <c r="Q96" s="9">
        <f t="shared" si="1"/>
        <v>1.75650411168512E-3</v>
      </c>
      <c r="R96" s="16"/>
    </row>
    <row r="97" spans="2:17" ht="48">
      <c r="B97" s="5">
        <v>95</v>
      </c>
      <c r="C97" s="5">
        <v>851671</v>
      </c>
      <c r="D97" s="6" t="s">
        <v>300</v>
      </c>
      <c r="E97" s="6" t="s">
        <v>301</v>
      </c>
      <c r="F97" s="6" t="s">
        <v>66</v>
      </c>
      <c r="G97" s="6" t="s">
        <v>51</v>
      </c>
      <c r="H97" s="6" t="s">
        <v>28</v>
      </c>
      <c r="I97" s="5" t="s">
        <v>96</v>
      </c>
      <c r="J97" s="5" t="s">
        <v>21</v>
      </c>
      <c r="K97" s="5" t="s">
        <v>21</v>
      </c>
      <c r="L97" s="5" t="s">
        <v>21</v>
      </c>
      <c r="M97" s="5" t="s">
        <v>29</v>
      </c>
      <c r="N97" s="7" t="s">
        <v>29</v>
      </c>
      <c r="O97" s="5" t="s">
        <v>29</v>
      </c>
      <c r="P97" s="8">
        <v>8.250717718409998</v>
      </c>
      <c r="Q97" s="9">
        <f t="shared" si="1"/>
        <v>1.7387613020491616E-3</v>
      </c>
    </row>
    <row r="98" spans="2:17" ht="48">
      <c r="B98" s="5">
        <v>96</v>
      </c>
      <c r="C98" s="5">
        <v>845011</v>
      </c>
      <c r="D98" s="6" t="s">
        <v>274</v>
      </c>
      <c r="E98" s="6" t="s">
        <v>173</v>
      </c>
      <c r="F98" s="6" t="s">
        <v>112</v>
      </c>
      <c r="G98" s="6" t="s">
        <v>51</v>
      </c>
      <c r="H98" s="6" t="s">
        <v>28</v>
      </c>
      <c r="I98" s="5" t="s">
        <v>129</v>
      </c>
      <c r="J98" s="5" t="s">
        <v>21</v>
      </c>
      <c r="K98" s="5" t="s">
        <v>21</v>
      </c>
      <c r="L98" s="5" t="s">
        <v>29</v>
      </c>
      <c r="M98" s="5" t="s">
        <v>29</v>
      </c>
      <c r="N98" s="7" t="s">
        <v>29</v>
      </c>
      <c r="O98" s="5" t="s">
        <v>29</v>
      </c>
      <c r="P98" s="8">
        <v>8.1523284587809997</v>
      </c>
      <c r="Q98" s="9">
        <f t="shared" si="1"/>
        <v>1.7180266892531809E-3</v>
      </c>
    </row>
    <row r="99" spans="2:17" ht="32.1">
      <c r="B99" s="5">
        <v>97</v>
      </c>
      <c r="C99" s="5">
        <v>841899</v>
      </c>
      <c r="D99" s="6" t="s">
        <v>285</v>
      </c>
      <c r="E99" s="6" t="s">
        <v>200</v>
      </c>
      <c r="F99" s="6" t="s">
        <v>112</v>
      </c>
      <c r="G99" s="6" t="s">
        <v>51</v>
      </c>
      <c r="H99" s="6" t="s">
        <v>20</v>
      </c>
      <c r="I99" s="5" t="s">
        <v>129</v>
      </c>
      <c r="J99" s="5" t="s">
        <v>21</v>
      </c>
      <c r="K99" s="5" t="s">
        <v>21</v>
      </c>
      <c r="L99" s="5" t="s">
        <v>29</v>
      </c>
      <c r="M99" s="5" t="s">
        <v>29</v>
      </c>
      <c r="N99" s="7" t="s">
        <v>29</v>
      </c>
      <c r="O99" s="5" t="s">
        <v>29</v>
      </c>
      <c r="P99" s="8">
        <v>8.0026717866109998</v>
      </c>
      <c r="Q99" s="9">
        <f t="shared" si="1"/>
        <v>1.6864879505587246E-3</v>
      </c>
    </row>
    <row r="100" spans="2:17" ht="63.95">
      <c r="B100" s="5">
        <v>98</v>
      </c>
      <c r="C100" s="5">
        <v>853321</v>
      </c>
      <c r="D100" s="6" t="s">
        <v>333</v>
      </c>
      <c r="E100" s="6" t="s">
        <v>334</v>
      </c>
      <c r="F100" s="6" t="s">
        <v>54</v>
      </c>
      <c r="G100" s="6" t="s">
        <v>19</v>
      </c>
      <c r="H100" s="6" t="s">
        <v>20</v>
      </c>
      <c r="I100" s="5" t="s">
        <v>12</v>
      </c>
      <c r="J100" s="5" t="s">
        <v>21</v>
      </c>
      <c r="K100" s="5" t="s">
        <v>21</v>
      </c>
      <c r="L100" s="5" t="s">
        <v>21</v>
      </c>
      <c r="M100" s="5" t="s">
        <v>21</v>
      </c>
      <c r="N100" s="7" t="s">
        <v>21</v>
      </c>
      <c r="O100" s="5" t="s">
        <v>21</v>
      </c>
      <c r="P100" s="8">
        <v>7.9932681756650004</v>
      </c>
      <c r="Q100" s="9">
        <f t="shared" si="1"/>
        <v>1.6845062278322341E-3</v>
      </c>
    </row>
    <row r="101" spans="2:17" ht="128.1">
      <c r="B101" s="5">
        <v>99</v>
      </c>
      <c r="C101" s="5">
        <v>847190</v>
      </c>
      <c r="D101" s="6" t="s">
        <v>268</v>
      </c>
      <c r="E101" s="6" t="s">
        <v>269</v>
      </c>
      <c r="F101" s="6" t="s">
        <v>36</v>
      </c>
      <c r="G101" s="6" t="s">
        <v>37</v>
      </c>
      <c r="H101" s="6" t="s">
        <v>28</v>
      </c>
      <c r="I101" s="5" t="s">
        <v>12</v>
      </c>
      <c r="J101" s="5" t="s">
        <v>21</v>
      </c>
      <c r="K101" s="5" t="s">
        <v>21</v>
      </c>
      <c r="L101" s="5" t="s">
        <v>21</v>
      </c>
      <c r="M101" s="5" t="s">
        <v>29</v>
      </c>
      <c r="N101" s="7" t="s">
        <v>21</v>
      </c>
      <c r="O101" s="5" t="s">
        <v>21</v>
      </c>
      <c r="P101" s="8">
        <v>7.9831982614810029</v>
      </c>
      <c r="Q101" s="9">
        <f t="shared" si="1"/>
        <v>1.6823840879535395E-3</v>
      </c>
    </row>
    <row r="102" spans="2:17" ht="48">
      <c r="B102" s="5">
        <v>100</v>
      </c>
      <c r="C102" s="5">
        <v>852411</v>
      </c>
      <c r="D102" s="6" t="s">
        <v>355</v>
      </c>
      <c r="E102" s="6" t="s">
        <v>88</v>
      </c>
      <c r="F102" s="6" t="s">
        <v>89</v>
      </c>
      <c r="G102" s="6" t="s">
        <v>67</v>
      </c>
      <c r="H102" s="6" t="s">
        <v>20</v>
      </c>
      <c r="I102" s="5" t="s">
        <v>12</v>
      </c>
      <c r="J102" s="5" t="s">
        <v>21</v>
      </c>
      <c r="K102" s="5" t="s">
        <v>29</v>
      </c>
      <c r="L102" s="5" t="s">
        <v>29</v>
      </c>
      <c r="M102" s="5" t="s">
        <v>29</v>
      </c>
      <c r="N102" s="7" t="s">
        <v>21</v>
      </c>
      <c r="O102" s="5" t="s">
        <v>29</v>
      </c>
      <c r="P102" s="8">
        <v>7.9535414248090008</v>
      </c>
      <c r="Q102" s="9">
        <f t="shared" si="1"/>
        <v>1.6761341880410254E-3</v>
      </c>
    </row>
    <row r="103" spans="2:17" ht="48">
      <c r="B103" s="5">
        <v>101</v>
      </c>
      <c r="C103" s="5">
        <v>391910</v>
      </c>
      <c r="D103" s="6" t="s">
        <v>344</v>
      </c>
      <c r="E103" s="6" t="s">
        <v>49</v>
      </c>
      <c r="F103" s="6" t="s">
        <v>50</v>
      </c>
      <c r="G103" s="6" t="s">
        <v>51</v>
      </c>
      <c r="H103" s="6" t="s">
        <v>20</v>
      </c>
      <c r="I103" s="5" t="s">
        <v>11</v>
      </c>
      <c r="J103" s="5" t="s">
        <v>21</v>
      </c>
      <c r="K103" s="5" t="s">
        <v>29</v>
      </c>
      <c r="L103" s="5" t="s">
        <v>29</v>
      </c>
      <c r="M103" s="5" t="s">
        <v>21</v>
      </c>
      <c r="N103" s="7" t="s">
        <v>29</v>
      </c>
      <c r="O103" s="5" t="s">
        <v>29</v>
      </c>
      <c r="P103" s="8">
        <v>7.8713190259550014</v>
      </c>
      <c r="Q103" s="9">
        <f t="shared" si="1"/>
        <v>1.6588065893801253E-3</v>
      </c>
    </row>
    <row r="104" spans="2:17" ht="32.1">
      <c r="B104" s="5">
        <v>102</v>
      </c>
      <c r="C104" s="5">
        <v>901380</v>
      </c>
      <c r="D104" s="6" t="s">
        <v>399</v>
      </c>
      <c r="E104" s="6" t="s">
        <v>400</v>
      </c>
      <c r="F104" s="6" t="s">
        <v>189</v>
      </c>
      <c r="G104" s="6" t="s">
        <v>40</v>
      </c>
      <c r="H104" s="6" t="s">
        <v>20</v>
      </c>
      <c r="I104" s="5" t="s">
        <v>12</v>
      </c>
      <c r="J104" s="5" t="s">
        <v>21</v>
      </c>
      <c r="K104" s="5" t="s">
        <v>21</v>
      </c>
      <c r="L104" s="5" t="s">
        <v>21</v>
      </c>
      <c r="M104" s="5" t="s">
        <v>29</v>
      </c>
      <c r="N104" s="7" t="s">
        <v>21</v>
      </c>
      <c r="O104" s="5" t="s">
        <v>21</v>
      </c>
      <c r="P104" s="8">
        <v>7.841872024928997</v>
      </c>
      <c r="Q104" s="9">
        <f t="shared" si="1"/>
        <v>1.6526009103600841E-3</v>
      </c>
    </row>
    <row r="105" spans="2:17" ht="96">
      <c r="B105" s="5">
        <v>103</v>
      </c>
      <c r="C105" s="5">
        <v>854160</v>
      </c>
      <c r="D105" s="6" t="s">
        <v>347</v>
      </c>
      <c r="E105" s="6" t="s">
        <v>348</v>
      </c>
      <c r="F105" s="6" t="s">
        <v>54</v>
      </c>
      <c r="G105" s="6" t="s">
        <v>19</v>
      </c>
      <c r="H105" s="6" t="s">
        <v>20</v>
      </c>
      <c r="I105" s="5" t="s">
        <v>12</v>
      </c>
      <c r="J105" s="5" t="s">
        <v>21</v>
      </c>
      <c r="K105" s="5" t="s">
        <v>21</v>
      </c>
      <c r="L105" s="5" t="s">
        <v>21</v>
      </c>
      <c r="M105" s="5" t="s">
        <v>21</v>
      </c>
      <c r="N105" s="7" t="s">
        <v>21</v>
      </c>
      <c r="O105" s="5" t="s">
        <v>21</v>
      </c>
      <c r="P105" s="8">
        <v>7.7958593304740003</v>
      </c>
      <c r="Q105" s="9">
        <f t="shared" si="1"/>
        <v>1.6429041669673435E-3</v>
      </c>
    </row>
    <row r="106" spans="2:17" ht="15.95">
      <c r="B106" s="5">
        <v>104</v>
      </c>
      <c r="C106" s="5">
        <v>731816</v>
      </c>
      <c r="D106" s="6" t="s">
        <v>349</v>
      </c>
      <c r="E106" s="6" t="s">
        <v>61</v>
      </c>
      <c r="F106" s="6" t="s">
        <v>50</v>
      </c>
      <c r="G106" s="6" t="s">
        <v>51</v>
      </c>
      <c r="H106" s="6" t="s">
        <v>20</v>
      </c>
      <c r="I106" s="5" t="s">
        <v>11</v>
      </c>
      <c r="J106" s="5" t="s">
        <v>21</v>
      </c>
      <c r="K106" s="5" t="s">
        <v>29</v>
      </c>
      <c r="L106" s="5" t="s">
        <v>29</v>
      </c>
      <c r="M106" s="5" t="s">
        <v>21</v>
      </c>
      <c r="N106" s="7" t="s">
        <v>29</v>
      </c>
      <c r="O106" s="5" t="s">
        <v>29</v>
      </c>
      <c r="P106" s="8">
        <v>7.7385925441609995</v>
      </c>
      <c r="Q106" s="9">
        <f t="shared" si="1"/>
        <v>1.6308357293680804E-3</v>
      </c>
    </row>
    <row r="107" spans="2:17" ht="96">
      <c r="B107" s="5">
        <v>105</v>
      </c>
      <c r="C107" s="5">
        <v>903082</v>
      </c>
      <c r="D107" s="6" t="s">
        <v>357</v>
      </c>
      <c r="E107" s="6" t="s">
        <v>358</v>
      </c>
      <c r="F107" s="6" t="s">
        <v>189</v>
      </c>
      <c r="G107" s="6" t="s">
        <v>40</v>
      </c>
      <c r="H107" s="6" t="s">
        <v>28</v>
      </c>
      <c r="I107" s="5" t="s">
        <v>12</v>
      </c>
      <c r="J107" s="5" t="s">
        <v>21</v>
      </c>
      <c r="K107" s="5" t="s">
        <v>21</v>
      </c>
      <c r="L107" s="5" t="s">
        <v>21</v>
      </c>
      <c r="M107" s="5" t="s">
        <v>29</v>
      </c>
      <c r="N107" s="7" t="s">
        <v>21</v>
      </c>
      <c r="O107" s="5" t="s">
        <v>21</v>
      </c>
      <c r="P107" s="8">
        <v>7.7259028818210007</v>
      </c>
      <c r="Q107" s="9">
        <f t="shared" si="1"/>
        <v>1.6281615021595036E-3</v>
      </c>
    </row>
    <row r="108" spans="2:17" ht="32.1">
      <c r="B108" s="5">
        <v>106</v>
      </c>
      <c r="C108" s="5">
        <v>851679</v>
      </c>
      <c r="D108" s="6" t="s">
        <v>345</v>
      </c>
      <c r="E108" s="6" t="s">
        <v>346</v>
      </c>
      <c r="F108" s="6" t="s">
        <v>112</v>
      </c>
      <c r="G108" s="6" t="s">
        <v>51</v>
      </c>
      <c r="H108" s="6" t="s">
        <v>28</v>
      </c>
      <c r="I108" s="5" t="s">
        <v>129</v>
      </c>
      <c r="J108" s="5" t="s">
        <v>21</v>
      </c>
      <c r="K108" s="5" t="s">
        <v>21</v>
      </c>
      <c r="L108" s="5" t="s">
        <v>21</v>
      </c>
      <c r="M108" s="5" t="s">
        <v>29</v>
      </c>
      <c r="N108" s="7" t="s">
        <v>29</v>
      </c>
      <c r="O108" s="5" t="s">
        <v>29</v>
      </c>
      <c r="P108" s="8">
        <v>7.6331935290070021</v>
      </c>
      <c r="Q108" s="9">
        <f t="shared" si="1"/>
        <v>1.6086238764022539E-3</v>
      </c>
    </row>
    <row r="109" spans="2:17" ht="63.95">
      <c r="B109" s="5">
        <v>107</v>
      </c>
      <c r="C109" s="5">
        <v>392099</v>
      </c>
      <c r="D109" s="6" t="s">
        <v>353</v>
      </c>
      <c r="E109" s="6" t="s">
        <v>354</v>
      </c>
      <c r="F109" s="6" t="s">
        <v>50</v>
      </c>
      <c r="G109" s="6" t="s">
        <v>51</v>
      </c>
      <c r="H109" s="6" t="s">
        <v>20</v>
      </c>
      <c r="I109" s="5" t="s">
        <v>11</v>
      </c>
      <c r="J109" s="5" t="s">
        <v>21</v>
      </c>
      <c r="K109" s="5" t="s">
        <v>29</v>
      </c>
      <c r="L109" s="5" t="s">
        <v>29</v>
      </c>
      <c r="M109" s="5" t="s">
        <v>21</v>
      </c>
      <c r="N109" s="7" t="s">
        <v>29</v>
      </c>
      <c r="O109" s="5" t="s">
        <v>29</v>
      </c>
      <c r="P109" s="8">
        <v>7.4934778091629992</v>
      </c>
      <c r="Q109" s="9">
        <f t="shared" si="1"/>
        <v>1.5791801000856027E-3</v>
      </c>
    </row>
    <row r="110" spans="2:17" ht="80.099999999999994">
      <c r="B110" s="5">
        <v>108</v>
      </c>
      <c r="C110" s="5">
        <v>902290</v>
      </c>
      <c r="D110" s="6" t="s">
        <v>331</v>
      </c>
      <c r="E110" s="6" t="s">
        <v>332</v>
      </c>
      <c r="F110" s="6" t="s">
        <v>198</v>
      </c>
      <c r="G110" s="6" t="s">
        <v>19</v>
      </c>
      <c r="H110" s="6" t="s">
        <v>20</v>
      </c>
      <c r="I110" s="5" t="s">
        <v>12</v>
      </c>
      <c r="J110" s="5" t="s">
        <v>21</v>
      </c>
      <c r="K110" s="5" t="s">
        <v>21</v>
      </c>
      <c r="L110" s="5" t="s">
        <v>29</v>
      </c>
      <c r="M110" s="5" t="s">
        <v>29</v>
      </c>
      <c r="N110" s="7" t="s">
        <v>21</v>
      </c>
      <c r="O110" s="5" t="s">
        <v>21</v>
      </c>
      <c r="P110" s="8">
        <v>7.4564984887350025</v>
      </c>
      <c r="Q110" s="9">
        <f t="shared" si="1"/>
        <v>1.5713870554644291E-3</v>
      </c>
    </row>
    <row r="111" spans="2:17" ht="48">
      <c r="B111" s="5">
        <v>109</v>
      </c>
      <c r="C111" s="5">
        <v>392329</v>
      </c>
      <c r="D111" s="6" t="s">
        <v>356</v>
      </c>
      <c r="E111" s="6" t="s">
        <v>49</v>
      </c>
      <c r="F111" s="6" t="s">
        <v>50</v>
      </c>
      <c r="G111" s="6" t="s">
        <v>51</v>
      </c>
      <c r="H111" s="6" t="s">
        <v>20</v>
      </c>
      <c r="I111" s="5" t="s">
        <v>11</v>
      </c>
      <c r="J111" s="5" t="s">
        <v>21</v>
      </c>
      <c r="K111" s="5" t="s">
        <v>29</v>
      </c>
      <c r="L111" s="5" t="s">
        <v>29</v>
      </c>
      <c r="M111" s="5" t="s">
        <v>21</v>
      </c>
      <c r="N111" s="7" t="s">
        <v>29</v>
      </c>
      <c r="O111" s="5" t="s">
        <v>29</v>
      </c>
      <c r="P111" s="8">
        <v>7.1215882553499972</v>
      </c>
      <c r="Q111" s="9">
        <f t="shared" si="1"/>
        <v>1.5008078678901485E-3</v>
      </c>
    </row>
    <row r="112" spans="2:17" ht="48" hidden="1">
      <c r="B112" s="5">
        <v>110</v>
      </c>
      <c r="C112" s="5">
        <v>841451</v>
      </c>
      <c r="D112" s="6" t="s">
        <v>101</v>
      </c>
      <c r="E112" s="6" t="s">
        <v>102</v>
      </c>
      <c r="F112" s="6" t="s">
        <v>66</v>
      </c>
      <c r="G112" s="6" t="s">
        <v>51</v>
      </c>
      <c r="H112" s="6" t="s">
        <v>28</v>
      </c>
      <c r="I112" s="10" t="s">
        <v>103</v>
      </c>
      <c r="J112" s="5" t="s">
        <v>29</v>
      </c>
      <c r="K112" s="5" t="s">
        <v>21</v>
      </c>
      <c r="L112" s="5" t="s">
        <v>29</v>
      </c>
      <c r="M112" s="5" t="s">
        <v>29</v>
      </c>
      <c r="N112" s="7" t="s">
        <v>29</v>
      </c>
      <c r="O112" s="5" t="s">
        <v>29</v>
      </c>
      <c r="P112" s="8">
        <v>7.0941172499840031</v>
      </c>
      <c r="Q112" s="11">
        <f t="shared" si="1"/>
        <v>1.4950186114049586E-3</v>
      </c>
    </row>
    <row r="113" spans="2:17" ht="48">
      <c r="B113" s="5">
        <v>111</v>
      </c>
      <c r="C113" s="5">
        <v>902710</v>
      </c>
      <c r="D113" s="6" t="s">
        <v>335</v>
      </c>
      <c r="E113" s="6" t="s">
        <v>336</v>
      </c>
      <c r="F113" s="6" t="s">
        <v>189</v>
      </c>
      <c r="G113" s="6" t="s">
        <v>40</v>
      </c>
      <c r="H113" s="6" t="s">
        <v>28</v>
      </c>
      <c r="I113" s="5" t="s">
        <v>12</v>
      </c>
      <c r="J113" s="5" t="s">
        <v>21</v>
      </c>
      <c r="K113" s="5" t="s">
        <v>21</v>
      </c>
      <c r="L113" s="5" t="s">
        <v>29</v>
      </c>
      <c r="M113" s="5" t="s">
        <v>29</v>
      </c>
      <c r="N113" s="7" t="s">
        <v>21</v>
      </c>
      <c r="O113" s="5" t="s">
        <v>21</v>
      </c>
      <c r="P113" s="8">
        <v>7.0691297053250031</v>
      </c>
      <c r="Q113" s="9">
        <f t="shared" si="1"/>
        <v>1.4897527209492289E-3</v>
      </c>
    </row>
    <row r="114" spans="2:17" ht="32.1" hidden="1">
      <c r="B114" s="5">
        <v>112</v>
      </c>
      <c r="C114" s="5">
        <v>854411</v>
      </c>
      <c r="D114" s="6" t="s">
        <v>591</v>
      </c>
      <c r="E114" s="6" t="s">
        <v>79</v>
      </c>
      <c r="F114" s="6" t="s">
        <v>54</v>
      </c>
      <c r="G114" s="6" t="s">
        <v>51</v>
      </c>
      <c r="H114" s="6" t="s">
        <v>20</v>
      </c>
      <c r="I114" s="10" t="s">
        <v>103</v>
      </c>
      <c r="J114" s="5" t="s">
        <v>29</v>
      </c>
      <c r="K114" s="5" t="s">
        <v>21</v>
      </c>
      <c r="L114" s="5" t="s">
        <v>29</v>
      </c>
      <c r="M114" s="5" t="s">
        <v>29</v>
      </c>
      <c r="N114" s="7" t="s">
        <v>29</v>
      </c>
      <c r="O114" s="5" t="s">
        <v>29</v>
      </c>
      <c r="P114" s="8">
        <v>6.9425561938819991</v>
      </c>
      <c r="Q114" s="11">
        <f t="shared" si="1"/>
        <v>1.463078541675043E-3</v>
      </c>
    </row>
    <row r="115" spans="2:17" ht="32.1">
      <c r="B115" s="5">
        <v>113</v>
      </c>
      <c r="C115" s="5">
        <v>852610</v>
      </c>
      <c r="D115" s="6" t="s">
        <v>351</v>
      </c>
      <c r="E115" s="6" t="s">
        <v>352</v>
      </c>
      <c r="F115" s="6" t="s">
        <v>66</v>
      </c>
      <c r="G115" s="6" t="s">
        <v>67</v>
      </c>
      <c r="H115" s="6" t="s">
        <v>20</v>
      </c>
      <c r="I115" s="5" t="s">
        <v>12</v>
      </c>
      <c r="J115" s="5" t="s">
        <v>21</v>
      </c>
      <c r="K115" s="5" t="s">
        <v>21</v>
      </c>
      <c r="L115" s="5" t="s">
        <v>21</v>
      </c>
      <c r="M115" s="5" t="s">
        <v>29</v>
      </c>
      <c r="N115" s="7" t="s">
        <v>21</v>
      </c>
      <c r="O115" s="5" t="s">
        <v>21</v>
      </c>
      <c r="P115" s="8">
        <v>6.6705576596649996</v>
      </c>
      <c r="Q115" s="9">
        <f t="shared" si="1"/>
        <v>1.405757404090208E-3</v>
      </c>
    </row>
    <row r="116" spans="2:17" ht="32.1">
      <c r="B116" s="5">
        <v>114</v>
      </c>
      <c r="C116" s="5">
        <v>853222</v>
      </c>
      <c r="D116" s="6" t="s">
        <v>361</v>
      </c>
      <c r="E116" s="6" t="s">
        <v>166</v>
      </c>
      <c r="F116" s="6" t="s">
        <v>54</v>
      </c>
      <c r="G116" s="6" t="s">
        <v>19</v>
      </c>
      <c r="H116" s="6" t="s">
        <v>20</v>
      </c>
      <c r="I116" s="5" t="s">
        <v>12</v>
      </c>
      <c r="J116" s="5" t="s">
        <v>21</v>
      </c>
      <c r="K116" s="5" t="s">
        <v>21</v>
      </c>
      <c r="L116" s="5" t="s">
        <v>21</v>
      </c>
      <c r="M116" s="5" t="s">
        <v>21</v>
      </c>
      <c r="N116" s="7" t="s">
        <v>21</v>
      </c>
      <c r="O116" s="5" t="s">
        <v>21</v>
      </c>
      <c r="P116" s="8">
        <v>6.5493747959770019</v>
      </c>
      <c r="Q116" s="9">
        <f t="shared" si="1"/>
        <v>1.3802192532234015E-3</v>
      </c>
    </row>
    <row r="117" spans="2:17" ht="48" hidden="1">
      <c r="B117" s="5">
        <v>115</v>
      </c>
      <c r="C117" s="5">
        <v>850940</v>
      </c>
      <c r="D117" s="6" t="s">
        <v>289</v>
      </c>
      <c r="E117" s="6" t="s">
        <v>193</v>
      </c>
      <c r="F117" s="6" t="s">
        <v>66</v>
      </c>
      <c r="G117" s="6" t="s">
        <v>51</v>
      </c>
      <c r="H117" s="6" t="s">
        <v>28</v>
      </c>
      <c r="I117" s="10" t="s">
        <v>103</v>
      </c>
      <c r="J117" s="5" t="s">
        <v>29</v>
      </c>
      <c r="K117" s="5" t="s">
        <v>21</v>
      </c>
      <c r="L117" s="5" t="s">
        <v>21</v>
      </c>
      <c r="M117" s="5" t="s">
        <v>29</v>
      </c>
      <c r="N117" s="7" t="s">
        <v>29</v>
      </c>
      <c r="O117" s="5" t="s">
        <v>29</v>
      </c>
      <c r="P117" s="8">
        <v>6.4982525391189982</v>
      </c>
      <c r="Q117" s="11">
        <f t="shared" si="1"/>
        <v>1.3694457175224075E-3</v>
      </c>
    </row>
    <row r="118" spans="2:17" ht="48">
      <c r="B118" s="5">
        <v>116</v>
      </c>
      <c r="C118" s="5">
        <v>850511</v>
      </c>
      <c r="D118" s="6" t="s">
        <v>362</v>
      </c>
      <c r="E118" s="6" t="s">
        <v>363</v>
      </c>
      <c r="F118" s="6" t="s">
        <v>189</v>
      </c>
      <c r="G118" s="6" t="s">
        <v>40</v>
      </c>
      <c r="H118" s="6" t="s">
        <v>20</v>
      </c>
      <c r="I118" s="5" t="s">
        <v>12</v>
      </c>
      <c r="J118" s="5" t="s">
        <v>21</v>
      </c>
      <c r="K118" s="5" t="s">
        <v>21</v>
      </c>
      <c r="L118" s="5" t="s">
        <v>29</v>
      </c>
      <c r="M118" s="5" t="s">
        <v>21</v>
      </c>
      <c r="N118" s="7" t="s">
        <v>21</v>
      </c>
      <c r="O118" s="5" t="s">
        <v>21</v>
      </c>
      <c r="P118" s="8">
        <v>6.4846431088640006</v>
      </c>
      <c r="Q118" s="9">
        <f t="shared" si="1"/>
        <v>1.3665776578604552E-3</v>
      </c>
    </row>
    <row r="119" spans="2:17" ht="48">
      <c r="B119" s="5">
        <v>117</v>
      </c>
      <c r="C119" s="5">
        <v>482390</v>
      </c>
      <c r="D119" s="6" t="s">
        <v>364</v>
      </c>
      <c r="E119" s="6" t="s">
        <v>251</v>
      </c>
      <c r="F119" s="6" t="s">
        <v>50</v>
      </c>
      <c r="G119" s="6" t="s">
        <v>51</v>
      </c>
      <c r="H119" s="6" t="s">
        <v>20</v>
      </c>
      <c r="I119" s="5" t="s">
        <v>11</v>
      </c>
      <c r="J119" s="5" t="s">
        <v>21</v>
      </c>
      <c r="K119" s="5" t="s">
        <v>29</v>
      </c>
      <c r="L119" s="5" t="s">
        <v>29</v>
      </c>
      <c r="M119" s="5" t="s">
        <v>21</v>
      </c>
      <c r="N119" s="7" t="s">
        <v>29</v>
      </c>
      <c r="O119" s="5" t="s">
        <v>29</v>
      </c>
      <c r="P119" s="8">
        <v>6.4038498686269998</v>
      </c>
      <c r="Q119" s="9">
        <f t="shared" si="1"/>
        <v>1.349551240961256E-3</v>
      </c>
    </row>
    <row r="120" spans="2:17" ht="48">
      <c r="B120" s="5">
        <v>118</v>
      </c>
      <c r="C120" s="5">
        <v>854142</v>
      </c>
      <c r="D120" s="6" t="s">
        <v>339</v>
      </c>
      <c r="E120" s="6" t="s">
        <v>63</v>
      </c>
      <c r="F120" s="6" t="s">
        <v>18</v>
      </c>
      <c r="G120" s="6" t="s">
        <v>19</v>
      </c>
      <c r="H120" s="6" t="s">
        <v>20</v>
      </c>
      <c r="I120" s="5" t="s">
        <v>12</v>
      </c>
      <c r="J120" s="5" t="s">
        <v>21</v>
      </c>
      <c r="K120" s="5" t="s">
        <v>29</v>
      </c>
      <c r="L120" s="5" t="s">
        <v>29</v>
      </c>
      <c r="M120" s="5" t="s">
        <v>29</v>
      </c>
      <c r="N120" s="7" t="s">
        <v>21</v>
      </c>
      <c r="O120" s="5" t="s">
        <v>29</v>
      </c>
      <c r="P120" s="8">
        <v>6.3194774610470006</v>
      </c>
      <c r="Q120" s="9">
        <f t="shared" si="1"/>
        <v>1.3317705481454686E-3</v>
      </c>
    </row>
    <row r="121" spans="2:17" ht="63.95">
      <c r="B121" s="5">
        <v>119</v>
      </c>
      <c r="C121" s="5">
        <v>853720</v>
      </c>
      <c r="D121" s="6" t="s">
        <v>366</v>
      </c>
      <c r="E121" s="6" t="s">
        <v>367</v>
      </c>
      <c r="F121" s="6" t="s">
        <v>54</v>
      </c>
      <c r="G121" s="6" t="s">
        <v>19</v>
      </c>
      <c r="H121" s="6" t="s">
        <v>20</v>
      </c>
      <c r="I121" s="5" t="s">
        <v>12</v>
      </c>
      <c r="J121" s="5" t="s">
        <v>21</v>
      </c>
      <c r="K121" s="5" t="s">
        <v>21</v>
      </c>
      <c r="L121" s="5" t="s">
        <v>21</v>
      </c>
      <c r="M121" s="5" t="s">
        <v>21</v>
      </c>
      <c r="N121" s="7" t="s">
        <v>21</v>
      </c>
      <c r="O121" s="5" t="s">
        <v>21</v>
      </c>
      <c r="P121" s="8">
        <v>6.3099714301410019</v>
      </c>
      <c r="Q121" s="9">
        <f t="shared" si="1"/>
        <v>1.3297672413739193E-3</v>
      </c>
    </row>
    <row r="122" spans="2:17" ht="32.1">
      <c r="B122" s="5">
        <v>120</v>
      </c>
      <c r="C122" s="5">
        <v>854420</v>
      </c>
      <c r="D122" s="6" t="s">
        <v>365</v>
      </c>
      <c r="E122" s="6" t="s">
        <v>79</v>
      </c>
      <c r="F122" s="6" t="s">
        <v>54</v>
      </c>
      <c r="G122" s="6" t="s">
        <v>40</v>
      </c>
      <c r="H122" s="6" t="s">
        <v>20</v>
      </c>
      <c r="I122" s="5" t="s">
        <v>12</v>
      </c>
      <c r="J122" s="5" t="s">
        <v>21</v>
      </c>
      <c r="K122" s="5" t="s">
        <v>21</v>
      </c>
      <c r="L122" s="5" t="s">
        <v>21</v>
      </c>
      <c r="M122" s="5" t="s">
        <v>29</v>
      </c>
      <c r="N122" s="7" t="s">
        <v>21</v>
      </c>
      <c r="O122" s="5" t="s">
        <v>21</v>
      </c>
      <c r="P122" s="8">
        <v>6.2064812271570036</v>
      </c>
      <c r="Q122" s="9">
        <f t="shared" si="1"/>
        <v>1.3079576526531375E-3</v>
      </c>
    </row>
    <row r="123" spans="2:17" ht="63.95">
      <c r="B123" s="5">
        <v>121</v>
      </c>
      <c r="C123" s="5">
        <v>903290</v>
      </c>
      <c r="D123" s="6" t="s">
        <v>370</v>
      </c>
      <c r="E123" s="6" t="s">
        <v>371</v>
      </c>
      <c r="F123" s="6" t="s">
        <v>54</v>
      </c>
      <c r="G123" s="6" t="s">
        <v>40</v>
      </c>
      <c r="H123" s="6" t="s">
        <v>20</v>
      </c>
      <c r="I123" s="5" t="s">
        <v>12</v>
      </c>
      <c r="J123" s="5" t="s">
        <v>21</v>
      </c>
      <c r="K123" s="5" t="s">
        <v>21</v>
      </c>
      <c r="L123" s="5" t="s">
        <v>21</v>
      </c>
      <c r="M123" s="5" t="s">
        <v>29</v>
      </c>
      <c r="N123" s="7" t="s">
        <v>21</v>
      </c>
      <c r="O123" s="5" t="s">
        <v>21</v>
      </c>
      <c r="P123" s="8">
        <v>6.1431020402300005</v>
      </c>
      <c r="Q123" s="9">
        <f t="shared" si="1"/>
        <v>1.294601084007222E-3</v>
      </c>
    </row>
    <row r="124" spans="2:17" ht="32.1">
      <c r="B124" s="5">
        <v>122</v>
      </c>
      <c r="C124" s="5">
        <v>902150</v>
      </c>
      <c r="D124" s="6" t="s">
        <v>368</v>
      </c>
      <c r="E124" s="6" t="s">
        <v>369</v>
      </c>
      <c r="F124" s="6" t="s">
        <v>198</v>
      </c>
      <c r="G124" s="6" t="s">
        <v>40</v>
      </c>
      <c r="H124" s="6" t="s">
        <v>28</v>
      </c>
      <c r="I124" s="5" t="s">
        <v>12</v>
      </c>
      <c r="J124" s="5" t="s">
        <v>21</v>
      </c>
      <c r="K124" s="5" t="s">
        <v>21</v>
      </c>
      <c r="L124" s="5" t="s">
        <v>29</v>
      </c>
      <c r="M124" s="5" t="s">
        <v>29</v>
      </c>
      <c r="N124" s="7" t="s">
        <v>21</v>
      </c>
      <c r="O124" s="5" t="s">
        <v>21</v>
      </c>
      <c r="P124" s="8">
        <v>6.1278486912009988</v>
      </c>
      <c r="Q124" s="9">
        <f t="shared" si="1"/>
        <v>1.2913865838966318E-3</v>
      </c>
    </row>
    <row r="125" spans="2:17" ht="32.1">
      <c r="B125" s="5">
        <v>123</v>
      </c>
      <c r="C125" s="5">
        <v>852352</v>
      </c>
      <c r="D125" s="6" t="s">
        <v>374</v>
      </c>
      <c r="E125" s="6" t="s">
        <v>375</v>
      </c>
      <c r="F125" s="6" t="s">
        <v>66</v>
      </c>
      <c r="G125" s="6" t="s">
        <v>67</v>
      </c>
      <c r="H125" s="6" t="s">
        <v>28</v>
      </c>
      <c r="I125" s="5" t="s">
        <v>12</v>
      </c>
      <c r="J125" s="5" t="s">
        <v>21</v>
      </c>
      <c r="K125" s="5" t="s">
        <v>21</v>
      </c>
      <c r="L125" s="5" t="s">
        <v>21</v>
      </c>
      <c r="M125" s="5" t="s">
        <v>21</v>
      </c>
      <c r="N125" s="7" t="s">
        <v>21</v>
      </c>
      <c r="O125" s="5" t="s">
        <v>21</v>
      </c>
      <c r="P125" s="8">
        <v>6.1016190186649979</v>
      </c>
      <c r="Q125" s="9">
        <f t="shared" si="1"/>
        <v>1.2858589266518256E-3</v>
      </c>
    </row>
    <row r="126" spans="2:17" ht="15.95" hidden="1">
      <c r="B126" s="5">
        <v>124</v>
      </c>
      <c r="C126" s="5">
        <v>842211</v>
      </c>
      <c r="D126" s="6" t="s">
        <v>137</v>
      </c>
      <c r="E126" s="6" t="s">
        <v>138</v>
      </c>
      <c r="F126" s="6" t="s">
        <v>112</v>
      </c>
      <c r="G126" s="6" t="s">
        <v>51</v>
      </c>
      <c r="H126" s="6" t="s">
        <v>28</v>
      </c>
      <c r="I126" s="10" t="s">
        <v>103</v>
      </c>
      <c r="J126" s="5" t="s">
        <v>29</v>
      </c>
      <c r="K126" s="5" t="s">
        <v>21</v>
      </c>
      <c r="L126" s="5" t="s">
        <v>21</v>
      </c>
      <c r="M126" s="5" t="s">
        <v>29</v>
      </c>
      <c r="N126" s="7" t="s">
        <v>29</v>
      </c>
      <c r="O126" s="5" t="s">
        <v>29</v>
      </c>
      <c r="P126" s="8">
        <v>6.0109306395830027</v>
      </c>
      <c r="Q126" s="11">
        <f t="shared" si="1"/>
        <v>1.2667472021358492E-3</v>
      </c>
    </row>
    <row r="127" spans="2:17" ht="63.95">
      <c r="B127" s="5">
        <v>125</v>
      </c>
      <c r="C127" s="5">
        <v>902214</v>
      </c>
      <c r="D127" s="6" t="s">
        <v>359</v>
      </c>
      <c r="E127" s="6" t="s">
        <v>360</v>
      </c>
      <c r="F127" s="6" t="s">
        <v>198</v>
      </c>
      <c r="G127" s="6" t="s">
        <v>40</v>
      </c>
      <c r="H127" s="6" t="s">
        <v>20</v>
      </c>
      <c r="I127" s="5" t="s">
        <v>12</v>
      </c>
      <c r="J127" s="5" t="s">
        <v>21</v>
      </c>
      <c r="K127" s="5" t="s">
        <v>21</v>
      </c>
      <c r="L127" s="5" t="s">
        <v>29</v>
      </c>
      <c r="M127" s="5" t="s">
        <v>29</v>
      </c>
      <c r="N127" s="7" t="s">
        <v>21</v>
      </c>
      <c r="O127" s="5" t="s">
        <v>21</v>
      </c>
      <c r="P127" s="8">
        <v>5.9372150479190005</v>
      </c>
      <c r="Q127" s="9">
        <f t="shared" si="1"/>
        <v>1.251212333228987E-3</v>
      </c>
    </row>
    <row r="128" spans="2:17" ht="48" hidden="1">
      <c r="B128" s="5">
        <v>126</v>
      </c>
      <c r="C128" s="5">
        <v>841582</v>
      </c>
      <c r="D128" s="6" t="s">
        <v>113</v>
      </c>
      <c r="E128" s="6" t="s">
        <v>114</v>
      </c>
      <c r="F128" s="6" t="s">
        <v>112</v>
      </c>
      <c r="G128" s="6" t="s">
        <v>51</v>
      </c>
      <c r="H128" s="6" t="s">
        <v>28</v>
      </c>
      <c r="I128" s="10" t="s">
        <v>103</v>
      </c>
      <c r="J128" s="5" t="s">
        <v>29</v>
      </c>
      <c r="K128" s="5" t="s">
        <v>21</v>
      </c>
      <c r="L128" s="5" t="s">
        <v>29</v>
      </c>
      <c r="M128" s="5" t="s">
        <v>29</v>
      </c>
      <c r="N128" s="7" t="s">
        <v>29</v>
      </c>
      <c r="O128" s="5" t="s">
        <v>29</v>
      </c>
      <c r="P128" s="8">
        <v>5.8367035219629981</v>
      </c>
      <c r="Q128" s="11">
        <f t="shared" si="1"/>
        <v>1.2300304727282637E-3</v>
      </c>
    </row>
    <row r="129" spans="2:17" ht="48">
      <c r="B129" s="5">
        <v>127</v>
      </c>
      <c r="C129" s="5">
        <v>854121</v>
      </c>
      <c r="D129" s="6" t="s">
        <v>377</v>
      </c>
      <c r="E129" s="6" t="s">
        <v>86</v>
      </c>
      <c r="F129" s="6" t="s">
        <v>54</v>
      </c>
      <c r="G129" s="6" t="s">
        <v>19</v>
      </c>
      <c r="H129" s="6" t="s">
        <v>20</v>
      </c>
      <c r="I129" s="5" t="s">
        <v>12</v>
      </c>
      <c r="J129" s="5" t="s">
        <v>21</v>
      </c>
      <c r="K129" s="5" t="s">
        <v>21</v>
      </c>
      <c r="L129" s="5" t="s">
        <v>21</v>
      </c>
      <c r="M129" s="5" t="s">
        <v>21</v>
      </c>
      <c r="N129" s="7" t="s">
        <v>21</v>
      </c>
      <c r="O129" s="5" t="s">
        <v>21</v>
      </c>
      <c r="P129" s="8">
        <v>5.8196418789579996</v>
      </c>
      <c r="Q129" s="9">
        <f t="shared" si="1"/>
        <v>1.2264348916383573E-3</v>
      </c>
    </row>
    <row r="130" spans="2:17" ht="32.1">
      <c r="B130" s="5">
        <v>128</v>
      </c>
      <c r="C130" s="5">
        <v>850790</v>
      </c>
      <c r="D130" s="6" t="s">
        <v>378</v>
      </c>
      <c r="E130" s="6" t="s">
        <v>379</v>
      </c>
      <c r="F130" s="6" t="s">
        <v>26</v>
      </c>
      <c r="G130" s="6" t="s">
        <v>43</v>
      </c>
      <c r="H130" s="6" t="s">
        <v>20</v>
      </c>
      <c r="I130" s="5" t="s">
        <v>12</v>
      </c>
      <c r="J130" s="5" t="s">
        <v>21</v>
      </c>
      <c r="K130" s="5" t="s">
        <v>21</v>
      </c>
      <c r="L130" s="5" t="s">
        <v>29</v>
      </c>
      <c r="M130" s="5" t="s">
        <v>21</v>
      </c>
      <c r="N130" s="7" t="s">
        <v>21</v>
      </c>
      <c r="O130" s="5" t="s">
        <v>29</v>
      </c>
      <c r="P130" s="8">
        <v>5.8167098428730002</v>
      </c>
      <c r="Q130" s="9">
        <f t="shared" si="1"/>
        <v>1.225816992559174E-3</v>
      </c>
    </row>
    <row r="131" spans="2:17" ht="32.1">
      <c r="B131" s="5">
        <v>129</v>
      </c>
      <c r="C131" s="5">
        <v>850431</v>
      </c>
      <c r="D131" s="6" t="s">
        <v>380</v>
      </c>
      <c r="E131" s="6" t="s">
        <v>213</v>
      </c>
      <c r="F131" s="6" t="s">
        <v>54</v>
      </c>
      <c r="G131" s="6" t="s">
        <v>40</v>
      </c>
      <c r="H131" s="6" t="s">
        <v>20</v>
      </c>
      <c r="I131" s="5" t="s">
        <v>12</v>
      </c>
      <c r="J131" s="5" t="s">
        <v>21</v>
      </c>
      <c r="K131" s="5" t="s">
        <v>21</v>
      </c>
      <c r="L131" s="5" t="s">
        <v>21</v>
      </c>
      <c r="M131" s="5" t="s">
        <v>21</v>
      </c>
      <c r="N131" s="7" t="s">
        <v>21</v>
      </c>
      <c r="O131" s="5" t="s">
        <v>21</v>
      </c>
      <c r="P131" s="8">
        <v>5.7251984409610035</v>
      </c>
      <c r="Q131" s="9">
        <f t="shared" ref="Q131:Q194" si="2">P131/SUM($P$3:$P$425)</f>
        <v>1.2065318237082499E-3</v>
      </c>
    </row>
    <row r="132" spans="2:17" ht="96">
      <c r="B132" s="5">
        <v>130</v>
      </c>
      <c r="C132" s="5">
        <v>901812</v>
      </c>
      <c r="D132" s="6" t="s">
        <v>401</v>
      </c>
      <c r="E132" s="6" t="s">
        <v>402</v>
      </c>
      <c r="F132" s="6" t="s">
        <v>198</v>
      </c>
      <c r="G132" s="6" t="s">
        <v>40</v>
      </c>
      <c r="H132" s="6" t="s">
        <v>28</v>
      </c>
      <c r="I132" s="5" t="s">
        <v>12</v>
      </c>
      <c r="J132" s="5" t="s">
        <v>21</v>
      </c>
      <c r="K132" s="5" t="s">
        <v>21</v>
      </c>
      <c r="L132" s="5" t="s">
        <v>29</v>
      </c>
      <c r="M132" s="5" t="s">
        <v>29</v>
      </c>
      <c r="N132" s="7" t="s">
        <v>21</v>
      </c>
      <c r="O132" s="5" t="s">
        <v>21</v>
      </c>
      <c r="P132" s="8">
        <v>5.6247617875889997</v>
      </c>
      <c r="Q132" s="9">
        <f t="shared" si="2"/>
        <v>1.1853657419017062E-3</v>
      </c>
    </row>
    <row r="133" spans="2:17" ht="32.1">
      <c r="B133" s="5">
        <v>131</v>
      </c>
      <c r="C133" s="5">
        <v>853340</v>
      </c>
      <c r="D133" s="6" t="s">
        <v>383</v>
      </c>
      <c r="E133" s="6" t="s">
        <v>334</v>
      </c>
      <c r="F133" s="6" t="s">
        <v>54</v>
      </c>
      <c r="G133" s="6" t="s">
        <v>19</v>
      </c>
      <c r="H133" s="6" t="s">
        <v>20</v>
      </c>
      <c r="I133" s="5" t="s">
        <v>12</v>
      </c>
      <c r="J133" s="5" t="s">
        <v>21</v>
      </c>
      <c r="K133" s="5" t="s">
        <v>21</v>
      </c>
      <c r="L133" s="5" t="s">
        <v>21</v>
      </c>
      <c r="M133" s="5" t="s">
        <v>21</v>
      </c>
      <c r="N133" s="7" t="s">
        <v>21</v>
      </c>
      <c r="O133" s="5" t="s">
        <v>21</v>
      </c>
      <c r="P133" s="8">
        <v>5.6047530010529982</v>
      </c>
      <c r="Q133" s="9">
        <f t="shared" si="2"/>
        <v>1.1811490779801987E-3</v>
      </c>
    </row>
    <row r="134" spans="2:17" ht="80.099999999999994" hidden="1">
      <c r="B134" s="5">
        <v>132</v>
      </c>
      <c r="C134" s="5">
        <v>851680</v>
      </c>
      <c r="D134" s="6" t="s">
        <v>340</v>
      </c>
      <c r="E134" s="6" t="s">
        <v>341</v>
      </c>
      <c r="F134" s="6" t="s">
        <v>112</v>
      </c>
      <c r="G134" s="6" t="s">
        <v>51</v>
      </c>
      <c r="H134" s="6" t="s">
        <v>20</v>
      </c>
      <c r="I134" s="10" t="s">
        <v>103</v>
      </c>
      <c r="J134" s="5" t="s">
        <v>29</v>
      </c>
      <c r="K134" s="5" t="s">
        <v>21</v>
      </c>
      <c r="L134" s="5" t="s">
        <v>29</v>
      </c>
      <c r="M134" s="5" t="s">
        <v>29</v>
      </c>
      <c r="N134" s="7" t="s">
        <v>29</v>
      </c>
      <c r="O134" s="5" t="s">
        <v>29</v>
      </c>
      <c r="P134" s="8">
        <v>5.6009508999740003</v>
      </c>
      <c r="Q134" s="11">
        <f t="shared" si="2"/>
        <v>1.1803478208716335E-3</v>
      </c>
    </row>
    <row r="135" spans="2:17" ht="32.1" hidden="1">
      <c r="B135" s="5">
        <v>133</v>
      </c>
      <c r="C135" s="5">
        <v>841861</v>
      </c>
      <c r="D135" s="6" t="s">
        <v>125</v>
      </c>
      <c r="E135" s="6" t="s">
        <v>126</v>
      </c>
      <c r="F135" s="6" t="s">
        <v>112</v>
      </c>
      <c r="G135" s="6" t="s">
        <v>51</v>
      </c>
      <c r="H135" s="6" t="s">
        <v>28</v>
      </c>
      <c r="I135" s="10" t="s">
        <v>103</v>
      </c>
      <c r="J135" s="5" t="s">
        <v>29</v>
      </c>
      <c r="K135" s="5" t="s">
        <v>21</v>
      </c>
      <c r="L135" s="5" t="s">
        <v>29</v>
      </c>
      <c r="M135" s="5" t="s">
        <v>29</v>
      </c>
      <c r="N135" s="7" t="s">
        <v>29</v>
      </c>
      <c r="O135" s="5" t="s">
        <v>29</v>
      </c>
      <c r="P135" s="8">
        <v>5.5192667849739987</v>
      </c>
      <c r="Q135" s="11">
        <f t="shared" si="2"/>
        <v>1.1631336604795959E-3</v>
      </c>
    </row>
    <row r="136" spans="2:17" ht="48">
      <c r="B136" s="5">
        <v>134</v>
      </c>
      <c r="C136" s="5">
        <v>853110</v>
      </c>
      <c r="D136" s="6" t="s">
        <v>388</v>
      </c>
      <c r="E136" s="6" t="s">
        <v>389</v>
      </c>
      <c r="F136" s="6" t="s">
        <v>66</v>
      </c>
      <c r="G136" s="6" t="s">
        <v>67</v>
      </c>
      <c r="H136" s="6" t="s">
        <v>20</v>
      </c>
      <c r="I136" s="5" t="s">
        <v>12</v>
      </c>
      <c r="J136" s="5" t="s">
        <v>21</v>
      </c>
      <c r="K136" s="5" t="s">
        <v>21</v>
      </c>
      <c r="L136" s="5" t="s">
        <v>21</v>
      </c>
      <c r="M136" s="5" t="s">
        <v>29</v>
      </c>
      <c r="N136" s="7" t="s">
        <v>21</v>
      </c>
      <c r="O136" s="5" t="s">
        <v>21</v>
      </c>
      <c r="P136" s="8">
        <v>5.3855205002380009</v>
      </c>
      <c r="Q136" s="9">
        <f t="shared" si="2"/>
        <v>1.1349478865713574E-3</v>
      </c>
    </row>
    <row r="137" spans="2:17" ht="63.95">
      <c r="B137" s="5">
        <v>135</v>
      </c>
      <c r="C137" s="5">
        <v>853120</v>
      </c>
      <c r="D137" s="6" t="s">
        <v>393</v>
      </c>
      <c r="E137" s="6" t="s">
        <v>394</v>
      </c>
      <c r="F137" s="6" t="s">
        <v>189</v>
      </c>
      <c r="G137" s="6" t="s">
        <v>19</v>
      </c>
      <c r="H137" s="6" t="s">
        <v>20</v>
      </c>
      <c r="I137" s="5" t="s">
        <v>12</v>
      </c>
      <c r="J137" s="5" t="s">
        <v>21</v>
      </c>
      <c r="K137" s="5" t="s">
        <v>21</v>
      </c>
      <c r="L137" s="5" t="s">
        <v>29</v>
      </c>
      <c r="M137" s="5" t="s">
        <v>29</v>
      </c>
      <c r="N137" s="7" t="s">
        <v>21</v>
      </c>
      <c r="O137" s="5" t="s">
        <v>21</v>
      </c>
      <c r="P137" s="8">
        <v>5.3845909245630006</v>
      </c>
      <c r="Q137" s="9">
        <f t="shared" si="2"/>
        <v>1.1347519872246363E-3</v>
      </c>
    </row>
    <row r="138" spans="2:17" ht="32.1">
      <c r="B138" s="5">
        <v>136</v>
      </c>
      <c r="C138" s="5">
        <v>851821</v>
      </c>
      <c r="D138" s="6" t="s">
        <v>405</v>
      </c>
      <c r="E138" s="6" t="s">
        <v>280</v>
      </c>
      <c r="F138" s="6" t="s">
        <v>66</v>
      </c>
      <c r="G138" s="6" t="s">
        <v>40</v>
      </c>
      <c r="H138" s="6" t="s">
        <v>28</v>
      </c>
      <c r="I138" s="5" t="s">
        <v>12</v>
      </c>
      <c r="J138" s="5" t="s">
        <v>21</v>
      </c>
      <c r="K138" s="5" t="s">
        <v>21</v>
      </c>
      <c r="L138" s="5" t="s">
        <v>21</v>
      </c>
      <c r="M138" s="5" t="s">
        <v>29</v>
      </c>
      <c r="N138" s="7" t="s">
        <v>21</v>
      </c>
      <c r="O138" s="5" t="s">
        <v>21</v>
      </c>
      <c r="P138" s="8">
        <v>5.376703463362003</v>
      </c>
      <c r="Q138" s="9">
        <f t="shared" si="2"/>
        <v>1.1330897788234073E-3</v>
      </c>
    </row>
    <row r="139" spans="2:17" ht="32.1">
      <c r="B139" s="5">
        <v>137</v>
      </c>
      <c r="C139" s="5">
        <v>853649</v>
      </c>
      <c r="D139" s="6" t="s">
        <v>384</v>
      </c>
      <c r="E139" s="6" t="s">
        <v>385</v>
      </c>
      <c r="F139" s="6" t="s">
        <v>54</v>
      </c>
      <c r="G139" s="6" t="s">
        <v>19</v>
      </c>
      <c r="H139" s="6" t="s">
        <v>20</v>
      </c>
      <c r="I139" s="5" t="s">
        <v>12</v>
      </c>
      <c r="J139" s="5" t="s">
        <v>21</v>
      </c>
      <c r="K139" s="5" t="s">
        <v>21</v>
      </c>
      <c r="L139" s="5" t="s">
        <v>21</v>
      </c>
      <c r="M139" s="5" t="s">
        <v>29</v>
      </c>
      <c r="N139" s="7" t="s">
        <v>21</v>
      </c>
      <c r="O139" s="5" t="s">
        <v>21</v>
      </c>
      <c r="P139" s="8">
        <v>5.3614671671719991</v>
      </c>
      <c r="Q139" s="9">
        <f t="shared" si="2"/>
        <v>1.1298788724385452E-3</v>
      </c>
    </row>
    <row r="140" spans="2:17" ht="32.1">
      <c r="B140" s="5">
        <v>138</v>
      </c>
      <c r="C140" s="5">
        <v>851829</v>
      </c>
      <c r="D140" s="6" t="s">
        <v>392</v>
      </c>
      <c r="E140" s="6" t="s">
        <v>280</v>
      </c>
      <c r="F140" s="6" t="s">
        <v>66</v>
      </c>
      <c r="G140" s="6" t="s">
        <v>40</v>
      </c>
      <c r="H140" s="6" t="s">
        <v>20</v>
      </c>
      <c r="I140" s="5" t="s">
        <v>12</v>
      </c>
      <c r="J140" s="5" t="s">
        <v>21</v>
      </c>
      <c r="K140" s="5" t="s">
        <v>21</v>
      </c>
      <c r="L140" s="5" t="s">
        <v>21</v>
      </c>
      <c r="M140" s="5" t="s">
        <v>21</v>
      </c>
      <c r="N140" s="7" t="s">
        <v>21</v>
      </c>
      <c r="O140" s="5" t="s">
        <v>21</v>
      </c>
      <c r="P140" s="8">
        <v>5.3570803793589992</v>
      </c>
      <c r="Q140" s="9">
        <f t="shared" si="2"/>
        <v>1.1289543980897835E-3</v>
      </c>
    </row>
    <row r="141" spans="2:17" ht="32.1">
      <c r="B141" s="5">
        <v>139</v>
      </c>
      <c r="C141" s="5">
        <v>853641</v>
      </c>
      <c r="D141" s="6" t="s">
        <v>398</v>
      </c>
      <c r="E141" s="6" t="s">
        <v>385</v>
      </c>
      <c r="F141" s="6" t="s">
        <v>54</v>
      </c>
      <c r="G141" s="6" t="s">
        <v>19</v>
      </c>
      <c r="H141" s="6" t="s">
        <v>20</v>
      </c>
      <c r="I141" s="5" t="s">
        <v>12</v>
      </c>
      <c r="J141" s="5" t="s">
        <v>21</v>
      </c>
      <c r="K141" s="5" t="s">
        <v>21</v>
      </c>
      <c r="L141" s="5" t="s">
        <v>21</v>
      </c>
      <c r="M141" s="5" t="s">
        <v>29</v>
      </c>
      <c r="N141" s="7" t="s">
        <v>21</v>
      </c>
      <c r="O141" s="5" t="s">
        <v>21</v>
      </c>
      <c r="P141" s="8">
        <v>5.329870458904999</v>
      </c>
      <c r="Q141" s="9">
        <f t="shared" si="2"/>
        <v>1.1232201627987511E-3</v>
      </c>
    </row>
    <row r="142" spans="2:17" ht="32.1">
      <c r="B142" s="5">
        <v>140</v>
      </c>
      <c r="C142" s="5">
        <v>901813</v>
      </c>
      <c r="D142" s="6" t="s">
        <v>376</v>
      </c>
      <c r="E142" s="6" t="s">
        <v>197</v>
      </c>
      <c r="F142" s="6" t="s">
        <v>198</v>
      </c>
      <c r="G142" s="6" t="s">
        <v>40</v>
      </c>
      <c r="H142" s="6" t="s">
        <v>28</v>
      </c>
      <c r="I142" s="5" t="s">
        <v>12</v>
      </c>
      <c r="J142" s="5" t="s">
        <v>21</v>
      </c>
      <c r="K142" s="5" t="s">
        <v>21</v>
      </c>
      <c r="L142" s="5" t="s">
        <v>29</v>
      </c>
      <c r="M142" s="5" t="s">
        <v>29</v>
      </c>
      <c r="N142" s="7" t="s">
        <v>21</v>
      </c>
      <c r="O142" s="5" t="s">
        <v>21</v>
      </c>
      <c r="P142" s="8">
        <v>5.2729862863369998</v>
      </c>
      <c r="Q142" s="9">
        <f t="shared" si="2"/>
        <v>1.1112323574542988E-3</v>
      </c>
    </row>
    <row r="143" spans="2:17" ht="48">
      <c r="B143" s="5">
        <v>141</v>
      </c>
      <c r="C143" s="5">
        <v>851771</v>
      </c>
      <c r="D143" s="6" t="s">
        <v>426</v>
      </c>
      <c r="E143" s="6" t="s">
        <v>427</v>
      </c>
      <c r="F143" s="6" t="s">
        <v>26</v>
      </c>
      <c r="G143" s="6" t="s">
        <v>27</v>
      </c>
      <c r="H143" s="6" t="s">
        <v>20</v>
      </c>
      <c r="I143" s="5" t="s">
        <v>12</v>
      </c>
      <c r="J143" s="5" t="s">
        <v>21</v>
      </c>
      <c r="K143" s="5" t="s">
        <v>29</v>
      </c>
      <c r="L143" s="5" t="s">
        <v>29</v>
      </c>
      <c r="M143" s="5" t="s">
        <v>29</v>
      </c>
      <c r="N143" s="7" t="s">
        <v>21</v>
      </c>
      <c r="O143" s="5" t="s">
        <v>29</v>
      </c>
      <c r="P143" s="8">
        <v>5.2040187455800027</v>
      </c>
      <c r="Q143" s="9">
        <f t="shared" si="2"/>
        <v>1.0966980957017498E-3</v>
      </c>
    </row>
    <row r="144" spans="2:17" ht="32.1">
      <c r="B144" s="5">
        <v>142</v>
      </c>
      <c r="C144" s="5">
        <v>901850</v>
      </c>
      <c r="D144" s="6" t="s">
        <v>381</v>
      </c>
      <c r="E144" s="6" t="s">
        <v>382</v>
      </c>
      <c r="F144" s="6" t="s">
        <v>198</v>
      </c>
      <c r="G144" s="6" t="s">
        <v>40</v>
      </c>
      <c r="H144" s="6" t="s">
        <v>28</v>
      </c>
      <c r="I144" s="5" t="s">
        <v>12</v>
      </c>
      <c r="J144" s="5" t="s">
        <v>21</v>
      </c>
      <c r="K144" s="5" t="s">
        <v>21</v>
      </c>
      <c r="L144" s="5" t="s">
        <v>29</v>
      </c>
      <c r="M144" s="5" t="s">
        <v>29</v>
      </c>
      <c r="N144" s="7" t="s">
        <v>21</v>
      </c>
      <c r="O144" s="5" t="s">
        <v>21</v>
      </c>
      <c r="P144" s="8">
        <v>5.1535650286210002</v>
      </c>
      <c r="Q144" s="9">
        <f t="shared" si="2"/>
        <v>1.0860654485082689E-3</v>
      </c>
    </row>
    <row r="145" spans="2:18" ht="32.1">
      <c r="B145" s="5">
        <v>143</v>
      </c>
      <c r="C145" s="5">
        <v>851650</v>
      </c>
      <c r="D145" s="6" t="s">
        <v>412</v>
      </c>
      <c r="E145" s="6" t="s">
        <v>193</v>
      </c>
      <c r="F145" s="6" t="s">
        <v>112</v>
      </c>
      <c r="G145" s="6" t="s">
        <v>67</v>
      </c>
      <c r="H145" s="6" t="s">
        <v>28</v>
      </c>
      <c r="I145" s="5" t="s">
        <v>12</v>
      </c>
      <c r="J145" s="5" t="s">
        <v>21</v>
      </c>
      <c r="K145" s="5" t="s">
        <v>21</v>
      </c>
      <c r="L145" s="5" t="s">
        <v>21</v>
      </c>
      <c r="M145" s="5" t="s">
        <v>29</v>
      </c>
      <c r="N145" s="7" t="s">
        <v>21</v>
      </c>
      <c r="O145" s="5" t="s">
        <v>21</v>
      </c>
      <c r="P145" s="8">
        <v>5.1373521695979996</v>
      </c>
      <c r="Q145" s="9">
        <f t="shared" si="2"/>
        <v>1.0826487406742497E-3</v>
      </c>
    </row>
    <row r="146" spans="2:18" ht="48" hidden="1">
      <c r="B146" s="5">
        <v>144</v>
      </c>
      <c r="C146" s="5">
        <v>853630</v>
      </c>
      <c r="D146" s="6" t="s">
        <v>510</v>
      </c>
      <c r="E146" s="6" t="s">
        <v>249</v>
      </c>
      <c r="F146" s="6" t="s">
        <v>54</v>
      </c>
      <c r="G146" s="6" t="s">
        <v>51</v>
      </c>
      <c r="H146" s="6" t="s">
        <v>20</v>
      </c>
      <c r="I146" s="10" t="s">
        <v>103</v>
      </c>
      <c r="J146" s="5" t="s">
        <v>29</v>
      </c>
      <c r="K146" s="5" t="s">
        <v>21</v>
      </c>
      <c r="L146" s="5" t="s">
        <v>29</v>
      </c>
      <c r="M146" s="5" t="s">
        <v>29</v>
      </c>
      <c r="N146" s="7" t="s">
        <v>29</v>
      </c>
      <c r="O146" s="5" t="s">
        <v>29</v>
      </c>
      <c r="P146" s="8">
        <v>5.1146160359300019</v>
      </c>
      <c r="Q146" s="11">
        <f t="shared" si="2"/>
        <v>1.0778573139488001E-3</v>
      </c>
    </row>
    <row r="147" spans="2:18" ht="48">
      <c r="B147" s="5">
        <v>145</v>
      </c>
      <c r="C147" s="5">
        <v>852910</v>
      </c>
      <c r="D147" s="6" t="s">
        <v>395</v>
      </c>
      <c r="E147" s="6" t="s">
        <v>69</v>
      </c>
      <c r="F147" s="6" t="s">
        <v>26</v>
      </c>
      <c r="G147" s="6" t="s">
        <v>67</v>
      </c>
      <c r="H147" s="6" t="s">
        <v>20</v>
      </c>
      <c r="I147" s="5" t="s">
        <v>12</v>
      </c>
      <c r="J147" s="5" t="s">
        <v>21</v>
      </c>
      <c r="K147" s="5" t="s">
        <v>21</v>
      </c>
      <c r="L147" s="5" t="s">
        <v>21</v>
      </c>
      <c r="M147" s="5" t="s">
        <v>29</v>
      </c>
      <c r="N147" s="7" t="s">
        <v>21</v>
      </c>
      <c r="O147" s="5" t="s">
        <v>21</v>
      </c>
      <c r="P147" s="8">
        <v>5.1096181003369994</v>
      </c>
      <c r="Q147" s="9">
        <f t="shared" si="2"/>
        <v>1.0768040459428112E-3</v>
      </c>
    </row>
    <row r="148" spans="2:18" ht="32.1">
      <c r="B148" s="5">
        <v>146</v>
      </c>
      <c r="C148" s="5">
        <v>902140</v>
      </c>
      <c r="D148" s="6" t="s">
        <v>372</v>
      </c>
      <c r="E148" s="6" t="s">
        <v>373</v>
      </c>
      <c r="F148" s="6" t="s">
        <v>198</v>
      </c>
      <c r="G148" s="6" t="s">
        <v>40</v>
      </c>
      <c r="H148" s="6" t="s">
        <v>28</v>
      </c>
      <c r="I148" s="5" t="s">
        <v>12</v>
      </c>
      <c r="J148" s="5" t="s">
        <v>21</v>
      </c>
      <c r="K148" s="5" t="s">
        <v>21</v>
      </c>
      <c r="L148" s="5" t="s">
        <v>29</v>
      </c>
      <c r="M148" s="5" t="s">
        <v>29</v>
      </c>
      <c r="N148" s="7" t="s">
        <v>21</v>
      </c>
      <c r="O148" s="5" t="s">
        <v>21</v>
      </c>
      <c r="P148" s="8">
        <v>5.0595637548799992</v>
      </c>
      <c r="Q148" s="9">
        <f t="shared" si="2"/>
        <v>1.0662555625441082E-3</v>
      </c>
    </row>
    <row r="149" spans="2:18" ht="63.95" hidden="1">
      <c r="B149" s="5">
        <v>147</v>
      </c>
      <c r="C149" s="5">
        <v>851690</v>
      </c>
      <c r="D149" s="6" t="s">
        <v>342</v>
      </c>
      <c r="E149" s="6" t="s">
        <v>343</v>
      </c>
      <c r="F149" s="6" t="s">
        <v>112</v>
      </c>
      <c r="G149" s="6" t="s">
        <v>51</v>
      </c>
      <c r="H149" s="6" t="s">
        <v>20</v>
      </c>
      <c r="I149" s="10" t="s">
        <v>103</v>
      </c>
      <c r="J149" s="5" t="s">
        <v>29</v>
      </c>
      <c r="K149" s="5" t="s">
        <v>21</v>
      </c>
      <c r="L149" s="5" t="s">
        <v>29</v>
      </c>
      <c r="M149" s="5" t="s">
        <v>29</v>
      </c>
      <c r="N149" s="7" t="s">
        <v>29</v>
      </c>
      <c r="O149" s="5" t="s">
        <v>29</v>
      </c>
      <c r="P149" s="8">
        <v>5.0592665837980011</v>
      </c>
      <c r="Q149" s="11">
        <f t="shared" si="2"/>
        <v>1.0661929365283964E-3</v>
      </c>
    </row>
    <row r="150" spans="2:18" ht="63.95">
      <c r="B150" s="5">
        <v>148</v>
      </c>
      <c r="C150" s="5">
        <v>852721</v>
      </c>
      <c r="D150" s="6" t="s">
        <v>406</v>
      </c>
      <c r="E150" s="6" t="s">
        <v>407</v>
      </c>
      <c r="F150" s="6" t="s">
        <v>266</v>
      </c>
      <c r="G150" s="6" t="s">
        <v>27</v>
      </c>
      <c r="H150" s="6" t="s">
        <v>28</v>
      </c>
      <c r="I150" s="5" t="s">
        <v>12</v>
      </c>
      <c r="J150" s="5" t="s">
        <v>21</v>
      </c>
      <c r="K150" s="5" t="s">
        <v>21</v>
      </c>
      <c r="L150" s="5" t="s">
        <v>21</v>
      </c>
      <c r="M150" s="5" t="s">
        <v>29</v>
      </c>
      <c r="N150" s="7" t="s">
        <v>21</v>
      </c>
      <c r="O150" s="5" t="s">
        <v>21</v>
      </c>
      <c r="P150" s="8">
        <v>4.9470651803139978</v>
      </c>
      <c r="Q150" s="9">
        <f t="shared" si="2"/>
        <v>1.0425475440823213E-3</v>
      </c>
      <c r="R150" s="16"/>
    </row>
    <row r="151" spans="2:18" ht="63.95">
      <c r="B151" s="5">
        <v>149</v>
      </c>
      <c r="C151" s="5">
        <v>902212</v>
      </c>
      <c r="D151" s="6" t="s">
        <v>390</v>
      </c>
      <c r="E151" s="6" t="s">
        <v>391</v>
      </c>
      <c r="F151" s="6" t="s">
        <v>198</v>
      </c>
      <c r="G151" s="6" t="s">
        <v>40</v>
      </c>
      <c r="H151" s="6" t="s">
        <v>28</v>
      </c>
      <c r="I151" s="5" t="s">
        <v>12</v>
      </c>
      <c r="J151" s="5" t="s">
        <v>21</v>
      </c>
      <c r="K151" s="5" t="s">
        <v>21</v>
      </c>
      <c r="L151" s="5" t="s">
        <v>29</v>
      </c>
      <c r="M151" s="5" t="s">
        <v>29</v>
      </c>
      <c r="N151" s="7" t="s">
        <v>21</v>
      </c>
      <c r="O151" s="5" t="s">
        <v>21</v>
      </c>
      <c r="P151" s="8">
        <v>4.8571337874469993</v>
      </c>
      <c r="Q151" s="9">
        <f t="shared" si="2"/>
        <v>1.0235953473046269E-3</v>
      </c>
    </row>
    <row r="152" spans="2:18" ht="48">
      <c r="B152" s="5">
        <v>150</v>
      </c>
      <c r="C152" s="5">
        <v>851890</v>
      </c>
      <c r="D152" s="6" t="s">
        <v>408</v>
      </c>
      <c r="E152" s="6" t="s">
        <v>409</v>
      </c>
      <c r="F152" s="6" t="s">
        <v>66</v>
      </c>
      <c r="G152" s="6" t="s">
        <v>40</v>
      </c>
      <c r="H152" s="6" t="s">
        <v>20</v>
      </c>
      <c r="I152" s="5" t="s">
        <v>12</v>
      </c>
      <c r="J152" s="5" t="s">
        <v>21</v>
      </c>
      <c r="K152" s="5" t="s">
        <v>21</v>
      </c>
      <c r="L152" s="5" t="s">
        <v>21</v>
      </c>
      <c r="M152" s="5" t="s">
        <v>21</v>
      </c>
      <c r="N152" s="7" t="s">
        <v>21</v>
      </c>
      <c r="O152" s="5" t="s">
        <v>21</v>
      </c>
      <c r="P152" s="8">
        <v>4.8486755038049996</v>
      </c>
      <c r="Q152" s="9">
        <f t="shared" si="2"/>
        <v>1.0218128434327941E-3</v>
      </c>
    </row>
    <row r="153" spans="2:18" ht="32.1">
      <c r="B153" s="5">
        <v>151</v>
      </c>
      <c r="C153" s="5">
        <v>390390</v>
      </c>
      <c r="D153" s="6" t="s">
        <v>410</v>
      </c>
      <c r="E153" s="6" t="s">
        <v>411</v>
      </c>
      <c r="F153" s="6" t="s">
        <v>50</v>
      </c>
      <c r="G153" s="6" t="s">
        <v>51</v>
      </c>
      <c r="H153" s="6" t="s">
        <v>20</v>
      </c>
      <c r="I153" s="5" t="s">
        <v>11</v>
      </c>
      <c r="J153" s="5" t="s">
        <v>21</v>
      </c>
      <c r="K153" s="5" t="s">
        <v>29</v>
      </c>
      <c r="L153" s="5" t="s">
        <v>29</v>
      </c>
      <c r="M153" s="5" t="s">
        <v>21</v>
      </c>
      <c r="N153" s="7" t="s">
        <v>29</v>
      </c>
      <c r="O153" s="5" t="s">
        <v>29</v>
      </c>
      <c r="P153" s="8">
        <v>4.848218915004999</v>
      </c>
      <c r="Q153" s="9">
        <f t="shared" si="2"/>
        <v>1.0217166216296147E-3</v>
      </c>
    </row>
    <row r="154" spans="2:18" ht="63.95">
      <c r="B154" s="5">
        <v>152</v>
      </c>
      <c r="C154" s="5">
        <v>901580</v>
      </c>
      <c r="D154" s="6" t="s">
        <v>386</v>
      </c>
      <c r="E154" s="6" t="s">
        <v>387</v>
      </c>
      <c r="F154" s="6" t="s">
        <v>189</v>
      </c>
      <c r="G154" s="6" t="s">
        <v>40</v>
      </c>
      <c r="H154" s="6" t="s">
        <v>28</v>
      </c>
      <c r="I154" s="5" t="s">
        <v>12</v>
      </c>
      <c r="J154" s="5" t="s">
        <v>21</v>
      </c>
      <c r="K154" s="5" t="s">
        <v>21</v>
      </c>
      <c r="L154" s="5" t="s">
        <v>29</v>
      </c>
      <c r="M154" s="5" t="s">
        <v>29</v>
      </c>
      <c r="N154" s="7" t="s">
        <v>21</v>
      </c>
      <c r="O154" s="5" t="s">
        <v>21</v>
      </c>
      <c r="P154" s="8">
        <v>4.8364178185100002</v>
      </c>
      <c r="Q154" s="9">
        <f t="shared" si="2"/>
        <v>1.0192296513310834E-3</v>
      </c>
    </row>
    <row r="155" spans="2:18" ht="32.1">
      <c r="B155" s="5">
        <v>153</v>
      </c>
      <c r="C155" s="5">
        <v>847050</v>
      </c>
      <c r="D155" s="6" t="s">
        <v>435</v>
      </c>
      <c r="E155" s="6" t="s">
        <v>436</v>
      </c>
      <c r="F155" s="6" t="s">
        <v>66</v>
      </c>
      <c r="G155" s="6" t="s">
        <v>40</v>
      </c>
      <c r="H155" s="6" t="s">
        <v>28</v>
      </c>
      <c r="I155" s="5" t="s">
        <v>12</v>
      </c>
      <c r="J155" s="5" t="s">
        <v>21</v>
      </c>
      <c r="K155" s="5" t="s">
        <v>21</v>
      </c>
      <c r="L155" s="5" t="s">
        <v>21</v>
      </c>
      <c r="M155" s="5" t="s">
        <v>29</v>
      </c>
      <c r="N155" s="7" t="s">
        <v>21</v>
      </c>
      <c r="O155" s="5" t="s">
        <v>21</v>
      </c>
      <c r="P155" s="8">
        <v>4.7707608631400014</v>
      </c>
      <c r="Q155" s="9">
        <f t="shared" si="2"/>
        <v>1.0053930643693224E-3</v>
      </c>
    </row>
    <row r="156" spans="2:18" ht="32.1">
      <c r="B156" s="5">
        <v>154</v>
      </c>
      <c r="C156" s="5">
        <v>903210</v>
      </c>
      <c r="D156" s="6" t="s">
        <v>413</v>
      </c>
      <c r="E156" s="6" t="s">
        <v>414</v>
      </c>
      <c r="F156" s="6" t="s">
        <v>66</v>
      </c>
      <c r="G156" s="6" t="s">
        <v>40</v>
      </c>
      <c r="H156" s="6" t="s">
        <v>28</v>
      </c>
      <c r="I156" s="5" t="s">
        <v>12</v>
      </c>
      <c r="J156" s="5" t="s">
        <v>21</v>
      </c>
      <c r="K156" s="5" t="s">
        <v>21</v>
      </c>
      <c r="L156" s="5" t="s">
        <v>21</v>
      </c>
      <c r="M156" s="5" t="s">
        <v>29</v>
      </c>
      <c r="N156" s="7" t="s">
        <v>21</v>
      </c>
      <c r="O156" s="5" t="s">
        <v>21</v>
      </c>
      <c r="P156" s="8">
        <v>4.7567188772280007</v>
      </c>
      <c r="Q156" s="9">
        <f t="shared" si="2"/>
        <v>1.002433847663456E-3</v>
      </c>
    </row>
    <row r="157" spans="2:18" ht="32.1">
      <c r="B157" s="5">
        <v>155</v>
      </c>
      <c r="C157" s="5">
        <v>390890</v>
      </c>
      <c r="D157" s="6" t="s">
        <v>417</v>
      </c>
      <c r="E157" s="6" t="s">
        <v>418</v>
      </c>
      <c r="F157" s="6" t="s">
        <v>50</v>
      </c>
      <c r="G157" s="6" t="s">
        <v>51</v>
      </c>
      <c r="H157" s="6" t="s">
        <v>20</v>
      </c>
      <c r="I157" s="5" t="s">
        <v>11</v>
      </c>
      <c r="J157" s="5" t="s">
        <v>21</v>
      </c>
      <c r="K157" s="5" t="s">
        <v>29</v>
      </c>
      <c r="L157" s="5" t="s">
        <v>29</v>
      </c>
      <c r="M157" s="5" t="s">
        <v>21</v>
      </c>
      <c r="N157" s="7" t="s">
        <v>29</v>
      </c>
      <c r="O157" s="5" t="s">
        <v>29</v>
      </c>
      <c r="P157" s="8">
        <v>4.6811928002740011</v>
      </c>
      <c r="Q157" s="9">
        <f t="shared" si="2"/>
        <v>9.8651743597842406E-4</v>
      </c>
    </row>
    <row r="158" spans="2:18" ht="48">
      <c r="B158" s="5">
        <v>156</v>
      </c>
      <c r="C158" s="5">
        <v>853810</v>
      </c>
      <c r="D158" s="6" t="s">
        <v>419</v>
      </c>
      <c r="E158" s="6" t="s">
        <v>420</v>
      </c>
      <c r="F158" s="6" t="s">
        <v>54</v>
      </c>
      <c r="G158" s="6" t="s">
        <v>19</v>
      </c>
      <c r="H158" s="6" t="s">
        <v>20</v>
      </c>
      <c r="I158" s="5" t="s">
        <v>12</v>
      </c>
      <c r="J158" s="5" t="s">
        <v>21</v>
      </c>
      <c r="K158" s="5" t="s">
        <v>21</v>
      </c>
      <c r="L158" s="5" t="s">
        <v>21</v>
      </c>
      <c r="M158" s="5" t="s">
        <v>21</v>
      </c>
      <c r="N158" s="7" t="s">
        <v>21</v>
      </c>
      <c r="O158" s="5" t="s">
        <v>21</v>
      </c>
      <c r="P158" s="8">
        <v>4.6689371678860017</v>
      </c>
      <c r="Q158" s="9">
        <f t="shared" si="2"/>
        <v>9.8393467650759094E-4</v>
      </c>
    </row>
    <row r="159" spans="2:18" ht="63.95">
      <c r="B159" s="5">
        <v>157</v>
      </c>
      <c r="C159" s="5">
        <v>903040</v>
      </c>
      <c r="D159" s="6" t="s">
        <v>431</v>
      </c>
      <c r="E159" s="6" t="s">
        <v>432</v>
      </c>
      <c r="F159" s="6" t="s">
        <v>189</v>
      </c>
      <c r="G159" s="6" t="s">
        <v>40</v>
      </c>
      <c r="H159" s="6" t="s">
        <v>28</v>
      </c>
      <c r="I159" s="5" t="s">
        <v>12</v>
      </c>
      <c r="J159" s="5" t="s">
        <v>21</v>
      </c>
      <c r="K159" s="5" t="s">
        <v>21</v>
      </c>
      <c r="L159" s="5" t="s">
        <v>29</v>
      </c>
      <c r="M159" s="5" t="s">
        <v>29</v>
      </c>
      <c r="N159" s="7" t="s">
        <v>21</v>
      </c>
      <c r="O159" s="5" t="s">
        <v>21</v>
      </c>
      <c r="P159" s="8">
        <v>4.6137503108820006</v>
      </c>
      <c r="Q159" s="9">
        <f t="shared" si="2"/>
        <v>9.7230456448398268E-4</v>
      </c>
    </row>
    <row r="160" spans="2:18" ht="48">
      <c r="B160" s="5">
        <v>158</v>
      </c>
      <c r="C160" s="5">
        <v>854340</v>
      </c>
      <c r="D160" s="6" t="s">
        <v>422</v>
      </c>
      <c r="E160" s="6" t="s">
        <v>423</v>
      </c>
      <c r="F160" s="6" t="s">
        <v>54</v>
      </c>
      <c r="G160" s="6" t="s">
        <v>40</v>
      </c>
      <c r="H160" s="6" t="s">
        <v>28</v>
      </c>
      <c r="I160" s="5" t="s">
        <v>12</v>
      </c>
      <c r="J160" s="5" t="s">
        <v>21</v>
      </c>
      <c r="K160" s="5" t="s">
        <v>29</v>
      </c>
      <c r="L160" s="5" t="s">
        <v>29</v>
      </c>
      <c r="M160" s="5" t="s">
        <v>29</v>
      </c>
      <c r="N160" s="7" t="s">
        <v>21</v>
      </c>
      <c r="O160" s="5" t="s">
        <v>29</v>
      </c>
      <c r="P160" s="8">
        <v>4.6109009879330012</v>
      </c>
      <c r="Q160" s="9">
        <f t="shared" si="2"/>
        <v>9.7170409642170655E-4</v>
      </c>
    </row>
    <row r="161" spans="2:18" ht="48">
      <c r="B161" s="5">
        <v>159</v>
      </c>
      <c r="C161" s="5">
        <v>902730</v>
      </c>
      <c r="D161" s="6" t="s">
        <v>396</v>
      </c>
      <c r="E161" s="6" t="s">
        <v>397</v>
      </c>
      <c r="F161" s="6" t="s">
        <v>189</v>
      </c>
      <c r="G161" s="6" t="s">
        <v>40</v>
      </c>
      <c r="H161" s="6" t="s">
        <v>28</v>
      </c>
      <c r="I161" s="5" t="s">
        <v>12</v>
      </c>
      <c r="J161" s="5" t="s">
        <v>21</v>
      </c>
      <c r="K161" s="5" t="s">
        <v>21</v>
      </c>
      <c r="L161" s="5" t="s">
        <v>29</v>
      </c>
      <c r="M161" s="5" t="s">
        <v>29</v>
      </c>
      <c r="N161" s="7" t="s">
        <v>21</v>
      </c>
      <c r="O161" s="5" t="s">
        <v>21</v>
      </c>
      <c r="P161" s="8">
        <v>4.5838578978879978</v>
      </c>
      <c r="Q161" s="9">
        <f t="shared" si="2"/>
        <v>9.6600501907317927E-4</v>
      </c>
    </row>
    <row r="162" spans="2:18" ht="63.95">
      <c r="B162" s="5">
        <v>160</v>
      </c>
      <c r="C162" s="5">
        <v>853190</v>
      </c>
      <c r="D162" s="6" t="s">
        <v>415</v>
      </c>
      <c r="E162" s="6" t="s">
        <v>416</v>
      </c>
      <c r="F162" s="6" t="s">
        <v>189</v>
      </c>
      <c r="G162" s="6" t="s">
        <v>19</v>
      </c>
      <c r="H162" s="6" t="s">
        <v>20</v>
      </c>
      <c r="I162" s="5" t="s">
        <v>12</v>
      </c>
      <c r="J162" s="5" t="s">
        <v>21</v>
      </c>
      <c r="K162" s="5" t="s">
        <v>21</v>
      </c>
      <c r="L162" s="5" t="s">
        <v>29</v>
      </c>
      <c r="M162" s="5" t="s">
        <v>29</v>
      </c>
      <c r="N162" s="7" t="s">
        <v>21</v>
      </c>
      <c r="O162" s="5" t="s">
        <v>21</v>
      </c>
      <c r="P162" s="8">
        <v>4.5788754788529964</v>
      </c>
      <c r="Q162" s="9">
        <f t="shared" si="2"/>
        <v>9.6495502103612085E-4</v>
      </c>
    </row>
    <row r="163" spans="2:18" ht="48" hidden="1">
      <c r="B163" s="5">
        <v>161</v>
      </c>
      <c r="C163" s="5">
        <v>851629</v>
      </c>
      <c r="D163" s="6" t="s">
        <v>321</v>
      </c>
      <c r="E163" s="6" t="s">
        <v>322</v>
      </c>
      <c r="F163" s="6" t="s">
        <v>112</v>
      </c>
      <c r="G163" s="6" t="s">
        <v>51</v>
      </c>
      <c r="H163" s="6" t="s">
        <v>28</v>
      </c>
      <c r="I163" s="10" t="s">
        <v>103</v>
      </c>
      <c r="J163" s="5" t="s">
        <v>29</v>
      </c>
      <c r="K163" s="5" t="s">
        <v>21</v>
      </c>
      <c r="L163" s="5" t="s">
        <v>29</v>
      </c>
      <c r="M163" s="5" t="s">
        <v>29</v>
      </c>
      <c r="N163" s="7" t="s">
        <v>29</v>
      </c>
      <c r="O163" s="5" t="s">
        <v>29</v>
      </c>
      <c r="P163" s="8">
        <v>4.5580888015269991</v>
      </c>
      <c r="Q163" s="11">
        <f t="shared" si="2"/>
        <v>9.6057442393340093E-4</v>
      </c>
    </row>
    <row r="164" spans="2:18" ht="48" hidden="1">
      <c r="B164" s="5">
        <v>162</v>
      </c>
      <c r="C164" s="5">
        <v>854720</v>
      </c>
      <c r="D164" s="6" t="s">
        <v>614</v>
      </c>
      <c r="E164" s="6" t="s">
        <v>613</v>
      </c>
      <c r="F164" s="6" t="s">
        <v>54</v>
      </c>
      <c r="G164" s="6" t="s">
        <v>51</v>
      </c>
      <c r="H164" s="6" t="s">
        <v>20</v>
      </c>
      <c r="I164" s="10" t="s">
        <v>103</v>
      </c>
      <c r="J164" s="5" t="s">
        <v>29</v>
      </c>
      <c r="K164" s="5" t="s">
        <v>21</v>
      </c>
      <c r="L164" s="5" t="s">
        <v>29</v>
      </c>
      <c r="M164" s="5" t="s">
        <v>29</v>
      </c>
      <c r="N164" s="7" t="s">
        <v>29</v>
      </c>
      <c r="O164" s="5" t="s">
        <v>29</v>
      </c>
      <c r="P164" s="8">
        <v>4.5424387064129981</v>
      </c>
      <c r="Q164" s="11">
        <f t="shared" si="2"/>
        <v>9.5727631331001895E-4</v>
      </c>
    </row>
    <row r="165" spans="2:18" ht="63.95">
      <c r="B165" s="5">
        <v>163</v>
      </c>
      <c r="C165" s="5">
        <v>852871</v>
      </c>
      <c r="D165" s="6" t="s">
        <v>428</v>
      </c>
      <c r="E165" s="6" t="s">
        <v>429</v>
      </c>
      <c r="F165" s="6" t="s">
        <v>66</v>
      </c>
      <c r="G165" s="6" t="s">
        <v>67</v>
      </c>
      <c r="H165" s="6" t="s">
        <v>28</v>
      </c>
      <c r="I165" s="5" t="s">
        <v>12</v>
      </c>
      <c r="J165" s="5" t="s">
        <v>21</v>
      </c>
      <c r="K165" s="5" t="s">
        <v>21</v>
      </c>
      <c r="L165" s="5" t="s">
        <v>21</v>
      </c>
      <c r="M165" s="5" t="s">
        <v>21</v>
      </c>
      <c r="N165" s="7" t="s">
        <v>21</v>
      </c>
      <c r="O165" s="5" t="s">
        <v>21</v>
      </c>
      <c r="P165" s="8">
        <v>4.5190852720530001</v>
      </c>
      <c r="Q165" s="9">
        <f t="shared" si="2"/>
        <v>9.5235479625890179E-4</v>
      </c>
    </row>
    <row r="166" spans="2:18" ht="32.1">
      <c r="B166" s="5">
        <v>164</v>
      </c>
      <c r="C166" s="5">
        <v>482110</v>
      </c>
      <c r="D166" s="6" t="s">
        <v>430</v>
      </c>
      <c r="E166" s="6" t="s">
        <v>251</v>
      </c>
      <c r="F166" s="6" t="s">
        <v>50</v>
      </c>
      <c r="G166" s="6" t="s">
        <v>51</v>
      </c>
      <c r="H166" s="6" t="s">
        <v>20</v>
      </c>
      <c r="I166" s="5" t="s">
        <v>11</v>
      </c>
      <c r="J166" s="5" t="s">
        <v>21</v>
      </c>
      <c r="K166" s="5" t="s">
        <v>29</v>
      </c>
      <c r="L166" s="5" t="s">
        <v>29</v>
      </c>
      <c r="M166" s="5" t="s">
        <v>21</v>
      </c>
      <c r="N166" s="7" t="s">
        <v>29</v>
      </c>
      <c r="O166" s="5" t="s">
        <v>29</v>
      </c>
      <c r="P166" s="8">
        <v>4.4692385054860022</v>
      </c>
      <c r="Q166" s="9">
        <f t="shared" si="2"/>
        <v>9.4185005816253213E-4</v>
      </c>
    </row>
    <row r="167" spans="2:18" ht="48">
      <c r="B167" s="5">
        <v>165</v>
      </c>
      <c r="C167" s="5">
        <v>902519</v>
      </c>
      <c r="D167" s="6" t="s">
        <v>424</v>
      </c>
      <c r="E167" s="6" t="s">
        <v>425</v>
      </c>
      <c r="F167" s="6" t="s">
        <v>198</v>
      </c>
      <c r="G167" s="6" t="s">
        <v>40</v>
      </c>
      <c r="H167" s="6" t="s">
        <v>28</v>
      </c>
      <c r="I167" s="5" t="s">
        <v>12</v>
      </c>
      <c r="J167" s="5" t="s">
        <v>21</v>
      </c>
      <c r="K167" s="5" t="s">
        <v>21</v>
      </c>
      <c r="L167" s="5" t="s">
        <v>29</v>
      </c>
      <c r="M167" s="5" t="s">
        <v>29</v>
      </c>
      <c r="N167" s="7" t="s">
        <v>21</v>
      </c>
      <c r="O167" s="5" t="s">
        <v>21</v>
      </c>
      <c r="P167" s="8">
        <v>4.421393682215002</v>
      </c>
      <c r="Q167" s="9">
        <f t="shared" si="2"/>
        <v>9.3176721082170364E-4</v>
      </c>
    </row>
    <row r="168" spans="2:18" ht="32.1" hidden="1">
      <c r="B168" s="5">
        <v>166</v>
      </c>
      <c r="C168" s="5">
        <v>850423</v>
      </c>
      <c r="D168" s="6" t="s">
        <v>242</v>
      </c>
      <c r="E168" s="6" t="s">
        <v>213</v>
      </c>
      <c r="F168" s="6" t="s">
        <v>54</v>
      </c>
      <c r="G168" s="6" t="s">
        <v>51</v>
      </c>
      <c r="H168" s="6" t="s">
        <v>20</v>
      </c>
      <c r="I168" s="10" t="s">
        <v>103</v>
      </c>
      <c r="J168" s="5" t="s">
        <v>29</v>
      </c>
      <c r="K168" s="5" t="s">
        <v>21</v>
      </c>
      <c r="L168" s="5" t="s">
        <v>29</v>
      </c>
      <c r="M168" s="5" t="s">
        <v>29</v>
      </c>
      <c r="N168" s="7" t="s">
        <v>29</v>
      </c>
      <c r="O168" s="5" t="s">
        <v>29</v>
      </c>
      <c r="P168" s="8">
        <v>4.4070984797960007</v>
      </c>
      <c r="Q168" s="11">
        <f t="shared" si="2"/>
        <v>9.2875463111416403E-4</v>
      </c>
    </row>
    <row r="169" spans="2:18" ht="32.1" hidden="1">
      <c r="B169" s="5">
        <v>167</v>
      </c>
      <c r="C169" s="5">
        <v>841821</v>
      </c>
      <c r="D169" s="6" t="s">
        <v>119</v>
      </c>
      <c r="E169" s="6" t="s">
        <v>120</v>
      </c>
      <c r="F169" s="6" t="s">
        <v>112</v>
      </c>
      <c r="G169" s="6" t="s">
        <v>51</v>
      </c>
      <c r="H169" s="6" t="s">
        <v>28</v>
      </c>
      <c r="I169" s="10" t="s">
        <v>103</v>
      </c>
      <c r="J169" s="5" t="s">
        <v>29</v>
      </c>
      <c r="K169" s="5" t="s">
        <v>21</v>
      </c>
      <c r="L169" s="5" t="s">
        <v>29</v>
      </c>
      <c r="M169" s="5" t="s">
        <v>29</v>
      </c>
      <c r="N169" s="7" t="s">
        <v>29</v>
      </c>
      <c r="O169" s="5" t="s">
        <v>29</v>
      </c>
      <c r="P169" s="8">
        <v>4.4027284049889994</v>
      </c>
      <c r="Q169" s="11">
        <f t="shared" si="2"/>
        <v>9.2783367887451604E-4</v>
      </c>
    </row>
    <row r="170" spans="2:18" ht="48">
      <c r="B170" s="5">
        <v>168</v>
      </c>
      <c r="C170" s="5">
        <v>420231</v>
      </c>
      <c r="D170" s="6" t="s">
        <v>433</v>
      </c>
      <c r="E170" s="6" t="s">
        <v>434</v>
      </c>
      <c r="F170" s="6" t="s">
        <v>50</v>
      </c>
      <c r="G170" s="6" t="s">
        <v>51</v>
      </c>
      <c r="H170" s="6" t="s">
        <v>20</v>
      </c>
      <c r="I170" s="5" t="s">
        <v>11</v>
      </c>
      <c r="J170" s="5" t="s">
        <v>21</v>
      </c>
      <c r="K170" s="5" t="s">
        <v>29</v>
      </c>
      <c r="L170" s="5" t="s">
        <v>29</v>
      </c>
      <c r="M170" s="5" t="s">
        <v>21</v>
      </c>
      <c r="N170" s="7" t="s">
        <v>29</v>
      </c>
      <c r="O170" s="5" t="s">
        <v>29</v>
      </c>
      <c r="P170" s="8">
        <v>4.2639628129480007</v>
      </c>
      <c r="Q170" s="9">
        <f t="shared" si="2"/>
        <v>8.9859013307262096E-4</v>
      </c>
    </row>
    <row r="171" spans="2:18" ht="32.1">
      <c r="B171" s="5">
        <v>169</v>
      </c>
      <c r="C171" s="5">
        <v>847290</v>
      </c>
      <c r="D171" s="6" t="s">
        <v>447</v>
      </c>
      <c r="E171" s="6" t="s">
        <v>448</v>
      </c>
      <c r="F171" s="6" t="s">
        <v>36</v>
      </c>
      <c r="G171" s="6" t="s">
        <v>40</v>
      </c>
      <c r="H171" s="6" t="s">
        <v>28</v>
      </c>
      <c r="I171" s="5" t="s">
        <v>12</v>
      </c>
      <c r="J171" s="5" t="s">
        <v>21</v>
      </c>
      <c r="K171" s="5" t="s">
        <v>21</v>
      </c>
      <c r="L171" s="5" t="s">
        <v>29</v>
      </c>
      <c r="M171" s="5" t="s">
        <v>29</v>
      </c>
      <c r="N171" s="7" t="s">
        <v>21</v>
      </c>
      <c r="O171" s="5" t="s">
        <v>29</v>
      </c>
      <c r="P171" s="8">
        <v>4.2535205526830016</v>
      </c>
      <c r="Q171" s="9">
        <f t="shared" si="2"/>
        <v>8.9638952475291163E-4</v>
      </c>
    </row>
    <row r="172" spans="2:18" ht="32.1">
      <c r="B172" s="5">
        <v>170</v>
      </c>
      <c r="C172" s="5">
        <v>852692</v>
      </c>
      <c r="D172" s="6" t="s">
        <v>437</v>
      </c>
      <c r="E172" s="6" t="s">
        <v>265</v>
      </c>
      <c r="F172" s="6" t="s">
        <v>266</v>
      </c>
      <c r="G172" s="6" t="s">
        <v>27</v>
      </c>
      <c r="H172" s="6" t="s">
        <v>20</v>
      </c>
      <c r="I172" s="5" t="s">
        <v>12</v>
      </c>
      <c r="J172" s="5" t="s">
        <v>21</v>
      </c>
      <c r="K172" s="5" t="s">
        <v>21</v>
      </c>
      <c r="L172" s="5" t="s">
        <v>21</v>
      </c>
      <c r="M172" s="5" t="s">
        <v>29</v>
      </c>
      <c r="N172" s="7" t="s">
        <v>21</v>
      </c>
      <c r="O172" s="5" t="s">
        <v>21</v>
      </c>
      <c r="P172" s="8">
        <v>4.2213445713220006</v>
      </c>
      <c r="Q172" s="9">
        <f t="shared" si="2"/>
        <v>8.8960873874672824E-4</v>
      </c>
      <c r="R172" s="16"/>
    </row>
    <row r="173" spans="2:18" ht="48">
      <c r="B173" s="5">
        <v>171</v>
      </c>
      <c r="C173" s="5">
        <v>852329</v>
      </c>
      <c r="D173" s="6" t="s">
        <v>455</v>
      </c>
      <c r="E173" s="6" t="s">
        <v>456</v>
      </c>
      <c r="F173" s="6" t="s">
        <v>66</v>
      </c>
      <c r="G173" s="6" t="s">
        <v>67</v>
      </c>
      <c r="H173" s="6" t="s">
        <v>20</v>
      </c>
      <c r="I173" s="5" t="s">
        <v>12</v>
      </c>
      <c r="J173" s="5" t="s">
        <v>21</v>
      </c>
      <c r="K173" s="5" t="s">
        <v>21</v>
      </c>
      <c r="L173" s="5" t="s">
        <v>21</v>
      </c>
      <c r="M173" s="5" t="s">
        <v>29</v>
      </c>
      <c r="N173" s="7" t="s">
        <v>21</v>
      </c>
      <c r="O173" s="5" t="s">
        <v>21</v>
      </c>
      <c r="P173" s="8">
        <v>4.1611967860849983</v>
      </c>
      <c r="Q173" s="9">
        <f t="shared" si="2"/>
        <v>8.7693315767082918E-4</v>
      </c>
    </row>
    <row r="174" spans="2:18" ht="32.1">
      <c r="B174" s="5">
        <v>172</v>
      </c>
      <c r="C174" s="5">
        <v>491110</v>
      </c>
      <c r="D174" s="6" t="s">
        <v>440</v>
      </c>
      <c r="E174" s="6" t="s">
        <v>441</v>
      </c>
      <c r="F174" s="6" t="s">
        <v>50</v>
      </c>
      <c r="G174" s="6" t="s">
        <v>51</v>
      </c>
      <c r="H174" s="6" t="s">
        <v>20</v>
      </c>
      <c r="I174" s="5" t="s">
        <v>11</v>
      </c>
      <c r="J174" s="5" t="s">
        <v>21</v>
      </c>
      <c r="K174" s="5" t="s">
        <v>29</v>
      </c>
      <c r="L174" s="5" t="s">
        <v>29</v>
      </c>
      <c r="M174" s="5" t="s">
        <v>21</v>
      </c>
      <c r="N174" s="7" t="s">
        <v>29</v>
      </c>
      <c r="O174" s="5" t="s">
        <v>29</v>
      </c>
      <c r="P174" s="8">
        <v>4.0463667403210017</v>
      </c>
      <c r="Q174" s="9">
        <f t="shared" si="2"/>
        <v>8.5273380354173786E-4</v>
      </c>
    </row>
    <row r="175" spans="2:18" ht="32.1">
      <c r="B175" s="5">
        <v>173</v>
      </c>
      <c r="C175" s="5">
        <v>851810</v>
      </c>
      <c r="D175" s="6" t="s">
        <v>442</v>
      </c>
      <c r="E175" s="6" t="s">
        <v>443</v>
      </c>
      <c r="F175" s="6" t="s">
        <v>66</v>
      </c>
      <c r="G175" s="6" t="s">
        <v>40</v>
      </c>
      <c r="H175" s="6" t="s">
        <v>28</v>
      </c>
      <c r="I175" s="5" t="s">
        <v>12</v>
      </c>
      <c r="J175" s="5" t="s">
        <v>21</v>
      </c>
      <c r="K175" s="5" t="s">
        <v>21</v>
      </c>
      <c r="L175" s="5" t="s">
        <v>21</v>
      </c>
      <c r="M175" s="5" t="s">
        <v>21</v>
      </c>
      <c r="N175" s="7" t="s">
        <v>21</v>
      </c>
      <c r="O175" s="5" t="s">
        <v>21</v>
      </c>
      <c r="P175" s="8">
        <v>4.0227930375259993</v>
      </c>
      <c r="Q175" s="9">
        <f t="shared" si="2"/>
        <v>8.4776586698580671E-4</v>
      </c>
    </row>
    <row r="176" spans="2:18" ht="48" hidden="1">
      <c r="B176" s="5">
        <v>174</v>
      </c>
      <c r="C176" s="5">
        <v>851310</v>
      </c>
      <c r="D176" s="6" t="s">
        <v>313</v>
      </c>
      <c r="E176" s="6" t="s">
        <v>314</v>
      </c>
      <c r="F176" s="6" t="s">
        <v>66</v>
      </c>
      <c r="G176" s="6" t="s">
        <v>51</v>
      </c>
      <c r="H176" s="6" t="s">
        <v>28</v>
      </c>
      <c r="I176" s="10" t="s">
        <v>103</v>
      </c>
      <c r="J176" s="5" t="s">
        <v>29</v>
      </c>
      <c r="K176" s="5" t="s">
        <v>21</v>
      </c>
      <c r="L176" s="5" t="s">
        <v>29</v>
      </c>
      <c r="M176" s="5" t="s">
        <v>29</v>
      </c>
      <c r="N176" s="7" t="s">
        <v>29</v>
      </c>
      <c r="O176" s="5" t="s">
        <v>29</v>
      </c>
      <c r="P176" s="8">
        <v>4.0026483008549976</v>
      </c>
      <c r="Q176" s="11">
        <f t="shared" si="2"/>
        <v>8.4352055284963733E-4</v>
      </c>
    </row>
    <row r="177" spans="2:18" ht="32.1">
      <c r="B177" s="5">
        <v>175</v>
      </c>
      <c r="C177" s="5">
        <v>851761</v>
      </c>
      <c r="D177" s="6" t="s">
        <v>444</v>
      </c>
      <c r="E177" s="6" t="s">
        <v>445</v>
      </c>
      <c r="F177" s="6" t="s">
        <v>266</v>
      </c>
      <c r="G177" s="6" t="s">
        <v>27</v>
      </c>
      <c r="H177" s="6" t="s">
        <v>28</v>
      </c>
      <c r="I177" s="5" t="s">
        <v>12</v>
      </c>
      <c r="J177" s="5" t="s">
        <v>21</v>
      </c>
      <c r="K177" s="5" t="s">
        <v>21</v>
      </c>
      <c r="L177" s="5" t="s">
        <v>29</v>
      </c>
      <c r="M177" s="5" t="s">
        <v>21</v>
      </c>
      <c r="N177" s="7" t="s">
        <v>21</v>
      </c>
      <c r="O177" s="5" t="s">
        <v>21</v>
      </c>
      <c r="P177" s="8">
        <v>3.9881024313570004</v>
      </c>
      <c r="Q177" s="9">
        <f t="shared" si="2"/>
        <v>8.4045514740844281E-4</v>
      </c>
      <c r="R177" s="16"/>
    </row>
    <row r="178" spans="2:18" ht="48" hidden="1">
      <c r="B178" s="5">
        <v>176</v>
      </c>
      <c r="C178" s="5">
        <v>853590</v>
      </c>
      <c r="D178" s="6" t="s">
        <v>507</v>
      </c>
      <c r="E178" s="6" t="s">
        <v>249</v>
      </c>
      <c r="F178" s="6" t="s">
        <v>54</v>
      </c>
      <c r="G178" s="6" t="s">
        <v>51</v>
      </c>
      <c r="H178" s="6" t="s">
        <v>20</v>
      </c>
      <c r="I178" s="10" t="s">
        <v>103</v>
      </c>
      <c r="J178" s="5" t="s">
        <v>29</v>
      </c>
      <c r="K178" s="5" t="s">
        <v>21</v>
      </c>
      <c r="L178" s="5" t="s">
        <v>29</v>
      </c>
      <c r="M178" s="5" t="s">
        <v>29</v>
      </c>
      <c r="N178" s="7" t="s">
        <v>29</v>
      </c>
      <c r="O178" s="5" t="s">
        <v>29</v>
      </c>
      <c r="P178" s="8">
        <v>3.9765433091580009</v>
      </c>
      <c r="Q178" s="11">
        <f t="shared" si="2"/>
        <v>8.3801917092115718E-4</v>
      </c>
    </row>
    <row r="179" spans="2:18" ht="48">
      <c r="B179" s="5">
        <v>177</v>
      </c>
      <c r="C179" s="5">
        <v>853180</v>
      </c>
      <c r="D179" s="6" t="s">
        <v>403</v>
      </c>
      <c r="E179" s="6" t="s">
        <v>404</v>
      </c>
      <c r="F179" s="6" t="s">
        <v>189</v>
      </c>
      <c r="G179" s="6" t="s">
        <v>19</v>
      </c>
      <c r="H179" s="6" t="s">
        <v>20</v>
      </c>
      <c r="I179" s="5" t="s">
        <v>12</v>
      </c>
      <c r="J179" s="5" t="s">
        <v>21</v>
      </c>
      <c r="K179" s="5" t="s">
        <v>21</v>
      </c>
      <c r="L179" s="5" t="s">
        <v>29</v>
      </c>
      <c r="M179" s="5" t="s">
        <v>29</v>
      </c>
      <c r="N179" s="7" t="s">
        <v>21</v>
      </c>
      <c r="O179" s="5" t="s">
        <v>21</v>
      </c>
      <c r="P179" s="8">
        <v>3.9541380864040008</v>
      </c>
      <c r="Q179" s="9">
        <f t="shared" si="2"/>
        <v>8.332974805642661E-4</v>
      </c>
    </row>
    <row r="180" spans="2:18" ht="32.1">
      <c r="B180" s="5">
        <v>178</v>
      </c>
      <c r="C180" s="5">
        <v>850610</v>
      </c>
      <c r="D180" s="6" t="s">
        <v>438</v>
      </c>
      <c r="E180" s="6" t="s">
        <v>439</v>
      </c>
      <c r="F180" s="6" t="s">
        <v>66</v>
      </c>
      <c r="G180" s="6" t="s">
        <v>43</v>
      </c>
      <c r="H180" s="6" t="s">
        <v>20</v>
      </c>
      <c r="I180" s="5" t="s">
        <v>12</v>
      </c>
      <c r="J180" s="5" t="s">
        <v>21</v>
      </c>
      <c r="K180" s="5" t="s">
        <v>21</v>
      </c>
      <c r="L180" s="5" t="s">
        <v>29</v>
      </c>
      <c r="M180" s="5" t="s">
        <v>29</v>
      </c>
      <c r="N180" s="7" t="s">
        <v>21</v>
      </c>
      <c r="O180" s="5" t="s">
        <v>29</v>
      </c>
      <c r="P180" s="8">
        <v>3.9131397945040001</v>
      </c>
      <c r="Q180" s="9">
        <f t="shared" si="2"/>
        <v>8.2465747543516391E-4</v>
      </c>
    </row>
    <row r="181" spans="2:18" ht="32.1">
      <c r="B181" s="5">
        <v>179</v>
      </c>
      <c r="C181" s="5">
        <v>852190</v>
      </c>
      <c r="D181" s="6" t="s">
        <v>449</v>
      </c>
      <c r="E181" s="6" t="s">
        <v>450</v>
      </c>
      <c r="F181" s="6" t="s">
        <v>66</v>
      </c>
      <c r="G181" s="6" t="s">
        <v>67</v>
      </c>
      <c r="H181" s="6" t="s">
        <v>28</v>
      </c>
      <c r="I181" s="5" t="s">
        <v>12</v>
      </c>
      <c r="J181" s="5" t="s">
        <v>21</v>
      </c>
      <c r="K181" s="5" t="s">
        <v>21</v>
      </c>
      <c r="L181" s="5" t="s">
        <v>21</v>
      </c>
      <c r="M181" s="5" t="s">
        <v>29</v>
      </c>
      <c r="N181" s="7" t="s">
        <v>21</v>
      </c>
      <c r="O181" s="5" t="s">
        <v>21</v>
      </c>
      <c r="P181" s="8">
        <v>3.8079118939270007</v>
      </c>
      <c r="Q181" s="9">
        <f t="shared" si="2"/>
        <v>8.0248168326002903E-4</v>
      </c>
    </row>
    <row r="182" spans="2:18" ht="32.1">
      <c r="B182" s="5">
        <v>180</v>
      </c>
      <c r="C182" s="5">
        <v>851840</v>
      </c>
      <c r="D182" s="6" t="s">
        <v>421</v>
      </c>
      <c r="E182" s="6" t="s">
        <v>100</v>
      </c>
      <c r="F182" s="6" t="s">
        <v>189</v>
      </c>
      <c r="G182" s="6" t="s">
        <v>40</v>
      </c>
      <c r="H182" s="6" t="s">
        <v>20</v>
      </c>
      <c r="I182" s="5" t="s">
        <v>12</v>
      </c>
      <c r="J182" s="5" t="s">
        <v>21</v>
      </c>
      <c r="K182" s="5" t="s">
        <v>21</v>
      </c>
      <c r="L182" s="5" t="s">
        <v>21</v>
      </c>
      <c r="M182" s="5" t="s">
        <v>29</v>
      </c>
      <c r="N182" s="7" t="s">
        <v>21</v>
      </c>
      <c r="O182" s="5" t="s">
        <v>21</v>
      </c>
      <c r="P182" s="8">
        <v>3.7971321556570006</v>
      </c>
      <c r="Q182" s="9">
        <f t="shared" si="2"/>
        <v>8.0020995461898333E-4</v>
      </c>
    </row>
    <row r="183" spans="2:18" ht="32.1">
      <c r="B183" s="5">
        <v>181</v>
      </c>
      <c r="C183" s="5">
        <v>851718</v>
      </c>
      <c r="D183" s="6" t="s">
        <v>486</v>
      </c>
      <c r="E183" s="6" t="s">
        <v>487</v>
      </c>
      <c r="F183" s="6" t="s">
        <v>26</v>
      </c>
      <c r="G183" s="6" t="s">
        <v>27</v>
      </c>
      <c r="H183" s="6" t="s">
        <v>28</v>
      </c>
      <c r="I183" s="5" t="s">
        <v>12</v>
      </c>
      <c r="J183" s="5" t="s">
        <v>21</v>
      </c>
      <c r="K183" s="5" t="s">
        <v>21</v>
      </c>
      <c r="L183" s="5" t="s">
        <v>21</v>
      </c>
      <c r="M183" s="5" t="s">
        <v>29</v>
      </c>
      <c r="N183" s="7" t="s">
        <v>21</v>
      </c>
      <c r="O183" s="5" t="s">
        <v>21</v>
      </c>
      <c r="P183" s="8">
        <v>3.7931933018789983</v>
      </c>
      <c r="Q183" s="9">
        <f t="shared" si="2"/>
        <v>7.9937987816292683E-4</v>
      </c>
    </row>
    <row r="184" spans="2:18" ht="32.1">
      <c r="B184" s="5">
        <v>182</v>
      </c>
      <c r="C184" s="5">
        <v>901390</v>
      </c>
      <c r="D184" s="6" t="s">
        <v>458</v>
      </c>
      <c r="E184" s="6" t="s">
        <v>459</v>
      </c>
      <c r="F184" s="6" t="s">
        <v>189</v>
      </c>
      <c r="G184" s="6" t="s">
        <v>40</v>
      </c>
      <c r="H184" s="6" t="s">
        <v>20</v>
      </c>
      <c r="I184" s="5" t="s">
        <v>12</v>
      </c>
      <c r="J184" s="5" t="s">
        <v>21</v>
      </c>
      <c r="K184" s="5" t="s">
        <v>21</v>
      </c>
      <c r="L184" s="5" t="s">
        <v>29</v>
      </c>
      <c r="M184" s="5" t="s">
        <v>29</v>
      </c>
      <c r="N184" s="7" t="s">
        <v>21</v>
      </c>
      <c r="O184" s="5" t="s">
        <v>21</v>
      </c>
      <c r="P184" s="8">
        <v>3.5492022756289998</v>
      </c>
      <c r="Q184" s="9">
        <f t="shared" si="2"/>
        <v>7.4796105994979871E-4</v>
      </c>
    </row>
    <row r="185" spans="2:18" ht="32.1" hidden="1">
      <c r="B185" s="5">
        <v>183</v>
      </c>
      <c r="C185" s="5">
        <v>845020</v>
      </c>
      <c r="D185" s="6" t="s">
        <v>172</v>
      </c>
      <c r="E185" s="6" t="s">
        <v>173</v>
      </c>
      <c r="F185" s="6" t="s">
        <v>112</v>
      </c>
      <c r="G185" s="6" t="s">
        <v>51</v>
      </c>
      <c r="H185" s="6" t="s">
        <v>28</v>
      </c>
      <c r="I185" s="10" t="s">
        <v>103</v>
      </c>
      <c r="J185" s="5" t="s">
        <v>29</v>
      </c>
      <c r="K185" s="5" t="s">
        <v>21</v>
      </c>
      <c r="L185" s="5" t="s">
        <v>21</v>
      </c>
      <c r="M185" s="5" t="s">
        <v>29</v>
      </c>
      <c r="N185" s="7" t="s">
        <v>29</v>
      </c>
      <c r="O185" s="5" t="s">
        <v>29</v>
      </c>
      <c r="P185" s="8">
        <v>3.3823109721349982</v>
      </c>
      <c r="Q185" s="11">
        <f t="shared" si="2"/>
        <v>7.1279028450120735E-4</v>
      </c>
    </row>
    <row r="186" spans="2:18" ht="63.95">
      <c r="B186" s="5">
        <v>184</v>
      </c>
      <c r="C186" s="5">
        <v>910111</v>
      </c>
      <c r="D186" s="6" t="s">
        <v>451</v>
      </c>
      <c r="E186" s="6" t="s">
        <v>452</v>
      </c>
      <c r="F186" s="6" t="s">
        <v>66</v>
      </c>
      <c r="G186" s="6" t="s">
        <v>51</v>
      </c>
      <c r="H186" s="6" t="s">
        <v>28</v>
      </c>
      <c r="I186" s="5" t="s">
        <v>96</v>
      </c>
      <c r="J186" s="5" t="s">
        <v>21</v>
      </c>
      <c r="K186" s="5" t="s">
        <v>21</v>
      </c>
      <c r="L186" s="5" t="s">
        <v>29</v>
      </c>
      <c r="M186" s="5" t="s">
        <v>29</v>
      </c>
      <c r="N186" s="7" t="s">
        <v>29</v>
      </c>
      <c r="O186" s="5" t="s">
        <v>21</v>
      </c>
      <c r="P186" s="8">
        <v>3.2926250904090004</v>
      </c>
      <c r="Q186" s="9">
        <f t="shared" si="2"/>
        <v>6.9388982689163898E-4</v>
      </c>
    </row>
    <row r="187" spans="2:18" ht="32.1" hidden="1">
      <c r="B187" s="5">
        <v>185</v>
      </c>
      <c r="C187" s="5">
        <v>851610</v>
      </c>
      <c r="D187" s="6" t="s">
        <v>317</v>
      </c>
      <c r="E187" s="6" t="s">
        <v>318</v>
      </c>
      <c r="F187" s="6" t="s">
        <v>112</v>
      </c>
      <c r="G187" s="6" t="s">
        <v>51</v>
      </c>
      <c r="H187" s="6" t="s">
        <v>28</v>
      </c>
      <c r="I187" s="10" t="s">
        <v>103</v>
      </c>
      <c r="J187" s="5" t="s">
        <v>29</v>
      </c>
      <c r="K187" s="5" t="s">
        <v>21</v>
      </c>
      <c r="L187" s="5" t="s">
        <v>29</v>
      </c>
      <c r="M187" s="5" t="s">
        <v>29</v>
      </c>
      <c r="N187" s="7" t="s">
        <v>29</v>
      </c>
      <c r="O187" s="5" t="s">
        <v>29</v>
      </c>
      <c r="P187" s="8">
        <v>3.2829840118050004</v>
      </c>
      <c r="Q187" s="11">
        <f t="shared" si="2"/>
        <v>6.9185806008555323E-4</v>
      </c>
    </row>
    <row r="188" spans="2:18" ht="32.1" hidden="1">
      <c r="B188" s="5">
        <v>186</v>
      </c>
      <c r="C188" s="5">
        <v>854519</v>
      </c>
      <c r="D188" s="6" t="s">
        <v>605</v>
      </c>
      <c r="E188" s="6" t="s">
        <v>604</v>
      </c>
      <c r="F188" s="6" t="s">
        <v>54</v>
      </c>
      <c r="G188" s="6" t="s">
        <v>51</v>
      </c>
      <c r="H188" s="6" t="s">
        <v>20</v>
      </c>
      <c r="I188" s="10" t="s">
        <v>103</v>
      </c>
      <c r="J188" s="5" t="s">
        <v>29</v>
      </c>
      <c r="K188" s="5" t="s">
        <v>21</v>
      </c>
      <c r="L188" s="5" t="s">
        <v>29</v>
      </c>
      <c r="M188" s="5" t="s">
        <v>29</v>
      </c>
      <c r="N188" s="7" t="s">
        <v>29</v>
      </c>
      <c r="O188" s="5" t="s">
        <v>29</v>
      </c>
      <c r="P188" s="8">
        <v>3.2647269729850006</v>
      </c>
      <c r="Q188" s="11">
        <f t="shared" si="2"/>
        <v>6.8801056054991982E-4</v>
      </c>
    </row>
    <row r="189" spans="2:18" ht="32.1">
      <c r="B189" s="5">
        <v>187</v>
      </c>
      <c r="C189" s="5">
        <v>902720</v>
      </c>
      <c r="D189" s="6" t="s">
        <v>476</v>
      </c>
      <c r="E189" s="6" t="s">
        <v>477</v>
      </c>
      <c r="F189" s="6" t="s">
        <v>189</v>
      </c>
      <c r="G189" s="6" t="s">
        <v>40</v>
      </c>
      <c r="H189" s="6" t="s">
        <v>28</v>
      </c>
      <c r="I189" s="5" t="s">
        <v>12</v>
      </c>
      <c r="J189" s="5" t="s">
        <v>21</v>
      </c>
      <c r="K189" s="5" t="s">
        <v>21</v>
      </c>
      <c r="L189" s="5" t="s">
        <v>29</v>
      </c>
      <c r="M189" s="5" t="s">
        <v>29</v>
      </c>
      <c r="N189" s="7" t="s">
        <v>21</v>
      </c>
      <c r="O189" s="5" t="s">
        <v>21</v>
      </c>
      <c r="P189" s="8">
        <v>3.2214598134269994</v>
      </c>
      <c r="Q189" s="9">
        <f t="shared" si="2"/>
        <v>6.7889241286184969E-4</v>
      </c>
    </row>
    <row r="190" spans="2:18" ht="32.1" hidden="1">
      <c r="B190" s="5">
        <v>188</v>
      </c>
      <c r="C190" s="5">
        <v>854511</v>
      </c>
      <c r="D190" s="6" t="s">
        <v>603</v>
      </c>
      <c r="E190" s="6" t="s">
        <v>604</v>
      </c>
      <c r="F190" s="6" t="s">
        <v>54</v>
      </c>
      <c r="G190" s="6" t="s">
        <v>51</v>
      </c>
      <c r="H190" s="6" t="s">
        <v>20</v>
      </c>
      <c r="I190" s="10" t="s">
        <v>103</v>
      </c>
      <c r="J190" s="5" t="s">
        <v>29</v>
      </c>
      <c r="K190" s="5" t="s">
        <v>21</v>
      </c>
      <c r="L190" s="5" t="s">
        <v>29</v>
      </c>
      <c r="M190" s="5" t="s">
        <v>29</v>
      </c>
      <c r="N190" s="7" t="s">
        <v>29</v>
      </c>
      <c r="O190" s="5" t="s">
        <v>29</v>
      </c>
      <c r="P190" s="8">
        <v>3.2120697630779991</v>
      </c>
      <c r="Q190" s="11">
        <f t="shared" si="2"/>
        <v>6.7691354790387105E-4</v>
      </c>
    </row>
    <row r="191" spans="2:18" ht="32.1">
      <c r="B191" s="5">
        <v>189</v>
      </c>
      <c r="C191" s="5">
        <v>850650</v>
      </c>
      <c r="D191" s="6" t="s">
        <v>457</v>
      </c>
      <c r="E191" s="6" t="s">
        <v>439</v>
      </c>
      <c r="F191" s="6" t="s">
        <v>66</v>
      </c>
      <c r="G191" s="6" t="s">
        <v>43</v>
      </c>
      <c r="H191" s="6" t="s">
        <v>20</v>
      </c>
      <c r="I191" s="5" t="s">
        <v>12</v>
      </c>
      <c r="J191" s="5" t="s">
        <v>21</v>
      </c>
      <c r="K191" s="5" t="s">
        <v>21</v>
      </c>
      <c r="L191" s="5" t="s">
        <v>29</v>
      </c>
      <c r="M191" s="5" t="s">
        <v>29</v>
      </c>
      <c r="N191" s="7" t="s">
        <v>21</v>
      </c>
      <c r="O191" s="5" t="s">
        <v>29</v>
      </c>
      <c r="P191" s="8">
        <v>3.2010105639280004</v>
      </c>
      <c r="Q191" s="9">
        <f t="shared" si="2"/>
        <v>6.7458292550592305E-4</v>
      </c>
    </row>
    <row r="192" spans="2:18" ht="32.1" hidden="1">
      <c r="B192" s="5">
        <v>190</v>
      </c>
      <c r="C192" s="5">
        <v>850590</v>
      </c>
      <c r="D192" s="6" t="s">
        <v>259</v>
      </c>
      <c r="E192" s="6" t="s">
        <v>260</v>
      </c>
      <c r="F192" s="6" t="s">
        <v>189</v>
      </c>
      <c r="G192" s="6" t="s">
        <v>51</v>
      </c>
      <c r="H192" s="6" t="s">
        <v>20</v>
      </c>
      <c r="I192" s="10" t="s">
        <v>103</v>
      </c>
      <c r="J192" s="5" t="s">
        <v>29</v>
      </c>
      <c r="K192" s="5" t="s">
        <v>21</v>
      </c>
      <c r="L192" s="5" t="s">
        <v>29</v>
      </c>
      <c r="M192" s="5" t="s">
        <v>29</v>
      </c>
      <c r="N192" s="7" t="s">
        <v>29</v>
      </c>
      <c r="O192" s="5" t="s">
        <v>29</v>
      </c>
      <c r="P192" s="8">
        <v>3.2002529470169998</v>
      </c>
      <c r="Q192" s="11">
        <f t="shared" si="2"/>
        <v>6.7442326485437926E-4</v>
      </c>
    </row>
    <row r="193" spans="2:18" ht="32.1">
      <c r="B193" s="5">
        <v>191</v>
      </c>
      <c r="C193" s="5">
        <v>853610</v>
      </c>
      <c r="D193" s="6" t="s">
        <v>462</v>
      </c>
      <c r="E193" s="6" t="s">
        <v>249</v>
      </c>
      <c r="F193" s="6" t="s">
        <v>54</v>
      </c>
      <c r="G193" s="6" t="s">
        <v>51</v>
      </c>
      <c r="H193" s="6" t="s">
        <v>20</v>
      </c>
      <c r="I193" s="5" t="s">
        <v>11</v>
      </c>
      <c r="J193" s="5" t="s">
        <v>21</v>
      </c>
      <c r="K193" s="5" t="s">
        <v>21</v>
      </c>
      <c r="L193" s="5" t="s">
        <v>29</v>
      </c>
      <c r="M193" s="5" t="s">
        <v>21</v>
      </c>
      <c r="N193" s="7" t="s">
        <v>29</v>
      </c>
      <c r="O193" s="5" t="s">
        <v>29</v>
      </c>
      <c r="P193" s="8">
        <v>3.1788102030309986</v>
      </c>
      <c r="Q193" s="9">
        <f t="shared" si="2"/>
        <v>6.6990440786216703E-4</v>
      </c>
    </row>
    <row r="194" spans="2:18" ht="63.95">
      <c r="B194" s="5">
        <v>192</v>
      </c>
      <c r="C194" s="5">
        <v>741021</v>
      </c>
      <c r="D194" s="6" t="s">
        <v>468</v>
      </c>
      <c r="E194" s="6" t="s">
        <v>160</v>
      </c>
      <c r="F194" s="6" t="s">
        <v>50</v>
      </c>
      <c r="G194" s="6" t="s">
        <v>51</v>
      </c>
      <c r="H194" s="6" t="s">
        <v>20</v>
      </c>
      <c r="I194" s="5" t="s">
        <v>11</v>
      </c>
      <c r="J194" s="5" t="s">
        <v>21</v>
      </c>
      <c r="K194" s="5" t="s">
        <v>29</v>
      </c>
      <c r="L194" s="5" t="s">
        <v>29</v>
      </c>
      <c r="M194" s="5" t="s">
        <v>21</v>
      </c>
      <c r="N194" s="7" t="s">
        <v>29</v>
      </c>
      <c r="O194" s="5" t="s">
        <v>29</v>
      </c>
      <c r="P194" s="8">
        <v>3.0947998647250015</v>
      </c>
      <c r="Q194" s="9">
        <f t="shared" si="2"/>
        <v>6.52200017746797E-4</v>
      </c>
    </row>
    <row r="195" spans="2:18" ht="63.95" hidden="1">
      <c r="B195" s="5">
        <v>193</v>
      </c>
      <c r="C195" s="5">
        <v>841581</v>
      </c>
      <c r="D195" s="6" t="s">
        <v>110</v>
      </c>
      <c r="E195" s="6" t="s">
        <v>111</v>
      </c>
      <c r="F195" s="6" t="s">
        <v>112</v>
      </c>
      <c r="G195" s="6" t="s">
        <v>51</v>
      </c>
      <c r="H195" s="6" t="s">
        <v>28</v>
      </c>
      <c r="I195" s="10" t="s">
        <v>103</v>
      </c>
      <c r="J195" s="5" t="s">
        <v>29</v>
      </c>
      <c r="K195" s="5" t="s">
        <v>21</v>
      </c>
      <c r="L195" s="5" t="s">
        <v>29</v>
      </c>
      <c r="M195" s="5" t="s">
        <v>29</v>
      </c>
      <c r="N195" s="7" t="s">
        <v>29</v>
      </c>
      <c r="O195" s="5" t="s">
        <v>29</v>
      </c>
      <c r="P195" s="8">
        <v>3.0474565427019993</v>
      </c>
      <c r="Q195" s="11">
        <f t="shared" ref="Q195:Q258" si="3">P195/SUM($P$3:$P$425)</f>
        <v>6.4222285708592883E-4</v>
      </c>
    </row>
    <row r="196" spans="2:18" ht="32.1">
      <c r="B196" s="5">
        <v>194</v>
      </c>
      <c r="C196" s="5">
        <v>591190</v>
      </c>
      <c r="D196" s="6" t="s">
        <v>469</v>
      </c>
      <c r="E196" s="6" t="s">
        <v>470</v>
      </c>
      <c r="F196" s="6" t="s">
        <v>50</v>
      </c>
      <c r="G196" s="6" t="s">
        <v>51</v>
      </c>
      <c r="H196" s="6" t="s">
        <v>20</v>
      </c>
      <c r="I196" s="5" t="s">
        <v>11</v>
      </c>
      <c r="J196" s="5" t="s">
        <v>21</v>
      </c>
      <c r="K196" s="5" t="s">
        <v>29</v>
      </c>
      <c r="L196" s="5" t="s">
        <v>29</v>
      </c>
      <c r="M196" s="5" t="s">
        <v>21</v>
      </c>
      <c r="N196" s="7" t="s">
        <v>29</v>
      </c>
      <c r="O196" s="5" t="s">
        <v>29</v>
      </c>
      <c r="P196" s="8">
        <v>3.0412925013920011</v>
      </c>
      <c r="Q196" s="9">
        <f t="shared" si="3"/>
        <v>6.4092384324739428E-4</v>
      </c>
    </row>
    <row r="197" spans="2:18" ht="48">
      <c r="B197" s="5">
        <v>195</v>
      </c>
      <c r="C197" s="5">
        <v>851770</v>
      </c>
      <c r="D197" s="6" t="s">
        <v>471</v>
      </c>
      <c r="E197" s="6" t="s">
        <v>427</v>
      </c>
      <c r="F197" s="6" t="s">
        <v>26</v>
      </c>
      <c r="G197" s="6" t="s">
        <v>51</v>
      </c>
      <c r="H197" s="6" t="s">
        <v>20</v>
      </c>
      <c r="I197" s="5" t="s">
        <v>11</v>
      </c>
      <c r="J197" s="5" t="s">
        <v>21</v>
      </c>
      <c r="K197" s="5" t="s">
        <v>21</v>
      </c>
      <c r="L197" s="5" t="s">
        <v>29</v>
      </c>
      <c r="M197" s="5" t="s">
        <v>21</v>
      </c>
      <c r="N197" s="7" t="s">
        <v>29</v>
      </c>
      <c r="O197" s="5" t="s">
        <v>21</v>
      </c>
      <c r="P197" s="8">
        <v>3.0363075495779994</v>
      </c>
      <c r="Q197" s="9">
        <f t="shared" si="3"/>
        <v>6.3987331145093904E-4</v>
      </c>
    </row>
    <row r="198" spans="2:18" ht="32.1" hidden="1">
      <c r="B198" s="5">
        <v>196</v>
      </c>
      <c r="C198" s="5">
        <v>851632</v>
      </c>
      <c r="D198" s="6" t="s">
        <v>325</v>
      </c>
      <c r="E198" s="6" t="s">
        <v>326</v>
      </c>
      <c r="F198" s="6" t="s">
        <v>66</v>
      </c>
      <c r="G198" s="6" t="s">
        <v>51</v>
      </c>
      <c r="H198" s="6" t="s">
        <v>28</v>
      </c>
      <c r="I198" s="10" t="s">
        <v>103</v>
      </c>
      <c r="J198" s="5" t="s">
        <v>29</v>
      </c>
      <c r="K198" s="5" t="s">
        <v>21</v>
      </c>
      <c r="L198" s="5" t="s">
        <v>29</v>
      </c>
      <c r="M198" s="5" t="s">
        <v>29</v>
      </c>
      <c r="N198" s="7" t="s">
        <v>29</v>
      </c>
      <c r="O198" s="5" t="s">
        <v>29</v>
      </c>
      <c r="P198" s="8">
        <v>3.0032103387580005</v>
      </c>
      <c r="Q198" s="11">
        <f t="shared" si="3"/>
        <v>6.3289838498470342E-4</v>
      </c>
    </row>
    <row r="199" spans="2:18" ht="48">
      <c r="B199" s="5">
        <v>197</v>
      </c>
      <c r="C199" s="5">
        <v>902219</v>
      </c>
      <c r="D199" s="6" t="s">
        <v>453</v>
      </c>
      <c r="E199" s="6" t="s">
        <v>454</v>
      </c>
      <c r="F199" s="6" t="s">
        <v>189</v>
      </c>
      <c r="G199" s="6" t="s">
        <v>40</v>
      </c>
      <c r="H199" s="6" t="s">
        <v>28</v>
      </c>
      <c r="I199" s="5" t="s">
        <v>12</v>
      </c>
      <c r="J199" s="5" t="s">
        <v>21</v>
      </c>
      <c r="K199" s="5" t="s">
        <v>21</v>
      </c>
      <c r="L199" s="5" t="s">
        <v>29</v>
      </c>
      <c r="M199" s="5" t="s">
        <v>29</v>
      </c>
      <c r="N199" s="7" t="s">
        <v>21</v>
      </c>
      <c r="O199" s="5" t="s">
        <v>21</v>
      </c>
      <c r="P199" s="8">
        <v>2.9887575355690004</v>
      </c>
      <c r="Q199" s="9">
        <f t="shared" si="3"/>
        <v>6.2985259239443057E-4</v>
      </c>
    </row>
    <row r="200" spans="2:18" ht="32.1" hidden="1">
      <c r="B200" s="5">
        <v>198</v>
      </c>
      <c r="C200" s="5">
        <v>845121</v>
      </c>
      <c r="D200" s="6" t="s">
        <v>178</v>
      </c>
      <c r="E200" s="6" t="s">
        <v>179</v>
      </c>
      <c r="F200" s="6" t="s">
        <v>66</v>
      </c>
      <c r="G200" s="6" t="s">
        <v>51</v>
      </c>
      <c r="H200" s="6" t="s">
        <v>28</v>
      </c>
      <c r="I200" s="10" t="s">
        <v>103</v>
      </c>
      <c r="J200" s="5" t="s">
        <v>29</v>
      </c>
      <c r="K200" s="5" t="s">
        <v>21</v>
      </c>
      <c r="L200" s="5" t="s">
        <v>21</v>
      </c>
      <c r="M200" s="5" t="s">
        <v>29</v>
      </c>
      <c r="N200" s="7" t="s">
        <v>29</v>
      </c>
      <c r="O200" s="5" t="s">
        <v>29</v>
      </c>
      <c r="P200" s="8">
        <v>2.9037783006189994</v>
      </c>
      <c r="Q200" s="11">
        <f t="shared" si="3"/>
        <v>6.1194401640726423E-4</v>
      </c>
    </row>
    <row r="201" spans="2:18" ht="48">
      <c r="B201" s="5">
        <v>199</v>
      </c>
      <c r="C201" s="5">
        <v>901420</v>
      </c>
      <c r="D201" s="6" t="s">
        <v>474</v>
      </c>
      <c r="E201" s="6" t="s">
        <v>475</v>
      </c>
      <c r="F201" s="6" t="s">
        <v>189</v>
      </c>
      <c r="G201" s="6" t="s">
        <v>40</v>
      </c>
      <c r="H201" s="6" t="s">
        <v>28</v>
      </c>
      <c r="I201" s="5" t="s">
        <v>12</v>
      </c>
      <c r="J201" s="5" t="s">
        <v>21</v>
      </c>
      <c r="K201" s="5" t="s">
        <v>21</v>
      </c>
      <c r="L201" s="5" t="s">
        <v>29</v>
      </c>
      <c r="M201" s="5" t="s">
        <v>21</v>
      </c>
      <c r="N201" s="7" t="s">
        <v>21</v>
      </c>
      <c r="O201" s="5" t="s">
        <v>21</v>
      </c>
      <c r="P201" s="8">
        <v>2.8651382155180007</v>
      </c>
      <c r="Q201" s="9">
        <f t="shared" si="3"/>
        <v>6.0380098122238691E-4</v>
      </c>
    </row>
    <row r="202" spans="2:18" ht="48" hidden="1">
      <c r="B202" s="5">
        <v>200</v>
      </c>
      <c r="C202" s="5">
        <v>841583</v>
      </c>
      <c r="D202" s="6" t="s">
        <v>115</v>
      </c>
      <c r="E202" s="6" t="s">
        <v>111</v>
      </c>
      <c r="F202" s="6" t="s">
        <v>112</v>
      </c>
      <c r="G202" s="6" t="s">
        <v>51</v>
      </c>
      <c r="H202" s="6" t="s">
        <v>28</v>
      </c>
      <c r="I202" s="10" t="s">
        <v>103</v>
      </c>
      <c r="J202" s="5" t="s">
        <v>29</v>
      </c>
      <c r="K202" s="5" t="s">
        <v>21</v>
      </c>
      <c r="L202" s="5" t="s">
        <v>29</v>
      </c>
      <c r="M202" s="5" t="s">
        <v>29</v>
      </c>
      <c r="N202" s="7" t="s">
        <v>29</v>
      </c>
      <c r="O202" s="5" t="s">
        <v>29</v>
      </c>
      <c r="P202" s="8">
        <v>2.8526464070359987</v>
      </c>
      <c r="Q202" s="11">
        <f t="shared" si="3"/>
        <v>6.0116844985694587E-4</v>
      </c>
    </row>
    <row r="203" spans="2:18" ht="48">
      <c r="B203" s="5">
        <v>201</v>
      </c>
      <c r="C203" s="5">
        <v>854159</v>
      </c>
      <c r="D203" s="6" t="s">
        <v>484</v>
      </c>
      <c r="E203" s="6" t="s">
        <v>63</v>
      </c>
      <c r="F203" s="6" t="s">
        <v>18</v>
      </c>
      <c r="G203" s="6" t="s">
        <v>19</v>
      </c>
      <c r="H203" s="6" t="s">
        <v>20</v>
      </c>
      <c r="I203" s="5" t="s">
        <v>12</v>
      </c>
      <c r="J203" s="5" t="s">
        <v>21</v>
      </c>
      <c r="K203" s="5" t="s">
        <v>29</v>
      </c>
      <c r="L203" s="5" t="s">
        <v>29</v>
      </c>
      <c r="M203" s="5" t="s">
        <v>29</v>
      </c>
      <c r="N203" s="7" t="s">
        <v>21</v>
      </c>
      <c r="O203" s="5" t="s">
        <v>29</v>
      </c>
      <c r="P203" s="8">
        <v>2.674590870107</v>
      </c>
      <c r="Q203" s="9">
        <f t="shared" si="3"/>
        <v>5.6364491702089702E-4</v>
      </c>
    </row>
    <row r="204" spans="2:18" ht="63.95">
      <c r="B204" s="5">
        <v>202</v>
      </c>
      <c r="C204" s="5">
        <v>854140</v>
      </c>
      <c r="D204" s="6" t="s">
        <v>478</v>
      </c>
      <c r="E204" s="6" t="s">
        <v>479</v>
      </c>
      <c r="F204" s="6" t="s">
        <v>54</v>
      </c>
      <c r="G204" s="6" t="s">
        <v>51</v>
      </c>
      <c r="H204" s="6" t="s">
        <v>20</v>
      </c>
      <c r="I204" s="5" t="s">
        <v>11</v>
      </c>
      <c r="J204" s="5" t="s">
        <v>21</v>
      </c>
      <c r="K204" s="5" t="s">
        <v>21</v>
      </c>
      <c r="L204" s="5" t="s">
        <v>29</v>
      </c>
      <c r="M204" s="5" t="s">
        <v>21</v>
      </c>
      <c r="N204" s="7" t="s">
        <v>29</v>
      </c>
      <c r="O204" s="5" t="s">
        <v>21</v>
      </c>
      <c r="P204" s="8">
        <v>2.6348259028080001</v>
      </c>
      <c r="Q204" s="9">
        <f t="shared" si="3"/>
        <v>5.5526482347309882E-4</v>
      </c>
    </row>
    <row r="205" spans="2:18" ht="48">
      <c r="B205" s="5">
        <v>203</v>
      </c>
      <c r="C205" s="5">
        <v>850422</v>
      </c>
      <c r="D205" s="6" t="s">
        <v>446</v>
      </c>
      <c r="E205" s="6" t="s">
        <v>213</v>
      </c>
      <c r="F205" s="6" t="s">
        <v>54</v>
      </c>
      <c r="G205" s="6" t="s">
        <v>40</v>
      </c>
      <c r="H205" s="6" t="s">
        <v>20</v>
      </c>
      <c r="I205" s="5" t="s">
        <v>12</v>
      </c>
      <c r="J205" s="5" t="s">
        <v>21</v>
      </c>
      <c r="K205" s="5" t="s">
        <v>21</v>
      </c>
      <c r="L205" s="5" t="s">
        <v>21</v>
      </c>
      <c r="M205" s="5" t="s">
        <v>29</v>
      </c>
      <c r="N205" s="7" t="s">
        <v>21</v>
      </c>
      <c r="O205" s="5" t="s">
        <v>21</v>
      </c>
      <c r="P205" s="8">
        <v>2.6312190569629994</v>
      </c>
      <c r="Q205" s="9">
        <f t="shared" si="3"/>
        <v>5.5450471457205738E-4</v>
      </c>
    </row>
    <row r="206" spans="2:18" ht="48">
      <c r="B206" s="5">
        <v>204</v>
      </c>
      <c r="C206" s="5">
        <v>852791</v>
      </c>
      <c r="D206" s="6" t="s">
        <v>496</v>
      </c>
      <c r="E206" s="6" t="s">
        <v>407</v>
      </c>
      <c r="F206" s="6" t="s">
        <v>266</v>
      </c>
      <c r="G206" s="6" t="s">
        <v>27</v>
      </c>
      <c r="H206" s="6" t="s">
        <v>28</v>
      </c>
      <c r="I206" s="5" t="s">
        <v>12</v>
      </c>
      <c r="J206" s="5" t="s">
        <v>21</v>
      </c>
      <c r="K206" s="5" t="s">
        <v>21</v>
      </c>
      <c r="L206" s="5" t="s">
        <v>21</v>
      </c>
      <c r="M206" s="5" t="s">
        <v>29</v>
      </c>
      <c r="N206" s="7" t="s">
        <v>21</v>
      </c>
      <c r="O206" s="5" t="s">
        <v>21</v>
      </c>
      <c r="P206" s="8">
        <v>2.6154995575710003</v>
      </c>
      <c r="Q206" s="9">
        <f t="shared" si="3"/>
        <v>5.5119197764864935E-4</v>
      </c>
      <c r="R206" s="16"/>
    </row>
    <row r="207" spans="2:18" ht="32.1">
      <c r="B207" s="5">
        <v>205</v>
      </c>
      <c r="C207" s="5">
        <v>853221</v>
      </c>
      <c r="D207" s="6" t="s">
        <v>508</v>
      </c>
      <c r="E207" s="6" t="s">
        <v>166</v>
      </c>
      <c r="F207" s="6" t="s">
        <v>54</v>
      </c>
      <c r="G207" s="6" t="s">
        <v>19</v>
      </c>
      <c r="H207" s="6" t="s">
        <v>20</v>
      </c>
      <c r="I207" s="5" t="s">
        <v>12</v>
      </c>
      <c r="J207" s="5" t="s">
        <v>21</v>
      </c>
      <c r="K207" s="5" t="s">
        <v>21</v>
      </c>
      <c r="L207" s="5" t="s">
        <v>21</v>
      </c>
      <c r="M207" s="5" t="s">
        <v>29</v>
      </c>
      <c r="N207" s="7" t="s">
        <v>21</v>
      </c>
      <c r="O207" s="5" t="s">
        <v>21</v>
      </c>
      <c r="P207" s="8">
        <v>2.5907543850300003</v>
      </c>
      <c r="Q207" s="9">
        <f t="shared" si="3"/>
        <v>5.4597716484141732E-4</v>
      </c>
    </row>
    <row r="208" spans="2:18" ht="15.95">
      <c r="B208" s="5">
        <v>206</v>
      </c>
      <c r="C208" s="5">
        <v>750890</v>
      </c>
      <c r="D208" s="6" t="s">
        <v>485</v>
      </c>
      <c r="E208" s="6" t="s">
        <v>160</v>
      </c>
      <c r="F208" s="6" t="s">
        <v>50</v>
      </c>
      <c r="G208" s="6" t="s">
        <v>51</v>
      </c>
      <c r="H208" s="6" t="s">
        <v>20</v>
      </c>
      <c r="I208" s="5" t="s">
        <v>11</v>
      </c>
      <c r="J208" s="5" t="s">
        <v>21</v>
      </c>
      <c r="K208" s="5" t="s">
        <v>29</v>
      </c>
      <c r="L208" s="5" t="s">
        <v>29</v>
      </c>
      <c r="M208" s="5" t="s">
        <v>21</v>
      </c>
      <c r="N208" s="7" t="s">
        <v>29</v>
      </c>
      <c r="O208" s="5" t="s">
        <v>29</v>
      </c>
      <c r="P208" s="8">
        <v>2.5597324379609989</v>
      </c>
      <c r="Q208" s="9">
        <f t="shared" si="3"/>
        <v>5.3943958072828746E-4</v>
      </c>
    </row>
    <row r="209" spans="2:18" ht="32.1">
      <c r="B209" s="5">
        <v>207</v>
      </c>
      <c r="C209" s="5">
        <v>903281</v>
      </c>
      <c r="D209" s="6" t="s">
        <v>480</v>
      </c>
      <c r="E209" s="6" t="s">
        <v>481</v>
      </c>
      <c r="F209" s="6" t="s">
        <v>54</v>
      </c>
      <c r="G209" s="6" t="s">
        <v>40</v>
      </c>
      <c r="H209" s="6" t="s">
        <v>20</v>
      </c>
      <c r="I209" s="5" t="s">
        <v>12</v>
      </c>
      <c r="J209" s="5" t="s">
        <v>21</v>
      </c>
      <c r="K209" s="5" t="s">
        <v>21</v>
      </c>
      <c r="L209" s="5" t="s">
        <v>21</v>
      </c>
      <c r="M209" s="5" t="s">
        <v>29</v>
      </c>
      <c r="N209" s="7" t="s">
        <v>21</v>
      </c>
      <c r="O209" s="5" t="s">
        <v>21</v>
      </c>
      <c r="P209" s="8">
        <v>2.5336045501050011</v>
      </c>
      <c r="Q209" s="9">
        <f t="shared" si="3"/>
        <v>5.3393337364924512E-4</v>
      </c>
    </row>
    <row r="210" spans="2:18" ht="48">
      <c r="B210" s="5">
        <v>208</v>
      </c>
      <c r="C210" s="5">
        <v>903033</v>
      </c>
      <c r="D210" s="6" t="s">
        <v>472</v>
      </c>
      <c r="E210" s="6" t="s">
        <v>473</v>
      </c>
      <c r="F210" s="6" t="s">
        <v>189</v>
      </c>
      <c r="G210" s="6" t="s">
        <v>40</v>
      </c>
      <c r="H210" s="6" t="s">
        <v>28</v>
      </c>
      <c r="I210" s="5" t="s">
        <v>12</v>
      </c>
      <c r="J210" s="5" t="s">
        <v>21</v>
      </c>
      <c r="K210" s="5" t="s">
        <v>21</v>
      </c>
      <c r="L210" s="5" t="s">
        <v>29</v>
      </c>
      <c r="M210" s="5" t="s">
        <v>29</v>
      </c>
      <c r="N210" s="7" t="s">
        <v>21</v>
      </c>
      <c r="O210" s="5" t="s">
        <v>21</v>
      </c>
      <c r="P210" s="8">
        <v>2.5194320420759992</v>
      </c>
      <c r="Q210" s="9">
        <f t="shared" si="3"/>
        <v>5.3094665063255241E-4</v>
      </c>
    </row>
    <row r="211" spans="2:18" ht="32.1">
      <c r="B211" s="5">
        <v>209</v>
      </c>
      <c r="C211" s="5">
        <v>901210</v>
      </c>
      <c r="D211" s="6" t="s">
        <v>460</v>
      </c>
      <c r="E211" s="6" t="s">
        <v>461</v>
      </c>
      <c r="F211" s="6" t="s">
        <v>189</v>
      </c>
      <c r="G211" s="6" t="s">
        <v>40</v>
      </c>
      <c r="H211" s="6" t="s">
        <v>28</v>
      </c>
      <c r="I211" s="5" t="s">
        <v>12</v>
      </c>
      <c r="J211" s="5" t="s">
        <v>21</v>
      </c>
      <c r="K211" s="5" t="s">
        <v>21</v>
      </c>
      <c r="L211" s="5" t="s">
        <v>29</v>
      </c>
      <c r="M211" s="5" t="s">
        <v>29</v>
      </c>
      <c r="N211" s="7" t="s">
        <v>21</v>
      </c>
      <c r="O211" s="5" t="s">
        <v>21</v>
      </c>
      <c r="P211" s="8">
        <v>2.4234611618989996</v>
      </c>
      <c r="Q211" s="9">
        <f t="shared" si="3"/>
        <v>5.1072168860251919E-4</v>
      </c>
    </row>
    <row r="212" spans="2:18" ht="32.1" hidden="1">
      <c r="B212" s="5">
        <v>210</v>
      </c>
      <c r="C212" s="5">
        <v>844313</v>
      </c>
      <c r="D212" s="6" t="s">
        <v>155</v>
      </c>
      <c r="E212" s="6" t="s">
        <v>153</v>
      </c>
      <c r="F212" s="6" t="s">
        <v>36</v>
      </c>
      <c r="G212" s="6" t="s">
        <v>51</v>
      </c>
      <c r="H212" s="6" t="s">
        <v>28</v>
      </c>
      <c r="I212" s="10" t="s">
        <v>103</v>
      </c>
      <c r="J212" s="5" t="s">
        <v>29</v>
      </c>
      <c r="K212" s="5" t="s">
        <v>21</v>
      </c>
      <c r="L212" s="5" t="s">
        <v>29</v>
      </c>
      <c r="M212" s="5" t="s">
        <v>29</v>
      </c>
      <c r="N212" s="7" t="s">
        <v>29</v>
      </c>
      <c r="O212" s="5" t="s">
        <v>29</v>
      </c>
      <c r="P212" s="8">
        <v>2.3784743361409997</v>
      </c>
      <c r="Q212" s="11">
        <f t="shared" si="3"/>
        <v>5.0124113740689395E-4</v>
      </c>
    </row>
    <row r="213" spans="2:18" ht="48" hidden="1">
      <c r="B213" s="5">
        <v>211</v>
      </c>
      <c r="C213" s="5">
        <v>841460</v>
      </c>
      <c r="D213" s="6" t="s">
        <v>106</v>
      </c>
      <c r="E213" s="6" t="s">
        <v>107</v>
      </c>
      <c r="F213" s="6" t="s">
        <v>66</v>
      </c>
      <c r="G213" s="6" t="s">
        <v>51</v>
      </c>
      <c r="H213" s="6" t="s">
        <v>28</v>
      </c>
      <c r="I213" s="10" t="s">
        <v>103</v>
      </c>
      <c r="J213" s="5" t="s">
        <v>29</v>
      </c>
      <c r="K213" s="5" t="s">
        <v>21</v>
      </c>
      <c r="L213" s="5" t="s">
        <v>29</v>
      </c>
      <c r="M213" s="5" t="s">
        <v>29</v>
      </c>
      <c r="N213" s="7" t="s">
        <v>29</v>
      </c>
      <c r="O213" s="5" t="s">
        <v>29</v>
      </c>
      <c r="P213" s="8">
        <v>2.3728197939650006</v>
      </c>
      <c r="Q213" s="11">
        <f t="shared" si="3"/>
        <v>5.0004949572771075E-4</v>
      </c>
    </row>
    <row r="214" spans="2:18" ht="48">
      <c r="B214" s="5">
        <v>212</v>
      </c>
      <c r="C214" s="5">
        <v>852862</v>
      </c>
      <c r="D214" s="6" t="s">
        <v>492</v>
      </c>
      <c r="E214" s="6" t="s">
        <v>493</v>
      </c>
      <c r="F214" s="6" t="s">
        <v>36</v>
      </c>
      <c r="G214" s="6" t="s">
        <v>37</v>
      </c>
      <c r="H214" s="6" t="s">
        <v>28</v>
      </c>
      <c r="I214" s="5" t="s">
        <v>12</v>
      </c>
      <c r="J214" s="5" t="s">
        <v>21</v>
      </c>
      <c r="K214" s="5" t="s">
        <v>21</v>
      </c>
      <c r="L214" s="5" t="s">
        <v>21</v>
      </c>
      <c r="M214" s="5" t="s">
        <v>29</v>
      </c>
      <c r="N214" s="7" t="s">
        <v>21</v>
      </c>
      <c r="O214" s="5" t="s">
        <v>21</v>
      </c>
      <c r="P214" s="8">
        <v>2.3411133485729994</v>
      </c>
      <c r="Q214" s="9">
        <f t="shared" si="3"/>
        <v>4.9336766001902639E-4</v>
      </c>
    </row>
    <row r="215" spans="2:18" ht="32.1">
      <c r="B215" s="5">
        <v>213</v>
      </c>
      <c r="C215" s="5">
        <v>853225</v>
      </c>
      <c r="D215" s="6" t="s">
        <v>494</v>
      </c>
      <c r="E215" s="6" t="s">
        <v>166</v>
      </c>
      <c r="F215" s="6" t="s">
        <v>54</v>
      </c>
      <c r="G215" s="6" t="s">
        <v>19</v>
      </c>
      <c r="H215" s="6" t="s">
        <v>20</v>
      </c>
      <c r="I215" s="5" t="s">
        <v>12</v>
      </c>
      <c r="J215" s="5" t="s">
        <v>21</v>
      </c>
      <c r="K215" s="5" t="s">
        <v>21</v>
      </c>
      <c r="L215" s="5" t="s">
        <v>21</v>
      </c>
      <c r="M215" s="5" t="s">
        <v>21</v>
      </c>
      <c r="N215" s="7" t="s">
        <v>21</v>
      </c>
      <c r="O215" s="5" t="s">
        <v>21</v>
      </c>
      <c r="P215" s="8">
        <v>2.3359276155429991</v>
      </c>
      <c r="Q215" s="9">
        <f t="shared" si="3"/>
        <v>4.9227481546621822E-4</v>
      </c>
    </row>
    <row r="216" spans="2:18" ht="32.1">
      <c r="B216" s="5">
        <v>214</v>
      </c>
      <c r="C216" s="5">
        <v>853229</v>
      </c>
      <c r="D216" s="6" t="s">
        <v>495</v>
      </c>
      <c r="E216" s="6" t="s">
        <v>166</v>
      </c>
      <c r="F216" s="6" t="s">
        <v>54</v>
      </c>
      <c r="G216" s="6" t="s">
        <v>51</v>
      </c>
      <c r="H216" s="6" t="s">
        <v>20</v>
      </c>
      <c r="I216" s="5" t="s">
        <v>11</v>
      </c>
      <c r="J216" s="5" t="s">
        <v>21</v>
      </c>
      <c r="K216" s="5" t="s">
        <v>21</v>
      </c>
      <c r="L216" s="5" t="s">
        <v>29</v>
      </c>
      <c r="M216" s="5" t="s">
        <v>21</v>
      </c>
      <c r="N216" s="7" t="s">
        <v>29</v>
      </c>
      <c r="O216" s="5" t="s">
        <v>21</v>
      </c>
      <c r="P216" s="8">
        <v>2.2725805581249992</v>
      </c>
      <c r="Q216" s="9">
        <f t="shared" si="3"/>
        <v>4.7892501781269593E-4</v>
      </c>
    </row>
    <row r="217" spans="2:18" ht="48">
      <c r="B217" s="5">
        <v>215</v>
      </c>
      <c r="C217" s="5">
        <v>844391</v>
      </c>
      <c r="D217" s="6" t="s">
        <v>38</v>
      </c>
      <c r="E217" s="6" t="s">
        <v>39</v>
      </c>
      <c r="F217" s="6" t="s">
        <v>36</v>
      </c>
      <c r="G217" s="6" t="s">
        <v>40</v>
      </c>
      <c r="H217" s="6" t="s">
        <v>20</v>
      </c>
      <c r="I217" s="5" t="s">
        <v>12</v>
      </c>
      <c r="J217" s="5" t="s">
        <v>21</v>
      </c>
      <c r="K217" s="5" t="s">
        <v>21</v>
      </c>
      <c r="L217" s="5" t="s">
        <v>21</v>
      </c>
      <c r="M217" s="5" t="s">
        <v>29</v>
      </c>
      <c r="N217" s="7" t="s">
        <v>21</v>
      </c>
      <c r="O217" s="5" t="s">
        <v>21</v>
      </c>
      <c r="P217" s="8">
        <v>2.2696516601819989</v>
      </c>
      <c r="Q217" s="9">
        <f t="shared" si="3"/>
        <v>4.7830778006747809E-4</v>
      </c>
    </row>
    <row r="218" spans="2:18" ht="32.1">
      <c r="B218" s="5">
        <v>216</v>
      </c>
      <c r="C218" s="5">
        <v>901590</v>
      </c>
      <c r="D218" s="6" t="s">
        <v>482</v>
      </c>
      <c r="E218" s="6" t="s">
        <v>483</v>
      </c>
      <c r="F218" s="6" t="s">
        <v>189</v>
      </c>
      <c r="G218" s="6" t="s">
        <v>40</v>
      </c>
      <c r="H218" s="6" t="s">
        <v>20</v>
      </c>
      <c r="I218" s="5" t="s">
        <v>12</v>
      </c>
      <c r="J218" s="5" t="s">
        <v>21</v>
      </c>
      <c r="K218" s="5" t="s">
        <v>21</v>
      </c>
      <c r="L218" s="5" t="s">
        <v>29</v>
      </c>
      <c r="M218" s="5" t="s">
        <v>29</v>
      </c>
      <c r="N218" s="7" t="s">
        <v>21</v>
      </c>
      <c r="O218" s="5" t="s">
        <v>21</v>
      </c>
      <c r="P218" s="8">
        <v>2.2484631115060005</v>
      </c>
      <c r="Q218" s="9">
        <f t="shared" si="3"/>
        <v>4.7384249235048285E-4</v>
      </c>
    </row>
    <row r="219" spans="2:18" ht="32.1">
      <c r="B219" s="5">
        <v>217</v>
      </c>
      <c r="C219" s="5">
        <v>852869</v>
      </c>
      <c r="D219" s="6" t="s">
        <v>524</v>
      </c>
      <c r="E219" s="6" t="s">
        <v>525</v>
      </c>
      <c r="F219" s="6" t="s">
        <v>66</v>
      </c>
      <c r="G219" s="6" t="s">
        <v>67</v>
      </c>
      <c r="H219" s="6" t="s">
        <v>28</v>
      </c>
      <c r="I219" s="5" t="s">
        <v>12</v>
      </c>
      <c r="J219" s="5" t="s">
        <v>21</v>
      </c>
      <c r="K219" s="5" t="s">
        <v>21</v>
      </c>
      <c r="L219" s="5" t="s">
        <v>21</v>
      </c>
      <c r="M219" s="5" t="s">
        <v>29</v>
      </c>
      <c r="N219" s="7" t="s">
        <v>21</v>
      </c>
      <c r="O219" s="5" t="s">
        <v>21</v>
      </c>
      <c r="P219" s="8">
        <v>2.2395059108440014</v>
      </c>
      <c r="Q219" s="9">
        <f t="shared" si="3"/>
        <v>4.7195484640048005E-4</v>
      </c>
    </row>
    <row r="220" spans="2:18" ht="32.1" hidden="1">
      <c r="B220" s="5">
        <v>218</v>
      </c>
      <c r="C220" s="5">
        <v>853670</v>
      </c>
      <c r="D220" s="6" t="s">
        <v>518</v>
      </c>
      <c r="E220" s="6" t="s">
        <v>519</v>
      </c>
      <c r="F220" s="6" t="s">
        <v>54</v>
      </c>
      <c r="G220" s="6" t="s">
        <v>51</v>
      </c>
      <c r="H220" s="6" t="s">
        <v>20</v>
      </c>
      <c r="I220" s="10" t="s">
        <v>103</v>
      </c>
      <c r="J220" s="5" t="s">
        <v>29</v>
      </c>
      <c r="K220" s="5" t="s">
        <v>21</v>
      </c>
      <c r="L220" s="5" t="s">
        <v>29</v>
      </c>
      <c r="M220" s="5" t="s">
        <v>29</v>
      </c>
      <c r="N220" s="7" t="s">
        <v>29</v>
      </c>
      <c r="O220" s="5" t="s">
        <v>29</v>
      </c>
      <c r="P220" s="8">
        <v>2.2161377028720004</v>
      </c>
      <c r="Q220" s="11">
        <f t="shared" si="3"/>
        <v>4.6703021594932673E-4</v>
      </c>
    </row>
    <row r="221" spans="2:18" ht="63.95">
      <c r="B221" s="5">
        <v>219</v>
      </c>
      <c r="C221" s="5">
        <v>847340</v>
      </c>
      <c r="D221" s="6" t="s">
        <v>556</v>
      </c>
      <c r="E221" s="6" t="s">
        <v>557</v>
      </c>
      <c r="F221" s="6" t="s">
        <v>36</v>
      </c>
      <c r="G221" s="6" t="s">
        <v>37</v>
      </c>
      <c r="H221" s="6" t="s">
        <v>20</v>
      </c>
      <c r="I221" s="5" t="s">
        <v>12</v>
      </c>
      <c r="J221" s="5" t="s">
        <v>21</v>
      </c>
      <c r="K221" s="5" t="s">
        <v>21</v>
      </c>
      <c r="L221" s="5" t="s">
        <v>21</v>
      </c>
      <c r="M221" s="5" t="s">
        <v>29</v>
      </c>
      <c r="N221" s="7" t="s">
        <v>21</v>
      </c>
      <c r="O221" s="5" t="s">
        <v>21</v>
      </c>
      <c r="P221" s="8">
        <v>2.1921763621269998</v>
      </c>
      <c r="Q221" s="9">
        <f t="shared" si="3"/>
        <v>4.619805883345488E-4</v>
      </c>
    </row>
    <row r="222" spans="2:18" ht="32.1" hidden="1">
      <c r="B222" s="5">
        <v>220</v>
      </c>
      <c r="C222" s="5">
        <v>851631</v>
      </c>
      <c r="D222" s="6" t="s">
        <v>323</v>
      </c>
      <c r="E222" s="6" t="s">
        <v>324</v>
      </c>
      <c r="F222" s="6" t="s">
        <v>66</v>
      </c>
      <c r="G222" s="6" t="s">
        <v>51</v>
      </c>
      <c r="H222" s="6" t="s">
        <v>28</v>
      </c>
      <c r="I222" s="10" t="s">
        <v>103</v>
      </c>
      <c r="J222" s="5" t="s">
        <v>29</v>
      </c>
      <c r="K222" s="5" t="s">
        <v>21</v>
      </c>
      <c r="L222" s="5" t="s">
        <v>29</v>
      </c>
      <c r="M222" s="5" t="s">
        <v>29</v>
      </c>
      <c r="N222" s="7" t="s">
        <v>29</v>
      </c>
      <c r="O222" s="5" t="s">
        <v>29</v>
      </c>
      <c r="P222" s="8">
        <v>2.1781629255600001</v>
      </c>
      <c r="Q222" s="11">
        <f t="shared" si="3"/>
        <v>4.5902738813512233E-4</v>
      </c>
    </row>
    <row r="223" spans="2:18" ht="63.95">
      <c r="B223" s="5">
        <v>221</v>
      </c>
      <c r="C223" s="5">
        <v>852560</v>
      </c>
      <c r="D223" s="6" t="s">
        <v>490</v>
      </c>
      <c r="E223" s="6" t="s">
        <v>491</v>
      </c>
      <c r="F223" s="6" t="s">
        <v>266</v>
      </c>
      <c r="G223" s="6" t="s">
        <v>27</v>
      </c>
      <c r="H223" s="6" t="s">
        <v>20</v>
      </c>
      <c r="I223" s="5" t="s">
        <v>12</v>
      </c>
      <c r="J223" s="5" t="s">
        <v>21</v>
      </c>
      <c r="K223" s="5" t="s">
        <v>21</v>
      </c>
      <c r="L223" s="5" t="s">
        <v>21</v>
      </c>
      <c r="M223" s="5" t="s">
        <v>29</v>
      </c>
      <c r="N223" s="7" t="s">
        <v>21</v>
      </c>
      <c r="O223" s="5" t="s">
        <v>21</v>
      </c>
      <c r="P223" s="8">
        <v>2.1213399773540003</v>
      </c>
      <c r="Q223" s="9">
        <f t="shared" si="3"/>
        <v>4.4705248525019167E-4</v>
      </c>
      <c r="R223" s="16"/>
    </row>
    <row r="224" spans="2:18" ht="32.1" hidden="1">
      <c r="B224" s="5">
        <v>222</v>
      </c>
      <c r="C224" s="5">
        <v>841840</v>
      </c>
      <c r="D224" s="6" t="s">
        <v>123</v>
      </c>
      <c r="E224" s="6" t="s">
        <v>124</v>
      </c>
      <c r="F224" s="6" t="s">
        <v>112</v>
      </c>
      <c r="G224" s="6" t="s">
        <v>51</v>
      </c>
      <c r="H224" s="6" t="s">
        <v>28</v>
      </c>
      <c r="I224" s="10" t="s">
        <v>103</v>
      </c>
      <c r="J224" s="5" t="s">
        <v>29</v>
      </c>
      <c r="K224" s="5" t="s">
        <v>21</v>
      </c>
      <c r="L224" s="5" t="s">
        <v>29</v>
      </c>
      <c r="M224" s="5" t="s">
        <v>29</v>
      </c>
      <c r="N224" s="7" t="s">
        <v>29</v>
      </c>
      <c r="O224" s="5" t="s">
        <v>29</v>
      </c>
      <c r="P224" s="8">
        <v>2.1169207250429998</v>
      </c>
      <c r="Q224" s="11">
        <f t="shared" si="3"/>
        <v>4.4612116931325038E-4</v>
      </c>
    </row>
    <row r="225" spans="2:17" ht="48">
      <c r="B225" s="5">
        <v>223</v>
      </c>
      <c r="C225" s="5">
        <v>850750</v>
      </c>
      <c r="D225" s="6" t="s">
        <v>511</v>
      </c>
      <c r="E225" s="6" t="s">
        <v>42</v>
      </c>
      <c r="F225" s="6" t="s">
        <v>26</v>
      </c>
      <c r="G225" s="6" t="s">
        <v>43</v>
      </c>
      <c r="H225" s="6" t="s">
        <v>20</v>
      </c>
      <c r="I225" s="5" t="s">
        <v>12</v>
      </c>
      <c r="J225" s="5" t="s">
        <v>21</v>
      </c>
      <c r="K225" s="5" t="s">
        <v>21</v>
      </c>
      <c r="L225" s="5" t="s">
        <v>29</v>
      </c>
      <c r="M225" s="5" t="s">
        <v>29</v>
      </c>
      <c r="N225" s="7" t="s">
        <v>21</v>
      </c>
      <c r="O225" s="5" t="s">
        <v>29</v>
      </c>
      <c r="P225" s="8">
        <v>2.1118271216760003</v>
      </c>
      <c r="Q225" s="9">
        <f t="shared" si="3"/>
        <v>4.4504774022201336E-4</v>
      </c>
    </row>
    <row r="226" spans="2:17" ht="32.1" hidden="1">
      <c r="B226" s="5">
        <v>224</v>
      </c>
      <c r="C226" s="5">
        <v>851020</v>
      </c>
      <c r="D226" s="6" t="s">
        <v>295</v>
      </c>
      <c r="E226" s="6" t="s">
        <v>296</v>
      </c>
      <c r="F226" s="6" t="s">
        <v>66</v>
      </c>
      <c r="G226" s="6" t="s">
        <v>51</v>
      </c>
      <c r="H226" s="6" t="s">
        <v>28</v>
      </c>
      <c r="I226" s="10" t="s">
        <v>103</v>
      </c>
      <c r="J226" s="5" t="s">
        <v>29</v>
      </c>
      <c r="K226" s="5" t="s">
        <v>21</v>
      </c>
      <c r="L226" s="5" t="s">
        <v>21</v>
      </c>
      <c r="M226" s="5" t="s">
        <v>29</v>
      </c>
      <c r="N226" s="7" t="s">
        <v>29</v>
      </c>
      <c r="O226" s="5" t="s">
        <v>29</v>
      </c>
      <c r="P226" s="8">
        <v>2.1082362307279996</v>
      </c>
      <c r="Q226" s="11">
        <f t="shared" si="3"/>
        <v>4.4429099366573131E-4</v>
      </c>
    </row>
    <row r="227" spans="2:17" ht="32.1" hidden="1">
      <c r="B227" s="5">
        <v>225</v>
      </c>
      <c r="C227" s="5">
        <v>853530</v>
      </c>
      <c r="D227" s="6" t="s">
        <v>505</v>
      </c>
      <c r="E227" s="6" t="s">
        <v>249</v>
      </c>
      <c r="F227" s="6" t="s">
        <v>54</v>
      </c>
      <c r="G227" s="6" t="s">
        <v>51</v>
      </c>
      <c r="H227" s="6" t="s">
        <v>20</v>
      </c>
      <c r="I227" s="10" t="s">
        <v>103</v>
      </c>
      <c r="J227" s="5" t="s">
        <v>29</v>
      </c>
      <c r="K227" s="5" t="s">
        <v>21</v>
      </c>
      <c r="L227" s="5" t="s">
        <v>29</v>
      </c>
      <c r="M227" s="5" t="s">
        <v>29</v>
      </c>
      <c r="N227" s="7" t="s">
        <v>29</v>
      </c>
      <c r="O227" s="5" t="s">
        <v>29</v>
      </c>
      <c r="P227" s="8">
        <v>2.072526569271</v>
      </c>
      <c r="Q227" s="11">
        <f t="shared" si="3"/>
        <v>4.367655177532342E-4</v>
      </c>
    </row>
    <row r="228" spans="2:17" ht="48">
      <c r="B228" s="5">
        <v>226</v>
      </c>
      <c r="C228" s="5">
        <v>901480</v>
      </c>
      <c r="D228" s="6" t="s">
        <v>497</v>
      </c>
      <c r="E228" s="6" t="s">
        <v>498</v>
      </c>
      <c r="F228" s="6" t="s">
        <v>189</v>
      </c>
      <c r="G228" s="6" t="s">
        <v>40</v>
      </c>
      <c r="H228" s="6" t="s">
        <v>28</v>
      </c>
      <c r="I228" s="5" t="s">
        <v>12</v>
      </c>
      <c r="J228" s="5" t="s">
        <v>21</v>
      </c>
      <c r="K228" s="5" t="s">
        <v>21</v>
      </c>
      <c r="L228" s="5" t="s">
        <v>29</v>
      </c>
      <c r="M228" s="5" t="s">
        <v>29</v>
      </c>
      <c r="N228" s="7" t="s">
        <v>21</v>
      </c>
      <c r="O228" s="5" t="s">
        <v>21</v>
      </c>
      <c r="P228" s="8">
        <v>2.0657208894710006</v>
      </c>
      <c r="Q228" s="9">
        <f t="shared" si="3"/>
        <v>4.3533128462658484E-4</v>
      </c>
    </row>
    <row r="229" spans="2:17" ht="32.1">
      <c r="B229" s="5">
        <v>227</v>
      </c>
      <c r="C229" s="5">
        <v>850421</v>
      </c>
      <c r="D229" s="6" t="s">
        <v>512</v>
      </c>
      <c r="E229" s="6" t="s">
        <v>213</v>
      </c>
      <c r="F229" s="6" t="s">
        <v>54</v>
      </c>
      <c r="G229" s="6" t="s">
        <v>40</v>
      </c>
      <c r="H229" s="6" t="s">
        <v>20</v>
      </c>
      <c r="I229" s="5" t="s">
        <v>12</v>
      </c>
      <c r="J229" s="5" t="s">
        <v>21</v>
      </c>
      <c r="K229" s="5" t="s">
        <v>21</v>
      </c>
      <c r="L229" s="5" t="s">
        <v>21</v>
      </c>
      <c r="M229" s="5" t="s">
        <v>21</v>
      </c>
      <c r="N229" s="7" t="s">
        <v>21</v>
      </c>
      <c r="O229" s="5" t="s">
        <v>21</v>
      </c>
      <c r="P229" s="8">
        <v>2.0576206045240002</v>
      </c>
      <c r="Q229" s="9">
        <f t="shared" si="3"/>
        <v>4.336242256188589E-4</v>
      </c>
    </row>
    <row r="230" spans="2:17" ht="32.1">
      <c r="B230" s="5">
        <v>228</v>
      </c>
      <c r="C230" s="5">
        <v>902230</v>
      </c>
      <c r="D230" s="6" t="s">
        <v>513</v>
      </c>
      <c r="E230" s="6" t="s">
        <v>513</v>
      </c>
      <c r="F230" s="6" t="s">
        <v>198</v>
      </c>
      <c r="G230" s="6" t="s">
        <v>19</v>
      </c>
      <c r="H230" s="6" t="s">
        <v>20</v>
      </c>
      <c r="I230" s="5" t="s">
        <v>12</v>
      </c>
      <c r="J230" s="5" t="s">
        <v>21</v>
      </c>
      <c r="K230" s="5" t="s">
        <v>21</v>
      </c>
      <c r="L230" s="5" t="s">
        <v>29</v>
      </c>
      <c r="M230" s="5" t="s">
        <v>21</v>
      </c>
      <c r="N230" s="7" t="s">
        <v>21</v>
      </c>
      <c r="O230" s="5" t="s">
        <v>21</v>
      </c>
      <c r="P230" s="8">
        <v>2.0464756160569997</v>
      </c>
      <c r="Q230" s="9">
        <f t="shared" si="3"/>
        <v>4.3127552392773633E-4</v>
      </c>
    </row>
    <row r="231" spans="2:17" ht="48">
      <c r="B231" s="5">
        <v>229</v>
      </c>
      <c r="C231" s="5">
        <v>903089</v>
      </c>
      <c r="D231" s="6" t="s">
        <v>499</v>
      </c>
      <c r="E231" s="6" t="s">
        <v>253</v>
      </c>
      <c r="F231" s="6" t="s">
        <v>189</v>
      </c>
      <c r="G231" s="6" t="s">
        <v>40</v>
      </c>
      <c r="H231" s="6" t="s">
        <v>28</v>
      </c>
      <c r="I231" s="5" t="s">
        <v>12</v>
      </c>
      <c r="J231" s="5" t="s">
        <v>21</v>
      </c>
      <c r="K231" s="5" t="s">
        <v>21</v>
      </c>
      <c r="L231" s="5" t="s">
        <v>29</v>
      </c>
      <c r="M231" s="5" t="s">
        <v>29</v>
      </c>
      <c r="N231" s="7" t="s">
        <v>21</v>
      </c>
      <c r="O231" s="5" t="s">
        <v>21</v>
      </c>
      <c r="P231" s="8">
        <v>2.0155497448320006</v>
      </c>
      <c r="Q231" s="9">
        <f t="shared" si="3"/>
        <v>4.2475818689677715E-4</v>
      </c>
    </row>
    <row r="232" spans="2:17" ht="32.1">
      <c r="B232" s="5">
        <v>230</v>
      </c>
      <c r="C232" s="5">
        <v>854320</v>
      </c>
      <c r="D232" s="6" t="s">
        <v>516</v>
      </c>
      <c r="E232" s="6" t="s">
        <v>517</v>
      </c>
      <c r="F232" s="6" t="s">
        <v>54</v>
      </c>
      <c r="G232" s="6" t="s">
        <v>19</v>
      </c>
      <c r="H232" s="6" t="s">
        <v>20</v>
      </c>
      <c r="I232" s="5" t="s">
        <v>12</v>
      </c>
      <c r="J232" s="5" t="s">
        <v>21</v>
      </c>
      <c r="K232" s="5" t="s">
        <v>21</v>
      </c>
      <c r="L232" s="5" t="s">
        <v>21</v>
      </c>
      <c r="M232" s="5" t="s">
        <v>29</v>
      </c>
      <c r="N232" s="7" t="s">
        <v>21</v>
      </c>
      <c r="O232" s="5" t="s">
        <v>21</v>
      </c>
      <c r="P232" s="8">
        <v>2.006875666395</v>
      </c>
      <c r="Q232" s="9">
        <f t="shared" si="3"/>
        <v>4.2293020629776307E-4</v>
      </c>
    </row>
    <row r="233" spans="2:17" ht="32.1" hidden="1">
      <c r="B233" s="5">
        <v>231</v>
      </c>
      <c r="C233" s="5">
        <v>845129</v>
      </c>
      <c r="D233" s="6" t="s">
        <v>180</v>
      </c>
      <c r="E233" s="6" t="s">
        <v>179</v>
      </c>
      <c r="F233" s="6" t="s">
        <v>66</v>
      </c>
      <c r="G233" s="6" t="s">
        <v>51</v>
      </c>
      <c r="H233" s="6" t="s">
        <v>28</v>
      </c>
      <c r="I233" s="10" t="s">
        <v>103</v>
      </c>
      <c r="J233" s="5" t="s">
        <v>29</v>
      </c>
      <c r="K233" s="5" t="s">
        <v>21</v>
      </c>
      <c r="L233" s="5" t="s">
        <v>29</v>
      </c>
      <c r="M233" s="5" t="s">
        <v>29</v>
      </c>
      <c r="N233" s="7" t="s">
        <v>29</v>
      </c>
      <c r="O233" s="5" t="s">
        <v>29</v>
      </c>
      <c r="P233" s="8">
        <v>1.9534083682819996</v>
      </c>
      <c r="Q233" s="11">
        <f t="shared" si="3"/>
        <v>4.1166247516734604E-4</v>
      </c>
    </row>
    <row r="234" spans="2:17" ht="32.1">
      <c r="B234" s="5">
        <v>232</v>
      </c>
      <c r="C234" s="5">
        <v>350699</v>
      </c>
      <c r="D234" s="6" t="s">
        <v>522</v>
      </c>
      <c r="E234" s="6" t="s">
        <v>523</v>
      </c>
      <c r="F234" s="6" t="s">
        <v>50</v>
      </c>
      <c r="G234" s="6" t="s">
        <v>51</v>
      </c>
      <c r="H234" s="6" t="s">
        <v>20</v>
      </c>
      <c r="I234" s="5" t="s">
        <v>11</v>
      </c>
      <c r="J234" s="5" t="s">
        <v>21</v>
      </c>
      <c r="K234" s="5" t="s">
        <v>29</v>
      </c>
      <c r="L234" s="5" t="s">
        <v>29</v>
      </c>
      <c r="M234" s="5" t="s">
        <v>21</v>
      </c>
      <c r="N234" s="7" t="s">
        <v>29</v>
      </c>
      <c r="O234" s="5" t="s">
        <v>29</v>
      </c>
      <c r="P234" s="8">
        <v>1.9326786438499994</v>
      </c>
      <c r="Q234" s="9">
        <f t="shared" si="3"/>
        <v>4.0729388035236661E-4</v>
      </c>
    </row>
    <row r="235" spans="2:17" ht="32.1" hidden="1">
      <c r="B235" s="5">
        <v>233</v>
      </c>
      <c r="C235" s="5">
        <v>851010</v>
      </c>
      <c r="D235" s="6" t="s">
        <v>293</v>
      </c>
      <c r="E235" s="6" t="s">
        <v>294</v>
      </c>
      <c r="F235" s="6" t="s">
        <v>66</v>
      </c>
      <c r="G235" s="6" t="s">
        <v>51</v>
      </c>
      <c r="H235" s="6" t="s">
        <v>28</v>
      </c>
      <c r="I235" s="10" t="s">
        <v>103</v>
      </c>
      <c r="J235" s="5" t="s">
        <v>29</v>
      </c>
      <c r="K235" s="5" t="s">
        <v>21</v>
      </c>
      <c r="L235" s="5" t="s">
        <v>21</v>
      </c>
      <c r="M235" s="5" t="s">
        <v>29</v>
      </c>
      <c r="N235" s="7" t="s">
        <v>29</v>
      </c>
      <c r="O235" s="5" t="s">
        <v>29</v>
      </c>
      <c r="P235" s="8">
        <v>1.9317303910060004</v>
      </c>
      <c r="Q235" s="11">
        <f t="shared" si="3"/>
        <v>4.0709404496761886E-4</v>
      </c>
    </row>
    <row r="236" spans="2:17" ht="32.1" hidden="1">
      <c r="B236" s="5">
        <v>234</v>
      </c>
      <c r="C236" s="5">
        <v>851640</v>
      </c>
      <c r="D236" s="6" t="s">
        <v>329</v>
      </c>
      <c r="E236" s="6" t="s">
        <v>330</v>
      </c>
      <c r="F236" s="6" t="s">
        <v>66</v>
      </c>
      <c r="G236" s="6" t="s">
        <v>51</v>
      </c>
      <c r="H236" s="6" t="s">
        <v>28</v>
      </c>
      <c r="I236" s="10" t="s">
        <v>103</v>
      </c>
      <c r="J236" s="5" t="s">
        <v>29</v>
      </c>
      <c r="K236" s="5" t="s">
        <v>21</v>
      </c>
      <c r="L236" s="5" t="s">
        <v>29</v>
      </c>
      <c r="M236" s="5" t="s">
        <v>29</v>
      </c>
      <c r="N236" s="7" t="s">
        <v>29</v>
      </c>
      <c r="O236" s="5" t="s">
        <v>29</v>
      </c>
      <c r="P236" s="8">
        <v>1.8994785198929995</v>
      </c>
      <c r="Q236" s="11">
        <f t="shared" si="3"/>
        <v>4.002972659086487E-4</v>
      </c>
    </row>
    <row r="237" spans="2:17" ht="32.1" hidden="1">
      <c r="B237" s="5">
        <v>235</v>
      </c>
      <c r="C237" s="5">
        <v>841830</v>
      </c>
      <c r="D237" s="6" t="s">
        <v>121</v>
      </c>
      <c r="E237" s="6" t="s">
        <v>122</v>
      </c>
      <c r="F237" s="6" t="s">
        <v>112</v>
      </c>
      <c r="G237" s="6" t="s">
        <v>51</v>
      </c>
      <c r="H237" s="6" t="s">
        <v>28</v>
      </c>
      <c r="I237" s="10" t="s">
        <v>103</v>
      </c>
      <c r="J237" s="5" t="s">
        <v>29</v>
      </c>
      <c r="K237" s="5" t="s">
        <v>21</v>
      </c>
      <c r="L237" s="5" t="s">
        <v>29</v>
      </c>
      <c r="M237" s="5" t="s">
        <v>29</v>
      </c>
      <c r="N237" s="7" t="s">
        <v>29</v>
      </c>
      <c r="O237" s="5" t="s">
        <v>29</v>
      </c>
      <c r="P237" s="8">
        <v>1.8958813978809996</v>
      </c>
      <c r="Q237" s="11">
        <f t="shared" si="3"/>
        <v>3.9953920621412555E-4</v>
      </c>
    </row>
    <row r="238" spans="2:17" ht="48">
      <c r="B238" s="5">
        <v>236</v>
      </c>
      <c r="C238" s="5">
        <v>851981</v>
      </c>
      <c r="D238" s="6" t="s">
        <v>526</v>
      </c>
      <c r="E238" s="6" t="s">
        <v>527</v>
      </c>
      <c r="F238" s="6" t="s">
        <v>66</v>
      </c>
      <c r="G238" s="6" t="s">
        <v>40</v>
      </c>
      <c r="H238" s="6" t="s">
        <v>28</v>
      </c>
      <c r="I238" s="5" t="s">
        <v>12</v>
      </c>
      <c r="J238" s="5" t="s">
        <v>21</v>
      </c>
      <c r="K238" s="5" t="s">
        <v>21</v>
      </c>
      <c r="L238" s="5" t="s">
        <v>21</v>
      </c>
      <c r="M238" s="5" t="s">
        <v>29</v>
      </c>
      <c r="N238" s="7" t="s">
        <v>21</v>
      </c>
      <c r="O238" s="5" t="s">
        <v>21</v>
      </c>
      <c r="P238" s="8">
        <v>1.8803340921100007</v>
      </c>
      <c r="Q238" s="9">
        <f t="shared" si="3"/>
        <v>3.9626275747980282E-4</v>
      </c>
    </row>
    <row r="239" spans="2:17" ht="32.1">
      <c r="B239" s="5">
        <v>237</v>
      </c>
      <c r="C239" s="5">
        <v>851711</v>
      </c>
      <c r="D239" s="6" t="s">
        <v>551</v>
      </c>
      <c r="E239" s="6" t="s">
        <v>487</v>
      </c>
      <c r="F239" s="6" t="s">
        <v>26</v>
      </c>
      <c r="G239" s="6" t="s">
        <v>27</v>
      </c>
      <c r="H239" s="6" t="s">
        <v>28</v>
      </c>
      <c r="I239" s="5" t="s">
        <v>12</v>
      </c>
      <c r="J239" s="5" t="s">
        <v>21</v>
      </c>
      <c r="K239" s="5" t="s">
        <v>21</v>
      </c>
      <c r="L239" s="5" t="s">
        <v>21</v>
      </c>
      <c r="M239" s="5" t="s">
        <v>29</v>
      </c>
      <c r="N239" s="7" t="s">
        <v>21</v>
      </c>
      <c r="O239" s="5" t="s">
        <v>21</v>
      </c>
      <c r="P239" s="8">
        <v>1.8753075515199999</v>
      </c>
      <c r="Q239" s="9">
        <f t="shared" si="3"/>
        <v>3.9520346123923805E-4</v>
      </c>
    </row>
    <row r="240" spans="2:17" ht="32.1">
      <c r="B240" s="5">
        <v>238</v>
      </c>
      <c r="C240" s="5">
        <v>903010</v>
      </c>
      <c r="D240" s="6" t="s">
        <v>500</v>
      </c>
      <c r="E240" s="6" t="s">
        <v>501</v>
      </c>
      <c r="F240" s="6" t="s">
        <v>189</v>
      </c>
      <c r="G240" s="6" t="s">
        <v>40</v>
      </c>
      <c r="H240" s="6" t="s">
        <v>28</v>
      </c>
      <c r="I240" s="5" t="s">
        <v>12</v>
      </c>
      <c r="J240" s="5" t="s">
        <v>21</v>
      </c>
      <c r="K240" s="5" t="s">
        <v>21</v>
      </c>
      <c r="L240" s="5" t="s">
        <v>29</v>
      </c>
      <c r="M240" s="5" t="s">
        <v>29</v>
      </c>
      <c r="N240" s="7" t="s">
        <v>21</v>
      </c>
      <c r="O240" s="5" t="s">
        <v>21</v>
      </c>
      <c r="P240" s="8">
        <v>1.8685831458490003</v>
      </c>
      <c r="Q240" s="9">
        <f t="shared" si="3"/>
        <v>3.9378635587228008E-4</v>
      </c>
    </row>
    <row r="241" spans="2:18" ht="32.1" hidden="1">
      <c r="B241" s="5">
        <v>239</v>
      </c>
      <c r="C241" s="5">
        <v>841911</v>
      </c>
      <c r="D241" s="6" t="s">
        <v>134</v>
      </c>
      <c r="E241" s="6" t="s">
        <v>135</v>
      </c>
      <c r="F241" s="6" t="s">
        <v>112</v>
      </c>
      <c r="G241" s="6" t="s">
        <v>51</v>
      </c>
      <c r="H241" s="6" t="s">
        <v>28</v>
      </c>
      <c r="I241" s="10" t="s">
        <v>103</v>
      </c>
      <c r="J241" s="5" t="s">
        <v>29</v>
      </c>
      <c r="K241" s="5" t="s">
        <v>21</v>
      </c>
      <c r="L241" s="5" t="s">
        <v>21</v>
      </c>
      <c r="M241" s="5" t="s">
        <v>29</v>
      </c>
      <c r="N241" s="7" t="s">
        <v>29</v>
      </c>
      <c r="O241" s="5" t="s">
        <v>29</v>
      </c>
      <c r="P241" s="8">
        <v>1.8658773418990002</v>
      </c>
      <c r="Q241" s="11">
        <f t="shared" si="3"/>
        <v>3.9321613309169776E-4</v>
      </c>
    </row>
    <row r="242" spans="2:18" ht="32.1" hidden="1">
      <c r="B242" s="5">
        <v>240</v>
      </c>
      <c r="C242" s="5">
        <v>845090</v>
      </c>
      <c r="D242" s="6" t="s">
        <v>174</v>
      </c>
      <c r="E242" s="6" t="s">
        <v>175</v>
      </c>
      <c r="F242" s="6" t="s">
        <v>112</v>
      </c>
      <c r="G242" s="6" t="s">
        <v>51</v>
      </c>
      <c r="H242" s="6" t="s">
        <v>20</v>
      </c>
      <c r="I242" s="10" t="s">
        <v>103</v>
      </c>
      <c r="J242" s="5" t="s">
        <v>29</v>
      </c>
      <c r="K242" s="5" t="s">
        <v>21</v>
      </c>
      <c r="L242" s="5" t="s">
        <v>21</v>
      </c>
      <c r="M242" s="5" t="s">
        <v>29</v>
      </c>
      <c r="N242" s="7" t="s">
        <v>29</v>
      </c>
      <c r="O242" s="5" t="s">
        <v>29</v>
      </c>
      <c r="P242" s="8">
        <v>1.8437718090150002</v>
      </c>
      <c r="Q242" s="11">
        <f t="shared" si="3"/>
        <v>3.8855759956144367E-4</v>
      </c>
    </row>
    <row r="243" spans="2:18" ht="48">
      <c r="B243" s="5">
        <v>241</v>
      </c>
      <c r="C243" s="5">
        <v>852290</v>
      </c>
      <c r="D243" s="6" t="s">
        <v>544</v>
      </c>
      <c r="E243" s="6" t="s">
        <v>527</v>
      </c>
      <c r="F243" s="6" t="s">
        <v>66</v>
      </c>
      <c r="G243" s="6" t="s">
        <v>67</v>
      </c>
      <c r="H243" s="6" t="s">
        <v>20</v>
      </c>
      <c r="I243" s="5" t="s">
        <v>12</v>
      </c>
      <c r="J243" s="5" t="s">
        <v>21</v>
      </c>
      <c r="K243" s="5" t="s">
        <v>21</v>
      </c>
      <c r="L243" s="5" t="s">
        <v>21</v>
      </c>
      <c r="M243" s="5" t="s">
        <v>29</v>
      </c>
      <c r="N243" s="7" t="s">
        <v>21</v>
      </c>
      <c r="O243" s="5" t="s">
        <v>21</v>
      </c>
      <c r="P243" s="8">
        <v>1.8372925511920006</v>
      </c>
      <c r="Q243" s="9">
        <f t="shared" si="3"/>
        <v>3.871921568020225E-4</v>
      </c>
    </row>
    <row r="244" spans="2:18" ht="48" hidden="1">
      <c r="B244" s="5">
        <v>242</v>
      </c>
      <c r="C244" s="5">
        <v>844319</v>
      </c>
      <c r="D244" s="6" t="s">
        <v>158</v>
      </c>
      <c r="E244" s="6" t="s">
        <v>153</v>
      </c>
      <c r="F244" s="6" t="s">
        <v>36</v>
      </c>
      <c r="G244" s="6" t="s">
        <v>51</v>
      </c>
      <c r="H244" s="6" t="s">
        <v>28</v>
      </c>
      <c r="I244" s="10" t="s">
        <v>103</v>
      </c>
      <c r="J244" s="5" t="s">
        <v>29</v>
      </c>
      <c r="K244" s="5" t="s">
        <v>21</v>
      </c>
      <c r="L244" s="5" t="s">
        <v>29</v>
      </c>
      <c r="M244" s="5" t="s">
        <v>29</v>
      </c>
      <c r="N244" s="7" t="s">
        <v>29</v>
      </c>
      <c r="O244" s="5" t="s">
        <v>29</v>
      </c>
      <c r="P244" s="8">
        <v>1.8193845673020004</v>
      </c>
      <c r="Q244" s="11">
        <f t="shared" si="3"/>
        <v>3.8341821731598553E-4</v>
      </c>
    </row>
    <row r="245" spans="2:18" ht="32.1">
      <c r="B245" s="5">
        <v>243</v>
      </c>
      <c r="C245" s="5">
        <v>854130</v>
      </c>
      <c r="D245" s="6" t="s">
        <v>534</v>
      </c>
      <c r="E245" s="6" t="s">
        <v>535</v>
      </c>
      <c r="F245" s="6" t="s">
        <v>54</v>
      </c>
      <c r="G245" s="6" t="s">
        <v>19</v>
      </c>
      <c r="H245" s="6" t="s">
        <v>20</v>
      </c>
      <c r="I245" s="5" t="s">
        <v>12</v>
      </c>
      <c r="J245" s="5" t="s">
        <v>21</v>
      </c>
      <c r="K245" s="5" t="s">
        <v>21</v>
      </c>
      <c r="L245" s="5" t="s">
        <v>21</v>
      </c>
      <c r="M245" s="5" t="s">
        <v>29</v>
      </c>
      <c r="N245" s="7" t="s">
        <v>21</v>
      </c>
      <c r="O245" s="5" t="s">
        <v>21</v>
      </c>
      <c r="P245" s="8">
        <v>1.7250376802610001</v>
      </c>
      <c r="Q245" s="9">
        <f t="shared" si="3"/>
        <v>3.6353549659344113E-4</v>
      </c>
    </row>
    <row r="246" spans="2:18" ht="32.1" hidden="1">
      <c r="B246" s="5">
        <v>244</v>
      </c>
      <c r="C246" s="5">
        <v>850990</v>
      </c>
      <c r="D246" s="6" t="s">
        <v>291</v>
      </c>
      <c r="E246" s="6" t="s">
        <v>292</v>
      </c>
      <c r="F246" s="6" t="s">
        <v>66</v>
      </c>
      <c r="G246" s="6" t="s">
        <v>51</v>
      </c>
      <c r="H246" s="6" t="s">
        <v>20</v>
      </c>
      <c r="I246" s="10" t="s">
        <v>103</v>
      </c>
      <c r="J246" s="5" t="s">
        <v>29</v>
      </c>
      <c r="K246" s="5" t="s">
        <v>21</v>
      </c>
      <c r="L246" s="5" t="s">
        <v>21</v>
      </c>
      <c r="M246" s="5" t="s">
        <v>29</v>
      </c>
      <c r="N246" s="7" t="s">
        <v>29</v>
      </c>
      <c r="O246" s="5" t="s">
        <v>29</v>
      </c>
      <c r="P246" s="8">
        <v>1.6690758917320001</v>
      </c>
      <c r="Q246" s="11">
        <f t="shared" si="3"/>
        <v>3.5174207502593712E-4</v>
      </c>
    </row>
    <row r="247" spans="2:18" ht="48">
      <c r="B247" s="5">
        <v>245</v>
      </c>
      <c r="C247" s="5">
        <v>903039</v>
      </c>
      <c r="D247" s="6" t="s">
        <v>509</v>
      </c>
      <c r="E247" s="6" t="s">
        <v>473</v>
      </c>
      <c r="F247" s="6" t="s">
        <v>189</v>
      </c>
      <c r="G247" s="6" t="s">
        <v>40</v>
      </c>
      <c r="H247" s="6" t="s">
        <v>28</v>
      </c>
      <c r="I247" s="5" t="s">
        <v>12</v>
      </c>
      <c r="J247" s="5" t="s">
        <v>21</v>
      </c>
      <c r="K247" s="5" t="s">
        <v>21</v>
      </c>
      <c r="L247" s="5" t="s">
        <v>29</v>
      </c>
      <c r="M247" s="5" t="s">
        <v>29</v>
      </c>
      <c r="N247" s="7" t="s">
        <v>21</v>
      </c>
      <c r="O247" s="5" t="s">
        <v>21</v>
      </c>
      <c r="P247" s="8">
        <v>1.650631232154</v>
      </c>
      <c r="Q247" s="9">
        <f t="shared" si="3"/>
        <v>3.4785503617692441E-4</v>
      </c>
    </row>
    <row r="248" spans="2:18" ht="48">
      <c r="B248" s="5">
        <v>246</v>
      </c>
      <c r="C248" s="5">
        <v>847329</v>
      </c>
      <c r="D248" s="6" t="s">
        <v>520</v>
      </c>
      <c r="E248" s="6" t="s">
        <v>521</v>
      </c>
      <c r="F248" s="6" t="s">
        <v>36</v>
      </c>
      <c r="G248" s="6" t="s">
        <v>37</v>
      </c>
      <c r="H248" s="6" t="s">
        <v>20</v>
      </c>
      <c r="I248" s="5" t="s">
        <v>12</v>
      </c>
      <c r="J248" s="5" t="s">
        <v>21</v>
      </c>
      <c r="K248" s="5" t="s">
        <v>21</v>
      </c>
      <c r="L248" s="5" t="s">
        <v>21</v>
      </c>
      <c r="M248" s="5" t="s">
        <v>29</v>
      </c>
      <c r="N248" s="7" t="s">
        <v>21</v>
      </c>
      <c r="O248" s="5" t="s">
        <v>21</v>
      </c>
      <c r="P248" s="8">
        <v>1.6150339799040003</v>
      </c>
      <c r="Q248" s="9">
        <f t="shared" si="3"/>
        <v>3.4035324944951356E-4</v>
      </c>
    </row>
    <row r="249" spans="2:18" ht="32.1" hidden="1">
      <c r="B249" s="5">
        <v>247</v>
      </c>
      <c r="C249" s="5">
        <v>845221</v>
      </c>
      <c r="D249" s="6" t="s">
        <v>185</v>
      </c>
      <c r="E249" s="6" t="s">
        <v>186</v>
      </c>
      <c r="F249" s="6" t="s">
        <v>66</v>
      </c>
      <c r="G249" s="6" t="s">
        <v>51</v>
      </c>
      <c r="H249" s="6" t="s">
        <v>28</v>
      </c>
      <c r="I249" s="10" t="s">
        <v>103</v>
      </c>
      <c r="J249" s="5" t="s">
        <v>29</v>
      </c>
      <c r="K249" s="5" t="s">
        <v>21</v>
      </c>
      <c r="L249" s="5" t="s">
        <v>29</v>
      </c>
      <c r="M249" s="5" t="s">
        <v>29</v>
      </c>
      <c r="N249" s="7" t="s">
        <v>29</v>
      </c>
      <c r="O249" s="5" t="s">
        <v>29</v>
      </c>
      <c r="P249" s="8">
        <v>1.6087537529620004</v>
      </c>
      <c r="Q249" s="11">
        <f t="shared" si="3"/>
        <v>3.3902975057977636E-4</v>
      </c>
    </row>
    <row r="250" spans="2:18" ht="63.95">
      <c r="B250" s="5">
        <v>248</v>
      </c>
      <c r="C250" s="5">
        <v>844339</v>
      </c>
      <c r="D250" s="6" t="s">
        <v>547</v>
      </c>
      <c r="E250" s="6" t="s">
        <v>153</v>
      </c>
      <c r="F250" s="6" t="s">
        <v>36</v>
      </c>
      <c r="G250" s="6" t="s">
        <v>37</v>
      </c>
      <c r="H250" s="6" t="s">
        <v>28</v>
      </c>
      <c r="I250" s="5" t="s">
        <v>12</v>
      </c>
      <c r="J250" s="5" t="s">
        <v>21</v>
      </c>
      <c r="K250" s="5" t="s">
        <v>21</v>
      </c>
      <c r="L250" s="5" t="s">
        <v>21</v>
      </c>
      <c r="M250" s="5" t="s">
        <v>29</v>
      </c>
      <c r="N250" s="7" t="s">
        <v>21</v>
      </c>
      <c r="O250" s="5" t="s">
        <v>21</v>
      </c>
      <c r="P250" s="8">
        <v>1.5914656014440001</v>
      </c>
      <c r="Q250" s="9">
        <f t="shared" si="3"/>
        <v>3.3538643494719959E-4</v>
      </c>
    </row>
    <row r="251" spans="2:18" ht="48">
      <c r="B251" s="5">
        <v>249</v>
      </c>
      <c r="C251" s="5">
        <v>961210</v>
      </c>
      <c r="D251" s="6" t="s">
        <v>651</v>
      </c>
      <c r="E251" s="6" t="s">
        <v>652</v>
      </c>
      <c r="F251" s="6" t="s">
        <v>36</v>
      </c>
      <c r="G251" s="6" t="s">
        <v>67</v>
      </c>
      <c r="H251" s="6" t="s">
        <v>20</v>
      </c>
      <c r="I251" s="5" t="s">
        <v>12</v>
      </c>
      <c r="J251" s="5" t="s">
        <v>21</v>
      </c>
      <c r="K251" s="5" t="s">
        <v>21</v>
      </c>
      <c r="L251" s="5" t="s">
        <v>21</v>
      </c>
      <c r="M251" s="5" t="s">
        <v>29</v>
      </c>
      <c r="N251" s="7" t="s">
        <v>21</v>
      </c>
      <c r="O251" s="5" t="s">
        <v>21</v>
      </c>
      <c r="P251" s="8">
        <v>1.56514812672</v>
      </c>
      <c r="Q251" s="9">
        <f t="shared" si="3"/>
        <v>3.2984027421555274E-4</v>
      </c>
    </row>
    <row r="252" spans="2:18" ht="32.1" hidden="1">
      <c r="B252" s="5">
        <v>250</v>
      </c>
      <c r="C252" s="5">
        <v>850434</v>
      </c>
      <c r="D252" s="6" t="s">
        <v>247</v>
      </c>
      <c r="E252" s="6" t="s">
        <v>213</v>
      </c>
      <c r="F252" s="6" t="s">
        <v>54</v>
      </c>
      <c r="G252" s="6" t="s">
        <v>51</v>
      </c>
      <c r="H252" s="6" t="s">
        <v>20</v>
      </c>
      <c r="I252" s="10" t="s">
        <v>103</v>
      </c>
      <c r="J252" s="5" t="s">
        <v>29</v>
      </c>
      <c r="K252" s="5" t="s">
        <v>21</v>
      </c>
      <c r="L252" s="5" t="s">
        <v>29</v>
      </c>
      <c r="M252" s="5" t="s">
        <v>29</v>
      </c>
      <c r="N252" s="7" t="s">
        <v>29</v>
      </c>
      <c r="O252" s="5" t="s">
        <v>29</v>
      </c>
      <c r="P252" s="8">
        <v>1.5496270346790009</v>
      </c>
      <c r="Q252" s="11">
        <f t="shared" si="3"/>
        <v>3.2656934977873497E-4</v>
      </c>
    </row>
    <row r="253" spans="2:18" ht="32.1">
      <c r="B253" s="5">
        <v>251</v>
      </c>
      <c r="C253" s="5">
        <v>852380</v>
      </c>
      <c r="D253" s="6" t="s">
        <v>528</v>
      </c>
      <c r="E253" s="6" t="s">
        <v>529</v>
      </c>
      <c r="F253" s="6" t="s">
        <v>66</v>
      </c>
      <c r="G253" s="6" t="s">
        <v>67</v>
      </c>
      <c r="H253" s="6" t="s">
        <v>28</v>
      </c>
      <c r="I253" s="5" t="s">
        <v>12</v>
      </c>
      <c r="J253" s="5" t="s">
        <v>21</v>
      </c>
      <c r="K253" s="5" t="s">
        <v>21</v>
      </c>
      <c r="L253" s="5" t="s">
        <v>21</v>
      </c>
      <c r="M253" s="5" t="s">
        <v>29</v>
      </c>
      <c r="N253" s="7" t="s">
        <v>21</v>
      </c>
      <c r="O253" s="5" t="s">
        <v>21</v>
      </c>
      <c r="P253" s="8">
        <v>1.5368893713170007</v>
      </c>
      <c r="Q253" s="9">
        <f t="shared" si="3"/>
        <v>3.2388500680540107E-4</v>
      </c>
    </row>
    <row r="254" spans="2:18" ht="32.1" hidden="1">
      <c r="B254" s="5">
        <v>252</v>
      </c>
      <c r="C254" s="5">
        <v>850870</v>
      </c>
      <c r="D254" s="6" t="s">
        <v>288</v>
      </c>
      <c r="E254" s="6" t="s">
        <v>288</v>
      </c>
      <c r="F254" s="6" t="s">
        <v>112</v>
      </c>
      <c r="G254" s="6" t="s">
        <v>51</v>
      </c>
      <c r="H254" s="6" t="s">
        <v>20</v>
      </c>
      <c r="I254" s="10" t="s">
        <v>103</v>
      </c>
      <c r="J254" s="5" t="s">
        <v>29</v>
      </c>
      <c r="K254" s="5" t="s">
        <v>21</v>
      </c>
      <c r="L254" s="5" t="s">
        <v>29</v>
      </c>
      <c r="M254" s="5" t="s">
        <v>29</v>
      </c>
      <c r="N254" s="7" t="s">
        <v>29</v>
      </c>
      <c r="O254" s="5" t="s">
        <v>29</v>
      </c>
      <c r="P254" s="8">
        <v>1.5362549644179995</v>
      </c>
      <c r="Q254" s="11">
        <f t="shared" si="3"/>
        <v>3.2375131150719997E-4</v>
      </c>
    </row>
    <row r="255" spans="2:18" ht="32.1" hidden="1">
      <c r="B255" s="5">
        <v>253</v>
      </c>
      <c r="C255" s="5">
        <v>850819</v>
      </c>
      <c r="D255" s="6" t="s">
        <v>286</v>
      </c>
      <c r="E255" s="6" t="s">
        <v>219</v>
      </c>
      <c r="F255" s="6" t="s">
        <v>112</v>
      </c>
      <c r="G255" s="6" t="s">
        <v>51</v>
      </c>
      <c r="H255" s="6" t="s">
        <v>28</v>
      </c>
      <c r="I255" s="10" t="s">
        <v>103</v>
      </c>
      <c r="J255" s="5" t="s">
        <v>29</v>
      </c>
      <c r="K255" s="5" t="s">
        <v>21</v>
      </c>
      <c r="L255" s="5" t="s">
        <v>29</v>
      </c>
      <c r="M255" s="5" t="s">
        <v>29</v>
      </c>
      <c r="N255" s="7" t="s">
        <v>29</v>
      </c>
      <c r="O255" s="5" t="s">
        <v>29</v>
      </c>
      <c r="P255" s="8">
        <v>1.5261951486869998</v>
      </c>
      <c r="Q255" s="11">
        <f t="shared" si="3"/>
        <v>3.2163129978267103E-4</v>
      </c>
    </row>
    <row r="256" spans="2:18" ht="32.1">
      <c r="B256" s="5">
        <v>254</v>
      </c>
      <c r="C256" s="5">
        <v>852580</v>
      </c>
      <c r="D256" s="6" t="s">
        <v>549</v>
      </c>
      <c r="E256" s="6" t="s">
        <v>550</v>
      </c>
      <c r="F256" s="6" t="s">
        <v>266</v>
      </c>
      <c r="G256" s="6" t="s">
        <v>27</v>
      </c>
      <c r="H256" s="6" t="s">
        <v>28</v>
      </c>
      <c r="I256" s="5" t="s">
        <v>12</v>
      </c>
      <c r="J256" s="5" t="s">
        <v>21</v>
      </c>
      <c r="K256" s="5" t="s">
        <v>21</v>
      </c>
      <c r="L256" s="5" t="s">
        <v>21</v>
      </c>
      <c r="M256" s="5" t="s">
        <v>21</v>
      </c>
      <c r="N256" s="7" t="s">
        <v>21</v>
      </c>
      <c r="O256" s="5" t="s">
        <v>21</v>
      </c>
      <c r="P256" s="8">
        <v>1.4869271851910006</v>
      </c>
      <c r="Q256" s="9">
        <f t="shared" si="3"/>
        <v>3.1335594512052169E-4</v>
      </c>
      <c r="R256" s="16"/>
    </row>
    <row r="257" spans="2:18" ht="48">
      <c r="B257" s="5">
        <v>255</v>
      </c>
      <c r="C257" s="5">
        <v>903084</v>
      </c>
      <c r="D257" s="6" t="s">
        <v>540</v>
      </c>
      <c r="E257" s="6" t="s">
        <v>432</v>
      </c>
      <c r="F257" s="6" t="s">
        <v>189</v>
      </c>
      <c r="G257" s="6" t="s">
        <v>40</v>
      </c>
      <c r="H257" s="6" t="s">
        <v>28</v>
      </c>
      <c r="I257" s="5" t="s">
        <v>12</v>
      </c>
      <c r="J257" s="5" t="s">
        <v>21</v>
      </c>
      <c r="K257" s="5" t="s">
        <v>21</v>
      </c>
      <c r="L257" s="5" t="s">
        <v>29</v>
      </c>
      <c r="M257" s="5" t="s">
        <v>29</v>
      </c>
      <c r="N257" s="7" t="s">
        <v>21</v>
      </c>
      <c r="O257" s="5" t="s">
        <v>21</v>
      </c>
      <c r="P257" s="8">
        <v>1.4856728897330003</v>
      </c>
      <c r="Q257" s="9">
        <f t="shared" si="3"/>
        <v>3.1309161412797773E-4</v>
      </c>
    </row>
    <row r="258" spans="2:18" ht="48">
      <c r="B258" s="5">
        <v>256</v>
      </c>
      <c r="C258" s="5">
        <v>852581</v>
      </c>
      <c r="D258" s="6" t="s">
        <v>552</v>
      </c>
      <c r="E258" s="6" t="s">
        <v>550</v>
      </c>
      <c r="F258" s="6" t="s">
        <v>266</v>
      </c>
      <c r="G258" s="6" t="s">
        <v>27</v>
      </c>
      <c r="H258" s="6" t="s">
        <v>28</v>
      </c>
      <c r="I258" s="5" t="s">
        <v>12</v>
      </c>
      <c r="J258" s="5" t="s">
        <v>21</v>
      </c>
      <c r="K258" s="5" t="s">
        <v>29</v>
      </c>
      <c r="L258" s="5" t="s">
        <v>21</v>
      </c>
      <c r="M258" s="5" t="s">
        <v>21</v>
      </c>
      <c r="N258" s="7" t="s">
        <v>21</v>
      </c>
      <c r="O258" s="5" t="s">
        <v>29</v>
      </c>
      <c r="P258" s="8">
        <v>1.4848923144959993</v>
      </c>
      <c r="Q258" s="9">
        <f t="shared" si="3"/>
        <v>3.1292711522476035E-4</v>
      </c>
      <c r="R258" s="16"/>
    </row>
    <row r="259" spans="2:18" ht="48">
      <c r="B259" s="5">
        <v>257</v>
      </c>
      <c r="C259" s="5">
        <v>850519</v>
      </c>
      <c r="D259" s="6" t="s">
        <v>565</v>
      </c>
      <c r="E259" s="6" t="s">
        <v>363</v>
      </c>
      <c r="F259" s="6" t="s">
        <v>189</v>
      </c>
      <c r="G259" s="6" t="s">
        <v>40</v>
      </c>
      <c r="H259" s="6" t="s">
        <v>20</v>
      </c>
      <c r="I259" s="5" t="s">
        <v>12</v>
      </c>
      <c r="J259" s="5" t="s">
        <v>21</v>
      </c>
      <c r="K259" s="5" t="s">
        <v>21</v>
      </c>
      <c r="L259" s="5" t="s">
        <v>29</v>
      </c>
      <c r="M259" s="5" t="s">
        <v>29</v>
      </c>
      <c r="N259" s="7" t="s">
        <v>21</v>
      </c>
      <c r="O259" s="5" t="s">
        <v>21</v>
      </c>
      <c r="P259" s="8">
        <v>1.4595895537940005</v>
      </c>
      <c r="Q259" s="9">
        <f t="shared" ref="Q259:Q322" si="4">P259/SUM($P$3:$P$425)</f>
        <v>3.0759479594719277E-4</v>
      </c>
    </row>
    <row r="260" spans="2:18" ht="32.1">
      <c r="B260" s="5">
        <v>258</v>
      </c>
      <c r="C260" s="5">
        <v>854690</v>
      </c>
      <c r="D260" s="6" t="s">
        <v>554</v>
      </c>
      <c r="E260" s="6" t="s">
        <v>555</v>
      </c>
      <c r="F260" s="6" t="s">
        <v>54</v>
      </c>
      <c r="G260" s="6" t="s">
        <v>51</v>
      </c>
      <c r="H260" s="6" t="s">
        <v>20</v>
      </c>
      <c r="I260" s="5" t="s">
        <v>11</v>
      </c>
      <c r="J260" s="5" t="s">
        <v>21</v>
      </c>
      <c r="K260" s="5" t="s">
        <v>21</v>
      </c>
      <c r="L260" s="5" t="s">
        <v>29</v>
      </c>
      <c r="M260" s="5" t="s">
        <v>21</v>
      </c>
      <c r="N260" s="7" t="s">
        <v>29</v>
      </c>
      <c r="O260" s="5" t="s">
        <v>29</v>
      </c>
      <c r="P260" s="8">
        <v>1.4503529156770001</v>
      </c>
      <c r="Q260" s="9">
        <f t="shared" si="4"/>
        <v>3.0564826117688584E-4</v>
      </c>
    </row>
    <row r="261" spans="2:18" ht="63.95">
      <c r="B261" s="5">
        <v>259</v>
      </c>
      <c r="C261" s="5">
        <v>852550</v>
      </c>
      <c r="D261" s="6" t="s">
        <v>543</v>
      </c>
      <c r="E261" s="6" t="s">
        <v>491</v>
      </c>
      <c r="F261" s="6" t="s">
        <v>266</v>
      </c>
      <c r="G261" s="6" t="s">
        <v>27</v>
      </c>
      <c r="H261" s="6" t="s">
        <v>20</v>
      </c>
      <c r="I261" s="5" t="s">
        <v>12</v>
      </c>
      <c r="J261" s="5" t="s">
        <v>21</v>
      </c>
      <c r="K261" s="5" t="s">
        <v>21</v>
      </c>
      <c r="L261" s="5" t="s">
        <v>21</v>
      </c>
      <c r="M261" s="5" t="s">
        <v>29</v>
      </c>
      <c r="N261" s="7" t="s">
        <v>21</v>
      </c>
      <c r="O261" s="5" t="s">
        <v>21</v>
      </c>
      <c r="P261" s="8">
        <v>1.4399996826029997</v>
      </c>
      <c r="Q261" s="9">
        <f t="shared" si="4"/>
        <v>3.0346641450189907E-4</v>
      </c>
      <c r="R261" s="16"/>
    </row>
    <row r="262" spans="2:18" ht="63.95" hidden="1">
      <c r="B262" s="5">
        <v>260</v>
      </c>
      <c r="C262" s="5">
        <v>854790</v>
      </c>
      <c r="D262" s="6" t="s">
        <v>615</v>
      </c>
      <c r="E262" s="6" t="s">
        <v>613</v>
      </c>
      <c r="F262" s="6" t="s">
        <v>54</v>
      </c>
      <c r="G262" s="6" t="s">
        <v>51</v>
      </c>
      <c r="H262" s="6" t="s">
        <v>20</v>
      </c>
      <c r="I262" s="10" t="s">
        <v>103</v>
      </c>
      <c r="J262" s="5" t="s">
        <v>29</v>
      </c>
      <c r="K262" s="5" t="s">
        <v>21</v>
      </c>
      <c r="L262" s="5" t="s">
        <v>29</v>
      </c>
      <c r="M262" s="5" t="s">
        <v>29</v>
      </c>
      <c r="N262" s="7" t="s">
        <v>29</v>
      </c>
      <c r="O262" s="5" t="s">
        <v>29</v>
      </c>
      <c r="P262" s="8">
        <v>1.4331176753220005</v>
      </c>
      <c r="Q262" s="11">
        <f t="shared" si="4"/>
        <v>3.0201609607518552E-4</v>
      </c>
    </row>
    <row r="263" spans="2:18" ht="48">
      <c r="B263" s="5">
        <v>261</v>
      </c>
      <c r="C263" s="5">
        <v>852583</v>
      </c>
      <c r="D263" s="6" t="s">
        <v>553</v>
      </c>
      <c r="E263" s="6" t="s">
        <v>550</v>
      </c>
      <c r="F263" s="6" t="s">
        <v>66</v>
      </c>
      <c r="G263" s="6" t="s">
        <v>67</v>
      </c>
      <c r="H263" s="6" t="s">
        <v>28</v>
      </c>
      <c r="I263" s="5" t="s">
        <v>12</v>
      </c>
      <c r="J263" s="5" t="s">
        <v>21</v>
      </c>
      <c r="K263" s="5" t="s">
        <v>29</v>
      </c>
      <c r="L263" s="5" t="s">
        <v>21</v>
      </c>
      <c r="M263" s="5" t="s">
        <v>29</v>
      </c>
      <c r="N263" s="7" t="s">
        <v>21</v>
      </c>
      <c r="O263" s="5" t="s">
        <v>29</v>
      </c>
      <c r="P263" s="8">
        <v>1.4073705249540001</v>
      </c>
      <c r="Q263" s="9">
        <f t="shared" si="4"/>
        <v>2.9659012584740423E-4</v>
      </c>
    </row>
    <row r="264" spans="2:18" ht="32.1">
      <c r="B264" s="5">
        <v>262</v>
      </c>
      <c r="C264" s="5">
        <v>482190</v>
      </c>
      <c r="D264" s="6" t="s">
        <v>560</v>
      </c>
      <c r="E264" s="6" t="s">
        <v>251</v>
      </c>
      <c r="F264" s="6" t="s">
        <v>50</v>
      </c>
      <c r="G264" s="6" t="s">
        <v>51</v>
      </c>
      <c r="H264" s="6" t="s">
        <v>20</v>
      </c>
      <c r="I264" s="5" t="s">
        <v>11</v>
      </c>
      <c r="J264" s="5" t="s">
        <v>21</v>
      </c>
      <c r="K264" s="5" t="s">
        <v>29</v>
      </c>
      <c r="L264" s="5" t="s">
        <v>29</v>
      </c>
      <c r="M264" s="5" t="s">
        <v>21</v>
      </c>
      <c r="N264" s="7" t="s">
        <v>29</v>
      </c>
      <c r="O264" s="5" t="s">
        <v>29</v>
      </c>
      <c r="P264" s="8">
        <v>1.3612602904239999</v>
      </c>
      <c r="Q264" s="9">
        <f t="shared" si="4"/>
        <v>2.8687282679955539E-4</v>
      </c>
    </row>
    <row r="265" spans="2:18" ht="32.1" hidden="1">
      <c r="B265" s="5">
        <v>263</v>
      </c>
      <c r="C265" s="5">
        <v>853949</v>
      </c>
      <c r="D265" s="6" t="s">
        <v>539</v>
      </c>
      <c r="E265" s="6" t="s">
        <v>316</v>
      </c>
      <c r="F265" s="6" t="s">
        <v>66</v>
      </c>
      <c r="G265" s="6" t="s">
        <v>51</v>
      </c>
      <c r="H265" s="6" t="s">
        <v>28</v>
      </c>
      <c r="I265" s="10" t="s">
        <v>103</v>
      </c>
      <c r="J265" s="5" t="s">
        <v>29</v>
      </c>
      <c r="K265" s="5" t="s">
        <v>21</v>
      </c>
      <c r="L265" s="5" t="s">
        <v>29</v>
      </c>
      <c r="M265" s="5" t="s">
        <v>29</v>
      </c>
      <c r="N265" s="7" t="s">
        <v>29</v>
      </c>
      <c r="O265" s="5" t="s">
        <v>29</v>
      </c>
      <c r="P265" s="8">
        <v>1.313182493862</v>
      </c>
      <c r="Q265" s="11">
        <f t="shared" si="4"/>
        <v>2.7674088252478414E-4</v>
      </c>
    </row>
    <row r="266" spans="2:18" ht="32.1" hidden="1">
      <c r="B266" s="5">
        <v>264</v>
      </c>
      <c r="C266" s="5">
        <v>853921</v>
      </c>
      <c r="D266" s="6" t="s">
        <v>531</v>
      </c>
      <c r="E266" s="6" t="s">
        <v>316</v>
      </c>
      <c r="F266" s="6" t="s">
        <v>66</v>
      </c>
      <c r="G266" s="6" t="s">
        <v>51</v>
      </c>
      <c r="H266" s="6" t="s">
        <v>28</v>
      </c>
      <c r="I266" s="10" t="s">
        <v>103</v>
      </c>
      <c r="J266" s="5" t="s">
        <v>29</v>
      </c>
      <c r="K266" s="5" t="s">
        <v>21</v>
      </c>
      <c r="L266" s="5" t="s">
        <v>29</v>
      </c>
      <c r="M266" s="5" t="s">
        <v>29</v>
      </c>
      <c r="N266" s="7" t="s">
        <v>29</v>
      </c>
      <c r="O266" s="5" t="s">
        <v>29</v>
      </c>
      <c r="P266" s="8">
        <v>1.2791389348759996</v>
      </c>
      <c r="Q266" s="11">
        <f t="shared" si="4"/>
        <v>2.6956652206680781E-4</v>
      </c>
    </row>
    <row r="267" spans="2:18" ht="32.1">
      <c r="B267" s="5">
        <v>265</v>
      </c>
      <c r="C267" s="5">
        <v>854330</v>
      </c>
      <c r="D267" s="6" t="s">
        <v>548</v>
      </c>
      <c r="E267" s="6" t="s">
        <v>517</v>
      </c>
      <c r="F267" s="6" t="s">
        <v>54</v>
      </c>
      <c r="G267" s="6" t="s">
        <v>40</v>
      </c>
      <c r="H267" s="6" t="s">
        <v>20</v>
      </c>
      <c r="I267" s="5" t="s">
        <v>12</v>
      </c>
      <c r="J267" s="5" t="s">
        <v>21</v>
      </c>
      <c r="K267" s="5" t="s">
        <v>21</v>
      </c>
      <c r="L267" s="5" t="s">
        <v>21</v>
      </c>
      <c r="M267" s="5" t="s">
        <v>29</v>
      </c>
      <c r="N267" s="7" t="s">
        <v>21</v>
      </c>
      <c r="O267" s="5" t="s">
        <v>21</v>
      </c>
      <c r="P267" s="8">
        <v>1.2689201729590001</v>
      </c>
      <c r="Q267" s="9">
        <f t="shared" si="4"/>
        <v>2.6741301392575403E-4</v>
      </c>
    </row>
    <row r="268" spans="2:18" ht="32.1">
      <c r="B268" s="5">
        <v>266</v>
      </c>
      <c r="C268" s="5">
        <v>831110</v>
      </c>
      <c r="D268" s="6" t="s">
        <v>558</v>
      </c>
      <c r="E268" s="6" t="s">
        <v>559</v>
      </c>
      <c r="F268" s="6" t="s">
        <v>54</v>
      </c>
      <c r="G268" s="6" t="s">
        <v>559</v>
      </c>
      <c r="H268" s="6" t="s">
        <v>20</v>
      </c>
      <c r="I268" s="5" t="s">
        <v>12</v>
      </c>
      <c r="J268" s="5" t="s">
        <v>21</v>
      </c>
      <c r="K268" s="5" t="s">
        <v>29</v>
      </c>
      <c r="L268" s="5" t="s">
        <v>29</v>
      </c>
      <c r="M268" s="5" t="s">
        <v>29</v>
      </c>
      <c r="N268" s="7" t="s">
        <v>21</v>
      </c>
      <c r="O268" s="5" t="s">
        <v>29</v>
      </c>
      <c r="P268" s="8">
        <v>1.267177267079</v>
      </c>
      <c r="Q268" s="9">
        <f t="shared" si="4"/>
        <v>2.6704571287381086E-4</v>
      </c>
    </row>
    <row r="269" spans="2:18" ht="32.1" hidden="1">
      <c r="B269" s="5">
        <v>267</v>
      </c>
      <c r="C269" s="5">
        <v>842310</v>
      </c>
      <c r="D269" s="6" t="s">
        <v>141</v>
      </c>
      <c r="E269" s="6" t="s">
        <v>142</v>
      </c>
      <c r="F269" s="6" t="s">
        <v>66</v>
      </c>
      <c r="G269" s="6" t="s">
        <v>51</v>
      </c>
      <c r="H269" s="6" t="s">
        <v>28</v>
      </c>
      <c r="I269" s="10" t="s">
        <v>103</v>
      </c>
      <c r="J269" s="5" t="s">
        <v>29</v>
      </c>
      <c r="K269" s="5" t="s">
        <v>21</v>
      </c>
      <c r="L269" s="5" t="s">
        <v>21</v>
      </c>
      <c r="M269" s="5" t="s">
        <v>29</v>
      </c>
      <c r="N269" s="7" t="s">
        <v>29</v>
      </c>
      <c r="O269" s="5" t="s">
        <v>29</v>
      </c>
      <c r="P269" s="8">
        <v>1.2621129728219997</v>
      </c>
      <c r="Q269" s="11">
        <f t="shared" si="4"/>
        <v>2.6597846040235453E-4</v>
      </c>
    </row>
    <row r="270" spans="2:18" ht="32.1">
      <c r="B270" s="5">
        <v>268</v>
      </c>
      <c r="C270" s="5">
        <v>853290</v>
      </c>
      <c r="D270" s="6" t="s">
        <v>573</v>
      </c>
      <c r="E270" s="6" t="s">
        <v>574</v>
      </c>
      <c r="F270" s="6" t="s">
        <v>54</v>
      </c>
      <c r="G270" s="6" t="s">
        <v>19</v>
      </c>
      <c r="H270" s="6" t="s">
        <v>20</v>
      </c>
      <c r="I270" s="5" t="s">
        <v>12</v>
      </c>
      <c r="J270" s="5" t="s">
        <v>21</v>
      </c>
      <c r="K270" s="5" t="s">
        <v>21</v>
      </c>
      <c r="L270" s="5" t="s">
        <v>21</v>
      </c>
      <c r="M270" s="5" t="s">
        <v>29</v>
      </c>
      <c r="N270" s="7" t="s">
        <v>21</v>
      </c>
      <c r="O270" s="5" t="s">
        <v>21</v>
      </c>
      <c r="P270" s="8">
        <v>1.258327611118</v>
      </c>
      <c r="Q270" s="9">
        <f t="shared" si="4"/>
        <v>2.6518073095992221E-4</v>
      </c>
    </row>
    <row r="271" spans="2:18" ht="48" hidden="1">
      <c r="B271" s="5">
        <v>269</v>
      </c>
      <c r="C271" s="5">
        <v>851230</v>
      </c>
      <c r="D271" s="6" t="s">
        <v>307</v>
      </c>
      <c r="E271" s="6" t="s">
        <v>308</v>
      </c>
      <c r="F271" s="6" t="s">
        <v>66</v>
      </c>
      <c r="G271" s="6" t="s">
        <v>51</v>
      </c>
      <c r="H271" s="6" t="s">
        <v>20</v>
      </c>
      <c r="I271" s="10" t="s">
        <v>103</v>
      </c>
      <c r="J271" s="5" t="s">
        <v>29</v>
      </c>
      <c r="K271" s="5" t="s">
        <v>21</v>
      </c>
      <c r="L271" s="5" t="s">
        <v>29</v>
      </c>
      <c r="M271" s="5" t="s">
        <v>29</v>
      </c>
      <c r="N271" s="7" t="s">
        <v>29</v>
      </c>
      <c r="O271" s="5" t="s">
        <v>29</v>
      </c>
      <c r="P271" s="8">
        <v>1.2511840609839995</v>
      </c>
      <c r="Q271" s="11">
        <f t="shared" si="4"/>
        <v>2.6367529483228288E-4</v>
      </c>
    </row>
    <row r="272" spans="2:18" ht="32.1" hidden="1">
      <c r="B272" s="5">
        <v>270</v>
      </c>
      <c r="C272" s="5">
        <v>851672</v>
      </c>
      <c r="D272" s="6" t="s">
        <v>337</v>
      </c>
      <c r="E272" s="6" t="s">
        <v>338</v>
      </c>
      <c r="F272" s="6" t="s">
        <v>66</v>
      </c>
      <c r="G272" s="6" t="s">
        <v>51</v>
      </c>
      <c r="H272" s="6" t="s">
        <v>28</v>
      </c>
      <c r="I272" s="10" t="s">
        <v>103</v>
      </c>
      <c r="J272" s="5" t="s">
        <v>29</v>
      </c>
      <c r="K272" s="5" t="s">
        <v>21</v>
      </c>
      <c r="L272" s="5" t="s">
        <v>21</v>
      </c>
      <c r="M272" s="5" t="s">
        <v>29</v>
      </c>
      <c r="N272" s="7" t="s">
        <v>29</v>
      </c>
      <c r="O272" s="5" t="s">
        <v>29</v>
      </c>
      <c r="P272" s="8">
        <v>1.2167748454559999</v>
      </c>
      <c r="Q272" s="11">
        <f t="shared" si="4"/>
        <v>2.564238756908358E-4</v>
      </c>
    </row>
    <row r="273" spans="2:17" ht="48" hidden="1">
      <c r="B273" s="5">
        <v>271</v>
      </c>
      <c r="C273" s="5">
        <v>850433</v>
      </c>
      <c r="D273" s="6" t="s">
        <v>246</v>
      </c>
      <c r="E273" s="6" t="s">
        <v>213</v>
      </c>
      <c r="F273" s="6" t="s">
        <v>54</v>
      </c>
      <c r="G273" s="6" t="s">
        <v>51</v>
      </c>
      <c r="H273" s="6" t="s">
        <v>20</v>
      </c>
      <c r="I273" s="10" t="s">
        <v>103</v>
      </c>
      <c r="J273" s="5" t="s">
        <v>29</v>
      </c>
      <c r="K273" s="5" t="s">
        <v>21</v>
      </c>
      <c r="L273" s="5" t="s">
        <v>29</v>
      </c>
      <c r="M273" s="5" t="s">
        <v>29</v>
      </c>
      <c r="N273" s="7" t="s">
        <v>29</v>
      </c>
      <c r="O273" s="5" t="s">
        <v>29</v>
      </c>
      <c r="P273" s="8">
        <v>1.2142205644070001</v>
      </c>
      <c r="Q273" s="11">
        <f t="shared" si="4"/>
        <v>2.5588558493915388E-4</v>
      </c>
    </row>
    <row r="274" spans="2:17" ht="32.1">
      <c r="B274" s="5">
        <v>272</v>
      </c>
      <c r="C274" s="5">
        <v>901811</v>
      </c>
      <c r="D274" s="6" t="s">
        <v>561</v>
      </c>
      <c r="E274" s="6" t="s">
        <v>197</v>
      </c>
      <c r="F274" s="6" t="s">
        <v>198</v>
      </c>
      <c r="G274" s="6" t="s">
        <v>40</v>
      </c>
      <c r="H274" s="6" t="s">
        <v>28</v>
      </c>
      <c r="I274" s="5" t="s">
        <v>12</v>
      </c>
      <c r="J274" s="5" t="s">
        <v>21</v>
      </c>
      <c r="K274" s="5" t="s">
        <v>21</v>
      </c>
      <c r="L274" s="5" t="s">
        <v>29</v>
      </c>
      <c r="M274" s="5" t="s">
        <v>29</v>
      </c>
      <c r="N274" s="7" t="s">
        <v>21</v>
      </c>
      <c r="O274" s="5" t="s">
        <v>21</v>
      </c>
      <c r="P274" s="8">
        <v>1.207370890223</v>
      </c>
      <c r="Q274" s="9">
        <f t="shared" si="4"/>
        <v>2.5444208040909227E-4</v>
      </c>
    </row>
    <row r="275" spans="2:17" ht="48">
      <c r="B275" s="5">
        <v>273</v>
      </c>
      <c r="C275" s="5">
        <v>852359</v>
      </c>
      <c r="D275" s="6" t="s">
        <v>562</v>
      </c>
      <c r="E275" s="6" t="s">
        <v>563</v>
      </c>
      <c r="F275" s="6" t="s">
        <v>66</v>
      </c>
      <c r="G275" s="6" t="s">
        <v>67</v>
      </c>
      <c r="H275" s="6" t="s">
        <v>28</v>
      </c>
      <c r="I275" s="5" t="s">
        <v>12</v>
      </c>
      <c r="J275" s="5" t="s">
        <v>21</v>
      </c>
      <c r="K275" s="5" t="s">
        <v>21</v>
      </c>
      <c r="L275" s="5" t="s">
        <v>21</v>
      </c>
      <c r="M275" s="5" t="s">
        <v>29</v>
      </c>
      <c r="N275" s="7" t="s">
        <v>21</v>
      </c>
      <c r="O275" s="5" t="s">
        <v>21</v>
      </c>
      <c r="P275" s="8">
        <v>1.188515973596</v>
      </c>
      <c r="Q275" s="9">
        <f t="shared" si="4"/>
        <v>2.5046858373846458E-4</v>
      </c>
    </row>
    <row r="276" spans="2:17" ht="32.1" hidden="1">
      <c r="B276" s="5">
        <v>274</v>
      </c>
      <c r="C276" s="5">
        <v>844316</v>
      </c>
      <c r="D276" s="6" t="s">
        <v>156</v>
      </c>
      <c r="E276" s="6" t="s">
        <v>153</v>
      </c>
      <c r="F276" s="6" t="s">
        <v>36</v>
      </c>
      <c r="G276" s="6" t="s">
        <v>51</v>
      </c>
      <c r="H276" s="6" t="s">
        <v>28</v>
      </c>
      <c r="I276" s="10" t="s">
        <v>103</v>
      </c>
      <c r="J276" s="5" t="s">
        <v>29</v>
      </c>
      <c r="K276" s="5" t="s">
        <v>21</v>
      </c>
      <c r="L276" s="5" t="s">
        <v>29</v>
      </c>
      <c r="M276" s="5" t="s">
        <v>29</v>
      </c>
      <c r="N276" s="7" t="s">
        <v>29</v>
      </c>
      <c r="O276" s="5" t="s">
        <v>29</v>
      </c>
      <c r="P276" s="8">
        <v>1.1784774466379999</v>
      </c>
      <c r="Q276" s="11">
        <f t="shared" si="4"/>
        <v>2.4835305842298795E-4</v>
      </c>
    </row>
    <row r="277" spans="2:17" ht="48">
      <c r="B277" s="5">
        <v>275</v>
      </c>
      <c r="C277" s="5">
        <v>910212</v>
      </c>
      <c r="D277" s="6" t="s">
        <v>567</v>
      </c>
      <c r="E277" s="6" t="s">
        <v>568</v>
      </c>
      <c r="F277" s="6" t="s">
        <v>66</v>
      </c>
      <c r="G277" s="6" t="s">
        <v>67</v>
      </c>
      <c r="H277" s="6" t="s">
        <v>28</v>
      </c>
      <c r="I277" s="5" t="s">
        <v>12</v>
      </c>
      <c r="J277" s="5" t="s">
        <v>21</v>
      </c>
      <c r="K277" s="5" t="s">
        <v>29</v>
      </c>
      <c r="L277" s="5" t="s">
        <v>29</v>
      </c>
      <c r="M277" s="5" t="s">
        <v>29</v>
      </c>
      <c r="N277" s="7" t="s">
        <v>21</v>
      </c>
      <c r="O277" s="5" t="s">
        <v>29</v>
      </c>
      <c r="P277" s="8">
        <v>1.1477151678139992</v>
      </c>
      <c r="Q277" s="9">
        <f t="shared" si="4"/>
        <v>2.4187019695474631E-4</v>
      </c>
    </row>
    <row r="278" spans="2:17" ht="32.1">
      <c r="B278" s="5">
        <v>276</v>
      </c>
      <c r="C278" s="5">
        <v>851989</v>
      </c>
      <c r="D278" s="6" t="s">
        <v>569</v>
      </c>
      <c r="E278" s="6" t="s">
        <v>527</v>
      </c>
      <c r="F278" s="6" t="s">
        <v>66</v>
      </c>
      <c r="G278" s="6" t="s">
        <v>67</v>
      </c>
      <c r="H278" s="6" t="s">
        <v>28</v>
      </c>
      <c r="I278" s="5" t="s">
        <v>12</v>
      </c>
      <c r="J278" s="5" t="s">
        <v>21</v>
      </c>
      <c r="K278" s="5" t="s">
        <v>21</v>
      </c>
      <c r="L278" s="5" t="s">
        <v>21</v>
      </c>
      <c r="M278" s="5" t="s">
        <v>21</v>
      </c>
      <c r="N278" s="7" t="s">
        <v>21</v>
      </c>
      <c r="O278" s="5" t="s">
        <v>21</v>
      </c>
      <c r="P278" s="8">
        <v>1.1293326760310003</v>
      </c>
      <c r="Q278" s="9">
        <f t="shared" si="4"/>
        <v>2.3799625938490364E-4</v>
      </c>
    </row>
    <row r="279" spans="2:17" ht="32.1">
      <c r="B279" s="5">
        <v>277</v>
      </c>
      <c r="C279" s="5">
        <v>831120</v>
      </c>
      <c r="D279" s="6" t="s">
        <v>575</v>
      </c>
      <c r="E279" s="6" t="s">
        <v>576</v>
      </c>
      <c r="F279" s="6" t="s">
        <v>54</v>
      </c>
      <c r="G279" s="6" t="s">
        <v>559</v>
      </c>
      <c r="H279" s="6" t="s">
        <v>20</v>
      </c>
      <c r="I279" s="5" t="s">
        <v>12</v>
      </c>
      <c r="J279" s="5" t="s">
        <v>21</v>
      </c>
      <c r="K279" s="5" t="s">
        <v>29</v>
      </c>
      <c r="L279" s="5" t="s">
        <v>29</v>
      </c>
      <c r="M279" s="5" t="s">
        <v>29</v>
      </c>
      <c r="N279" s="7" t="s">
        <v>21</v>
      </c>
      <c r="O279" s="5" t="s">
        <v>29</v>
      </c>
      <c r="P279" s="8">
        <v>1.0992761598090004</v>
      </c>
      <c r="Q279" s="9">
        <f t="shared" si="4"/>
        <v>2.3166213075938842E-4</v>
      </c>
    </row>
    <row r="280" spans="2:17" ht="32.1" hidden="1">
      <c r="B280" s="5">
        <v>278</v>
      </c>
      <c r="C280" s="5">
        <v>854419</v>
      </c>
      <c r="D280" s="6" t="s">
        <v>592</v>
      </c>
      <c r="E280" s="6" t="s">
        <v>79</v>
      </c>
      <c r="F280" s="6" t="s">
        <v>54</v>
      </c>
      <c r="G280" s="6" t="s">
        <v>51</v>
      </c>
      <c r="H280" s="6" t="s">
        <v>20</v>
      </c>
      <c r="I280" s="10" t="s">
        <v>103</v>
      </c>
      <c r="J280" s="5" t="s">
        <v>29</v>
      </c>
      <c r="K280" s="5" t="s">
        <v>21</v>
      </c>
      <c r="L280" s="5" t="s">
        <v>29</v>
      </c>
      <c r="M280" s="5" t="s">
        <v>29</v>
      </c>
      <c r="N280" s="7" t="s">
        <v>29</v>
      </c>
      <c r="O280" s="5" t="s">
        <v>29</v>
      </c>
      <c r="P280" s="8">
        <v>1.0978666162999999</v>
      </c>
      <c r="Q280" s="11">
        <f t="shared" si="4"/>
        <v>2.3136508269755305E-4</v>
      </c>
    </row>
    <row r="281" spans="2:17" ht="32.1">
      <c r="B281" s="5">
        <v>279</v>
      </c>
      <c r="C281" s="5">
        <v>847090</v>
      </c>
      <c r="D281" s="6" t="s">
        <v>581</v>
      </c>
      <c r="E281" s="6" t="s">
        <v>582</v>
      </c>
      <c r="F281" s="6" t="s">
        <v>66</v>
      </c>
      <c r="G281" s="6" t="s">
        <v>40</v>
      </c>
      <c r="H281" s="6" t="s">
        <v>28</v>
      </c>
      <c r="I281" s="5" t="s">
        <v>12</v>
      </c>
      <c r="J281" s="5" t="s">
        <v>21</v>
      </c>
      <c r="K281" s="5" t="s">
        <v>21</v>
      </c>
      <c r="L281" s="5" t="s">
        <v>21</v>
      </c>
      <c r="M281" s="5" t="s">
        <v>29</v>
      </c>
      <c r="N281" s="7" t="s">
        <v>21</v>
      </c>
      <c r="O281" s="5" t="s">
        <v>21</v>
      </c>
      <c r="P281" s="8">
        <v>1.0958222121549999</v>
      </c>
      <c r="Q281" s="9">
        <f t="shared" si="4"/>
        <v>2.3093424371670374E-4</v>
      </c>
    </row>
    <row r="282" spans="2:17" ht="32.1">
      <c r="B282" s="5">
        <v>280</v>
      </c>
      <c r="C282" s="5">
        <v>851850</v>
      </c>
      <c r="D282" s="6" t="s">
        <v>566</v>
      </c>
      <c r="E282" s="6" t="s">
        <v>100</v>
      </c>
      <c r="F282" s="6" t="s">
        <v>189</v>
      </c>
      <c r="G282" s="6" t="s">
        <v>40</v>
      </c>
      <c r="H282" s="6" t="s">
        <v>20</v>
      </c>
      <c r="I282" s="5" t="s">
        <v>12</v>
      </c>
      <c r="J282" s="5" t="s">
        <v>21</v>
      </c>
      <c r="K282" s="5" t="s">
        <v>21</v>
      </c>
      <c r="L282" s="5" t="s">
        <v>21</v>
      </c>
      <c r="M282" s="5" t="s">
        <v>29</v>
      </c>
      <c r="N282" s="7" t="s">
        <v>21</v>
      </c>
      <c r="O282" s="5" t="s">
        <v>21</v>
      </c>
      <c r="P282" s="8">
        <v>1.0763327086089993</v>
      </c>
      <c r="Q282" s="9">
        <f t="shared" si="4"/>
        <v>2.2682701381035006E-4</v>
      </c>
    </row>
    <row r="283" spans="2:17" ht="63.95">
      <c r="B283" s="5">
        <v>281</v>
      </c>
      <c r="C283" s="5">
        <v>853329</v>
      </c>
      <c r="D283" s="6" t="s">
        <v>577</v>
      </c>
      <c r="E283" s="6" t="s">
        <v>334</v>
      </c>
      <c r="F283" s="6" t="s">
        <v>54</v>
      </c>
      <c r="G283" s="6" t="s">
        <v>19</v>
      </c>
      <c r="H283" s="6" t="s">
        <v>20</v>
      </c>
      <c r="I283" s="5" t="s">
        <v>12</v>
      </c>
      <c r="J283" s="5" t="s">
        <v>21</v>
      </c>
      <c r="K283" s="5" t="s">
        <v>21</v>
      </c>
      <c r="L283" s="5" t="s">
        <v>21</v>
      </c>
      <c r="M283" s="5" t="s">
        <v>29</v>
      </c>
      <c r="N283" s="7" t="s">
        <v>21</v>
      </c>
      <c r="O283" s="5" t="s">
        <v>21</v>
      </c>
      <c r="P283" s="8">
        <v>1.0614359746460003</v>
      </c>
      <c r="Q283" s="9">
        <f t="shared" si="4"/>
        <v>2.2368766697704502E-4</v>
      </c>
    </row>
    <row r="284" spans="2:17" ht="32.1" hidden="1">
      <c r="B284" s="5">
        <v>282</v>
      </c>
      <c r="C284" s="5">
        <v>850520</v>
      </c>
      <c r="D284" s="6" t="s">
        <v>257</v>
      </c>
      <c r="E284" s="6" t="s">
        <v>258</v>
      </c>
      <c r="F284" s="6" t="s">
        <v>189</v>
      </c>
      <c r="G284" s="6" t="s">
        <v>51</v>
      </c>
      <c r="H284" s="6" t="s">
        <v>20</v>
      </c>
      <c r="I284" s="10" t="s">
        <v>103</v>
      </c>
      <c r="J284" s="5" t="s">
        <v>29</v>
      </c>
      <c r="K284" s="5" t="s">
        <v>21</v>
      </c>
      <c r="L284" s="5" t="s">
        <v>29</v>
      </c>
      <c r="M284" s="5" t="s">
        <v>29</v>
      </c>
      <c r="N284" s="7" t="s">
        <v>29</v>
      </c>
      <c r="O284" s="5" t="s">
        <v>29</v>
      </c>
      <c r="P284" s="8">
        <v>1.0477019761150004</v>
      </c>
      <c r="Q284" s="11">
        <f t="shared" si="4"/>
        <v>2.2079335572036267E-4</v>
      </c>
    </row>
    <row r="285" spans="2:17" ht="32.1" hidden="1">
      <c r="B285" s="5">
        <v>283</v>
      </c>
      <c r="C285" s="5">
        <v>842219</v>
      </c>
      <c r="D285" s="6" t="s">
        <v>139</v>
      </c>
      <c r="E285" s="6" t="s">
        <v>140</v>
      </c>
      <c r="F285" s="6" t="s">
        <v>112</v>
      </c>
      <c r="G285" s="6" t="s">
        <v>51</v>
      </c>
      <c r="H285" s="6" t="s">
        <v>28</v>
      </c>
      <c r="I285" s="10" t="s">
        <v>103</v>
      </c>
      <c r="J285" s="5" t="s">
        <v>29</v>
      </c>
      <c r="K285" s="5" t="s">
        <v>21</v>
      </c>
      <c r="L285" s="5" t="s">
        <v>29</v>
      </c>
      <c r="M285" s="5" t="s">
        <v>29</v>
      </c>
      <c r="N285" s="7" t="s">
        <v>29</v>
      </c>
      <c r="O285" s="5" t="s">
        <v>29</v>
      </c>
      <c r="P285" s="8">
        <v>1.02322013402</v>
      </c>
      <c r="Q285" s="11">
        <f t="shared" si="4"/>
        <v>2.1563403733249905E-4</v>
      </c>
    </row>
    <row r="286" spans="2:17" ht="63.95" hidden="1">
      <c r="B286" s="5">
        <v>284</v>
      </c>
      <c r="C286" s="5">
        <v>853080</v>
      </c>
      <c r="D286" s="6" t="s">
        <v>465</v>
      </c>
      <c r="E286" s="6" t="s">
        <v>464</v>
      </c>
      <c r="F286" s="6" t="s">
        <v>189</v>
      </c>
      <c r="G286" s="6" t="s">
        <v>51</v>
      </c>
      <c r="H286" s="6" t="s">
        <v>20</v>
      </c>
      <c r="I286" s="10" t="s">
        <v>103</v>
      </c>
      <c r="J286" s="5" t="s">
        <v>29</v>
      </c>
      <c r="K286" s="5" t="s">
        <v>21</v>
      </c>
      <c r="L286" s="5" t="s">
        <v>29</v>
      </c>
      <c r="M286" s="5" t="s">
        <v>29</v>
      </c>
      <c r="N286" s="7" t="s">
        <v>29</v>
      </c>
      <c r="O286" s="5" t="s">
        <v>29</v>
      </c>
      <c r="P286" s="8">
        <v>1.0190084627560001</v>
      </c>
      <c r="Q286" s="11">
        <f t="shared" si="4"/>
        <v>2.1474646715245819E-4</v>
      </c>
    </row>
    <row r="287" spans="2:17" ht="32.1" hidden="1">
      <c r="B287" s="5">
        <v>285</v>
      </c>
      <c r="C287" s="5">
        <v>853521</v>
      </c>
      <c r="D287" s="6" t="s">
        <v>503</v>
      </c>
      <c r="E287" s="6" t="s">
        <v>249</v>
      </c>
      <c r="F287" s="6" t="s">
        <v>54</v>
      </c>
      <c r="G287" s="6" t="s">
        <v>51</v>
      </c>
      <c r="H287" s="6" t="s">
        <v>20</v>
      </c>
      <c r="I287" s="10" t="s">
        <v>103</v>
      </c>
      <c r="J287" s="5" t="s">
        <v>29</v>
      </c>
      <c r="K287" s="5" t="s">
        <v>21</v>
      </c>
      <c r="L287" s="5" t="s">
        <v>29</v>
      </c>
      <c r="M287" s="5" t="s">
        <v>29</v>
      </c>
      <c r="N287" s="7" t="s">
        <v>29</v>
      </c>
      <c r="O287" s="5" t="s">
        <v>29</v>
      </c>
      <c r="P287" s="8">
        <v>1.0178471596950005</v>
      </c>
      <c r="Q287" s="11">
        <f t="shared" si="4"/>
        <v>2.1450173343457669E-4</v>
      </c>
    </row>
    <row r="288" spans="2:17" ht="32.1" hidden="1">
      <c r="B288" s="5">
        <v>286</v>
      </c>
      <c r="C288" s="5">
        <v>842390</v>
      </c>
      <c r="D288" s="6" t="s">
        <v>151</v>
      </c>
      <c r="E288" s="6" t="s">
        <v>142</v>
      </c>
      <c r="F288" s="6" t="s">
        <v>66</v>
      </c>
      <c r="G288" s="6" t="s">
        <v>51</v>
      </c>
      <c r="H288" s="6" t="s">
        <v>28</v>
      </c>
      <c r="I288" s="10" t="s">
        <v>103</v>
      </c>
      <c r="J288" s="5" t="s">
        <v>29</v>
      </c>
      <c r="K288" s="5" t="s">
        <v>21</v>
      </c>
      <c r="L288" s="5" t="s">
        <v>29</v>
      </c>
      <c r="M288" s="5" t="s">
        <v>29</v>
      </c>
      <c r="N288" s="7" t="s">
        <v>29</v>
      </c>
      <c r="O288" s="5" t="s">
        <v>29</v>
      </c>
      <c r="P288" s="8">
        <v>1.0151835275700001</v>
      </c>
      <c r="Q288" s="11">
        <f t="shared" si="4"/>
        <v>2.1394039797020714E-4</v>
      </c>
    </row>
    <row r="289" spans="2:18" ht="32.1">
      <c r="B289" s="5">
        <v>287</v>
      </c>
      <c r="C289" s="5">
        <v>901290</v>
      </c>
      <c r="D289" s="6" t="s">
        <v>570</v>
      </c>
      <c r="E289" s="6" t="s">
        <v>571</v>
      </c>
      <c r="F289" s="6" t="s">
        <v>189</v>
      </c>
      <c r="G289" s="6" t="s">
        <v>40</v>
      </c>
      <c r="H289" s="6" t="s">
        <v>20</v>
      </c>
      <c r="I289" s="5" t="s">
        <v>12</v>
      </c>
      <c r="J289" s="5" t="s">
        <v>21</v>
      </c>
      <c r="K289" s="5" t="s">
        <v>21</v>
      </c>
      <c r="L289" s="5" t="s">
        <v>29</v>
      </c>
      <c r="M289" s="5" t="s">
        <v>29</v>
      </c>
      <c r="N289" s="7" t="s">
        <v>21</v>
      </c>
      <c r="O289" s="5" t="s">
        <v>21</v>
      </c>
      <c r="P289" s="8">
        <v>1.0020703540390001</v>
      </c>
      <c r="Q289" s="9">
        <f t="shared" si="4"/>
        <v>2.1117691975401724E-4</v>
      </c>
    </row>
    <row r="290" spans="2:18" ht="32.1">
      <c r="B290" s="5">
        <v>288</v>
      </c>
      <c r="C290" s="5">
        <v>903220</v>
      </c>
      <c r="D290" s="6" t="s">
        <v>578</v>
      </c>
      <c r="E290" s="6" t="s">
        <v>481</v>
      </c>
      <c r="F290" s="6" t="s">
        <v>54</v>
      </c>
      <c r="G290" s="6" t="s">
        <v>40</v>
      </c>
      <c r="H290" s="6" t="s">
        <v>20</v>
      </c>
      <c r="I290" s="5" t="s">
        <v>12</v>
      </c>
      <c r="J290" s="5" t="s">
        <v>21</v>
      </c>
      <c r="K290" s="5" t="s">
        <v>21</v>
      </c>
      <c r="L290" s="5" t="s">
        <v>21</v>
      </c>
      <c r="M290" s="5" t="s">
        <v>29</v>
      </c>
      <c r="N290" s="7" t="s">
        <v>21</v>
      </c>
      <c r="O290" s="5" t="s">
        <v>21</v>
      </c>
      <c r="P290" s="8">
        <v>0.9779678864950001</v>
      </c>
      <c r="Q290" s="9">
        <f t="shared" si="4"/>
        <v>2.0609755099123772E-4</v>
      </c>
    </row>
    <row r="291" spans="2:18" ht="63.95">
      <c r="B291" s="5">
        <v>289</v>
      </c>
      <c r="C291" s="5">
        <v>340391</v>
      </c>
      <c r="D291" s="6" t="s">
        <v>579</v>
      </c>
      <c r="E291" s="6" t="s">
        <v>580</v>
      </c>
      <c r="F291" s="6" t="s">
        <v>50</v>
      </c>
      <c r="G291" s="6" t="s">
        <v>51</v>
      </c>
      <c r="H291" s="6" t="s">
        <v>20</v>
      </c>
      <c r="I291" s="5" t="s">
        <v>11</v>
      </c>
      <c r="J291" s="5" t="s">
        <v>21</v>
      </c>
      <c r="K291" s="5" t="s">
        <v>29</v>
      </c>
      <c r="L291" s="5" t="s">
        <v>29</v>
      </c>
      <c r="M291" s="5" t="s">
        <v>21</v>
      </c>
      <c r="N291" s="7" t="s">
        <v>29</v>
      </c>
      <c r="O291" s="5" t="s">
        <v>29</v>
      </c>
      <c r="P291" s="8">
        <v>0.96259559527800032</v>
      </c>
      <c r="Q291" s="9">
        <f t="shared" si="4"/>
        <v>2.0285798493114708E-4</v>
      </c>
    </row>
    <row r="292" spans="2:18" ht="32.1" hidden="1">
      <c r="B292" s="5">
        <v>290</v>
      </c>
      <c r="C292" s="5">
        <v>851240</v>
      </c>
      <c r="D292" s="6" t="s">
        <v>309</v>
      </c>
      <c r="E292" s="6" t="s">
        <v>310</v>
      </c>
      <c r="F292" s="6" t="s">
        <v>66</v>
      </c>
      <c r="G292" s="6" t="s">
        <v>51</v>
      </c>
      <c r="H292" s="6" t="s">
        <v>20</v>
      </c>
      <c r="I292" s="10" t="s">
        <v>103</v>
      </c>
      <c r="J292" s="5" t="s">
        <v>29</v>
      </c>
      <c r="K292" s="5" t="s">
        <v>21</v>
      </c>
      <c r="L292" s="5" t="s">
        <v>29</v>
      </c>
      <c r="M292" s="5" t="s">
        <v>29</v>
      </c>
      <c r="N292" s="7" t="s">
        <v>29</v>
      </c>
      <c r="O292" s="5" t="s">
        <v>29</v>
      </c>
      <c r="P292" s="8">
        <v>0.94753095486100025</v>
      </c>
      <c r="Q292" s="11">
        <f t="shared" si="4"/>
        <v>1.9968325338895427E-4</v>
      </c>
    </row>
    <row r="293" spans="2:18" ht="63.95">
      <c r="B293" s="5">
        <v>291</v>
      </c>
      <c r="C293" s="5">
        <v>852729</v>
      </c>
      <c r="D293" s="6" t="s">
        <v>564</v>
      </c>
      <c r="E293" s="6" t="s">
        <v>407</v>
      </c>
      <c r="F293" s="6" t="s">
        <v>266</v>
      </c>
      <c r="G293" s="6" t="s">
        <v>27</v>
      </c>
      <c r="H293" s="6" t="s">
        <v>28</v>
      </c>
      <c r="I293" s="5" t="s">
        <v>12</v>
      </c>
      <c r="J293" s="5" t="s">
        <v>21</v>
      </c>
      <c r="K293" s="5" t="s">
        <v>21</v>
      </c>
      <c r="L293" s="5" t="s">
        <v>21</v>
      </c>
      <c r="M293" s="5" t="s">
        <v>29</v>
      </c>
      <c r="N293" s="7" t="s">
        <v>21</v>
      </c>
      <c r="O293" s="5" t="s">
        <v>21</v>
      </c>
      <c r="P293" s="8">
        <v>0.94359220816199985</v>
      </c>
      <c r="Q293" s="9">
        <f t="shared" si="4"/>
        <v>1.9885319949879214E-4</v>
      </c>
      <c r="R293" s="16"/>
    </row>
    <row r="294" spans="2:18" ht="48" hidden="1">
      <c r="B294" s="5">
        <v>292</v>
      </c>
      <c r="C294" s="5">
        <v>845630</v>
      </c>
      <c r="D294" s="6" t="s">
        <v>190</v>
      </c>
      <c r="E294" s="6" t="s">
        <v>191</v>
      </c>
      <c r="F294" s="6" t="s">
        <v>189</v>
      </c>
      <c r="G294" s="6" t="s">
        <v>51</v>
      </c>
      <c r="H294" s="6" t="s">
        <v>28</v>
      </c>
      <c r="I294" s="10" t="s">
        <v>103</v>
      </c>
      <c r="J294" s="5" t="s">
        <v>29</v>
      </c>
      <c r="K294" s="5" t="s">
        <v>21</v>
      </c>
      <c r="L294" s="5" t="s">
        <v>29</v>
      </c>
      <c r="M294" s="5" t="s">
        <v>29</v>
      </c>
      <c r="N294" s="7" t="s">
        <v>29</v>
      </c>
      <c r="O294" s="5" t="s">
        <v>29</v>
      </c>
      <c r="P294" s="8">
        <v>0.93255718514600006</v>
      </c>
      <c r="Q294" s="11">
        <f t="shared" si="4"/>
        <v>1.9652767199412072E-4</v>
      </c>
    </row>
    <row r="295" spans="2:18" ht="48">
      <c r="B295" s="5">
        <v>293</v>
      </c>
      <c r="C295" s="5">
        <v>853931</v>
      </c>
      <c r="D295" s="6" t="s">
        <v>621</v>
      </c>
      <c r="E295" s="6" t="s">
        <v>316</v>
      </c>
      <c r="F295" s="6" t="s">
        <v>66</v>
      </c>
      <c r="G295" s="6" t="s">
        <v>51</v>
      </c>
      <c r="H295" s="6" t="s">
        <v>28</v>
      </c>
      <c r="I295" s="5" t="s">
        <v>96</v>
      </c>
      <c r="J295" s="5" t="s">
        <v>21</v>
      </c>
      <c r="K295" s="5" t="s">
        <v>21</v>
      </c>
      <c r="L295" s="5" t="s">
        <v>29</v>
      </c>
      <c r="M295" s="5" t="s">
        <v>29</v>
      </c>
      <c r="N295" s="7" t="s">
        <v>29</v>
      </c>
      <c r="O295" s="5" t="s">
        <v>21</v>
      </c>
      <c r="P295" s="8">
        <v>0.91738476579900008</v>
      </c>
      <c r="Q295" s="9">
        <f t="shared" si="4"/>
        <v>1.9333022705425075E-4</v>
      </c>
    </row>
    <row r="296" spans="2:18" ht="32.1">
      <c r="B296" s="5">
        <v>294</v>
      </c>
      <c r="C296" s="5">
        <v>903020</v>
      </c>
      <c r="D296" s="6" t="s">
        <v>572</v>
      </c>
      <c r="E296" s="6" t="s">
        <v>572</v>
      </c>
      <c r="F296" s="6" t="s">
        <v>189</v>
      </c>
      <c r="G296" s="6" t="s">
        <v>40</v>
      </c>
      <c r="H296" s="6" t="s">
        <v>20</v>
      </c>
      <c r="I296" s="5" t="s">
        <v>12</v>
      </c>
      <c r="J296" s="5" t="s">
        <v>21</v>
      </c>
      <c r="K296" s="5" t="s">
        <v>21</v>
      </c>
      <c r="L296" s="5" t="s">
        <v>29</v>
      </c>
      <c r="M296" s="5" t="s">
        <v>29</v>
      </c>
      <c r="N296" s="7" t="s">
        <v>21</v>
      </c>
      <c r="O296" s="5" t="s">
        <v>21</v>
      </c>
      <c r="P296" s="8">
        <v>0.90681918982099996</v>
      </c>
      <c r="Q296" s="9">
        <f t="shared" si="4"/>
        <v>1.9110363110570494E-4</v>
      </c>
    </row>
    <row r="297" spans="2:18" ht="32.1" hidden="1">
      <c r="B297" s="5">
        <v>295</v>
      </c>
      <c r="C297" s="5">
        <v>851090</v>
      </c>
      <c r="D297" s="6" t="s">
        <v>298</v>
      </c>
      <c r="E297" s="6" t="s">
        <v>299</v>
      </c>
      <c r="F297" s="6" t="s">
        <v>66</v>
      </c>
      <c r="G297" s="6" t="s">
        <v>51</v>
      </c>
      <c r="H297" s="6" t="s">
        <v>20</v>
      </c>
      <c r="I297" s="10" t="s">
        <v>103</v>
      </c>
      <c r="J297" s="5" t="s">
        <v>29</v>
      </c>
      <c r="K297" s="5" t="s">
        <v>21</v>
      </c>
      <c r="L297" s="5" t="s">
        <v>21</v>
      </c>
      <c r="M297" s="5" t="s">
        <v>29</v>
      </c>
      <c r="N297" s="7" t="s">
        <v>29</v>
      </c>
      <c r="O297" s="5" t="s">
        <v>29</v>
      </c>
      <c r="P297" s="8">
        <v>0.86561880877999986</v>
      </c>
      <c r="Q297" s="11">
        <f t="shared" si="4"/>
        <v>1.824210375873345E-4</v>
      </c>
    </row>
    <row r="298" spans="2:18" ht="63.95">
      <c r="B298" s="5">
        <v>296</v>
      </c>
      <c r="C298" s="5">
        <v>903031</v>
      </c>
      <c r="D298" s="6" t="s">
        <v>583</v>
      </c>
      <c r="E298" s="6" t="s">
        <v>473</v>
      </c>
      <c r="F298" s="6" t="s">
        <v>189</v>
      </c>
      <c r="G298" s="6" t="s">
        <v>40</v>
      </c>
      <c r="H298" s="6" t="s">
        <v>28</v>
      </c>
      <c r="I298" s="5" t="s">
        <v>12</v>
      </c>
      <c r="J298" s="5" t="s">
        <v>21</v>
      </c>
      <c r="K298" s="5" t="s">
        <v>21</v>
      </c>
      <c r="L298" s="5" t="s">
        <v>29</v>
      </c>
      <c r="M298" s="5" t="s">
        <v>29</v>
      </c>
      <c r="N298" s="7" t="s">
        <v>21</v>
      </c>
      <c r="O298" s="5" t="s">
        <v>21</v>
      </c>
      <c r="P298" s="8">
        <v>0.86334433394499954</v>
      </c>
      <c r="Q298" s="9">
        <f t="shared" si="4"/>
        <v>1.8194171336845364E-4</v>
      </c>
    </row>
    <row r="299" spans="2:18" ht="48">
      <c r="B299" s="5">
        <v>297</v>
      </c>
      <c r="C299" s="5">
        <v>902213</v>
      </c>
      <c r="D299" s="6" t="s">
        <v>632</v>
      </c>
      <c r="E299" s="6" t="s">
        <v>391</v>
      </c>
      <c r="F299" s="6" t="s">
        <v>198</v>
      </c>
      <c r="G299" s="6" t="s">
        <v>40</v>
      </c>
      <c r="H299" s="6" t="s">
        <v>28</v>
      </c>
      <c r="I299" s="5" t="s">
        <v>12</v>
      </c>
      <c r="J299" s="5" t="s">
        <v>21</v>
      </c>
      <c r="K299" s="5" t="s">
        <v>21</v>
      </c>
      <c r="L299" s="5" t="s">
        <v>29</v>
      </c>
      <c r="M299" s="5" t="s">
        <v>29</v>
      </c>
      <c r="N299" s="7" t="s">
        <v>21</v>
      </c>
      <c r="O299" s="5" t="s">
        <v>21</v>
      </c>
      <c r="P299" s="8">
        <v>0.8562442733190001</v>
      </c>
      <c r="Q299" s="9">
        <f t="shared" si="4"/>
        <v>1.8044544224634938E-4</v>
      </c>
    </row>
    <row r="300" spans="2:18" ht="48">
      <c r="B300" s="5">
        <v>298</v>
      </c>
      <c r="C300" s="5">
        <v>854151</v>
      </c>
      <c r="D300" s="6" t="s">
        <v>587</v>
      </c>
      <c r="E300" s="6" t="s">
        <v>63</v>
      </c>
      <c r="F300" s="6" t="s">
        <v>18</v>
      </c>
      <c r="G300" s="6" t="s">
        <v>19</v>
      </c>
      <c r="H300" s="6" t="s">
        <v>20</v>
      </c>
      <c r="I300" s="5" t="s">
        <v>12</v>
      </c>
      <c r="J300" s="5" t="s">
        <v>21</v>
      </c>
      <c r="K300" s="5" t="s">
        <v>29</v>
      </c>
      <c r="L300" s="5" t="s">
        <v>29</v>
      </c>
      <c r="M300" s="5" t="s">
        <v>29</v>
      </c>
      <c r="N300" s="7" t="s">
        <v>21</v>
      </c>
      <c r="O300" s="5" t="s">
        <v>29</v>
      </c>
      <c r="P300" s="8">
        <v>0.8397607182150002</v>
      </c>
      <c r="Q300" s="9">
        <f t="shared" si="4"/>
        <v>1.7697168775453371E-4</v>
      </c>
    </row>
    <row r="301" spans="2:18" ht="63.95">
      <c r="B301" s="5">
        <v>299</v>
      </c>
      <c r="C301" s="5">
        <v>852799</v>
      </c>
      <c r="D301" s="6" t="s">
        <v>598</v>
      </c>
      <c r="E301" s="6" t="s">
        <v>407</v>
      </c>
      <c r="F301" s="6" t="s">
        <v>266</v>
      </c>
      <c r="G301" s="6" t="s">
        <v>27</v>
      </c>
      <c r="H301" s="6" t="s">
        <v>28</v>
      </c>
      <c r="I301" s="5" t="s">
        <v>12</v>
      </c>
      <c r="J301" s="5" t="s">
        <v>21</v>
      </c>
      <c r="K301" s="5" t="s">
        <v>21</v>
      </c>
      <c r="L301" s="5" t="s">
        <v>21</v>
      </c>
      <c r="M301" s="5" t="s">
        <v>29</v>
      </c>
      <c r="N301" s="7" t="s">
        <v>21</v>
      </c>
      <c r="O301" s="5" t="s">
        <v>21</v>
      </c>
      <c r="P301" s="8">
        <v>0.82991505891299988</v>
      </c>
      <c r="Q301" s="9">
        <f t="shared" si="4"/>
        <v>1.7489680748693226E-4</v>
      </c>
      <c r="R301" s="16"/>
    </row>
    <row r="302" spans="2:18" ht="32.1" hidden="1">
      <c r="B302" s="5">
        <v>300</v>
      </c>
      <c r="C302" s="5">
        <v>853910</v>
      </c>
      <c r="D302" s="6" t="s">
        <v>530</v>
      </c>
      <c r="E302" s="6" t="s">
        <v>316</v>
      </c>
      <c r="F302" s="6" t="s">
        <v>66</v>
      </c>
      <c r="G302" s="6" t="s">
        <v>51</v>
      </c>
      <c r="H302" s="6" t="s">
        <v>28</v>
      </c>
      <c r="I302" s="10" t="s">
        <v>103</v>
      </c>
      <c r="J302" s="5" t="s">
        <v>29</v>
      </c>
      <c r="K302" s="5" t="s">
        <v>21</v>
      </c>
      <c r="L302" s="5" t="s">
        <v>29</v>
      </c>
      <c r="M302" s="5" t="s">
        <v>29</v>
      </c>
      <c r="N302" s="7" t="s">
        <v>29</v>
      </c>
      <c r="O302" s="5" t="s">
        <v>29</v>
      </c>
      <c r="P302" s="8">
        <v>0.82371559020099983</v>
      </c>
      <c r="Q302" s="11">
        <f t="shared" si="4"/>
        <v>1.7359032765601549E-4</v>
      </c>
    </row>
    <row r="303" spans="2:18" ht="63.95" hidden="1">
      <c r="B303" s="5">
        <v>301</v>
      </c>
      <c r="C303" s="5">
        <v>853090</v>
      </c>
      <c r="D303" s="6" t="s">
        <v>466</v>
      </c>
      <c r="E303" s="6" t="s">
        <v>467</v>
      </c>
      <c r="F303" s="6" t="s">
        <v>189</v>
      </c>
      <c r="G303" s="6" t="s">
        <v>51</v>
      </c>
      <c r="H303" s="6" t="s">
        <v>20</v>
      </c>
      <c r="I303" s="10" t="s">
        <v>103</v>
      </c>
      <c r="J303" s="5" t="s">
        <v>29</v>
      </c>
      <c r="K303" s="5" t="s">
        <v>21</v>
      </c>
      <c r="L303" s="5" t="s">
        <v>29</v>
      </c>
      <c r="M303" s="5" t="s">
        <v>29</v>
      </c>
      <c r="N303" s="7" t="s">
        <v>29</v>
      </c>
      <c r="O303" s="5" t="s">
        <v>29</v>
      </c>
      <c r="P303" s="8">
        <v>0.80962210800699974</v>
      </c>
      <c r="Q303" s="11">
        <f t="shared" si="4"/>
        <v>1.7062025859216094E-4</v>
      </c>
    </row>
    <row r="304" spans="2:18" ht="63.95">
      <c r="B304" s="5">
        <v>302</v>
      </c>
      <c r="C304" s="5">
        <v>847010</v>
      </c>
      <c r="D304" s="6" t="s">
        <v>593</v>
      </c>
      <c r="E304" s="6" t="s">
        <v>594</v>
      </c>
      <c r="F304" s="6" t="s">
        <v>66</v>
      </c>
      <c r="G304" s="6" t="s">
        <v>67</v>
      </c>
      <c r="H304" s="6" t="s">
        <v>28</v>
      </c>
      <c r="I304" s="5" t="s">
        <v>12</v>
      </c>
      <c r="J304" s="5" t="s">
        <v>21</v>
      </c>
      <c r="K304" s="5" t="s">
        <v>21</v>
      </c>
      <c r="L304" s="5" t="s">
        <v>21</v>
      </c>
      <c r="M304" s="5" t="s">
        <v>29</v>
      </c>
      <c r="N304" s="7" t="s">
        <v>21</v>
      </c>
      <c r="O304" s="5" t="s">
        <v>21</v>
      </c>
      <c r="P304" s="8">
        <v>0.80843204925500012</v>
      </c>
      <c r="Q304" s="9">
        <f t="shared" si="4"/>
        <v>1.7036946488235738E-4</v>
      </c>
    </row>
    <row r="305" spans="2:17" ht="63.95" hidden="1">
      <c r="B305" s="5">
        <v>303</v>
      </c>
      <c r="C305" s="5">
        <v>847350</v>
      </c>
      <c r="D305" s="6" t="s">
        <v>229</v>
      </c>
      <c r="E305" s="6" t="s">
        <v>230</v>
      </c>
      <c r="F305" s="6" t="s">
        <v>36</v>
      </c>
      <c r="G305" s="6" t="s">
        <v>51</v>
      </c>
      <c r="H305" s="6" t="s">
        <v>20</v>
      </c>
      <c r="I305" s="10" t="s">
        <v>103</v>
      </c>
      <c r="J305" s="5" t="s">
        <v>29</v>
      </c>
      <c r="K305" s="5" t="s">
        <v>21</v>
      </c>
      <c r="L305" s="5" t="s">
        <v>29</v>
      </c>
      <c r="M305" s="5" t="s">
        <v>29</v>
      </c>
      <c r="N305" s="7" t="s">
        <v>29</v>
      </c>
      <c r="O305" s="5" t="s">
        <v>29</v>
      </c>
      <c r="P305" s="8">
        <v>0.80806151334400023</v>
      </c>
      <c r="Q305" s="11">
        <f t="shared" si="4"/>
        <v>1.702913779176769E-4</v>
      </c>
    </row>
    <row r="306" spans="2:17" ht="48">
      <c r="B306" s="5">
        <v>304</v>
      </c>
      <c r="C306" s="5">
        <v>850432</v>
      </c>
      <c r="D306" s="6" t="s">
        <v>590</v>
      </c>
      <c r="E306" s="6" t="s">
        <v>213</v>
      </c>
      <c r="F306" s="6" t="s">
        <v>54</v>
      </c>
      <c r="G306" s="6" t="s">
        <v>40</v>
      </c>
      <c r="H306" s="6" t="s">
        <v>20</v>
      </c>
      <c r="I306" s="5" t="s">
        <v>12</v>
      </c>
      <c r="J306" s="5" t="s">
        <v>21</v>
      </c>
      <c r="K306" s="5" t="s">
        <v>21</v>
      </c>
      <c r="L306" s="5" t="s">
        <v>21</v>
      </c>
      <c r="M306" s="5" t="s">
        <v>21</v>
      </c>
      <c r="N306" s="7" t="s">
        <v>21</v>
      </c>
      <c r="O306" s="5" t="s">
        <v>21</v>
      </c>
      <c r="P306" s="8">
        <v>0.79840240194500001</v>
      </c>
      <c r="Q306" s="9">
        <f t="shared" si="4"/>
        <v>1.6825581086933529E-4</v>
      </c>
    </row>
    <row r="307" spans="2:17" ht="63.95" hidden="1">
      <c r="B307" s="5">
        <v>305</v>
      </c>
      <c r="C307" s="5">
        <v>842381</v>
      </c>
      <c r="D307" s="6" t="s">
        <v>147</v>
      </c>
      <c r="E307" s="6" t="s">
        <v>146</v>
      </c>
      <c r="F307" s="6" t="s">
        <v>66</v>
      </c>
      <c r="G307" s="6" t="s">
        <v>51</v>
      </c>
      <c r="H307" s="6" t="s">
        <v>28</v>
      </c>
      <c r="I307" s="10" t="s">
        <v>103</v>
      </c>
      <c r="J307" s="5" t="s">
        <v>29</v>
      </c>
      <c r="K307" s="5" t="s">
        <v>21</v>
      </c>
      <c r="L307" s="5" t="s">
        <v>29</v>
      </c>
      <c r="M307" s="5" t="s">
        <v>29</v>
      </c>
      <c r="N307" s="7" t="s">
        <v>29</v>
      </c>
      <c r="O307" s="5" t="s">
        <v>29</v>
      </c>
      <c r="P307" s="8">
        <v>0.77843405327500015</v>
      </c>
      <c r="Q307" s="11">
        <f t="shared" si="4"/>
        <v>1.6404766884846011E-4</v>
      </c>
    </row>
    <row r="308" spans="2:17" ht="63.95" hidden="1">
      <c r="B308" s="5">
        <v>306</v>
      </c>
      <c r="C308" s="5">
        <v>854710</v>
      </c>
      <c r="D308" s="6" t="s">
        <v>612</v>
      </c>
      <c r="E308" s="6" t="s">
        <v>613</v>
      </c>
      <c r="F308" s="6" t="s">
        <v>54</v>
      </c>
      <c r="G308" s="6" t="s">
        <v>51</v>
      </c>
      <c r="H308" s="6" t="s">
        <v>20</v>
      </c>
      <c r="I308" s="10" t="s">
        <v>103</v>
      </c>
      <c r="J308" s="5" t="s">
        <v>29</v>
      </c>
      <c r="K308" s="5" t="s">
        <v>21</v>
      </c>
      <c r="L308" s="5" t="s">
        <v>29</v>
      </c>
      <c r="M308" s="5" t="s">
        <v>29</v>
      </c>
      <c r="N308" s="7" t="s">
        <v>29</v>
      </c>
      <c r="O308" s="5" t="s">
        <v>29</v>
      </c>
      <c r="P308" s="8">
        <v>0.71994717810600006</v>
      </c>
      <c r="Q308" s="11">
        <f t="shared" si="4"/>
        <v>1.51722108976896E-4</v>
      </c>
    </row>
    <row r="309" spans="2:17" ht="63.95">
      <c r="B309" s="5">
        <v>307</v>
      </c>
      <c r="C309" s="5">
        <v>850780</v>
      </c>
      <c r="D309" s="6" t="s">
        <v>589</v>
      </c>
      <c r="E309" s="6" t="s">
        <v>42</v>
      </c>
      <c r="F309" s="6" t="s">
        <v>26</v>
      </c>
      <c r="G309" s="6" t="s">
        <v>43</v>
      </c>
      <c r="H309" s="6" t="s">
        <v>20</v>
      </c>
      <c r="I309" s="5" t="s">
        <v>12</v>
      </c>
      <c r="J309" s="5" t="s">
        <v>21</v>
      </c>
      <c r="K309" s="5" t="s">
        <v>21</v>
      </c>
      <c r="L309" s="5" t="s">
        <v>29</v>
      </c>
      <c r="M309" s="5" t="s">
        <v>29</v>
      </c>
      <c r="N309" s="7" t="s">
        <v>21</v>
      </c>
      <c r="O309" s="5" t="s">
        <v>29</v>
      </c>
      <c r="P309" s="8">
        <v>0.71872859884200002</v>
      </c>
      <c r="Q309" s="9">
        <f t="shared" si="4"/>
        <v>1.5146530483693674E-4</v>
      </c>
    </row>
    <row r="310" spans="2:17" ht="48">
      <c r="B310" s="5">
        <v>308</v>
      </c>
      <c r="C310" s="5">
        <v>910521</v>
      </c>
      <c r="D310" s="6" t="s">
        <v>599</v>
      </c>
      <c r="E310" s="6" t="s">
        <v>600</v>
      </c>
      <c r="F310" s="6" t="s">
        <v>66</v>
      </c>
      <c r="G310" s="6" t="s">
        <v>67</v>
      </c>
      <c r="H310" s="6" t="s">
        <v>28</v>
      </c>
      <c r="I310" s="5" t="s">
        <v>12</v>
      </c>
      <c r="J310" s="5" t="s">
        <v>21</v>
      </c>
      <c r="K310" s="5" t="s">
        <v>21</v>
      </c>
      <c r="L310" s="5" t="s">
        <v>21</v>
      </c>
      <c r="M310" s="5" t="s">
        <v>29</v>
      </c>
      <c r="N310" s="7" t="s">
        <v>21</v>
      </c>
      <c r="O310" s="5" t="s">
        <v>21</v>
      </c>
      <c r="P310" s="8">
        <v>0.71028785997400012</v>
      </c>
      <c r="Q310" s="9">
        <f t="shared" si="4"/>
        <v>1.496864983615155E-4</v>
      </c>
    </row>
    <row r="311" spans="2:17" ht="32.1" hidden="1">
      <c r="B311" s="5">
        <v>309</v>
      </c>
      <c r="C311" s="5">
        <v>853529</v>
      </c>
      <c r="D311" s="6" t="s">
        <v>504</v>
      </c>
      <c r="E311" s="6" t="s">
        <v>249</v>
      </c>
      <c r="F311" s="6" t="s">
        <v>54</v>
      </c>
      <c r="G311" s="6" t="s">
        <v>51</v>
      </c>
      <c r="H311" s="6" t="s">
        <v>20</v>
      </c>
      <c r="I311" s="10" t="s">
        <v>103</v>
      </c>
      <c r="J311" s="5" t="s">
        <v>29</v>
      </c>
      <c r="K311" s="5" t="s">
        <v>21</v>
      </c>
      <c r="L311" s="5" t="s">
        <v>29</v>
      </c>
      <c r="M311" s="5" t="s">
        <v>29</v>
      </c>
      <c r="N311" s="7" t="s">
        <v>29</v>
      </c>
      <c r="O311" s="5" t="s">
        <v>29</v>
      </c>
      <c r="P311" s="8">
        <v>0.70486191332300008</v>
      </c>
      <c r="Q311" s="11">
        <f t="shared" si="4"/>
        <v>1.4854303104318864E-4</v>
      </c>
    </row>
    <row r="312" spans="2:17" ht="32.1" hidden="1">
      <c r="B312" s="5">
        <v>310</v>
      </c>
      <c r="C312" s="5">
        <v>850410</v>
      </c>
      <c r="D312" s="6" t="s">
        <v>237</v>
      </c>
      <c r="E312" s="6" t="s">
        <v>238</v>
      </c>
      <c r="F312" s="6" t="s">
        <v>54</v>
      </c>
      <c r="G312" s="6" t="s">
        <v>51</v>
      </c>
      <c r="H312" s="6" t="s">
        <v>20</v>
      </c>
      <c r="I312" s="10" t="s">
        <v>103</v>
      </c>
      <c r="J312" s="5" t="s">
        <v>29</v>
      </c>
      <c r="K312" s="5" t="s">
        <v>21</v>
      </c>
      <c r="L312" s="5" t="s">
        <v>29</v>
      </c>
      <c r="M312" s="5" t="s">
        <v>29</v>
      </c>
      <c r="N312" s="7" t="s">
        <v>29</v>
      </c>
      <c r="O312" s="5" t="s">
        <v>29</v>
      </c>
      <c r="P312" s="8">
        <v>0.70036805145900016</v>
      </c>
      <c r="Q312" s="11">
        <f t="shared" si="4"/>
        <v>1.4759599184338153E-4</v>
      </c>
    </row>
    <row r="313" spans="2:17" ht="48">
      <c r="B313" s="5">
        <v>311</v>
      </c>
      <c r="C313" s="5">
        <v>850730</v>
      </c>
      <c r="D313" s="6" t="s">
        <v>585</v>
      </c>
      <c r="E313" s="6" t="s">
        <v>42</v>
      </c>
      <c r="F313" s="6" t="s">
        <v>26</v>
      </c>
      <c r="G313" s="6" t="s">
        <v>43</v>
      </c>
      <c r="H313" s="6" t="s">
        <v>20</v>
      </c>
      <c r="I313" s="5" t="s">
        <v>12</v>
      </c>
      <c r="J313" s="5" t="s">
        <v>21</v>
      </c>
      <c r="K313" s="5" t="s">
        <v>21</v>
      </c>
      <c r="L313" s="5" t="s">
        <v>29</v>
      </c>
      <c r="M313" s="5" t="s">
        <v>29</v>
      </c>
      <c r="N313" s="7" t="s">
        <v>21</v>
      </c>
      <c r="O313" s="5" t="s">
        <v>29</v>
      </c>
      <c r="P313" s="8">
        <v>0.69935554507399988</v>
      </c>
      <c r="Q313" s="9">
        <f t="shared" si="4"/>
        <v>1.4738261562807507E-4</v>
      </c>
    </row>
    <row r="314" spans="2:17" ht="32.1" hidden="1">
      <c r="B314" s="5">
        <v>312</v>
      </c>
      <c r="C314" s="5">
        <v>845210</v>
      </c>
      <c r="D314" s="6" t="s">
        <v>183</v>
      </c>
      <c r="E314" s="6" t="s">
        <v>184</v>
      </c>
      <c r="F314" s="6" t="s">
        <v>66</v>
      </c>
      <c r="G314" s="6" t="s">
        <v>51</v>
      </c>
      <c r="H314" s="6" t="s">
        <v>28</v>
      </c>
      <c r="I314" s="10" t="s">
        <v>103</v>
      </c>
      <c r="J314" s="5" t="s">
        <v>29</v>
      </c>
      <c r="K314" s="5" t="s">
        <v>21</v>
      </c>
      <c r="L314" s="5" t="s">
        <v>29</v>
      </c>
      <c r="M314" s="5" t="s">
        <v>29</v>
      </c>
      <c r="N314" s="7" t="s">
        <v>29</v>
      </c>
      <c r="O314" s="5" t="s">
        <v>29</v>
      </c>
      <c r="P314" s="8">
        <v>0.69853815129600039</v>
      </c>
      <c r="Q314" s="11">
        <f t="shared" si="4"/>
        <v>1.4721035756299182E-4</v>
      </c>
    </row>
    <row r="315" spans="2:17" ht="32.1" hidden="1">
      <c r="B315" s="5">
        <v>313</v>
      </c>
      <c r="C315" s="5">
        <v>854620</v>
      </c>
      <c r="D315" s="6" t="s">
        <v>610</v>
      </c>
      <c r="E315" s="6" t="s">
        <v>555</v>
      </c>
      <c r="F315" s="6" t="s">
        <v>54</v>
      </c>
      <c r="G315" s="6" t="s">
        <v>51</v>
      </c>
      <c r="H315" s="6" t="s">
        <v>20</v>
      </c>
      <c r="I315" s="10" t="s">
        <v>103</v>
      </c>
      <c r="J315" s="5" t="s">
        <v>29</v>
      </c>
      <c r="K315" s="5" t="s">
        <v>21</v>
      </c>
      <c r="L315" s="5" t="s">
        <v>29</v>
      </c>
      <c r="M315" s="5" t="s">
        <v>29</v>
      </c>
      <c r="N315" s="7" t="s">
        <v>29</v>
      </c>
      <c r="O315" s="5" t="s">
        <v>29</v>
      </c>
      <c r="P315" s="8">
        <v>0.69773331534799998</v>
      </c>
      <c r="Q315" s="11">
        <f t="shared" si="4"/>
        <v>1.4704074594268897E-4</v>
      </c>
    </row>
    <row r="316" spans="2:17" ht="48">
      <c r="B316" s="5">
        <v>314</v>
      </c>
      <c r="C316" s="5">
        <v>853210</v>
      </c>
      <c r="D316" s="6" t="s">
        <v>611</v>
      </c>
      <c r="E316" s="6" t="s">
        <v>166</v>
      </c>
      <c r="F316" s="6" t="s">
        <v>54</v>
      </c>
      <c r="G316" s="6" t="s">
        <v>19</v>
      </c>
      <c r="H316" s="6" t="s">
        <v>20</v>
      </c>
      <c r="I316" s="5" t="s">
        <v>12</v>
      </c>
      <c r="J316" s="5" t="s">
        <v>21</v>
      </c>
      <c r="K316" s="5" t="s">
        <v>21</v>
      </c>
      <c r="L316" s="5" t="s">
        <v>21</v>
      </c>
      <c r="M316" s="5" t="s">
        <v>29</v>
      </c>
      <c r="N316" s="7" t="s">
        <v>21</v>
      </c>
      <c r="O316" s="5" t="s">
        <v>21</v>
      </c>
      <c r="P316" s="8">
        <v>0.68786433699000016</v>
      </c>
      <c r="Q316" s="9">
        <f t="shared" si="4"/>
        <v>1.4496095140295313E-4</v>
      </c>
    </row>
    <row r="317" spans="2:17" ht="63.95" hidden="1">
      <c r="B317" s="5">
        <v>315</v>
      </c>
      <c r="C317" s="5">
        <v>842382</v>
      </c>
      <c r="D317" s="6" t="s">
        <v>148</v>
      </c>
      <c r="E317" s="6" t="s">
        <v>146</v>
      </c>
      <c r="F317" s="6" t="s">
        <v>66</v>
      </c>
      <c r="G317" s="6" t="s">
        <v>51</v>
      </c>
      <c r="H317" s="6" t="s">
        <v>28</v>
      </c>
      <c r="I317" s="10" t="s">
        <v>103</v>
      </c>
      <c r="J317" s="5" t="s">
        <v>29</v>
      </c>
      <c r="K317" s="5" t="s">
        <v>21</v>
      </c>
      <c r="L317" s="5" t="s">
        <v>29</v>
      </c>
      <c r="M317" s="5" t="s">
        <v>29</v>
      </c>
      <c r="N317" s="7" t="s">
        <v>29</v>
      </c>
      <c r="O317" s="5" t="s">
        <v>29</v>
      </c>
      <c r="P317" s="8">
        <v>0.68147874005800002</v>
      </c>
      <c r="Q317" s="11">
        <f t="shared" si="4"/>
        <v>1.4361524679702882E-4</v>
      </c>
    </row>
    <row r="318" spans="2:17" ht="32.1">
      <c r="B318" s="5">
        <v>316</v>
      </c>
      <c r="C318" s="5">
        <v>901820</v>
      </c>
      <c r="D318" s="6" t="s">
        <v>588</v>
      </c>
      <c r="E318" s="6" t="s">
        <v>197</v>
      </c>
      <c r="F318" s="6" t="s">
        <v>198</v>
      </c>
      <c r="G318" s="6" t="s">
        <v>40</v>
      </c>
      <c r="H318" s="6" t="s">
        <v>28</v>
      </c>
      <c r="I318" s="5" t="s">
        <v>12</v>
      </c>
      <c r="J318" s="5" t="s">
        <v>21</v>
      </c>
      <c r="K318" s="5" t="s">
        <v>21</v>
      </c>
      <c r="L318" s="5" t="s">
        <v>29</v>
      </c>
      <c r="M318" s="5" t="s">
        <v>29</v>
      </c>
      <c r="N318" s="7" t="s">
        <v>21</v>
      </c>
      <c r="O318" s="5" t="s">
        <v>21</v>
      </c>
      <c r="P318" s="8">
        <v>0.67759603831699977</v>
      </c>
      <c r="Q318" s="9">
        <f t="shared" si="4"/>
        <v>1.4279700385561945E-4</v>
      </c>
    </row>
    <row r="319" spans="2:17" ht="32.1" hidden="1">
      <c r="B319" s="5">
        <v>317</v>
      </c>
      <c r="C319" s="5">
        <v>853990</v>
      </c>
      <c r="D319" s="6" t="s">
        <v>541</v>
      </c>
      <c r="E319" s="6" t="s">
        <v>542</v>
      </c>
      <c r="F319" s="6" t="s">
        <v>66</v>
      </c>
      <c r="G319" s="6" t="s">
        <v>51</v>
      </c>
      <c r="H319" s="6" t="s">
        <v>20</v>
      </c>
      <c r="I319" s="10" t="s">
        <v>103</v>
      </c>
      <c r="J319" s="5" t="s">
        <v>29</v>
      </c>
      <c r="K319" s="5" t="s">
        <v>21</v>
      </c>
      <c r="L319" s="5" t="s">
        <v>29</v>
      </c>
      <c r="M319" s="5" t="s">
        <v>29</v>
      </c>
      <c r="N319" s="7" t="s">
        <v>29</v>
      </c>
      <c r="O319" s="5" t="s">
        <v>29</v>
      </c>
      <c r="P319" s="8">
        <v>0.67687340179400013</v>
      </c>
      <c r="Q319" s="11">
        <f t="shared" si="4"/>
        <v>1.4264471499245357E-4</v>
      </c>
    </row>
    <row r="320" spans="2:17" ht="32.1" hidden="1">
      <c r="B320" s="5">
        <v>318</v>
      </c>
      <c r="C320" s="5">
        <v>853929</v>
      </c>
      <c r="D320" s="6" t="s">
        <v>533</v>
      </c>
      <c r="E320" s="6" t="s">
        <v>316</v>
      </c>
      <c r="F320" s="6" t="s">
        <v>66</v>
      </c>
      <c r="G320" s="6" t="s">
        <v>51</v>
      </c>
      <c r="H320" s="6" t="s">
        <v>28</v>
      </c>
      <c r="I320" s="10" t="s">
        <v>103</v>
      </c>
      <c r="J320" s="5" t="s">
        <v>29</v>
      </c>
      <c r="K320" s="5" t="s">
        <v>21</v>
      </c>
      <c r="L320" s="5" t="s">
        <v>29</v>
      </c>
      <c r="M320" s="5" t="s">
        <v>29</v>
      </c>
      <c r="N320" s="7" t="s">
        <v>29</v>
      </c>
      <c r="O320" s="5" t="s">
        <v>29</v>
      </c>
      <c r="P320" s="8">
        <v>0.66458018112200024</v>
      </c>
      <c r="Q320" s="11">
        <f t="shared" si="4"/>
        <v>1.4005403414364331E-4</v>
      </c>
    </row>
    <row r="321" spans="2:17" ht="48">
      <c r="B321" s="5">
        <v>319</v>
      </c>
      <c r="C321" s="5">
        <v>853310</v>
      </c>
      <c r="D321" s="6" t="s">
        <v>636</v>
      </c>
      <c r="E321" s="6" t="s">
        <v>334</v>
      </c>
      <c r="F321" s="6" t="s">
        <v>54</v>
      </c>
      <c r="G321" s="6" t="s">
        <v>19</v>
      </c>
      <c r="H321" s="6" t="s">
        <v>20</v>
      </c>
      <c r="I321" s="5" t="s">
        <v>12</v>
      </c>
      <c r="J321" s="5" t="s">
        <v>21</v>
      </c>
      <c r="K321" s="5" t="s">
        <v>21</v>
      </c>
      <c r="L321" s="5" t="s">
        <v>21</v>
      </c>
      <c r="M321" s="5" t="s">
        <v>29</v>
      </c>
      <c r="N321" s="7" t="s">
        <v>21</v>
      </c>
      <c r="O321" s="5" t="s">
        <v>21</v>
      </c>
      <c r="P321" s="8">
        <v>0.65042506387300014</v>
      </c>
      <c r="Q321" s="9">
        <f t="shared" si="4"/>
        <v>1.3707097607057269E-4</v>
      </c>
    </row>
    <row r="322" spans="2:17" ht="32.1">
      <c r="B322" s="5">
        <v>320</v>
      </c>
      <c r="C322" s="5">
        <v>854520</v>
      </c>
      <c r="D322" s="6" t="s">
        <v>601</v>
      </c>
      <c r="E322" s="6" t="s">
        <v>602</v>
      </c>
      <c r="F322" s="6" t="s">
        <v>54</v>
      </c>
      <c r="G322" s="6" t="s">
        <v>559</v>
      </c>
      <c r="H322" s="6" t="s">
        <v>20</v>
      </c>
      <c r="I322" s="5" t="s">
        <v>12</v>
      </c>
      <c r="J322" s="5" t="s">
        <v>21</v>
      </c>
      <c r="K322" s="5" t="s">
        <v>21</v>
      </c>
      <c r="L322" s="5" t="s">
        <v>29</v>
      </c>
      <c r="M322" s="5" t="s">
        <v>29</v>
      </c>
      <c r="N322" s="7" t="s">
        <v>21</v>
      </c>
      <c r="O322" s="5" t="s">
        <v>29</v>
      </c>
      <c r="P322" s="8">
        <v>0.64173402536000013</v>
      </c>
      <c r="Q322" s="9">
        <f t="shared" si="4"/>
        <v>1.3523942129476155E-4</v>
      </c>
    </row>
    <row r="323" spans="2:17" ht="32.1" hidden="1">
      <c r="B323" s="5">
        <v>321</v>
      </c>
      <c r="C323" s="5">
        <v>851030</v>
      </c>
      <c r="D323" s="6" t="s">
        <v>297</v>
      </c>
      <c r="E323" s="6" t="s">
        <v>294</v>
      </c>
      <c r="F323" s="6" t="s">
        <v>66</v>
      </c>
      <c r="G323" s="6" t="s">
        <v>51</v>
      </c>
      <c r="H323" s="6" t="s">
        <v>28</v>
      </c>
      <c r="I323" s="10" t="s">
        <v>103</v>
      </c>
      <c r="J323" s="5" t="s">
        <v>29</v>
      </c>
      <c r="K323" s="5" t="s">
        <v>21</v>
      </c>
      <c r="L323" s="5" t="s">
        <v>21</v>
      </c>
      <c r="M323" s="5" t="s">
        <v>29</v>
      </c>
      <c r="N323" s="7" t="s">
        <v>29</v>
      </c>
      <c r="O323" s="5" t="s">
        <v>29</v>
      </c>
      <c r="P323" s="8">
        <v>0.64139027864999998</v>
      </c>
      <c r="Q323" s="11">
        <f t="shared" ref="Q323:Q386" si="5">P323/SUM($P$3:$P$425)</f>
        <v>1.3516697990269681E-4</v>
      </c>
    </row>
    <row r="324" spans="2:17" ht="32.1" hidden="1">
      <c r="B324" s="5">
        <v>322</v>
      </c>
      <c r="C324" s="5">
        <v>853941</v>
      </c>
      <c r="D324" s="6" t="s">
        <v>538</v>
      </c>
      <c r="E324" s="6" t="s">
        <v>316</v>
      </c>
      <c r="F324" s="6" t="s">
        <v>66</v>
      </c>
      <c r="G324" s="6" t="s">
        <v>51</v>
      </c>
      <c r="H324" s="6" t="s">
        <v>28</v>
      </c>
      <c r="I324" s="10" t="s">
        <v>103</v>
      </c>
      <c r="J324" s="5" t="s">
        <v>29</v>
      </c>
      <c r="K324" s="5" t="s">
        <v>21</v>
      </c>
      <c r="L324" s="5" t="s">
        <v>29</v>
      </c>
      <c r="M324" s="5" t="s">
        <v>29</v>
      </c>
      <c r="N324" s="7" t="s">
        <v>29</v>
      </c>
      <c r="O324" s="5" t="s">
        <v>29</v>
      </c>
      <c r="P324" s="8">
        <v>0.64071078476499999</v>
      </c>
      <c r="Q324" s="11">
        <f t="shared" si="5"/>
        <v>1.3502378294546959E-4</v>
      </c>
    </row>
    <row r="325" spans="2:17" ht="63.95" hidden="1">
      <c r="B325" s="5">
        <v>323</v>
      </c>
      <c r="C325" s="5">
        <v>842330</v>
      </c>
      <c r="D325" s="6" t="s">
        <v>145</v>
      </c>
      <c r="E325" s="6" t="s">
        <v>146</v>
      </c>
      <c r="F325" s="6" t="s">
        <v>66</v>
      </c>
      <c r="G325" s="6" t="s">
        <v>51</v>
      </c>
      <c r="H325" s="6" t="s">
        <v>28</v>
      </c>
      <c r="I325" s="10" t="s">
        <v>103</v>
      </c>
      <c r="J325" s="5" t="s">
        <v>29</v>
      </c>
      <c r="K325" s="5" t="s">
        <v>21</v>
      </c>
      <c r="L325" s="5" t="s">
        <v>29</v>
      </c>
      <c r="M325" s="5" t="s">
        <v>29</v>
      </c>
      <c r="N325" s="7" t="s">
        <v>29</v>
      </c>
      <c r="O325" s="5" t="s">
        <v>29</v>
      </c>
      <c r="P325" s="8">
        <v>0.63374889342399998</v>
      </c>
      <c r="Q325" s="11">
        <f t="shared" si="5"/>
        <v>1.3355662970305631E-4</v>
      </c>
    </row>
    <row r="326" spans="2:17" ht="48" hidden="1">
      <c r="B326" s="5">
        <v>324</v>
      </c>
      <c r="C326" s="5">
        <v>853010</v>
      </c>
      <c r="D326" s="6" t="s">
        <v>463</v>
      </c>
      <c r="E326" s="6" t="s">
        <v>464</v>
      </c>
      <c r="F326" s="6" t="s">
        <v>189</v>
      </c>
      <c r="G326" s="6" t="s">
        <v>51</v>
      </c>
      <c r="H326" s="6" t="s">
        <v>20</v>
      </c>
      <c r="I326" s="10" t="s">
        <v>103</v>
      </c>
      <c r="J326" s="5" t="s">
        <v>29</v>
      </c>
      <c r="K326" s="5" t="s">
        <v>21</v>
      </c>
      <c r="L326" s="5" t="s">
        <v>29</v>
      </c>
      <c r="M326" s="5" t="s">
        <v>29</v>
      </c>
      <c r="N326" s="7" t="s">
        <v>29</v>
      </c>
      <c r="O326" s="5" t="s">
        <v>29</v>
      </c>
      <c r="P326" s="8">
        <v>0.62966837226799988</v>
      </c>
      <c r="Q326" s="11">
        <f t="shared" si="5"/>
        <v>1.3269669817704923E-4</v>
      </c>
    </row>
    <row r="327" spans="2:17" ht="63.95">
      <c r="B327" s="5">
        <v>325</v>
      </c>
      <c r="C327" s="5">
        <v>910811</v>
      </c>
      <c r="D327" s="6" t="s">
        <v>630</v>
      </c>
      <c r="E327" s="6" t="s">
        <v>631</v>
      </c>
      <c r="F327" s="6" t="s">
        <v>66</v>
      </c>
      <c r="G327" s="6" t="s">
        <v>67</v>
      </c>
      <c r="H327" s="6" t="s">
        <v>20</v>
      </c>
      <c r="I327" s="5" t="s">
        <v>12</v>
      </c>
      <c r="J327" s="5" t="s">
        <v>21</v>
      </c>
      <c r="K327" s="5" t="s">
        <v>21</v>
      </c>
      <c r="L327" s="5" t="s">
        <v>21</v>
      </c>
      <c r="M327" s="5" t="s">
        <v>29</v>
      </c>
      <c r="N327" s="7" t="s">
        <v>21</v>
      </c>
      <c r="O327" s="5" t="s">
        <v>21</v>
      </c>
      <c r="P327" s="8">
        <v>0.61560709286899995</v>
      </c>
      <c r="Q327" s="9">
        <f t="shared" si="5"/>
        <v>1.2973341554992356E-4</v>
      </c>
    </row>
    <row r="328" spans="2:17" ht="32.1">
      <c r="B328" s="5">
        <v>326</v>
      </c>
      <c r="C328" s="5">
        <v>850690</v>
      </c>
      <c r="D328" s="6" t="s">
        <v>596</v>
      </c>
      <c r="E328" s="6" t="s">
        <v>597</v>
      </c>
      <c r="F328" s="6" t="s">
        <v>66</v>
      </c>
      <c r="G328" s="6" t="s">
        <v>43</v>
      </c>
      <c r="H328" s="6" t="s">
        <v>20</v>
      </c>
      <c r="I328" s="5" t="s">
        <v>12</v>
      </c>
      <c r="J328" s="5" t="s">
        <v>21</v>
      </c>
      <c r="K328" s="5" t="s">
        <v>21</v>
      </c>
      <c r="L328" s="5" t="s">
        <v>29</v>
      </c>
      <c r="M328" s="5" t="s">
        <v>29</v>
      </c>
      <c r="N328" s="7" t="s">
        <v>21</v>
      </c>
      <c r="O328" s="5" t="s">
        <v>29</v>
      </c>
      <c r="P328" s="8">
        <v>0.61549418903099995</v>
      </c>
      <c r="Q328" s="9">
        <f t="shared" si="5"/>
        <v>1.2970962212599765E-4</v>
      </c>
    </row>
    <row r="329" spans="2:17" ht="48" hidden="1">
      <c r="B329" s="5">
        <v>327</v>
      </c>
      <c r="C329" s="5">
        <v>845012</v>
      </c>
      <c r="D329" s="6" t="s">
        <v>169</v>
      </c>
      <c r="E329" s="6" t="s">
        <v>170</v>
      </c>
      <c r="F329" s="6" t="s">
        <v>66</v>
      </c>
      <c r="G329" s="6" t="s">
        <v>51</v>
      </c>
      <c r="H329" s="6" t="s">
        <v>28</v>
      </c>
      <c r="I329" s="10" t="s">
        <v>103</v>
      </c>
      <c r="J329" s="5" t="s">
        <v>29</v>
      </c>
      <c r="K329" s="5" t="s">
        <v>21</v>
      </c>
      <c r="L329" s="5" t="s">
        <v>21</v>
      </c>
      <c r="M329" s="5" t="s">
        <v>29</v>
      </c>
      <c r="N329" s="7" t="s">
        <v>29</v>
      </c>
      <c r="O329" s="5" t="s">
        <v>29</v>
      </c>
      <c r="P329" s="8">
        <v>0.59952997902599992</v>
      </c>
      <c r="Q329" s="11">
        <f t="shared" si="5"/>
        <v>1.2634531473822418E-4</v>
      </c>
    </row>
    <row r="330" spans="2:17" ht="48">
      <c r="B330" s="5">
        <v>328</v>
      </c>
      <c r="C330" s="5">
        <v>850680</v>
      </c>
      <c r="D330" s="6" t="s">
        <v>620</v>
      </c>
      <c r="E330" s="6" t="s">
        <v>439</v>
      </c>
      <c r="F330" s="6" t="s">
        <v>66</v>
      </c>
      <c r="G330" s="6" t="s">
        <v>67</v>
      </c>
      <c r="H330" s="6" t="s">
        <v>20</v>
      </c>
      <c r="I330" s="5" t="s">
        <v>12</v>
      </c>
      <c r="J330" s="5" t="s">
        <v>21</v>
      </c>
      <c r="K330" s="5" t="s">
        <v>21</v>
      </c>
      <c r="L330" s="5" t="s">
        <v>21</v>
      </c>
      <c r="M330" s="5" t="s">
        <v>29</v>
      </c>
      <c r="N330" s="7" t="s">
        <v>21</v>
      </c>
      <c r="O330" s="5" t="s">
        <v>21</v>
      </c>
      <c r="P330" s="8">
        <v>0.57921786519900009</v>
      </c>
      <c r="Q330" s="9">
        <f t="shared" si="5"/>
        <v>1.2206472743775221E-4</v>
      </c>
    </row>
    <row r="331" spans="2:17" ht="32.1" hidden="1">
      <c r="B331" s="5">
        <v>329</v>
      </c>
      <c r="C331" s="5">
        <v>853510</v>
      </c>
      <c r="D331" s="6" t="s">
        <v>502</v>
      </c>
      <c r="E331" s="6" t="s">
        <v>249</v>
      </c>
      <c r="F331" s="6" t="s">
        <v>54</v>
      </c>
      <c r="G331" s="6" t="s">
        <v>51</v>
      </c>
      <c r="H331" s="6" t="s">
        <v>20</v>
      </c>
      <c r="I331" s="10" t="s">
        <v>103</v>
      </c>
      <c r="J331" s="5" t="s">
        <v>29</v>
      </c>
      <c r="K331" s="5" t="s">
        <v>21</v>
      </c>
      <c r="L331" s="5" t="s">
        <v>29</v>
      </c>
      <c r="M331" s="5" t="s">
        <v>29</v>
      </c>
      <c r="N331" s="7" t="s">
        <v>29</v>
      </c>
      <c r="O331" s="5" t="s">
        <v>29</v>
      </c>
      <c r="P331" s="8">
        <v>0.57490913343700001</v>
      </c>
      <c r="Q331" s="11">
        <f t="shared" si="5"/>
        <v>1.2115670266895433E-4</v>
      </c>
    </row>
    <row r="332" spans="2:17" ht="48">
      <c r="B332" s="5">
        <v>330</v>
      </c>
      <c r="C332" s="5">
        <v>854590</v>
      </c>
      <c r="D332" s="6" t="s">
        <v>626</v>
      </c>
      <c r="E332" s="6" t="s">
        <v>627</v>
      </c>
      <c r="F332" s="6" t="s">
        <v>54</v>
      </c>
      <c r="G332" s="6" t="s">
        <v>559</v>
      </c>
      <c r="H332" s="6" t="s">
        <v>20</v>
      </c>
      <c r="I332" s="5" t="s">
        <v>12</v>
      </c>
      <c r="J332" s="5" t="s">
        <v>21</v>
      </c>
      <c r="K332" s="5" t="s">
        <v>21</v>
      </c>
      <c r="L332" s="5" t="s">
        <v>29</v>
      </c>
      <c r="M332" s="5" t="s">
        <v>29</v>
      </c>
      <c r="N332" s="7" t="s">
        <v>21</v>
      </c>
      <c r="O332" s="5" t="s">
        <v>29</v>
      </c>
      <c r="P332" s="8">
        <v>0.56808730093299975</v>
      </c>
      <c r="Q332" s="9">
        <f t="shared" si="5"/>
        <v>1.1971906551157712E-4</v>
      </c>
    </row>
    <row r="333" spans="2:17" ht="48" hidden="1">
      <c r="B333" s="5">
        <v>331</v>
      </c>
      <c r="C333" s="5">
        <v>853540</v>
      </c>
      <c r="D333" s="6" t="s">
        <v>506</v>
      </c>
      <c r="E333" s="6" t="s">
        <v>249</v>
      </c>
      <c r="F333" s="6" t="s">
        <v>54</v>
      </c>
      <c r="G333" s="6" t="s">
        <v>51</v>
      </c>
      <c r="H333" s="6" t="s">
        <v>20</v>
      </c>
      <c r="I333" s="10" t="s">
        <v>103</v>
      </c>
      <c r="J333" s="5" t="s">
        <v>29</v>
      </c>
      <c r="K333" s="5" t="s">
        <v>21</v>
      </c>
      <c r="L333" s="5" t="s">
        <v>29</v>
      </c>
      <c r="M333" s="5" t="s">
        <v>29</v>
      </c>
      <c r="N333" s="7" t="s">
        <v>29</v>
      </c>
      <c r="O333" s="5" t="s">
        <v>29</v>
      </c>
      <c r="P333" s="8">
        <v>0.56377071048100003</v>
      </c>
      <c r="Q333" s="11">
        <f t="shared" si="5"/>
        <v>1.1880938459763859E-4</v>
      </c>
    </row>
    <row r="334" spans="2:17" ht="32.1">
      <c r="B334" s="5">
        <v>332</v>
      </c>
      <c r="C334" s="5">
        <v>831130</v>
      </c>
      <c r="D334" s="6" t="s">
        <v>624</v>
      </c>
      <c r="E334" s="6" t="s">
        <v>625</v>
      </c>
      <c r="F334" s="6" t="s">
        <v>54</v>
      </c>
      <c r="G334" s="6" t="s">
        <v>559</v>
      </c>
      <c r="H334" s="6" t="s">
        <v>20</v>
      </c>
      <c r="I334" s="5" t="s">
        <v>12</v>
      </c>
      <c r="J334" s="5" t="s">
        <v>21</v>
      </c>
      <c r="K334" s="5" t="s">
        <v>29</v>
      </c>
      <c r="L334" s="5" t="s">
        <v>29</v>
      </c>
      <c r="M334" s="5" t="s">
        <v>21</v>
      </c>
      <c r="N334" s="7" t="s">
        <v>21</v>
      </c>
      <c r="O334" s="5" t="s">
        <v>29</v>
      </c>
      <c r="P334" s="8">
        <v>0.56244927828600011</v>
      </c>
      <c r="Q334" s="9">
        <f t="shared" si="5"/>
        <v>1.1853090516804655E-4</v>
      </c>
    </row>
    <row r="335" spans="2:17" ht="32.1">
      <c r="B335" s="5">
        <v>333</v>
      </c>
      <c r="C335" s="5">
        <v>961380</v>
      </c>
      <c r="D335" s="6" t="s">
        <v>634</v>
      </c>
      <c r="E335" s="6" t="s">
        <v>635</v>
      </c>
      <c r="F335" s="6" t="s">
        <v>66</v>
      </c>
      <c r="G335" s="6" t="s">
        <v>67</v>
      </c>
      <c r="H335" s="6" t="s">
        <v>28</v>
      </c>
      <c r="I335" s="5" t="s">
        <v>12</v>
      </c>
      <c r="J335" s="5" t="s">
        <v>21</v>
      </c>
      <c r="K335" s="5" t="s">
        <v>21</v>
      </c>
      <c r="L335" s="5" t="s">
        <v>21</v>
      </c>
      <c r="M335" s="5" t="s">
        <v>29</v>
      </c>
      <c r="N335" s="7" t="s">
        <v>21</v>
      </c>
      <c r="O335" s="5" t="s">
        <v>21</v>
      </c>
      <c r="P335" s="8">
        <v>0.54706404131399999</v>
      </c>
      <c r="Q335" s="9">
        <f t="shared" si="5"/>
        <v>1.1528861091162336E-4</v>
      </c>
    </row>
    <row r="336" spans="2:17" ht="32.1">
      <c r="B336" s="5">
        <v>334</v>
      </c>
      <c r="C336" s="5">
        <v>853223</v>
      </c>
      <c r="D336" s="6" t="s">
        <v>628</v>
      </c>
      <c r="E336" s="6" t="s">
        <v>166</v>
      </c>
      <c r="F336" s="6" t="s">
        <v>54</v>
      </c>
      <c r="G336" s="6" t="s">
        <v>19</v>
      </c>
      <c r="H336" s="6" t="s">
        <v>20</v>
      </c>
      <c r="I336" s="5" t="s">
        <v>12</v>
      </c>
      <c r="J336" s="5" t="s">
        <v>21</v>
      </c>
      <c r="K336" s="5" t="s">
        <v>21</v>
      </c>
      <c r="L336" s="5" t="s">
        <v>29</v>
      </c>
      <c r="M336" s="5" t="s">
        <v>21</v>
      </c>
      <c r="N336" s="7" t="s">
        <v>21</v>
      </c>
      <c r="O336" s="5" t="s">
        <v>29</v>
      </c>
      <c r="P336" s="8">
        <v>0.52183694367699995</v>
      </c>
      <c r="Q336" s="9">
        <f t="shared" si="5"/>
        <v>1.0997223691468523E-4</v>
      </c>
    </row>
    <row r="337" spans="2:18" ht="32.1" hidden="1">
      <c r="B337" s="5">
        <v>335</v>
      </c>
      <c r="C337" s="5">
        <v>853661</v>
      </c>
      <c r="D337" s="6" t="s">
        <v>514</v>
      </c>
      <c r="E337" s="6" t="s">
        <v>515</v>
      </c>
      <c r="F337" s="6" t="s">
        <v>54</v>
      </c>
      <c r="G337" s="6" t="s">
        <v>51</v>
      </c>
      <c r="H337" s="6" t="s">
        <v>20</v>
      </c>
      <c r="I337" s="10" t="s">
        <v>103</v>
      </c>
      <c r="J337" s="5" t="s">
        <v>29</v>
      </c>
      <c r="K337" s="5" t="s">
        <v>21</v>
      </c>
      <c r="L337" s="5" t="s">
        <v>29</v>
      </c>
      <c r="M337" s="5" t="s">
        <v>29</v>
      </c>
      <c r="N337" s="7" t="s">
        <v>29</v>
      </c>
      <c r="O337" s="5" t="s">
        <v>29</v>
      </c>
      <c r="P337" s="8">
        <v>0.51433813846800014</v>
      </c>
      <c r="Q337" s="11">
        <f t="shared" si="5"/>
        <v>1.0839193411509724E-4</v>
      </c>
    </row>
    <row r="338" spans="2:18" ht="48" hidden="1">
      <c r="B338" s="5">
        <v>336</v>
      </c>
      <c r="C338" s="5">
        <v>851210</v>
      </c>
      <c r="D338" s="6" t="s">
        <v>302</v>
      </c>
      <c r="E338" s="6" t="s">
        <v>303</v>
      </c>
      <c r="F338" s="6" t="s">
        <v>66</v>
      </c>
      <c r="G338" s="6" t="s">
        <v>51</v>
      </c>
      <c r="H338" s="6" t="s">
        <v>20</v>
      </c>
      <c r="I338" s="10" t="s">
        <v>103</v>
      </c>
      <c r="J338" s="5" t="s">
        <v>29</v>
      </c>
      <c r="K338" s="5" t="s">
        <v>21</v>
      </c>
      <c r="L338" s="5" t="s">
        <v>29</v>
      </c>
      <c r="M338" s="5" t="s">
        <v>29</v>
      </c>
      <c r="N338" s="7" t="s">
        <v>29</v>
      </c>
      <c r="O338" s="5" t="s">
        <v>29</v>
      </c>
      <c r="P338" s="8">
        <v>0.50143507613699989</v>
      </c>
      <c r="Q338" s="11">
        <f t="shared" si="5"/>
        <v>1.0567273486179944E-4</v>
      </c>
    </row>
    <row r="339" spans="2:18" ht="63.95">
      <c r="B339" s="5">
        <v>337</v>
      </c>
      <c r="C339" s="5">
        <v>852713</v>
      </c>
      <c r="D339" s="6" t="s">
        <v>629</v>
      </c>
      <c r="E339" s="6" t="s">
        <v>407</v>
      </c>
      <c r="F339" s="6" t="s">
        <v>266</v>
      </c>
      <c r="G339" s="6" t="s">
        <v>27</v>
      </c>
      <c r="H339" s="6" t="s">
        <v>28</v>
      </c>
      <c r="I339" s="5" t="s">
        <v>12</v>
      </c>
      <c r="J339" s="5" t="s">
        <v>21</v>
      </c>
      <c r="K339" s="5" t="s">
        <v>21</v>
      </c>
      <c r="L339" s="5" t="s">
        <v>21</v>
      </c>
      <c r="M339" s="5" t="s">
        <v>21</v>
      </c>
      <c r="N339" s="7" t="s">
        <v>21</v>
      </c>
      <c r="O339" s="5" t="s">
        <v>21</v>
      </c>
      <c r="P339" s="8">
        <v>0.49943419302400005</v>
      </c>
      <c r="Q339" s="9">
        <f t="shared" si="5"/>
        <v>1.0525106752987206E-4</v>
      </c>
      <c r="R339" s="16"/>
    </row>
    <row r="340" spans="2:18" ht="48">
      <c r="B340" s="5">
        <v>338</v>
      </c>
      <c r="C340" s="5">
        <v>852719</v>
      </c>
      <c r="D340" s="6" t="s">
        <v>633</v>
      </c>
      <c r="E340" s="6" t="s">
        <v>407</v>
      </c>
      <c r="F340" s="6" t="s">
        <v>266</v>
      </c>
      <c r="G340" s="6" t="s">
        <v>27</v>
      </c>
      <c r="H340" s="6" t="s">
        <v>28</v>
      </c>
      <c r="I340" s="5" t="s">
        <v>12</v>
      </c>
      <c r="J340" s="5" t="s">
        <v>21</v>
      </c>
      <c r="K340" s="5" t="s">
        <v>21</v>
      </c>
      <c r="L340" s="5" t="s">
        <v>21</v>
      </c>
      <c r="M340" s="5" t="s">
        <v>29</v>
      </c>
      <c r="N340" s="7" t="s">
        <v>21</v>
      </c>
      <c r="O340" s="5" t="s">
        <v>21</v>
      </c>
      <c r="P340" s="8">
        <v>0.48685597102500006</v>
      </c>
      <c r="Q340" s="9">
        <f t="shared" si="5"/>
        <v>1.0260032532696716E-4</v>
      </c>
      <c r="R340" s="16"/>
    </row>
    <row r="341" spans="2:18" ht="63.95">
      <c r="B341" s="5">
        <v>339</v>
      </c>
      <c r="C341" s="5">
        <v>847321</v>
      </c>
      <c r="D341" s="6" t="s">
        <v>488</v>
      </c>
      <c r="E341" s="6" t="s">
        <v>489</v>
      </c>
      <c r="F341" s="6" t="s">
        <v>36</v>
      </c>
      <c r="G341" s="6" t="s">
        <v>37</v>
      </c>
      <c r="H341" s="6" t="s">
        <v>20</v>
      </c>
      <c r="I341" s="5" t="s">
        <v>12</v>
      </c>
      <c r="J341" s="5" t="s">
        <v>21</v>
      </c>
      <c r="K341" s="5" t="s">
        <v>21</v>
      </c>
      <c r="L341" s="5" t="s">
        <v>21</v>
      </c>
      <c r="M341" s="5" t="s">
        <v>29</v>
      </c>
      <c r="N341" s="7" t="s">
        <v>21</v>
      </c>
      <c r="O341" s="5" t="s">
        <v>21</v>
      </c>
      <c r="P341" s="8">
        <v>0.48535226263399994</v>
      </c>
      <c r="Q341" s="9">
        <f t="shared" si="5"/>
        <v>1.0228343290026305E-4</v>
      </c>
    </row>
    <row r="342" spans="2:18" ht="32.1">
      <c r="B342" s="5">
        <v>340</v>
      </c>
      <c r="C342" s="5">
        <v>901600</v>
      </c>
      <c r="D342" s="6" t="s">
        <v>622</v>
      </c>
      <c r="E342" s="6" t="s">
        <v>623</v>
      </c>
      <c r="F342" s="6" t="s">
        <v>189</v>
      </c>
      <c r="G342" s="6" t="s">
        <v>40</v>
      </c>
      <c r="H342" s="6" t="s">
        <v>28</v>
      </c>
      <c r="I342" s="5" t="s">
        <v>12</v>
      </c>
      <c r="J342" s="5" t="s">
        <v>21</v>
      </c>
      <c r="K342" s="5" t="s">
        <v>21</v>
      </c>
      <c r="L342" s="5" t="s">
        <v>29</v>
      </c>
      <c r="M342" s="5" t="s">
        <v>29</v>
      </c>
      <c r="N342" s="7" t="s">
        <v>21</v>
      </c>
      <c r="O342" s="5" t="s">
        <v>21</v>
      </c>
      <c r="P342" s="8">
        <v>0.48018272321500005</v>
      </c>
      <c r="Q342" s="9">
        <f t="shared" si="5"/>
        <v>1.0119400099894877E-4</v>
      </c>
    </row>
    <row r="343" spans="2:18" ht="32.1">
      <c r="B343" s="5">
        <v>341</v>
      </c>
      <c r="C343" s="5">
        <v>852341</v>
      </c>
      <c r="D343" s="6" t="s">
        <v>642</v>
      </c>
      <c r="E343" s="6" t="s">
        <v>282</v>
      </c>
      <c r="F343" s="6" t="s">
        <v>66</v>
      </c>
      <c r="G343" s="6" t="s">
        <v>67</v>
      </c>
      <c r="H343" s="6" t="s">
        <v>28</v>
      </c>
      <c r="I343" s="5" t="s">
        <v>12</v>
      </c>
      <c r="J343" s="5" t="s">
        <v>21</v>
      </c>
      <c r="K343" s="5" t="s">
        <v>21</v>
      </c>
      <c r="L343" s="5" t="s">
        <v>29</v>
      </c>
      <c r="M343" s="5" t="s">
        <v>29</v>
      </c>
      <c r="N343" s="7" t="s">
        <v>21</v>
      </c>
      <c r="O343" s="5" t="s">
        <v>29</v>
      </c>
      <c r="P343" s="8">
        <v>0.47852460030700011</v>
      </c>
      <c r="Q343" s="9">
        <f t="shared" si="5"/>
        <v>1.008445671624186E-4</v>
      </c>
    </row>
    <row r="344" spans="2:18" ht="32.1">
      <c r="B344" s="5">
        <v>342</v>
      </c>
      <c r="C344" s="5">
        <v>854020</v>
      </c>
      <c r="D344" s="6" t="s">
        <v>606</v>
      </c>
      <c r="E344" s="6" t="s">
        <v>607</v>
      </c>
      <c r="F344" s="6" t="s">
        <v>189</v>
      </c>
      <c r="G344" s="6" t="s">
        <v>19</v>
      </c>
      <c r="H344" s="6" t="s">
        <v>20</v>
      </c>
      <c r="I344" s="5" t="s">
        <v>12</v>
      </c>
      <c r="J344" s="5" t="s">
        <v>21</v>
      </c>
      <c r="K344" s="5" t="s">
        <v>21</v>
      </c>
      <c r="L344" s="5" t="s">
        <v>29</v>
      </c>
      <c r="M344" s="5" t="s">
        <v>29</v>
      </c>
      <c r="N344" s="7" t="s">
        <v>21</v>
      </c>
      <c r="O344" s="5" t="s">
        <v>21</v>
      </c>
      <c r="P344" s="8">
        <v>0.47243587513599999</v>
      </c>
      <c r="Q344" s="9">
        <f t="shared" si="5"/>
        <v>9.9561425493115694E-5</v>
      </c>
    </row>
    <row r="345" spans="2:18" ht="63.95">
      <c r="B345" s="5">
        <v>343</v>
      </c>
      <c r="C345" s="5">
        <v>901720</v>
      </c>
      <c r="D345" s="6" t="s">
        <v>637</v>
      </c>
      <c r="E345" s="6" t="s">
        <v>638</v>
      </c>
      <c r="F345" s="6" t="s">
        <v>189</v>
      </c>
      <c r="G345" s="6" t="s">
        <v>40</v>
      </c>
      <c r="H345" s="6" t="s">
        <v>28</v>
      </c>
      <c r="I345" s="5" t="s">
        <v>12</v>
      </c>
      <c r="J345" s="5" t="s">
        <v>21</v>
      </c>
      <c r="K345" s="5" t="s">
        <v>21</v>
      </c>
      <c r="L345" s="5" t="s">
        <v>29</v>
      </c>
      <c r="M345" s="5" t="s">
        <v>29</v>
      </c>
      <c r="N345" s="7" t="s">
        <v>21</v>
      </c>
      <c r="O345" s="5" t="s">
        <v>21</v>
      </c>
      <c r="P345" s="8">
        <v>0.47216835901799997</v>
      </c>
      <c r="Q345" s="9">
        <f t="shared" si="5"/>
        <v>9.9505048982668009E-5</v>
      </c>
    </row>
    <row r="346" spans="2:18" ht="48">
      <c r="B346" s="5">
        <v>344</v>
      </c>
      <c r="C346" s="5">
        <v>903032</v>
      </c>
      <c r="D346" s="6" t="s">
        <v>608</v>
      </c>
      <c r="E346" s="6" t="s">
        <v>473</v>
      </c>
      <c r="F346" s="6" t="s">
        <v>189</v>
      </c>
      <c r="G346" s="6" t="s">
        <v>40</v>
      </c>
      <c r="H346" s="6" t="s">
        <v>28</v>
      </c>
      <c r="I346" s="5" t="s">
        <v>12</v>
      </c>
      <c r="J346" s="5" t="s">
        <v>21</v>
      </c>
      <c r="K346" s="5" t="s">
        <v>21</v>
      </c>
      <c r="L346" s="5" t="s">
        <v>29</v>
      </c>
      <c r="M346" s="5" t="s">
        <v>29</v>
      </c>
      <c r="N346" s="7" t="s">
        <v>21</v>
      </c>
      <c r="O346" s="5" t="s">
        <v>21</v>
      </c>
      <c r="P346" s="8">
        <v>0.46748849557699984</v>
      </c>
      <c r="Q346" s="9">
        <f t="shared" si="5"/>
        <v>9.8518811696676623E-5</v>
      </c>
    </row>
    <row r="347" spans="2:18" ht="32.1" hidden="1">
      <c r="B347" s="5">
        <v>345</v>
      </c>
      <c r="C347" s="5">
        <v>853932</v>
      </c>
      <c r="D347" s="6" t="s">
        <v>536</v>
      </c>
      <c r="E347" s="6" t="s">
        <v>316</v>
      </c>
      <c r="F347" s="6" t="s">
        <v>66</v>
      </c>
      <c r="G347" s="6" t="s">
        <v>51</v>
      </c>
      <c r="H347" s="6" t="s">
        <v>28</v>
      </c>
      <c r="I347" s="10" t="s">
        <v>103</v>
      </c>
      <c r="J347" s="5" t="s">
        <v>29</v>
      </c>
      <c r="K347" s="5" t="s">
        <v>21</v>
      </c>
      <c r="L347" s="5" t="s">
        <v>29</v>
      </c>
      <c r="M347" s="5" t="s">
        <v>29</v>
      </c>
      <c r="N347" s="7" t="s">
        <v>29</v>
      </c>
      <c r="O347" s="5" t="s">
        <v>29</v>
      </c>
      <c r="P347" s="8">
        <v>0.44935833794400004</v>
      </c>
      <c r="Q347" s="11">
        <f t="shared" si="5"/>
        <v>9.4698051180052594E-5</v>
      </c>
    </row>
    <row r="348" spans="2:18" ht="32.1" hidden="1">
      <c r="B348" s="5">
        <v>346</v>
      </c>
      <c r="C348" s="5">
        <v>845130</v>
      </c>
      <c r="D348" s="6" t="s">
        <v>181</v>
      </c>
      <c r="E348" s="6" t="s">
        <v>182</v>
      </c>
      <c r="F348" s="6" t="s">
        <v>66</v>
      </c>
      <c r="G348" s="6" t="s">
        <v>51</v>
      </c>
      <c r="H348" s="6" t="s">
        <v>28</v>
      </c>
      <c r="I348" s="10" t="s">
        <v>103</v>
      </c>
      <c r="J348" s="5" t="s">
        <v>29</v>
      </c>
      <c r="K348" s="5" t="s">
        <v>21</v>
      </c>
      <c r="L348" s="5" t="s">
        <v>29</v>
      </c>
      <c r="M348" s="5" t="s">
        <v>29</v>
      </c>
      <c r="N348" s="7" t="s">
        <v>29</v>
      </c>
      <c r="O348" s="5" t="s">
        <v>29</v>
      </c>
      <c r="P348" s="8">
        <v>0.44560305699700004</v>
      </c>
      <c r="Q348" s="11">
        <f t="shared" si="5"/>
        <v>9.3906660974762125E-5</v>
      </c>
    </row>
    <row r="349" spans="2:18" ht="32.1">
      <c r="B349" s="5">
        <v>347</v>
      </c>
      <c r="C349" s="5">
        <v>853390</v>
      </c>
      <c r="D349" s="6" t="s">
        <v>639</v>
      </c>
      <c r="E349" s="6" t="s">
        <v>640</v>
      </c>
      <c r="F349" s="6" t="s">
        <v>54</v>
      </c>
      <c r="G349" s="6" t="s">
        <v>19</v>
      </c>
      <c r="H349" s="6" t="s">
        <v>20</v>
      </c>
      <c r="I349" s="5" t="s">
        <v>12</v>
      </c>
      <c r="J349" s="5" t="s">
        <v>21</v>
      </c>
      <c r="K349" s="5" t="s">
        <v>21</v>
      </c>
      <c r="L349" s="5" t="s">
        <v>21</v>
      </c>
      <c r="M349" s="5" t="s">
        <v>29</v>
      </c>
      <c r="N349" s="7" t="s">
        <v>21</v>
      </c>
      <c r="O349" s="5" t="s">
        <v>21</v>
      </c>
      <c r="P349" s="8">
        <v>0.44190420535399999</v>
      </c>
      <c r="Q349" s="9">
        <f t="shared" si="5"/>
        <v>9.3127162715535671E-5</v>
      </c>
    </row>
    <row r="350" spans="2:18" ht="32.1" hidden="1">
      <c r="B350" s="5">
        <v>348</v>
      </c>
      <c r="C350" s="5">
        <v>847621</v>
      </c>
      <c r="D350" s="6" t="s">
        <v>231</v>
      </c>
      <c r="E350" s="6" t="s">
        <v>232</v>
      </c>
      <c r="F350" s="6" t="s">
        <v>66</v>
      </c>
      <c r="G350" s="6" t="s">
        <v>51</v>
      </c>
      <c r="H350" s="6" t="s">
        <v>28</v>
      </c>
      <c r="I350" s="10" t="s">
        <v>103</v>
      </c>
      <c r="J350" s="5" t="s">
        <v>29</v>
      </c>
      <c r="K350" s="5" t="s">
        <v>21</v>
      </c>
      <c r="L350" s="5" t="s">
        <v>29</v>
      </c>
      <c r="M350" s="5" t="s">
        <v>29</v>
      </c>
      <c r="N350" s="7" t="s">
        <v>29</v>
      </c>
      <c r="O350" s="5" t="s">
        <v>29</v>
      </c>
      <c r="P350" s="8">
        <v>0.43010052942500004</v>
      </c>
      <c r="Q350" s="11">
        <f t="shared" si="5"/>
        <v>9.0639648825504131E-5</v>
      </c>
    </row>
    <row r="351" spans="2:18" ht="32.1">
      <c r="B351" s="5">
        <v>349</v>
      </c>
      <c r="C351" s="5">
        <v>852110</v>
      </c>
      <c r="D351" s="6" t="s">
        <v>641</v>
      </c>
      <c r="E351" s="6" t="s">
        <v>450</v>
      </c>
      <c r="F351" s="6" t="s">
        <v>66</v>
      </c>
      <c r="G351" s="6" t="s">
        <v>67</v>
      </c>
      <c r="H351" s="6" t="s">
        <v>28</v>
      </c>
      <c r="I351" s="5" t="s">
        <v>12</v>
      </c>
      <c r="J351" s="5" t="s">
        <v>21</v>
      </c>
      <c r="K351" s="5" t="s">
        <v>21</v>
      </c>
      <c r="L351" s="5" t="s">
        <v>21</v>
      </c>
      <c r="M351" s="5" t="s">
        <v>29</v>
      </c>
      <c r="N351" s="7" t="s">
        <v>21</v>
      </c>
      <c r="O351" s="5" t="s">
        <v>21</v>
      </c>
      <c r="P351" s="8">
        <v>0.42199045281700009</v>
      </c>
      <c r="Q351" s="9">
        <f t="shared" si="5"/>
        <v>8.8930526317145916E-5</v>
      </c>
    </row>
    <row r="352" spans="2:18" ht="63.95" hidden="1">
      <c r="B352" s="5">
        <v>350</v>
      </c>
      <c r="C352" s="5">
        <v>847689</v>
      </c>
      <c r="D352" s="6" t="s">
        <v>235</v>
      </c>
      <c r="E352" s="6" t="s">
        <v>232</v>
      </c>
      <c r="F352" s="6" t="s">
        <v>66</v>
      </c>
      <c r="G352" s="6" t="s">
        <v>51</v>
      </c>
      <c r="H352" s="6" t="s">
        <v>28</v>
      </c>
      <c r="I352" s="10" t="s">
        <v>103</v>
      </c>
      <c r="J352" s="5" t="s">
        <v>29</v>
      </c>
      <c r="K352" s="5" t="s">
        <v>21</v>
      </c>
      <c r="L352" s="5" t="s">
        <v>29</v>
      </c>
      <c r="M352" s="5" t="s">
        <v>29</v>
      </c>
      <c r="N352" s="7" t="s">
        <v>29</v>
      </c>
      <c r="O352" s="5" t="s">
        <v>29</v>
      </c>
      <c r="P352" s="8">
        <v>0.41282317456400008</v>
      </c>
      <c r="Q352" s="11">
        <f t="shared" si="5"/>
        <v>8.699860848703197E-5</v>
      </c>
    </row>
    <row r="353" spans="2:17" ht="63.95">
      <c r="B353" s="5">
        <v>351</v>
      </c>
      <c r="C353" s="5">
        <v>852499</v>
      </c>
      <c r="D353" s="6" t="s">
        <v>584</v>
      </c>
      <c r="E353" s="6" t="s">
        <v>88</v>
      </c>
      <c r="F353" s="6" t="s">
        <v>89</v>
      </c>
      <c r="G353" s="6" t="s">
        <v>67</v>
      </c>
      <c r="H353" s="6" t="s">
        <v>20</v>
      </c>
      <c r="I353" s="5" t="s">
        <v>12</v>
      </c>
      <c r="J353" s="5" t="s">
        <v>21</v>
      </c>
      <c r="K353" s="5" t="s">
        <v>29</v>
      </c>
      <c r="L353" s="5" t="s">
        <v>29</v>
      </c>
      <c r="M353" s="5" t="s">
        <v>29</v>
      </c>
      <c r="N353" s="7" t="s">
        <v>21</v>
      </c>
      <c r="O353" s="5" t="s">
        <v>29</v>
      </c>
      <c r="P353" s="8">
        <v>0.40567750953600001</v>
      </c>
      <c r="Q353" s="9">
        <f t="shared" si="5"/>
        <v>8.5492726665336723E-5</v>
      </c>
    </row>
    <row r="354" spans="2:17" ht="48">
      <c r="B354" s="5">
        <v>352</v>
      </c>
      <c r="C354" s="5">
        <v>910511</v>
      </c>
      <c r="D354" s="6" t="s">
        <v>645</v>
      </c>
      <c r="E354" s="6" t="s">
        <v>646</v>
      </c>
      <c r="F354" s="6" t="s">
        <v>66</v>
      </c>
      <c r="G354" s="6" t="s">
        <v>67</v>
      </c>
      <c r="H354" s="6" t="s">
        <v>28</v>
      </c>
      <c r="I354" s="5" t="s">
        <v>12</v>
      </c>
      <c r="J354" s="5" t="s">
        <v>21</v>
      </c>
      <c r="K354" s="5" t="s">
        <v>21</v>
      </c>
      <c r="L354" s="5" t="s">
        <v>21</v>
      </c>
      <c r="M354" s="5" t="s">
        <v>29</v>
      </c>
      <c r="N354" s="7" t="s">
        <v>21</v>
      </c>
      <c r="O354" s="5" t="s">
        <v>21</v>
      </c>
      <c r="P354" s="8">
        <v>0.39301617172699993</v>
      </c>
      <c r="Q354" s="9">
        <f t="shared" si="5"/>
        <v>8.2824468585759148E-5</v>
      </c>
    </row>
    <row r="355" spans="2:17" ht="32.1" hidden="1">
      <c r="B355" s="5">
        <v>353</v>
      </c>
      <c r="C355" s="5">
        <v>853939</v>
      </c>
      <c r="D355" s="6" t="s">
        <v>537</v>
      </c>
      <c r="E355" s="6" t="s">
        <v>316</v>
      </c>
      <c r="F355" s="6" t="s">
        <v>66</v>
      </c>
      <c r="G355" s="6" t="s">
        <v>51</v>
      </c>
      <c r="H355" s="6" t="s">
        <v>28</v>
      </c>
      <c r="I355" s="10" t="s">
        <v>103</v>
      </c>
      <c r="J355" s="5" t="s">
        <v>29</v>
      </c>
      <c r="K355" s="5" t="s">
        <v>21</v>
      </c>
      <c r="L355" s="5" t="s">
        <v>29</v>
      </c>
      <c r="M355" s="5" t="s">
        <v>29</v>
      </c>
      <c r="N355" s="7" t="s">
        <v>29</v>
      </c>
      <c r="O355" s="5" t="s">
        <v>29</v>
      </c>
      <c r="P355" s="8">
        <v>0.39186683622899998</v>
      </c>
      <c r="Q355" s="11">
        <f t="shared" si="5"/>
        <v>8.2582256919429257E-5</v>
      </c>
    </row>
    <row r="356" spans="2:17" ht="32.1">
      <c r="B356" s="5">
        <v>354</v>
      </c>
      <c r="C356" s="5">
        <v>853230</v>
      </c>
      <c r="D356" s="6" t="s">
        <v>654</v>
      </c>
      <c r="E356" s="6" t="s">
        <v>166</v>
      </c>
      <c r="F356" s="6" t="s">
        <v>54</v>
      </c>
      <c r="G356" s="6" t="s">
        <v>19</v>
      </c>
      <c r="H356" s="6" t="s">
        <v>20</v>
      </c>
      <c r="I356" s="5" t="s">
        <v>12</v>
      </c>
      <c r="J356" s="5" t="s">
        <v>21</v>
      </c>
      <c r="K356" s="5" t="s">
        <v>21</v>
      </c>
      <c r="L356" s="5" t="s">
        <v>21</v>
      </c>
      <c r="M356" s="5" t="s">
        <v>29</v>
      </c>
      <c r="N356" s="7" t="s">
        <v>21</v>
      </c>
      <c r="O356" s="5" t="s">
        <v>21</v>
      </c>
      <c r="P356" s="8">
        <v>0.3881873276440001</v>
      </c>
      <c r="Q356" s="9">
        <f t="shared" si="5"/>
        <v>8.1806835028085193E-5</v>
      </c>
    </row>
    <row r="357" spans="2:17" ht="32.1" hidden="1">
      <c r="B357" s="5">
        <v>355</v>
      </c>
      <c r="C357" s="5">
        <v>854890</v>
      </c>
      <c r="D357" s="6" t="s">
        <v>618</v>
      </c>
      <c r="E357" s="6" t="s">
        <v>619</v>
      </c>
      <c r="F357" s="6" t="s">
        <v>54</v>
      </c>
      <c r="G357" s="6" t="s">
        <v>51</v>
      </c>
      <c r="H357" s="6" t="s">
        <v>20</v>
      </c>
      <c r="I357" s="10" t="s">
        <v>103</v>
      </c>
      <c r="J357" s="5" t="s">
        <v>29</v>
      </c>
      <c r="K357" s="5" t="s">
        <v>21</v>
      </c>
      <c r="L357" s="5" t="s">
        <v>29</v>
      </c>
      <c r="M357" s="5" t="s">
        <v>29</v>
      </c>
      <c r="N357" s="7" t="s">
        <v>29</v>
      </c>
      <c r="O357" s="5" t="s">
        <v>29</v>
      </c>
      <c r="P357" s="8">
        <v>0.36822669899399996</v>
      </c>
      <c r="Q357" s="11">
        <f t="shared" si="5"/>
        <v>7.760031992894998E-5</v>
      </c>
    </row>
    <row r="358" spans="2:17" ht="48" hidden="1">
      <c r="B358" s="5">
        <v>356</v>
      </c>
      <c r="C358" s="5">
        <v>853922</v>
      </c>
      <c r="D358" s="6" t="s">
        <v>532</v>
      </c>
      <c r="E358" s="6" t="s">
        <v>316</v>
      </c>
      <c r="F358" s="6" t="s">
        <v>66</v>
      </c>
      <c r="G358" s="6" t="s">
        <v>51</v>
      </c>
      <c r="H358" s="6" t="s">
        <v>28</v>
      </c>
      <c r="I358" s="10" t="s">
        <v>103</v>
      </c>
      <c r="J358" s="5" t="s">
        <v>29</v>
      </c>
      <c r="K358" s="5" t="s">
        <v>21</v>
      </c>
      <c r="L358" s="5" t="s">
        <v>29</v>
      </c>
      <c r="M358" s="5" t="s">
        <v>29</v>
      </c>
      <c r="N358" s="7" t="s">
        <v>29</v>
      </c>
      <c r="O358" s="5" t="s">
        <v>29</v>
      </c>
      <c r="P358" s="8">
        <v>0.35035568919200005</v>
      </c>
      <c r="Q358" s="11">
        <f t="shared" si="5"/>
        <v>7.3834172384849191E-5</v>
      </c>
    </row>
    <row r="359" spans="2:17" ht="32.1">
      <c r="B359" s="5">
        <v>357</v>
      </c>
      <c r="C359" s="5">
        <v>850660</v>
      </c>
      <c r="D359" s="6" t="s">
        <v>647</v>
      </c>
      <c r="E359" s="6" t="s">
        <v>439</v>
      </c>
      <c r="F359" s="6" t="s">
        <v>66</v>
      </c>
      <c r="G359" s="6" t="s">
        <v>43</v>
      </c>
      <c r="H359" s="6" t="s">
        <v>20</v>
      </c>
      <c r="I359" s="5" t="s">
        <v>12</v>
      </c>
      <c r="J359" s="5" t="s">
        <v>21</v>
      </c>
      <c r="K359" s="5" t="s">
        <v>21</v>
      </c>
      <c r="L359" s="5" t="s">
        <v>29</v>
      </c>
      <c r="M359" s="5" t="s">
        <v>29</v>
      </c>
      <c r="N359" s="7" t="s">
        <v>21</v>
      </c>
      <c r="O359" s="5" t="s">
        <v>29</v>
      </c>
      <c r="P359" s="8">
        <v>0.34054840465699998</v>
      </c>
      <c r="Q359" s="9">
        <f t="shared" si="5"/>
        <v>7.1767379239133673E-5</v>
      </c>
    </row>
    <row r="360" spans="2:17" ht="15.95" hidden="1">
      <c r="B360" s="5">
        <v>358</v>
      </c>
      <c r="C360" s="5">
        <v>841912</v>
      </c>
      <c r="D360" s="6" t="s">
        <v>136</v>
      </c>
      <c r="E360" s="6" t="s">
        <v>135</v>
      </c>
      <c r="F360" s="6" t="s">
        <v>112</v>
      </c>
      <c r="G360" s="6" t="s">
        <v>51</v>
      </c>
      <c r="H360" s="6" t="s">
        <v>28</v>
      </c>
      <c r="I360" s="10" t="s">
        <v>103</v>
      </c>
      <c r="J360" s="5" t="s">
        <v>29</v>
      </c>
      <c r="K360" s="5" t="s">
        <v>29</v>
      </c>
      <c r="L360" s="5" t="s">
        <v>21</v>
      </c>
      <c r="M360" s="5" t="s">
        <v>29</v>
      </c>
      <c r="N360" s="7" t="s">
        <v>29</v>
      </c>
      <c r="O360" s="5" t="s">
        <v>29</v>
      </c>
      <c r="P360" s="8">
        <v>0.33818398212399997</v>
      </c>
      <c r="Q360" s="11">
        <f t="shared" si="5"/>
        <v>7.1269099387321491E-5</v>
      </c>
    </row>
    <row r="361" spans="2:17" ht="48">
      <c r="B361" s="5">
        <v>359</v>
      </c>
      <c r="C361" s="5">
        <v>851930</v>
      </c>
      <c r="D361" s="6" t="s">
        <v>655</v>
      </c>
      <c r="E361" s="6" t="s">
        <v>656</v>
      </c>
      <c r="F361" s="6" t="s">
        <v>66</v>
      </c>
      <c r="G361" s="6" t="s">
        <v>40</v>
      </c>
      <c r="H361" s="6" t="s">
        <v>28</v>
      </c>
      <c r="I361" s="5" t="s">
        <v>12</v>
      </c>
      <c r="J361" s="5" t="s">
        <v>21</v>
      </c>
      <c r="K361" s="5" t="s">
        <v>21</v>
      </c>
      <c r="L361" s="5" t="s">
        <v>29</v>
      </c>
      <c r="M361" s="5" t="s">
        <v>29</v>
      </c>
      <c r="N361" s="7" t="s">
        <v>21</v>
      </c>
      <c r="O361" s="5" t="s">
        <v>29</v>
      </c>
      <c r="P361" s="8">
        <v>0.33507263673299992</v>
      </c>
      <c r="Q361" s="9">
        <f t="shared" si="5"/>
        <v>7.061341255524036E-5</v>
      </c>
    </row>
    <row r="362" spans="2:17" ht="32.1">
      <c r="B362" s="5">
        <v>360</v>
      </c>
      <c r="C362" s="5">
        <v>901814</v>
      </c>
      <c r="D362" s="6" t="s">
        <v>653</v>
      </c>
      <c r="E362" s="6" t="s">
        <v>197</v>
      </c>
      <c r="F362" s="6" t="s">
        <v>198</v>
      </c>
      <c r="G362" s="6" t="s">
        <v>40</v>
      </c>
      <c r="H362" s="6" t="s">
        <v>28</v>
      </c>
      <c r="I362" s="5" t="s">
        <v>12</v>
      </c>
      <c r="J362" s="5" t="s">
        <v>21</v>
      </c>
      <c r="K362" s="5" t="s">
        <v>21</v>
      </c>
      <c r="L362" s="5" t="s">
        <v>29</v>
      </c>
      <c r="M362" s="5" t="s">
        <v>29</v>
      </c>
      <c r="N362" s="7" t="s">
        <v>21</v>
      </c>
      <c r="O362" s="5" t="s">
        <v>21</v>
      </c>
      <c r="P362" s="8">
        <v>0.3282704408160001</v>
      </c>
      <c r="Q362" s="9">
        <f t="shared" si="5"/>
        <v>6.9179913624226711E-5</v>
      </c>
    </row>
    <row r="363" spans="2:17" ht="63.95">
      <c r="B363" s="5">
        <v>361</v>
      </c>
      <c r="C363" s="5">
        <v>902229</v>
      </c>
      <c r="D363" s="6" t="s">
        <v>649</v>
      </c>
      <c r="E363" s="6" t="s">
        <v>650</v>
      </c>
      <c r="F363" s="6" t="s">
        <v>189</v>
      </c>
      <c r="G363" s="6" t="s">
        <v>40</v>
      </c>
      <c r="H363" s="6" t="s">
        <v>28</v>
      </c>
      <c r="I363" s="5" t="s">
        <v>12</v>
      </c>
      <c r="J363" s="5" t="s">
        <v>21</v>
      </c>
      <c r="K363" s="5" t="s">
        <v>21</v>
      </c>
      <c r="L363" s="5" t="s">
        <v>29</v>
      </c>
      <c r="M363" s="5" t="s">
        <v>29</v>
      </c>
      <c r="N363" s="7" t="s">
        <v>21</v>
      </c>
      <c r="O363" s="5" t="s">
        <v>21</v>
      </c>
      <c r="P363" s="8">
        <v>0.32711053048300004</v>
      </c>
      <c r="Q363" s="9">
        <f t="shared" si="5"/>
        <v>6.8935473410696281E-5</v>
      </c>
    </row>
    <row r="364" spans="2:17" ht="63.95">
      <c r="B364" s="5">
        <v>362</v>
      </c>
      <c r="C364" s="5">
        <v>854071</v>
      </c>
      <c r="D364" s="6" t="s">
        <v>643</v>
      </c>
      <c r="E364" s="6" t="s">
        <v>644</v>
      </c>
      <c r="F364" s="6" t="s">
        <v>189</v>
      </c>
      <c r="G364" s="6" t="s">
        <v>19</v>
      </c>
      <c r="H364" s="6" t="s">
        <v>20</v>
      </c>
      <c r="I364" s="5" t="s">
        <v>12</v>
      </c>
      <c r="J364" s="5" t="s">
        <v>21</v>
      </c>
      <c r="K364" s="5" t="s">
        <v>21</v>
      </c>
      <c r="L364" s="5" t="s">
        <v>29</v>
      </c>
      <c r="M364" s="5" t="s">
        <v>29</v>
      </c>
      <c r="N364" s="7" t="s">
        <v>21</v>
      </c>
      <c r="O364" s="5" t="s">
        <v>21</v>
      </c>
      <c r="P364" s="8">
        <v>0.32679841553599981</v>
      </c>
      <c r="Q364" s="9">
        <f t="shared" si="5"/>
        <v>6.8869698115727195E-5</v>
      </c>
    </row>
    <row r="365" spans="2:17" ht="63.95">
      <c r="B365" s="5">
        <v>363</v>
      </c>
      <c r="C365" s="5">
        <v>902221</v>
      </c>
      <c r="D365" s="6" t="s">
        <v>661</v>
      </c>
      <c r="E365" s="6" t="s">
        <v>391</v>
      </c>
      <c r="F365" s="6" t="s">
        <v>198</v>
      </c>
      <c r="G365" s="6" t="s">
        <v>40</v>
      </c>
      <c r="H365" s="6" t="s">
        <v>28</v>
      </c>
      <c r="I365" s="5" t="s">
        <v>12</v>
      </c>
      <c r="J365" s="5" t="s">
        <v>21</v>
      </c>
      <c r="K365" s="5" t="s">
        <v>21</v>
      </c>
      <c r="L365" s="5" t="s">
        <v>29</v>
      </c>
      <c r="M365" s="5" t="s">
        <v>29</v>
      </c>
      <c r="N365" s="7" t="s">
        <v>21</v>
      </c>
      <c r="O365" s="5" t="s">
        <v>21</v>
      </c>
      <c r="P365" s="8">
        <v>0.304075590201</v>
      </c>
      <c r="Q365" s="9">
        <f t="shared" si="5"/>
        <v>6.4081075996519135E-5</v>
      </c>
    </row>
    <row r="366" spans="2:17" ht="48">
      <c r="B366" s="5">
        <v>364</v>
      </c>
      <c r="C366" s="5">
        <v>854079</v>
      </c>
      <c r="D366" s="6" t="s">
        <v>665</v>
      </c>
      <c r="E366" s="6" t="s">
        <v>658</v>
      </c>
      <c r="F366" s="6" t="s">
        <v>189</v>
      </c>
      <c r="G366" s="6" t="s">
        <v>19</v>
      </c>
      <c r="H366" s="6" t="s">
        <v>20</v>
      </c>
      <c r="I366" s="5" t="s">
        <v>12</v>
      </c>
      <c r="J366" s="5" t="s">
        <v>21</v>
      </c>
      <c r="K366" s="5" t="s">
        <v>21</v>
      </c>
      <c r="L366" s="5" t="s">
        <v>29</v>
      </c>
      <c r="M366" s="5" t="s">
        <v>29</v>
      </c>
      <c r="N366" s="7" t="s">
        <v>21</v>
      </c>
      <c r="O366" s="5" t="s">
        <v>21</v>
      </c>
      <c r="P366" s="8">
        <v>0.27006726825499999</v>
      </c>
      <c r="Q366" s="9">
        <f t="shared" si="5"/>
        <v>5.6914141413920244E-5</v>
      </c>
    </row>
    <row r="367" spans="2:17" ht="32.1">
      <c r="B367" s="5">
        <v>365</v>
      </c>
      <c r="C367" s="5">
        <v>854310</v>
      </c>
      <c r="D367" s="6" t="s">
        <v>660</v>
      </c>
      <c r="E367" s="6" t="s">
        <v>517</v>
      </c>
      <c r="F367" s="6" t="s">
        <v>54</v>
      </c>
      <c r="G367" s="6" t="s">
        <v>19</v>
      </c>
      <c r="H367" s="6" t="s">
        <v>20</v>
      </c>
      <c r="I367" s="5" t="s">
        <v>12</v>
      </c>
      <c r="J367" s="5" t="s">
        <v>21</v>
      </c>
      <c r="K367" s="5" t="s">
        <v>21</v>
      </c>
      <c r="L367" s="5" t="s">
        <v>21</v>
      </c>
      <c r="M367" s="5" t="s">
        <v>29</v>
      </c>
      <c r="N367" s="7" t="s">
        <v>21</v>
      </c>
      <c r="O367" s="5" t="s">
        <v>21</v>
      </c>
      <c r="P367" s="8">
        <v>0.25826824969199996</v>
      </c>
      <c r="Q367" s="9">
        <f t="shared" si="5"/>
        <v>5.4427609020050183E-5</v>
      </c>
    </row>
    <row r="368" spans="2:17" ht="63.95">
      <c r="B368" s="5">
        <v>366</v>
      </c>
      <c r="C368" s="5">
        <v>854150</v>
      </c>
      <c r="D368" s="6" t="s">
        <v>666</v>
      </c>
      <c r="E368" s="6" t="s">
        <v>63</v>
      </c>
      <c r="F368" s="6" t="s">
        <v>18</v>
      </c>
      <c r="G368" s="6" t="s">
        <v>51</v>
      </c>
      <c r="H368" s="6" t="s">
        <v>20</v>
      </c>
      <c r="I368" s="5" t="s">
        <v>96</v>
      </c>
      <c r="J368" s="5" t="s">
        <v>21</v>
      </c>
      <c r="K368" s="5" t="s">
        <v>21</v>
      </c>
      <c r="L368" s="5" t="s">
        <v>29</v>
      </c>
      <c r="M368" s="5" t="s">
        <v>29</v>
      </c>
      <c r="N368" s="7" t="s">
        <v>29</v>
      </c>
      <c r="O368" s="5" t="s">
        <v>21</v>
      </c>
      <c r="P368" s="8">
        <v>0.25816564507600004</v>
      </c>
      <c r="Q368" s="9">
        <f t="shared" si="5"/>
        <v>5.4405986060472469E-5</v>
      </c>
    </row>
    <row r="369" spans="2:18" ht="32.1">
      <c r="B369" s="5">
        <v>367</v>
      </c>
      <c r="C369" s="5">
        <v>850640</v>
      </c>
      <c r="D369" s="6" t="s">
        <v>662</v>
      </c>
      <c r="E369" s="6" t="s">
        <v>439</v>
      </c>
      <c r="F369" s="6" t="s">
        <v>66</v>
      </c>
      <c r="G369" s="6" t="s">
        <v>43</v>
      </c>
      <c r="H369" s="6" t="s">
        <v>20</v>
      </c>
      <c r="I369" s="5" t="s">
        <v>12</v>
      </c>
      <c r="J369" s="5" t="s">
        <v>21</v>
      </c>
      <c r="K369" s="5" t="s">
        <v>21</v>
      </c>
      <c r="L369" s="5" t="s">
        <v>29</v>
      </c>
      <c r="M369" s="5" t="s">
        <v>29</v>
      </c>
      <c r="N369" s="7" t="s">
        <v>21</v>
      </c>
      <c r="O369" s="5" t="s">
        <v>29</v>
      </c>
      <c r="P369" s="8">
        <v>0.25339043820000001</v>
      </c>
      <c r="Q369" s="9">
        <f t="shared" si="5"/>
        <v>5.3399656040631726E-5</v>
      </c>
    </row>
    <row r="370" spans="2:18" ht="48">
      <c r="B370" s="5">
        <v>368</v>
      </c>
      <c r="C370" s="5">
        <v>852849</v>
      </c>
      <c r="D370" s="6" t="s">
        <v>669</v>
      </c>
      <c r="E370" s="6" t="s">
        <v>109</v>
      </c>
      <c r="F370" s="6" t="s">
        <v>36</v>
      </c>
      <c r="G370" s="6" t="s">
        <v>37</v>
      </c>
      <c r="H370" s="6" t="s">
        <v>28</v>
      </c>
      <c r="I370" s="5" t="s">
        <v>12</v>
      </c>
      <c r="J370" s="5" t="s">
        <v>21</v>
      </c>
      <c r="K370" s="5" t="s">
        <v>21</v>
      </c>
      <c r="L370" s="5" t="s">
        <v>21</v>
      </c>
      <c r="M370" s="5" t="s">
        <v>29</v>
      </c>
      <c r="N370" s="7" t="s">
        <v>21</v>
      </c>
      <c r="O370" s="5" t="s">
        <v>21</v>
      </c>
      <c r="P370" s="8">
        <v>0.24977795114900012</v>
      </c>
      <c r="Q370" s="9">
        <f t="shared" si="5"/>
        <v>5.2638358308385132E-5</v>
      </c>
    </row>
    <row r="371" spans="2:18" ht="32.1" hidden="1">
      <c r="B371" s="5">
        <v>369</v>
      </c>
      <c r="C371" s="5">
        <v>850860</v>
      </c>
      <c r="D371" s="6" t="s">
        <v>287</v>
      </c>
      <c r="E371" s="6" t="s">
        <v>219</v>
      </c>
      <c r="F371" s="6" t="s">
        <v>112</v>
      </c>
      <c r="G371" s="6" t="s">
        <v>51</v>
      </c>
      <c r="H371" s="6" t="s">
        <v>28</v>
      </c>
      <c r="I371" s="10" t="s">
        <v>103</v>
      </c>
      <c r="J371" s="5" t="s">
        <v>29</v>
      </c>
      <c r="K371" s="5" t="s">
        <v>21</v>
      </c>
      <c r="L371" s="5" t="s">
        <v>29</v>
      </c>
      <c r="M371" s="5" t="s">
        <v>29</v>
      </c>
      <c r="N371" s="7" t="s">
        <v>29</v>
      </c>
      <c r="O371" s="5" t="s">
        <v>29</v>
      </c>
      <c r="P371" s="8">
        <v>0.24531145670200002</v>
      </c>
      <c r="Q371" s="11">
        <f t="shared" si="5"/>
        <v>5.1697086534787497E-5</v>
      </c>
    </row>
    <row r="372" spans="2:18" ht="32.1" hidden="1">
      <c r="B372" s="5">
        <v>370</v>
      </c>
      <c r="C372" s="5">
        <v>841891</v>
      </c>
      <c r="D372" s="6" t="s">
        <v>130</v>
      </c>
      <c r="E372" s="6" t="s">
        <v>131</v>
      </c>
      <c r="F372" s="6" t="s">
        <v>112</v>
      </c>
      <c r="G372" s="6" t="s">
        <v>51</v>
      </c>
      <c r="H372" s="6" t="s">
        <v>20</v>
      </c>
      <c r="I372" s="10" t="s">
        <v>103</v>
      </c>
      <c r="J372" s="5" t="s">
        <v>29</v>
      </c>
      <c r="K372" s="5" t="s">
        <v>21</v>
      </c>
      <c r="L372" s="5" t="s">
        <v>29</v>
      </c>
      <c r="M372" s="5" t="s">
        <v>29</v>
      </c>
      <c r="N372" s="7" t="s">
        <v>29</v>
      </c>
      <c r="O372" s="5" t="s">
        <v>29</v>
      </c>
      <c r="P372" s="8">
        <v>0.24441517764600007</v>
      </c>
      <c r="Q372" s="11">
        <f t="shared" si="5"/>
        <v>5.1508204137934606E-5</v>
      </c>
    </row>
    <row r="373" spans="2:18" ht="32.1" hidden="1">
      <c r="B373" s="5">
        <v>371</v>
      </c>
      <c r="C373" s="5">
        <v>844311</v>
      </c>
      <c r="D373" s="6" t="s">
        <v>152</v>
      </c>
      <c r="E373" s="6" t="s">
        <v>153</v>
      </c>
      <c r="F373" s="6" t="s">
        <v>36</v>
      </c>
      <c r="G373" s="6" t="s">
        <v>51</v>
      </c>
      <c r="H373" s="6" t="s">
        <v>28</v>
      </c>
      <c r="I373" s="10" t="s">
        <v>103</v>
      </c>
      <c r="J373" s="5" t="s">
        <v>29</v>
      </c>
      <c r="K373" s="5" t="s">
        <v>21</v>
      </c>
      <c r="L373" s="5" t="s">
        <v>29</v>
      </c>
      <c r="M373" s="5" t="s">
        <v>29</v>
      </c>
      <c r="N373" s="7" t="s">
        <v>29</v>
      </c>
      <c r="O373" s="5" t="s">
        <v>29</v>
      </c>
      <c r="P373" s="8">
        <v>0.24014965173900002</v>
      </c>
      <c r="Q373" s="11">
        <f t="shared" si="5"/>
        <v>5.0609284597464725E-5</v>
      </c>
    </row>
    <row r="374" spans="2:18" ht="48">
      <c r="B374" s="5">
        <v>372</v>
      </c>
      <c r="C374" s="5">
        <v>910690</v>
      </c>
      <c r="D374" s="6" t="s">
        <v>663</v>
      </c>
      <c r="E374" s="6" t="s">
        <v>664</v>
      </c>
      <c r="F374" s="6" t="s">
        <v>66</v>
      </c>
      <c r="G374" s="6" t="s">
        <v>67</v>
      </c>
      <c r="H374" s="6" t="s">
        <v>28</v>
      </c>
      <c r="I374" s="5" t="s">
        <v>12</v>
      </c>
      <c r="J374" s="5" t="s">
        <v>21</v>
      </c>
      <c r="K374" s="5" t="s">
        <v>21</v>
      </c>
      <c r="L374" s="5" t="s">
        <v>21</v>
      </c>
      <c r="M374" s="5" t="s">
        <v>29</v>
      </c>
      <c r="N374" s="7" t="s">
        <v>21</v>
      </c>
      <c r="O374" s="5" t="s">
        <v>21</v>
      </c>
      <c r="P374" s="8">
        <v>0.23128833685799999</v>
      </c>
      <c r="Q374" s="9">
        <f t="shared" si="5"/>
        <v>4.8741845675639088E-5</v>
      </c>
    </row>
    <row r="375" spans="2:18" ht="48">
      <c r="B375" s="5">
        <v>373</v>
      </c>
      <c r="C375" s="5">
        <v>852321</v>
      </c>
      <c r="D375" s="6" t="s">
        <v>659</v>
      </c>
      <c r="E375" s="6" t="s">
        <v>456</v>
      </c>
      <c r="F375" s="6" t="s">
        <v>66</v>
      </c>
      <c r="G375" s="6" t="s">
        <v>67</v>
      </c>
      <c r="H375" s="6" t="s">
        <v>20</v>
      </c>
      <c r="I375" s="5" t="s">
        <v>12</v>
      </c>
      <c r="J375" s="5" t="s">
        <v>21</v>
      </c>
      <c r="K375" s="5" t="s">
        <v>21</v>
      </c>
      <c r="L375" s="5" t="s">
        <v>21</v>
      </c>
      <c r="M375" s="5" t="s">
        <v>29</v>
      </c>
      <c r="N375" s="7" t="s">
        <v>21</v>
      </c>
      <c r="O375" s="5" t="s">
        <v>21</v>
      </c>
      <c r="P375" s="8">
        <v>0.229372575326</v>
      </c>
      <c r="Q375" s="9">
        <f t="shared" si="5"/>
        <v>4.8338116917792563E-5</v>
      </c>
    </row>
    <row r="376" spans="2:18" ht="32.1">
      <c r="B376" s="5">
        <v>374</v>
      </c>
      <c r="C376" s="5">
        <v>854089</v>
      </c>
      <c r="D376" s="6" t="s">
        <v>657</v>
      </c>
      <c r="E376" s="6" t="s">
        <v>658</v>
      </c>
      <c r="F376" s="6" t="s">
        <v>189</v>
      </c>
      <c r="G376" s="6" t="s">
        <v>19</v>
      </c>
      <c r="H376" s="6" t="s">
        <v>20</v>
      </c>
      <c r="I376" s="5" t="s">
        <v>12</v>
      </c>
      <c r="J376" s="5" t="s">
        <v>21</v>
      </c>
      <c r="K376" s="5" t="s">
        <v>21</v>
      </c>
      <c r="L376" s="5" t="s">
        <v>29</v>
      </c>
      <c r="M376" s="5" t="s">
        <v>29</v>
      </c>
      <c r="N376" s="7" t="s">
        <v>21</v>
      </c>
      <c r="O376" s="5" t="s">
        <v>21</v>
      </c>
      <c r="P376" s="8">
        <v>0.22450990996300008</v>
      </c>
      <c r="Q376" s="9">
        <f t="shared" si="5"/>
        <v>4.7313355842870163E-5</v>
      </c>
    </row>
    <row r="377" spans="2:18" ht="48" hidden="1">
      <c r="B377" s="5">
        <v>375</v>
      </c>
      <c r="C377" s="5">
        <v>842389</v>
      </c>
      <c r="D377" s="6" t="s">
        <v>149</v>
      </c>
      <c r="E377" s="6" t="s">
        <v>150</v>
      </c>
      <c r="F377" s="6" t="s">
        <v>66</v>
      </c>
      <c r="G377" s="6" t="s">
        <v>51</v>
      </c>
      <c r="H377" s="6" t="s">
        <v>28</v>
      </c>
      <c r="I377" s="10" t="s">
        <v>103</v>
      </c>
      <c r="J377" s="5" t="s">
        <v>29</v>
      </c>
      <c r="K377" s="5" t="s">
        <v>21</v>
      </c>
      <c r="L377" s="5" t="s">
        <v>29</v>
      </c>
      <c r="M377" s="5" t="s">
        <v>29</v>
      </c>
      <c r="N377" s="7" t="s">
        <v>29</v>
      </c>
      <c r="O377" s="5" t="s">
        <v>29</v>
      </c>
      <c r="P377" s="8">
        <v>0.22190484761000004</v>
      </c>
      <c r="Q377" s="11">
        <f t="shared" si="5"/>
        <v>4.6764363408101166E-5</v>
      </c>
    </row>
    <row r="378" spans="2:18" ht="32.1" hidden="1">
      <c r="B378" s="5">
        <v>376</v>
      </c>
      <c r="C378" s="5">
        <v>844317</v>
      </c>
      <c r="D378" s="6" t="s">
        <v>157</v>
      </c>
      <c r="E378" s="6" t="s">
        <v>153</v>
      </c>
      <c r="F378" s="6" t="s">
        <v>36</v>
      </c>
      <c r="G378" s="6" t="s">
        <v>51</v>
      </c>
      <c r="H378" s="6" t="s">
        <v>28</v>
      </c>
      <c r="I378" s="10" t="s">
        <v>103</v>
      </c>
      <c r="J378" s="5" t="s">
        <v>29</v>
      </c>
      <c r="K378" s="5" t="s">
        <v>21</v>
      </c>
      <c r="L378" s="5" t="s">
        <v>29</v>
      </c>
      <c r="M378" s="5" t="s">
        <v>29</v>
      </c>
      <c r="N378" s="7" t="s">
        <v>29</v>
      </c>
      <c r="O378" s="5" t="s">
        <v>29</v>
      </c>
      <c r="P378" s="8">
        <v>0.22139201062799996</v>
      </c>
      <c r="Q378" s="11">
        <f t="shared" si="5"/>
        <v>4.6656287828618946E-5</v>
      </c>
    </row>
    <row r="379" spans="2:18" ht="32.1">
      <c r="B379" s="5">
        <v>377</v>
      </c>
      <c r="C379" s="5">
        <v>851712</v>
      </c>
      <c r="D379" s="6" t="s">
        <v>667</v>
      </c>
      <c r="E379" s="6" t="s">
        <v>668</v>
      </c>
      <c r="F379" s="6" t="s">
        <v>26</v>
      </c>
      <c r="G379" s="6" t="s">
        <v>27</v>
      </c>
      <c r="H379" s="6" t="s">
        <v>28</v>
      </c>
      <c r="I379" s="5" t="s">
        <v>12</v>
      </c>
      <c r="J379" s="5" t="s">
        <v>21</v>
      </c>
      <c r="K379" s="5" t="s">
        <v>21</v>
      </c>
      <c r="L379" s="5" t="s">
        <v>21</v>
      </c>
      <c r="M379" s="5" t="s">
        <v>21</v>
      </c>
      <c r="N379" s="7" t="s">
        <v>21</v>
      </c>
      <c r="O379" s="5" t="s">
        <v>21</v>
      </c>
      <c r="P379" s="8">
        <v>0.21819363282600002</v>
      </c>
      <c r="Q379" s="9">
        <f t="shared" si="5"/>
        <v>4.5982259732973194E-5</v>
      </c>
    </row>
    <row r="380" spans="2:18" ht="48">
      <c r="B380" s="5">
        <v>378</v>
      </c>
      <c r="C380" s="5">
        <v>852792</v>
      </c>
      <c r="D380" s="6" t="s">
        <v>678</v>
      </c>
      <c r="E380" s="6" t="s">
        <v>407</v>
      </c>
      <c r="F380" s="6" t="s">
        <v>266</v>
      </c>
      <c r="G380" s="6" t="s">
        <v>27</v>
      </c>
      <c r="H380" s="6" t="s">
        <v>28</v>
      </c>
      <c r="I380" s="5" t="s">
        <v>12</v>
      </c>
      <c r="J380" s="5" t="s">
        <v>21</v>
      </c>
      <c r="K380" s="5" t="s">
        <v>21</v>
      </c>
      <c r="L380" s="5" t="s">
        <v>29</v>
      </c>
      <c r="M380" s="5" t="s">
        <v>29</v>
      </c>
      <c r="N380" s="7" t="s">
        <v>21</v>
      </c>
      <c r="O380" s="5" t="s">
        <v>29</v>
      </c>
      <c r="P380" s="8">
        <v>0.21326603585100001</v>
      </c>
      <c r="Q380" s="9">
        <f t="shared" si="5"/>
        <v>4.4943814930394772E-5</v>
      </c>
      <c r="R380" s="16"/>
    </row>
    <row r="381" spans="2:18" ht="32.1" hidden="1">
      <c r="B381" s="5">
        <v>379</v>
      </c>
      <c r="C381" s="5">
        <v>854610</v>
      </c>
      <c r="D381" s="6" t="s">
        <v>609</v>
      </c>
      <c r="E381" s="6" t="s">
        <v>555</v>
      </c>
      <c r="F381" s="6" t="s">
        <v>54</v>
      </c>
      <c r="G381" s="6" t="s">
        <v>51</v>
      </c>
      <c r="H381" s="6" t="s">
        <v>20</v>
      </c>
      <c r="I381" s="10" t="s">
        <v>103</v>
      </c>
      <c r="J381" s="5" t="s">
        <v>29</v>
      </c>
      <c r="K381" s="5" t="s">
        <v>21</v>
      </c>
      <c r="L381" s="5" t="s">
        <v>29</v>
      </c>
      <c r="M381" s="5" t="s">
        <v>29</v>
      </c>
      <c r="N381" s="7" t="s">
        <v>29</v>
      </c>
      <c r="O381" s="5" t="s">
        <v>29</v>
      </c>
      <c r="P381" s="8">
        <v>0.20340548868700004</v>
      </c>
      <c r="Q381" s="11">
        <f t="shared" si="5"/>
        <v>4.2865797185643009E-5</v>
      </c>
    </row>
    <row r="382" spans="2:18" ht="63.95">
      <c r="B382" s="5">
        <v>380</v>
      </c>
      <c r="C382" s="5">
        <v>851120</v>
      </c>
      <c r="D382" s="6" t="s">
        <v>671</v>
      </c>
      <c r="E382" s="6" t="s">
        <v>672</v>
      </c>
      <c r="F382" s="6" t="s">
        <v>66</v>
      </c>
      <c r="G382" s="6" t="s">
        <v>67</v>
      </c>
      <c r="H382" s="6" t="s">
        <v>20</v>
      </c>
      <c r="I382" s="5" t="s">
        <v>12</v>
      </c>
      <c r="J382" s="5" t="s">
        <v>21</v>
      </c>
      <c r="K382" s="5" t="s">
        <v>29</v>
      </c>
      <c r="L382" s="5" t="s">
        <v>29</v>
      </c>
      <c r="M382" s="5" t="s">
        <v>29</v>
      </c>
      <c r="N382" s="7" t="s">
        <v>21</v>
      </c>
      <c r="O382" s="5" t="s">
        <v>21</v>
      </c>
      <c r="P382" s="8">
        <v>0.18015636699100002</v>
      </c>
      <c r="Q382" s="9">
        <f t="shared" si="5"/>
        <v>3.7966263049184067E-5</v>
      </c>
    </row>
    <row r="383" spans="2:18" ht="63.95" hidden="1">
      <c r="B383" s="5">
        <v>381</v>
      </c>
      <c r="C383" s="5">
        <v>847681</v>
      </c>
      <c r="D383" s="6" t="s">
        <v>234</v>
      </c>
      <c r="E383" s="6" t="s">
        <v>232</v>
      </c>
      <c r="F383" s="6" t="s">
        <v>66</v>
      </c>
      <c r="G383" s="6" t="s">
        <v>51</v>
      </c>
      <c r="H383" s="6" t="s">
        <v>28</v>
      </c>
      <c r="I383" s="10" t="s">
        <v>103</v>
      </c>
      <c r="J383" s="5" t="s">
        <v>29</v>
      </c>
      <c r="K383" s="5" t="s">
        <v>21</v>
      </c>
      <c r="L383" s="5" t="s">
        <v>29</v>
      </c>
      <c r="M383" s="5" t="s">
        <v>29</v>
      </c>
      <c r="N383" s="7" t="s">
        <v>29</v>
      </c>
      <c r="O383" s="5" t="s">
        <v>29</v>
      </c>
      <c r="P383" s="8">
        <v>0.17348304010500004</v>
      </c>
      <c r="Q383" s="11">
        <f t="shared" si="5"/>
        <v>3.6559922056641048E-5</v>
      </c>
    </row>
    <row r="384" spans="2:18" ht="32.1" hidden="1">
      <c r="B384" s="5">
        <v>382</v>
      </c>
      <c r="C384" s="5">
        <v>842320</v>
      </c>
      <c r="D384" s="6" t="s">
        <v>143</v>
      </c>
      <c r="E384" s="6" t="s">
        <v>144</v>
      </c>
      <c r="F384" s="6" t="s">
        <v>66</v>
      </c>
      <c r="G384" s="6" t="s">
        <v>51</v>
      </c>
      <c r="H384" s="6" t="s">
        <v>28</v>
      </c>
      <c r="I384" s="10" t="s">
        <v>103</v>
      </c>
      <c r="J384" s="5" t="s">
        <v>29</v>
      </c>
      <c r="K384" s="5" t="s">
        <v>21</v>
      </c>
      <c r="L384" s="5" t="s">
        <v>29</v>
      </c>
      <c r="M384" s="5" t="s">
        <v>29</v>
      </c>
      <c r="N384" s="7" t="s">
        <v>29</v>
      </c>
      <c r="O384" s="5" t="s">
        <v>29</v>
      </c>
      <c r="P384" s="8">
        <v>0.172656009315</v>
      </c>
      <c r="Q384" s="11">
        <f t="shared" si="5"/>
        <v>3.6385633081750229E-5</v>
      </c>
    </row>
    <row r="385" spans="2:17" ht="48">
      <c r="B385" s="5">
        <v>383</v>
      </c>
      <c r="C385" s="5">
        <v>910591</v>
      </c>
      <c r="D385" s="6" t="s">
        <v>670</v>
      </c>
      <c r="E385" s="6" t="s">
        <v>646</v>
      </c>
      <c r="F385" s="6" t="s">
        <v>66</v>
      </c>
      <c r="G385" s="6" t="s">
        <v>67</v>
      </c>
      <c r="H385" s="6" t="s">
        <v>28</v>
      </c>
      <c r="I385" s="5" t="s">
        <v>12</v>
      </c>
      <c r="J385" s="5" t="s">
        <v>21</v>
      </c>
      <c r="K385" s="5" t="s">
        <v>21</v>
      </c>
      <c r="L385" s="5" t="s">
        <v>21</v>
      </c>
      <c r="M385" s="5" t="s">
        <v>29</v>
      </c>
      <c r="N385" s="7" t="s">
        <v>21</v>
      </c>
      <c r="O385" s="5" t="s">
        <v>21</v>
      </c>
      <c r="P385" s="8">
        <v>0.17252940400299999</v>
      </c>
      <c r="Q385" s="9">
        <f t="shared" si="5"/>
        <v>3.6358952200807196E-5</v>
      </c>
    </row>
    <row r="386" spans="2:17" ht="63.95">
      <c r="B386" s="5">
        <v>384</v>
      </c>
      <c r="C386" s="5">
        <v>852582</v>
      </c>
      <c r="D386" s="6" t="s">
        <v>676</v>
      </c>
      <c r="E386" s="6" t="s">
        <v>550</v>
      </c>
      <c r="F386" s="6" t="s">
        <v>66</v>
      </c>
      <c r="G386" s="6" t="s">
        <v>40</v>
      </c>
      <c r="H386" s="6" t="s">
        <v>28</v>
      </c>
      <c r="I386" s="5" t="s">
        <v>12</v>
      </c>
      <c r="J386" s="5" t="s">
        <v>21</v>
      </c>
      <c r="K386" s="5" t="s">
        <v>29</v>
      </c>
      <c r="L386" s="5" t="s">
        <v>21</v>
      </c>
      <c r="M386" s="5" t="s">
        <v>29</v>
      </c>
      <c r="N386" s="7" t="s">
        <v>21</v>
      </c>
      <c r="O386" s="5" t="s">
        <v>29</v>
      </c>
      <c r="P386" s="8">
        <v>0.16624424717099998</v>
      </c>
      <c r="Q386" s="9">
        <f t="shared" si="5"/>
        <v>3.5034414403033939E-5</v>
      </c>
    </row>
    <row r="387" spans="2:17" ht="63.95">
      <c r="B387" s="5">
        <v>385</v>
      </c>
      <c r="C387" s="5">
        <v>910191</v>
      </c>
      <c r="D387" s="6" t="s">
        <v>689</v>
      </c>
      <c r="E387" s="6" t="s">
        <v>690</v>
      </c>
      <c r="F387" s="6" t="s">
        <v>66</v>
      </c>
      <c r="G387" s="6" t="s">
        <v>67</v>
      </c>
      <c r="H387" s="6" t="s">
        <v>28</v>
      </c>
      <c r="I387" s="5" t="s">
        <v>12</v>
      </c>
      <c r="J387" s="5" t="s">
        <v>21</v>
      </c>
      <c r="K387" s="5" t="s">
        <v>21</v>
      </c>
      <c r="L387" s="5" t="s">
        <v>21</v>
      </c>
      <c r="M387" s="5" t="s">
        <v>29</v>
      </c>
      <c r="N387" s="7" t="s">
        <v>21</v>
      </c>
      <c r="O387" s="5" t="s">
        <v>21</v>
      </c>
      <c r="P387" s="8">
        <v>0.16278401566599998</v>
      </c>
      <c r="Q387" s="9">
        <f t="shared" ref="Q387:Q425" si="6">P387/SUM($P$3:$P$425)</f>
        <v>3.4305203097743428E-5</v>
      </c>
    </row>
    <row r="388" spans="2:17" ht="48">
      <c r="B388" s="5">
        <v>386</v>
      </c>
      <c r="C388" s="5">
        <v>910610</v>
      </c>
      <c r="D388" s="6" t="s">
        <v>673</v>
      </c>
      <c r="E388" s="6" t="s">
        <v>664</v>
      </c>
      <c r="F388" s="6" t="s">
        <v>66</v>
      </c>
      <c r="G388" s="6" t="s">
        <v>67</v>
      </c>
      <c r="H388" s="6" t="s">
        <v>28</v>
      </c>
      <c r="I388" s="5" t="s">
        <v>12</v>
      </c>
      <c r="J388" s="5" t="s">
        <v>21</v>
      </c>
      <c r="K388" s="5" t="s">
        <v>21</v>
      </c>
      <c r="L388" s="5" t="s">
        <v>21</v>
      </c>
      <c r="M388" s="5" t="s">
        <v>29</v>
      </c>
      <c r="N388" s="7" t="s">
        <v>21</v>
      </c>
      <c r="O388" s="5" t="s">
        <v>21</v>
      </c>
      <c r="P388" s="8">
        <v>0.15631644384300006</v>
      </c>
      <c r="Q388" s="9">
        <f t="shared" si="6"/>
        <v>3.2942223053114903E-5</v>
      </c>
    </row>
    <row r="389" spans="2:17" ht="63.95">
      <c r="B389" s="5">
        <v>387</v>
      </c>
      <c r="C389" s="5">
        <v>852419</v>
      </c>
      <c r="D389" s="6" t="s">
        <v>648</v>
      </c>
      <c r="E389" s="6" t="s">
        <v>88</v>
      </c>
      <c r="F389" s="6" t="s">
        <v>89</v>
      </c>
      <c r="G389" s="6" t="s">
        <v>67</v>
      </c>
      <c r="H389" s="6" t="s">
        <v>20</v>
      </c>
      <c r="I389" s="5" t="s">
        <v>12</v>
      </c>
      <c r="J389" s="5" t="s">
        <v>21</v>
      </c>
      <c r="K389" s="5" t="s">
        <v>29</v>
      </c>
      <c r="L389" s="5" t="s">
        <v>29</v>
      </c>
      <c r="M389" s="5" t="s">
        <v>29</v>
      </c>
      <c r="N389" s="7" t="s">
        <v>21</v>
      </c>
      <c r="O389" s="5" t="s">
        <v>29</v>
      </c>
      <c r="P389" s="8">
        <v>0.154047756763</v>
      </c>
      <c r="Q389" s="9">
        <f t="shared" si="6"/>
        <v>3.2464118549265368E-5</v>
      </c>
    </row>
    <row r="390" spans="2:17" ht="48" hidden="1">
      <c r="B390" s="5">
        <v>388</v>
      </c>
      <c r="C390" s="5">
        <v>845019</v>
      </c>
      <c r="D390" s="6" t="s">
        <v>171</v>
      </c>
      <c r="E390" s="6" t="s">
        <v>170</v>
      </c>
      <c r="F390" s="6" t="s">
        <v>66</v>
      </c>
      <c r="G390" s="6" t="s">
        <v>51</v>
      </c>
      <c r="H390" s="6" t="s">
        <v>28</v>
      </c>
      <c r="I390" s="10" t="s">
        <v>103</v>
      </c>
      <c r="J390" s="5" t="s">
        <v>29</v>
      </c>
      <c r="K390" s="5" t="s">
        <v>21</v>
      </c>
      <c r="L390" s="5" t="s">
        <v>21</v>
      </c>
      <c r="M390" s="5" t="s">
        <v>29</v>
      </c>
      <c r="N390" s="7" t="s">
        <v>29</v>
      </c>
      <c r="O390" s="5" t="s">
        <v>29</v>
      </c>
      <c r="P390" s="8">
        <v>0.15073780335799999</v>
      </c>
      <c r="Q390" s="11">
        <f t="shared" si="6"/>
        <v>3.176657694275056E-5</v>
      </c>
    </row>
    <row r="391" spans="2:17" ht="48">
      <c r="B391" s="5">
        <v>389</v>
      </c>
      <c r="C391" s="5">
        <v>854099</v>
      </c>
      <c r="D391" s="6" t="s">
        <v>674</v>
      </c>
      <c r="E391" s="6" t="s">
        <v>675</v>
      </c>
      <c r="F391" s="6" t="s">
        <v>189</v>
      </c>
      <c r="G391" s="6" t="s">
        <v>19</v>
      </c>
      <c r="H391" s="6" t="s">
        <v>20</v>
      </c>
      <c r="I391" s="5" t="s">
        <v>12</v>
      </c>
      <c r="J391" s="5" t="s">
        <v>21</v>
      </c>
      <c r="K391" s="5" t="s">
        <v>21</v>
      </c>
      <c r="L391" s="5" t="s">
        <v>29</v>
      </c>
      <c r="M391" s="5" t="s">
        <v>29</v>
      </c>
      <c r="N391" s="7" t="s">
        <v>21</v>
      </c>
      <c r="O391" s="5" t="s">
        <v>21</v>
      </c>
      <c r="P391" s="8">
        <v>0.14253108866500006</v>
      </c>
      <c r="Q391" s="9">
        <f t="shared" si="6"/>
        <v>3.003708886520954E-5</v>
      </c>
    </row>
    <row r="392" spans="2:17" ht="63.95">
      <c r="B392" s="5">
        <v>390</v>
      </c>
      <c r="C392" s="5">
        <v>852873</v>
      </c>
      <c r="D392" s="6" t="s">
        <v>680</v>
      </c>
      <c r="E392" s="6" t="s">
        <v>681</v>
      </c>
      <c r="F392" s="6" t="s">
        <v>66</v>
      </c>
      <c r="G392" s="6" t="s">
        <v>67</v>
      </c>
      <c r="H392" s="6" t="s">
        <v>20</v>
      </c>
      <c r="I392" s="5" t="s">
        <v>12</v>
      </c>
      <c r="J392" s="5" t="s">
        <v>21</v>
      </c>
      <c r="K392" s="5" t="s">
        <v>21</v>
      </c>
      <c r="L392" s="5" t="s">
        <v>21</v>
      </c>
      <c r="M392" s="5" t="s">
        <v>29</v>
      </c>
      <c r="N392" s="7" t="s">
        <v>21</v>
      </c>
      <c r="O392" s="5" t="s">
        <v>21</v>
      </c>
      <c r="P392" s="8">
        <v>0.133912814287</v>
      </c>
      <c r="Q392" s="9">
        <f t="shared" si="6"/>
        <v>2.8220868447745531E-5</v>
      </c>
    </row>
    <row r="393" spans="2:17" ht="32.1">
      <c r="B393" s="5">
        <v>391</v>
      </c>
      <c r="C393" s="5">
        <v>854081</v>
      </c>
      <c r="D393" s="6" t="s">
        <v>677</v>
      </c>
      <c r="E393" s="6" t="s">
        <v>658</v>
      </c>
      <c r="F393" s="6" t="s">
        <v>189</v>
      </c>
      <c r="G393" s="6" t="s">
        <v>19</v>
      </c>
      <c r="H393" s="6" t="s">
        <v>20</v>
      </c>
      <c r="I393" s="5" t="s">
        <v>12</v>
      </c>
      <c r="J393" s="5" t="s">
        <v>21</v>
      </c>
      <c r="K393" s="5" t="s">
        <v>21</v>
      </c>
      <c r="L393" s="5" t="s">
        <v>29</v>
      </c>
      <c r="M393" s="5" t="s">
        <v>29</v>
      </c>
      <c r="N393" s="7" t="s">
        <v>21</v>
      </c>
      <c r="O393" s="5" t="s">
        <v>29</v>
      </c>
      <c r="P393" s="8">
        <v>0.11554901203400005</v>
      </c>
      <c r="Q393" s="9">
        <f t="shared" si="6"/>
        <v>2.435086952089425E-5</v>
      </c>
    </row>
    <row r="394" spans="2:17" ht="32.1" hidden="1">
      <c r="B394" s="5">
        <v>392</v>
      </c>
      <c r="C394" s="5">
        <v>851621</v>
      </c>
      <c r="D394" s="6" t="s">
        <v>319</v>
      </c>
      <c r="E394" s="6" t="s">
        <v>320</v>
      </c>
      <c r="F394" s="6" t="s">
        <v>66</v>
      </c>
      <c r="G394" s="6" t="s">
        <v>51</v>
      </c>
      <c r="H394" s="6" t="s">
        <v>28</v>
      </c>
      <c r="I394" s="10" t="s">
        <v>103</v>
      </c>
      <c r="J394" s="5" t="s">
        <v>29</v>
      </c>
      <c r="K394" s="5" t="s">
        <v>21</v>
      </c>
      <c r="L394" s="5" t="s">
        <v>29</v>
      </c>
      <c r="M394" s="5" t="s">
        <v>29</v>
      </c>
      <c r="N394" s="7" t="s">
        <v>29</v>
      </c>
      <c r="O394" s="5" t="s">
        <v>29</v>
      </c>
      <c r="P394" s="8">
        <v>0.11516382056700002</v>
      </c>
      <c r="Q394" s="11">
        <f t="shared" si="6"/>
        <v>2.4269694035371973E-5</v>
      </c>
    </row>
    <row r="395" spans="2:17" ht="32.1" hidden="1">
      <c r="B395" s="5">
        <v>393</v>
      </c>
      <c r="C395" s="5">
        <v>851633</v>
      </c>
      <c r="D395" s="6" t="s">
        <v>327</v>
      </c>
      <c r="E395" s="6" t="s">
        <v>328</v>
      </c>
      <c r="F395" s="6" t="s">
        <v>66</v>
      </c>
      <c r="G395" s="6" t="s">
        <v>51</v>
      </c>
      <c r="H395" s="6" t="s">
        <v>28</v>
      </c>
      <c r="I395" s="10" t="s">
        <v>103</v>
      </c>
      <c r="J395" s="5" t="s">
        <v>29</v>
      </c>
      <c r="K395" s="5" t="s">
        <v>21</v>
      </c>
      <c r="L395" s="5" t="s">
        <v>29</v>
      </c>
      <c r="M395" s="5" t="s">
        <v>29</v>
      </c>
      <c r="N395" s="7" t="s">
        <v>29</v>
      </c>
      <c r="O395" s="5" t="s">
        <v>29</v>
      </c>
      <c r="P395" s="8">
        <v>0.11012810192899998</v>
      </c>
      <c r="Q395" s="11">
        <f t="shared" si="6"/>
        <v>2.3208463607354186E-5</v>
      </c>
    </row>
    <row r="396" spans="2:17" ht="32.1">
      <c r="B396" s="5">
        <v>394</v>
      </c>
      <c r="C396" s="5">
        <v>847021</v>
      </c>
      <c r="D396" s="6" t="s">
        <v>679</v>
      </c>
      <c r="E396" s="6" t="s">
        <v>594</v>
      </c>
      <c r="F396" s="6" t="s">
        <v>66</v>
      </c>
      <c r="G396" s="6" t="s">
        <v>67</v>
      </c>
      <c r="H396" s="6" t="s">
        <v>28</v>
      </c>
      <c r="I396" s="5" t="s">
        <v>12</v>
      </c>
      <c r="J396" s="5" t="s">
        <v>21</v>
      </c>
      <c r="K396" s="5" t="s">
        <v>21</v>
      </c>
      <c r="L396" s="5" t="s">
        <v>21</v>
      </c>
      <c r="M396" s="5" t="s">
        <v>29</v>
      </c>
      <c r="N396" s="7" t="s">
        <v>21</v>
      </c>
      <c r="O396" s="5" t="s">
        <v>21</v>
      </c>
      <c r="P396" s="8">
        <v>9.2660051776000021E-2</v>
      </c>
      <c r="Q396" s="9">
        <f t="shared" si="6"/>
        <v>1.9527236026325825E-5</v>
      </c>
    </row>
    <row r="397" spans="2:17" ht="48">
      <c r="B397" s="5">
        <v>395</v>
      </c>
      <c r="C397" s="5">
        <v>853331</v>
      </c>
      <c r="D397" s="6" t="s">
        <v>683</v>
      </c>
      <c r="E397" s="6" t="s">
        <v>334</v>
      </c>
      <c r="F397" s="6" t="s">
        <v>54</v>
      </c>
      <c r="G397" s="6" t="s">
        <v>19</v>
      </c>
      <c r="H397" s="6" t="s">
        <v>20</v>
      </c>
      <c r="I397" s="5" t="s">
        <v>12</v>
      </c>
      <c r="J397" s="5" t="s">
        <v>21</v>
      </c>
      <c r="K397" s="5" t="s">
        <v>21</v>
      </c>
      <c r="L397" s="5" t="s">
        <v>21</v>
      </c>
      <c r="M397" s="5" t="s">
        <v>21</v>
      </c>
      <c r="N397" s="7" t="s">
        <v>21</v>
      </c>
      <c r="O397" s="5" t="s">
        <v>21</v>
      </c>
      <c r="P397" s="8">
        <v>9.2322905209000022E-2</v>
      </c>
      <c r="Q397" s="9">
        <f t="shared" si="6"/>
        <v>1.9456185552436715E-5</v>
      </c>
    </row>
    <row r="398" spans="2:17" ht="63.95">
      <c r="B398" s="5">
        <v>396</v>
      </c>
      <c r="C398" s="5">
        <v>852842</v>
      </c>
      <c r="D398" s="6" t="s">
        <v>682</v>
      </c>
      <c r="E398" s="6" t="s">
        <v>109</v>
      </c>
      <c r="F398" s="6" t="s">
        <v>36</v>
      </c>
      <c r="G398" s="6" t="s">
        <v>37</v>
      </c>
      <c r="H398" s="6" t="s">
        <v>28</v>
      </c>
      <c r="I398" s="5" t="s">
        <v>12</v>
      </c>
      <c r="J398" s="5" t="s">
        <v>21</v>
      </c>
      <c r="K398" s="5" t="s">
        <v>21</v>
      </c>
      <c r="L398" s="5" t="s">
        <v>29</v>
      </c>
      <c r="M398" s="5" t="s">
        <v>29</v>
      </c>
      <c r="N398" s="7" t="s">
        <v>21</v>
      </c>
      <c r="O398" s="5" t="s">
        <v>29</v>
      </c>
      <c r="P398" s="8">
        <v>8.4257883489999977E-2</v>
      </c>
      <c r="Q398" s="9">
        <f t="shared" si="6"/>
        <v>1.7756557938963386E-5</v>
      </c>
    </row>
    <row r="399" spans="2:17" ht="48" hidden="1">
      <c r="B399" s="5">
        <v>397</v>
      </c>
      <c r="C399" s="5">
        <v>851390</v>
      </c>
      <c r="D399" s="6" t="s">
        <v>315</v>
      </c>
      <c r="E399" s="6" t="s">
        <v>316</v>
      </c>
      <c r="F399" s="6" t="s">
        <v>66</v>
      </c>
      <c r="G399" s="6" t="s">
        <v>51</v>
      </c>
      <c r="H399" s="6" t="s">
        <v>28</v>
      </c>
      <c r="I399" s="10" t="s">
        <v>103</v>
      </c>
      <c r="J399" s="5" t="s">
        <v>29</v>
      </c>
      <c r="K399" s="5" t="s">
        <v>21</v>
      </c>
      <c r="L399" s="5" t="s">
        <v>29</v>
      </c>
      <c r="M399" s="5" t="s">
        <v>29</v>
      </c>
      <c r="N399" s="7" t="s">
        <v>29</v>
      </c>
      <c r="O399" s="5" t="s">
        <v>29</v>
      </c>
      <c r="P399" s="8">
        <v>7.669793309300002E-2</v>
      </c>
      <c r="Q399" s="11">
        <f t="shared" si="6"/>
        <v>1.6163369365030706E-5</v>
      </c>
    </row>
    <row r="400" spans="2:17" ht="32.1">
      <c r="B400" s="5">
        <v>398</v>
      </c>
      <c r="C400" s="5">
        <v>847029</v>
      </c>
      <c r="D400" s="6" t="s">
        <v>684</v>
      </c>
      <c r="E400" s="6" t="s">
        <v>594</v>
      </c>
      <c r="F400" s="6" t="s">
        <v>66</v>
      </c>
      <c r="G400" s="6" t="s">
        <v>67</v>
      </c>
      <c r="H400" s="6" t="s">
        <v>28</v>
      </c>
      <c r="I400" s="5" t="s">
        <v>12</v>
      </c>
      <c r="J400" s="5" t="s">
        <v>21</v>
      </c>
      <c r="K400" s="5" t="s">
        <v>21</v>
      </c>
      <c r="L400" s="5" t="s">
        <v>21</v>
      </c>
      <c r="M400" s="5" t="s">
        <v>29</v>
      </c>
      <c r="N400" s="7" t="s">
        <v>21</v>
      </c>
      <c r="O400" s="5" t="s">
        <v>21</v>
      </c>
      <c r="P400" s="8">
        <v>7.1574588893000002E-2</v>
      </c>
      <c r="Q400" s="9">
        <f t="shared" si="6"/>
        <v>1.5083672672443485E-5</v>
      </c>
    </row>
    <row r="401" spans="2:17" ht="32.1">
      <c r="B401" s="5">
        <v>399</v>
      </c>
      <c r="C401" s="5">
        <v>852210</v>
      </c>
      <c r="D401" s="6" t="s">
        <v>687</v>
      </c>
      <c r="E401" s="6" t="s">
        <v>527</v>
      </c>
      <c r="F401" s="6" t="s">
        <v>66</v>
      </c>
      <c r="G401" s="6" t="s">
        <v>67</v>
      </c>
      <c r="H401" s="6" t="s">
        <v>20</v>
      </c>
      <c r="I401" s="5" t="s">
        <v>12</v>
      </c>
      <c r="J401" s="5" t="s">
        <v>21</v>
      </c>
      <c r="K401" s="5" t="s">
        <v>21</v>
      </c>
      <c r="L401" s="5" t="s">
        <v>21</v>
      </c>
      <c r="M401" s="5" t="s">
        <v>29</v>
      </c>
      <c r="N401" s="7" t="s">
        <v>21</v>
      </c>
      <c r="O401" s="5" t="s">
        <v>21</v>
      </c>
      <c r="P401" s="8">
        <v>6.7742078795000008E-2</v>
      </c>
      <c r="Q401" s="9">
        <f t="shared" si="6"/>
        <v>1.4276007148601129E-5</v>
      </c>
    </row>
    <row r="402" spans="2:17" ht="32.1" hidden="1">
      <c r="B402" s="5">
        <v>400</v>
      </c>
      <c r="C402" s="5">
        <v>845110</v>
      </c>
      <c r="D402" s="6" t="s">
        <v>176</v>
      </c>
      <c r="E402" s="6" t="s">
        <v>177</v>
      </c>
      <c r="F402" s="6" t="s">
        <v>66</v>
      </c>
      <c r="G402" s="6" t="s">
        <v>51</v>
      </c>
      <c r="H402" s="6" t="s">
        <v>28</v>
      </c>
      <c r="I402" s="10" t="s">
        <v>103</v>
      </c>
      <c r="J402" s="5" t="s">
        <v>29</v>
      </c>
      <c r="K402" s="5" t="s">
        <v>21</v>
      </c>
      <c r="L402" s="5" t="s">
        <v>21</v>
      </c>
      <c r="M402" s="5" t="s">
        <v>29</v>
      </c>
      <c r="N402" s="7" t="s">
        <v>29</v>
      </c>
      <c r="O402" s="5" t="s">
        <v>29</v>
      </c>
      <c r="P402" s="8">
        <v>5.6586921758999993E-2</v>
      </c>
      <c r="Q402" s="11">
        <f t="shared" si="6"/>
        <v>1.1925162527023637E-5</v>
      </c>
    </row>
    <row r="403" spans="2:17" ht="48">
      <c r="B403" s="5">
        <v>401</v>
      </c>
      <c r="C403" s="5">
        <v>910291</v>
      </c>
      <c r="D403" s="6" t="s">
        <v>685</v>
      </c>
      <c r="E403" s="6" t="s">
        <v>686</v>
      </c>
      <c r="F403" s="6" t="s">
        <v>66</v>
      </c>
      <c r="G403" s="6" t="s">
        <v>67</v>
      </c>
      <c r="H403" s="6" t="s">
        <v>28</v>
      </c>
      <c r="I403" s="5" t="s">
        <v>12</v>
      </c>
      <c r="J403" s="5" t="s">
        <v>21</v>
      </c>
      <c r="K403" s="5" t="s">
        <v>21</v>
      </c>
      <c r="L403" s="5" t="s">
        <v>21</v>
      </c>
      <c r="M403" s="5" t="s">
        <v>29</v>
      </c>
      <c r="N403" s="7" t="s">
        <v>21</v>
      </c>
      <c r="O403" s="5" t="s">
        <v>21</v>
      </c>
      <c r="P403" s="8">
        <v>5.2402102798000005E-2</v>
      </c>
      <c r="Q403" s="9">
        <f t="shared" si="6"/>
        <v>1.1043251217752642E-5</v>
      </c>
    </row>
    <row r="404" spans="2:17" ht="48">
      <c r="B404" s="5">
        <v>402</v>
      </c>
      <c r="C404" s="5">
        <v>853339</v>
      </c>
      <c r="D404" s="6" t="s">
        <v>688</v>
      </c>
      <c r="E404" s="6" t="s">
        <v>334</v>
      </c>
      <c r="F404" s="6" t="s">
        <v>54</v>
      </c>
      <c r="G404" s="6" t="s">
        <v>19</v>
      </c>
      <c r="H404" s="6" t="s">
        <v>20</v>
      </c>
      <c r="I404" s="5" t="s">
        <v>12</v>
      </c>
      <c r="J404" s="5" t="s">
        <v>21</v>
      </c>
      <c r="K404" s="5" t="s">
        <v>21</v>
      </c>
      <c r="L404" s="5" t="s">
        <v>21</v>
      </c>
      <c r="M404" s="5" t="s">
        <v>29</v>
      </c>
      <c r="N404" s="7" t="s">
        <v>21</v>
      </c>
      <c r="O404" s="5" t="s">
        <v>21</v>
      </c>
      <c r="P404" s="8">
        <v>5.1594692936999982E-2</v>
      </c>
      <c r="Q404" s="9">
        <f t="shared" si="6"/>
        <v>1.0873097169448797E-5</v>
      </c>
    </row>
    <row r="405" spans="2:17" ht="32.1">
      <c r="B405" s="5">
        <v>403</v>
      </c>
      <c r="C405" s="5">
        <v>854091</v>
      </c>
      <c r="D405" s="6" t="s">
        <v>691</v>
      </c>
      <c r="E405" s="6" t="s">
        <v>607</v>
      </c>
      <c r="F405" s="6" t="s">
        <v>189</v>
      </c>
      <c r="G405" s="6" t="s">
        <v>19</v>
      </c>
      <c r="H405" s="6" t="s">
        <v>20</v>
      </c>
      <c r="I405" s="5" t="s">
        <v>12</v>
      </c>
      <c r="J405" s="5" t="s">
        <v>21</v>
      </c>
      <c r="K405" s="5" t="s">
        <v>21</v>
      </c>
      <c r="L405" s="5" t="s">
        <v>29</v>
      </c>
      <c r="M405" s="5" t="s">
        <v>29</v>
      </c>
      <c r="N405" s="7" t="s">
        <v>21</v>
      </c>
      <c r="O405" s="5" t="s">
        <v>21</v>
      </c>
      <c r="P405" s="8">
        <v>4.5127438545000009E-2</v>
      </c>
      <c r="Q405" s="9">
        <f t="shared" si="6"/>
        <v>9.5101840204234928E-6</v>
      </c>
    </row>
    <row r="406" spans="2:17" ht="32.1">
      <c r="B406" s="5">
        <v>404</v>
      </c>
      <c r="C406" s="5">
        <v>910910</v>
      </c>
      <c r="D406" s="6" t="s">
        <v>692</v>
      </c>
      <c r="E406" s="6" t="s">
        <v>693</v>
      </c>
      <c r="F406" s="6" t="s">
        <v>66</v>
      </c>
      <c r="G406" s="6" t="s">
        <v>67</v>
      </c>
      <c r="H406" s="6" t="s">
        <v>20</v>
      </c>
      <c r="I406" s="5" t="s">
        <v>12</v>
      </c>
      <c r="J406" s="5" t="s">
        <v>21</v>
      </c>
      <c r="K406" s="5" t="s">
        <v>29</v>
      </c>
      <c r="L406" s="5" t="s">
        <v>29</v>
      </c>
      <c r="M406" s="5" t="s">
        <v>29</v>
      </c>
      <c r="N406" s="7" t="s">
        <v>21</v>
      </c>
      <c r="O406" s="5" t="s">
        <v>29</v>
      </c>
      <c r="P406" s="8">
        <v>4.4112563034999996E-2</v>
      </c>
      <c r="Q406" s="9">
        <f t="shared" si="6"/>
        <v>9.2963085342645149E-6</v>
      </c>
    </row>
    <row r="407" spans="2:17" ht="63.95">
      <c r="B407" s="5">
        <v>405</v>
      </c>
      <c r="C407" s="5">
        <v>851920</v>
      </c>
      <c r="D407" s="6" t="s">
        <v>694</v>
      </c>
      <c r="E407" s="6" t="s">
        <v>695</v>
      </c>
      <c r="F407" s="6" t="s">
        <v>66</v>
      </c>
      <c r="G407" s="6" t="s">
        <v>67</v>
      </c>
      <c r="H407" s="6" t="s">
        <v>20</v>
      </c>
      <c r="I407" s="5" t="s">
        <v>12</v>
      </c>
      <c r="J407" s="5" t="s">
        <v>21</v>
      </c>
      <c r="K407" s="5" t="s">
        <v>21</v>
      </c>
      <c r="L407" s="5" t="s">
        <v>21</v>
      </c>
      <c r="M407" s="5" t="s">
        <v>29</v>
      </c>
      <c r="N407" s="7" t="s">
        <v>21</v>
      </c>
      <c r="O407" s="5" t="s">
        <v>21</v>
      </c>
      <c r="P407" s="8">
        <v>4.3177247859000005E-2</v>
      </c>
      <c r="Q407" s="9">
        <f t="shared" si="6"/>
        <v>9.099199641589722E-6</v>
      </c>
    </row>
    <row r="408" spans="2:17" ht="32.1" hidden="1">
      <c r="B408" s="5">
        <v>406</v>
      </c>
      <c r="C408" s="5">
        <v>847629</v>
      </c>
      <c r="D408" s="6" t="s">
        <v>233</v>
      </c>
      <c r="E408" s="6" t="s">
        <v>232</v>
      </c>
      <c r="F408" s="6" t="s">
        <v>66</v>
      </c>
      <c r="G408" s="6" t="s">
        <v>51</v>
      </c>
      <c r="H408" s="6" t="s">
        <v>28</v>
      </c>
      <c r="I408" s="10" t="s">
        <v>103</v>
      </c>
      <c r="J408" s="5" t="s">
        <v>29</v>
      </c>
      <c r="K408" s="5" t="s">
        <v>21</v>
      </c>
      <c r="L408" s="5" t="s">
        <v>29</v>
      </c>
      <c r="M408" s="5" t="s">
        <v>29</v>
      </c>
      <c r="N408" s="7" t="s">
        <v>29</v>
      </c>
      <c r="O408" s="5" t="s">
        <v>29</v>
      </c>
      <c r="P408" s="8">
        <v>3.9502294449999989E-2</v>
      </c>
      <c r="Q408" s="11">
        <f t="shared" si="6"/>
        <v>8.3247377108239876E-6</v>
      </c>
    </row>
    <row r="409" spans="2:17" ht="48" hidden="1">
      <c r="B409" s="5">
        <v>407</v>
      </c>
      <c r="C409" s="5">
        <v>844312</v>
      </c>
      <c r="D409" s="6" t="s">
        <v>154</v>
      </c>
      <c r="E409" s="6" t="s">
        <v>153</v>
      </c>
      <c r="F409" s="6" t="s">
        <v>36</v>
      </c>
      <c r="G409" s="6" t="s">
        <v>51</v>
      </c>
      <c r="H409" s="6" t="s">
        <v>28</v>
      </c>
      <c r="I409" s="10" t="s">
        <v>103</v>
      </c>
      <c r="J409" s="5" t="s">
        <v>29</v>
      </c>
      <c r="K409" s="5" t="s">
        <v>21</v>
      </c>
      <c r="L409" s="5" t="s">
        <v>29</v>
      </c>
      <c r="M409" s="5" t="s">
        <v>29</v>
      </c>
      <c r="N409" s="7" t="s">
        <v>29</v>
      </c>
      <c r="O409" s="5" t="s">
        <v>29</v>
      </c>
      <c r="P409" s="8">
        <v>2.2840186139000004E-2</v>
      </c>
      <c r="Q409" s="11">
        <f t="shared" si="6"/>
        <v>4.8133548068768622E-6</v>
      </c>
    </row>
    <row r="410" spans="2:17" ht="32.1">
      <c r="B410" s="5">
        <v>408</v>
      </c>
      <c r="C410" s="5">
        <v>910310</v>
      </c>
      <c r="D410" s="6" t="s">
        <v>697</v>
      </c>
      <c r="E410" s="6" t="s">
        <v>698</v>
      </c>
      <c r="F410" s="6" t="s">
        <v>66</v>
      </c>
      <c r="G410" s="6" t="s">
        <v>67</v>
      </c>
      <c r="H410" s="6" t="s">
        <v>28</v>
      </c>
      <c r="I410" s="5" t="s">
        <v>12</v>
      </c>
      <c r="J410" s="5" t="s">
        <v>21</v>
      </c>
      <c r="K410" s="5" t="s">
        <v>21</v>
      </c>
      <c r="L410" s="5" t="s">
        <v>21</v>
      </c>
      <c r="M410" s="5" t="s">
        <v>29</v>
      </c>
      <c r="N410" s="7" t="s">
        <v>21</v>
      </c>
      <c r="O410" s="5" t="s">
        <v>21</v>
      </c>
      <c r="P410" s="8">
        <v>2.1406362623999985E-2</v>
      </c>
      <c r="Q410" s="9">
        <f t="shared" si="6"/>
        <v>4.5111899617159034E-6</v>
      </c>
    </row>
    <row r="411" spans="2:17" ht="48">
      <c r="B411" s="5">
        <v>409</v>
      </c>
      <c r="C411" s="5">
        <v>854040</v>
      </c>
      <c r="D411" s="6" t="s">
        <v>700</v>
      </c>
      <c r="E411" s="6" t="s">
        <v>701</v>
      </c>
      <c r="F411" s="6" t="s">
        <v>189</v>
      </c>
      <c r="G411" s="6" t="s">
        <v>19</v>
      </c>
      <c r="H411" s="6" t="s">
        <v>20</v>
      </c>
      <c r="I411" s="5" t="s">
        <v>12</v>
      </c>
      <c r="J411" s="5" t="s">
        <v>21</v>
      </c>
      <c r="K411" s="5" t="s">
        <v>21</v>
      </c>
      <c r="L411" s="5" t="s">
        <v>29</v>
      </c>
      <c r="M411" s="5" t="s">
        <v>29</v>
      </c>
      <c r="N411" s="7" t="s">
        <v>21</v>
      </c>
      <c r="O411" s="5" t="s">
        <v>29</v>
      </c>
      <c r="P411" s="8">
        <v>1.8471854049999993E-2</v>
      </c>
      <c r="Q411" s="9">
        <f t="shared" si="6"/>
        <v>3.8927698286870467E-6</v>
      </c>
    </row>
    <row r="412" spans="2:17" ht="63.95">
      <c r="B412" s="5">
        <v>410</v>
      </c>
      <c r="C412" s="5">
        <v>910819</v>
      </c>
      <c r="D412" s="6" t="s">
        <v>699</v>
      </c>
      <c r="E412" s="6" t="s">
        <v>631</v>
      </c>
      <c r="F412" s="6" t="s">
        <v>66</v>
      </c>
      <c r="G412" s="6" t="s">
        <v>67</v>
      </c>
      <c r="H412" s="6" t="s">
        <v>20</v>
      </c>
      <c r="I412" s="5" t="s">
        <v>12</v>
      </c>
      <c r="J412" s="5" t="s">
        <v>21</v>
      </c>
      <c r="K412" s="5" t="s">
        <v>21</v>
      </c>
      <c r="L412" s="5" t="s">
        <v>21</v>
      </c>
      <c r="M412" s="5" t="s">
        <v>29</v>
      </c>
      <c r="N412" s="7" t="s">
        <v>21</v>
      </c>
      <c r="O412" s="5" t="s">
        <v>21</v>
      </c>
      <c r="P412" s="8">
        <v>1.7965299811E-2</v>
      </c>
      <c r="Q412" s="9">
        <f t="shared" si="6"/>
        <v>3.7860182783101804E-6</v>
      </c>
    </row>
    <row r="413" spans="2:17" ht="32.1">
      <c r="B413" s="5">
        <v>411</v>
      </c>
      <c r="C413" s="5">
        <v>847030</v>
      </c>
      <c r="D413" s="6" t="s">
        <v>696</v>
      </c>
      <c r="E413" s="6" t="s">
        <v>594</v>
      </c>
      <c r="F413" s="6" t="s">
        <v>66</v>
      </c>
      <c r="G413" s="6" t="s">
        <v>67</v>
      </c>
      <c r="H413" s="6" t="s">
        <v>28</v>
      </c>
      <c r="I413" s="5" t="s">
        <v>12</v>
      </c>
      <c r="J413" s="5" t="s">
        <v>21</v>
      </c>
      <c r="K413" s="5" t="s">
        <v>21</v>
      </c>
      <c r="L413" s="5" t="s">
        <v>21</v>
      </c>
      <c r="M413" s="5" t="s">
        <v>29</v>
      </c>
      <c r="N413" s="7" t="s">
        <v>21</v>
      </c>
      <c r="O413" s="5" t="s">
        <v>21</v>
      </c>
      <c r="P413" s="8">
        <v>1.6354636185E-2</v>
      </c>
      <c r="Q413" s="9">
        <f t="shared" si="6"/>
        <v>3.4465860399173871E-6</v>
      </c>
    </row>
    <row r="414" spans="2:17" ht="48">
      <c r="B414" s="5">
        <v>412</v>
      </c>
      <c r="C414" s="5">
        <v>853950</v>
      </c>
      <c r="D414" s="6" t="s">
        <v>710</v>
      </c>
      <c r="E414" s="6" t="s">
        <v>711</v>
      </c>
      <c r="F414" s="6" t="s">
        <v>66</v>
      </c>
      <c r="G414" s="6" t="s">
        <v>51</v>
      </c>
      <c r="H414" s="6" t="s">
        <v>28</v>
      </c>
      <c r="I414" s="5" t="s">
        <v>96</v>
      </c>
      <c r="J414" s="5" t="s">
        <v>21</v>
      </c>
      <c r="K414" s="5" t="s">
        <v>21</v>
      </c>
      <c r="L414" s="5" t="s">
        <v>29</v>
      </c>
      <c r="M414" s="5" t="s">
        <v>29</v>
      </c>
      <c r="N414" s="7" t="s">
        <v>29</v>
      </c>
      <c r="O414" s="5" t="s">
        <v>21</v>
      </c>
      <c r="P414" s="8">
        <v>1.5956638533E-2</v>
      </c>
      <c r="Q414" s="9">
        <f t="shared" si="6"/>
        <v>3.3627117711298485E-6</v>
      </c>
    </row>
    <row r="415" spans="2:17" ht="32.1">
      <c r="B415" s="5">
        <v>413</v>
      </c>
      <c r="C415" s="5">
        <v>854060</v>
      </c>
      <c r="D415" s="6" t="s">
        <v>707</v>
      </c>
      <c r="E415" s="6" t="s">
        <v>607</v>
      </c>
      <c r="F415" s="6" t="s">
        <v>189</v>
      </c>
      <c r="G415" s="6" t="s">
        <v>19</v>
      </c>
      <c r="H415" s="6" t="s">
        <v>20</v>
      </c>
      <c r="I415" s="5" t="s">
        <v>12</v>
      </c>
      <c r="J415" s="5" t="s">
        <v>21</v>
      </c>
      <c r="K415" s="5" t="s">
        <v>21</v>
      </c>
      <c r="L415" s="5" t="s">
        <v>29</v>
      </c>
      <c r="M415" s="5" t="s">
        <v>29</v>
      </c>
      <c r="N415" s="7" t="s">
        <v>21</v>
      </c>
      <c r="O415" s="5" t="s">
        <v>21</v>
      </c>
      <c r="P415" s="8">
        <v>1.3295078134999999E-2</v>
      </c>
      <c r="Q415" s="9">
        <f t="shared" si="6"/>
        <v>2.8018129037764276E-6</v>
      </c>
    </row>
    <row r="416" spans="2:17" ht="32.1">
      <c r="B416" s="5">
        <v>414</v>
      </c>
      <c r="C416" s="5">
        <v>854011</v>
      </c>
      <c r="D416" s="6" t="s">
        <v>706</v>
      </c>
      <c r="E416" s="6" t="s">
        <v>607</v>
      </c>
      <c r="F416" s="6" t="s">
        <v>189</v>
      </c>
      <c r="G416" s="6" t="s">
        <v>19</v>
      </c>
      <c r="H416" s="6" t="s">
        <v>20</v>
      </c>
      <c r="I416" s="5" t="s">
        <v>12</v>
      </c>
      <c r="J416" s="5" t="s">
        <v>21</v>
      </c>
      <c r="K416" s="5" t="s">
        <v>21</v>
      </c>
      <c r="L416" s="5" t="s">
        <v>29</v>
      </c>
      <c r="M416" s="5" t="s">
        <v>29</v>
      </c>
      <c r="N416" s="7" t="s">
        <v>21</v>
      </c>
      <c r="O416" s="5" t="s">
        <v>21</v>
      </c>
      <c r="P416" s="8">
        <v>1.3040485547000002E-2</v>
      </c>
      <c r="Q416" s="9">
        <f t="shared" si="6"/>
        <v>2.7481599059511366E-6</v>
      </c>
    </row>
    <row r="417" spans="2:18" ht="48">
      <c r="B417" s="5">
        <v>415</v>
      </c>
      <c r="C417" s="5">
        <v>852712</v>
      </c>
      <c r="D417" s="6" t="s">
        <v>702</v>
      </c>
      <c r="E417" s="6" t="s">
        <v>703</v>
      </c>
      <c r="F417" s="6" t="s">
        <v>266</v>
      </c>
      <c r="G417" s="6" t="s">
        <v>27</v>
      </c>
      <c r="H417" s="6" t="s">
        <v>28</v>
      </c>
      <c r="I417" s="5" t="s">
        <v>12</v>
      </c>
      <c r="J417" s="5" t="s">
        <v>21</v>
      </c>
      <c r="K417" s="5" t="s">
        <v>21</v>
      </c>
      <c r="L417" s="5" t="s">
        <v>21</v>
      </c>
      <c r="M417" s="5" t="s">
        <v>29</v>
      </c>
      <c r="N417" s="7" t="s">
        <v>21</v>
      </c>
      <c r="O417" s="5" t="s">
        <v>21</v>
      </c>
      <c r="P417" s="8">
        <v>1.2833718143999999E-2</v>
      </c>
      <c r="Q417" s="9">
        <f t="shared" si="6"/>
        <v>2.7045856168854224E-6</v>
      </c>
      <c r="R417" s="16"/>
    </row>
    <row r="418" spans="2:18" ht="48">
      <c r="B418" s="5">
        <v>416</v>
      </c>
      <c r="C418" s="5">
        <v>910812</v>
      </c>
      <c r="D418" s="6" t="s">
        <v>704</v>
      </c>
      <c r="E418" s="6" t="s">
        <v>705</v>
      </c>
      <c r="F418" s="6" t="s">
        <v>66</v>
      </c>
      <c r="G418" s="6" t="s">
        <v>67</v>
      </c>
      <c r="H418" s="6" t="s">
        <v>20</v>
      </c>
      <c r="I418" s="5" t="s">
        <v>12</v>
      </c>
      <c r="J418" s="5" t="s">
        <v>21</v>
      </c>
      <c r="K418" s="5" t="s">
        <v>29</v>
      </c>
      <c r="L418" s="5" t="s">
        <v>29</v>
      </c>
      <c r="M418" s="5" t="s">
        <v>29</v>
      </c>
      <c r="N418" s="7" t="s">
        <v>21</v>
      </c>
      <c r="O418" s="5" t="s">
        <v>29</v>
      </c>
      <c r="P418" s="8">
        <v>1.0156535545000001E-2</v>
      </c>
      <c r="Q418" s="9">
        <f t="shared" si="6"/>
        <v>2.1403945173312786E-6</v>
      </c>
    </row>
    <row r="419" spans="2:18" ht="48" hidden="1">
      <c r="B419" s="5">
        <v>417</v>
      </c>
      <c r="C419" s="5">
        <v>854810</v>
      </c>
      <c r="D419" s="6" t="s">
        <v>616</v>
      </c>
      <c r="E419" s="6" t="s">
        <v>617</v>
      </c>
      <c r="F419" s="6" t="s">
        <v>66</v>
      </c>
      <c r="G419" s="6" t="s">
        <v>51</v>
      </c>
      <c r="H419" s="6" t="s">
        <v>20</v>
      </c>
      <c r="I419" s="10" t="s">
        <v>103</v>
      </c>
      <c r="J419" s="5" t="s">
        <v>29</v>
      </c>
      <c r="K419" s="5" t="s">
        <v>21</v>
      </c>
      <c r="L419" s="5" t="s">
        <v>29</v>
      </c>
      <c r="M419" s="5" t="s">
        <v>29</v>
      </c>
      <c r="N419" s="7" t="s">
        <v>29</v>
      </c>
      <c r="O419" s="5" t="s">
        <v>29</v>
      </c>
      <c r="P419" s="8">
        <v>8.6094195380000006E-3</v>
      </c>
      <c r="Q419" s="11">
        <f t="shared" si="6"/>
        <v>1.8143543430625572E-6</v>
      </c>
    </row>
    <row r="420" spans="2:18" ht="32.1">
      <c r="B420" s="5">
        <v>418</v>
      </c>
      <c r="C420" s="5">
        <v>850630</v>
      </c>
      <c r="D420" s="6" t="s">
        <v>708</v>
      </c>
      <c r="E420" s="6" t="s">
        <v>439</v>
      </c>
      <c r="F420" s="6" t="s">
        <v>66</v>
      </c>
      <c r="G420" s="6" t="s">
        <v>43</v>
      </c>
      <c r="H420" s="6" t="s">
        <v>20</v>
      </c>
      <c r="I420" s="5" t="s">
        <v>12</v>
      </c>
      <c r="J420" s="5" t="s">
        <v>21</v>
      </c>
      <c r="K420" s="5" t="s">
        <v>21</v>
      </c>
      <c r="L420" s="5" t="s">
        <v>29</v>
      </c>
      <c r="M420" s="5" t="s">
        <v>29</v>
      </c>
      <c r="N420" s="7" t="s">
        <v>21</v>
      </c>
      <c r="O420" s="5" t="s">
        <v>29</v>
      </c>
      <c r="P420" s="8">
        <v>5.0993921329999994E-3</v>
      </c>
      <c r="Q420" s="9">
        <f t="shared" si="6"/>
        <v>1.0746490193271361E-6</v>
      </c>
    </row>
    <row r="421" spans="2:18" ht="48">
      <c r="B421" s="5">
        <v>419</v>
      </c>
      <c r="C421" s="5">
        <v>854012</v>
      </c>
      <c r="D421" s="6" t="s">
        <v>709</v>
      </c>
      <c r="E421" s="6" t="s">
        <v>607</v>
      </c>
      <c r="F421" s="6" t="s">
        <v>189</v>
      </c>
      <c r="G421" s="6" t="s">
        <v>19</v>
      </c>
      <c r="H421" s="6" t="s">
        <v>20</v>
      </c>
      <c r="I421" s="5" t="s">
        <v>12</v>
      </c>
      <c r="J421" s="5" t="s">
        <v>21</v>
      </c>
      <c r="K421" s="5" t="s">
        <v>21</v>
      </c>
      <c r="L421" s="5" t="s">
        <v>29</v>
      </c>
      <c r="M421" s="5" t="s">
        <v>29</v>
      </c>
      <c r="N421" s="7" t="s">
        <v>21</v>
      </c>
      <c r="O421" s="5" t="s">
        <v>29</v>
      </c>
      <c r="P421" s="8">
        <v>4.6414254849999996E-3</v>
      </c>
      <c r="Q421" s="9">
        <f t="shared" si="6"/>
        <v>9.7813684761693681E-7</v>
      </c>
    </row>
    <row r="422" spans="2:18" ht="48">
      <c r="B422" s="5">
        <v>420</v>
      </c>
      <c r="C422" s="5">
        <v>850740</v>
      </c>
      <c r="D422" s="6" t="s">
        <v>712</v>
      </c>
      <c r="E422" s="6" t="s">
        <v>42</v>
      </c>
      <c r="F422" s="6" t="s">
        <v>26</v>
      </c>
      <c r="G422" s="6" t="s">
        <v>43</v>
      </c>
      <c r="H422" s="6" t="s">
        <v>20</v>
      </c>
      <c r="I422" s="5" t="s">
        <v>12</v>
      </c>
      <c r="J422" s="5" t="s">
        <v>21</v>
      </c>
      <c r="K422" s="5" t="s">
        <v>21</v>
      </c>
      <c r="L422" s="5" t="s">
        <v>29</v>
      </c>
      <c r="M422" s="5" t="s">
        <v>29</v>
      </c>
      <c r="N422" s="7" t="s">
        <v>21</v>
      </c>
      <c r="O422" s="5" t="s">
        <v>29</v>
      </c>
      <c r="P422" s="8">
        <v>1.5952064000000001E-4</v>
      </c>
      <c r="Q422" s="9">
        <f t="shared" si="6"/>
        <v>3.3617477312454638E-8</v>
      </c>
    </row>
    <row r="423" spans="2:18" ht="32.1">
      <c r="B423" s="5">
        <v>421</v>
      </c>
      <c r="C423" s="5">
        <v>851950</v>
      </c>
      <c r="D423" s="6" t="s">
        <v>713</v>
      </c>
      <c r="E423" s="6" t="s">
        <v>714</v>
      </c>
      <c r="F423" s="6" t="s">
        <v>266</v>
      </c>
      <c r="G423" s="6" t="s">
        <v>27</v>
      </c>
      <c r="H423" s="6" t="s">
        <v>28</v>
      </c>
      <c r="I423" s="5" t="s">
        <v>12</v>
      </c>
      <c r="J423" s="5" t="s">
        <v>21</v>
      </c>
      <c r="K423" s="5" t="s">
        <v>21</v>
      </c>
      <c r="L423" s="5" t="s">
        <v>29</v>
      </c>
      <c r="M423" s="5" t="s">
        <v>29</v>
      </c>
      <c r="N423" s="7" t="s">
        <v>21</v>
      </c>
      <c r="O423" s="5" t="s">
        <v>29</v>
      </c>
      <c r="P423" s="8">
        <v>1.9649599999999999E-5</v>
      </c>
      <c r="Q423" s="9">
        <f t="shared" si="6"/>
        <v>4.1409687310608119E-9</v>
      </c>
      <c r="R423" s="16"/>
    </row>
    <row r="424" spans="2:18" ht="48" hidden="1">
      <c r="B424" s="5">
        <v>422</v>
      </c>
      <c r="C424" s="5">
        <v>847310</v>
      </c>
      <c r="D424" s="6" t="s">
        <v>220</v>
      </c>
      <c r="E424" s="6" t="s">
        <v>221</v>
      </c>
      <c r="F424" s="6" t="s">
        <v>36</v>
      </c>
      <c r="G424" s="6" t="s">
        <v>51</v>
      </c>
      <c r="H424" s="6" t="s">
        <v>20</v>
      </c>
      <c r="I424" s="10" t="s">
        <v>103</v>
      </c>
      <c r="J424" s="5" t="s">
        <v>29</v>
      </c>
      <c r="K424" s="5" t="s">
        <v>21</v>
      </c>
      <c r="L424" s="5" t="s">
        <v>29</v>
      </c>
      <c r="M424" s="5" t="s">
        <v>29</v>
      </c>
      <c r="N424" s="7" t="s">
        <v>29</v>
      </c>
      <c r="O424" s="5" t="s">
        <v>29</v>
      </c>
      <c r="P424" s="8">
        <v>4.7146000000000004E-8</v>
      </c>
      <c r="Q424" s="11">
        <f t="shared" si="6"/>
        <v>9.9355768969644711E-12</v>
      </c>
    </row>
    <row r="425" spans="2:18" ht="48" hidden="1">
      <c r="B425" s="5">
        <v>423</v>
      </c>
      <c r="C425" s="5">
        <v>845610</v>
      </c>
      <c r="D425" s="6" t="s">
        <v>187</v>
      </c>
      <c r="E425" s="6" t="s">
        <v>188</v>
      </c>
      <c r="F425" s="6" t="s">
        <v>189</v>
      </c>
      <c r="G425" s="6" t="s">
        <v>51</v>
      </c>
      <c r="H425" s="6" t="s">
        <v>28</v>
      </c>
      <c r="I425" s="10" t="s">
        <v>103</v>
      </c>
      <c r="J425" s="5" t="s">
        <v>29</v>
      </c>
      <c r="K425" s="5" t="s">
        <v>21</v>
      </c>
      <c r="L425" s="5" t="s">
        <v>29</v>
      </c>
      <c r="M425" s="5" t="s">
        <v>29</v>
      </c>
      <c r="N425" s="7" t="s">
        <v>29</v>
      </c>
      <c r="O425" s="5" t="s">
        <v>29</v>
      </c>
      <c r="P425" s="8">
        <v>0</v>
      </c>
      <c r="Q425" s="11">
        <f t="shared" si="6"/>
        <v>0</v>
      </c>
    </row>
    <row r="426" spans="2:18">
      <c r="Q426" s="14"/>
    </row>
    <row r="427" spans="2:18">
      <c r="P427" s="15"/>
    </row>
  </sheetData>
  <autoFilter ref="B2:Q425" xr:uid="{711C59F3-C60A-443D-8225-FF78BA3A1C24}">
    <filterColumn colId="8">
      <filters>
        <filter val="Yes"/>
      </filters>
    </filterColumn>
  </autoFilter>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d99c62-4d08-486e-a79b-61df7dcdea4b">
      <Terms xmlns="http://schemas.microsoft.com/office/infopath/2007/PartnerControls"/>
    </lcf76f155ced4ddcb4097134ff3c332f>
    <TaxCatchAll xmlns="40531b67-d43b-44b2-8a85-b5d649c1956e" xsi:nil="true"/>
    <Desc xmlns="0ad99c62-4d08-486e-a79b-61df7dcdea4b" xsi:nil="true"/>
    <Desc2 xmlns="0ad99c62-4d08-486e-a79b-61df7dcdea4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04C866DC076B49BFC0418193BB9586" ma:contentTypeVersion="18" ma:contentTypeDescription="Create a new document." ma:contentTypeScope="" ma:versionID="eb04a7564d06c346533960dc58351d7a">
  <xsd:schema xmlns:xsd="http://www.w3.org/2001/XMLSchema" xmlns:xs="http://www.w3.org/2001/XMLSchema" xmlns:p="http://schemas.microsoft.com/office/2006/metadata/properties" xmlns:ns2="0ad99c62-4d08-486e-a79b-61df7dcdea4b" xmlns:ns3="40531b67-d43b-44b2-8a85-b5d649c1956e" targetNamespace="http://schemas.microsoft.com/office/2006/metadata/properties" ma:root="true" ma:fieldsID="337fbbe7de0e2c732ba0479f851b47a8" ns2:_="" ns3:_="">
    <xsd:import namespace="0ad99c62-4d08-486e-a79b-61df7dcdea4b"/>
    <xsd:import namespace="40531b67-d43b-44b2-8a85-b5d649c1956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Desc" minOccurs="0"/>
                <xsd:element ref="ns2:Desc2"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99c62-4d08-486e-a79b-61df7dcdea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9128ac3-94cc-4356-9a33-983a879b9acd"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esc" ma:index="23" nillable="true" ma:displayName="Desc" ma:description="Slide 1 data up till 2022" ma:format="Dropdown" ma:internalName="Desc">
      <xsd:simpleType>
        <xsd:restriction base="dms:Text">
          <xsd:maxLength value="255"/>
        </xsd:restriction>
      </xsd:simpleType>
    </xsd:element>
    <xsd:element name="Desc2" ma:index="24" nillable="true" ma:displayName="Desc2" ma:description="Slide 1 (data till 2022)" ma:format="Dropdown" ma:internalName="Desc2">
      <xsd:simpleType>
        <xsd:restriction base="dms:Text">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531b67-d43b-44b2-8a85-b5d649c1956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da000b8-5594-4c7e-842b-c7db6c304ba6}" ma:internalName="TaxCatchAll" ma:showField="CatchAllData" ma:web="40531b67-d43b-44b2-8a85-b5d649c1956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3DA9DB-5ED6-471E-A06A-587F6067FD4F}"/>
</file>

<file path=customXml/itemProps2.xml><?xml version="1.0" encoding="utf-8"?>
<ds:datastoreItem xmlns:ds="http://schemas.openxmlformats.org/officeDocument/2006/customXml" ds:itemID="{ADF9E32C-CE8C-4638-82B6-5BE246ADD7F2}"/>
</file>

<file path=customXml/itemProps3.xml><?xml version="1.0" encoding="utf-8"?>
<ds:datastoreItem xmlns:ds="http://schemas.openxmlformats.org/officeDocument/2006/customXml" ds:itemID="{2DC27DF3-794C-4423-8B0F-7E51B22F0A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Nitya Srinath</dc:creator>
  <cp:keywords/>
  <dc:description/>
  <cp:lastModifiedBy/>
  <cp:revision/>
  <dcterms:created xsi:type="dcterms:W3CDTF">2024-03-08T14:11:42Z</dcterms:created>
  <dcterms:modified xsi:type="dcterms:W3CDTF">2026-08-25T06:50:43Z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0x0101009C04C866DC076B49BFC0418193BB9586</vt:lpwstr>
  </property>
  <property fmtid="{D5CDD505-2E9C-101B-9397-08002B2CF9AE}" pid="3" name="MediaServiceImageTags">
    <vt:lpwstr/>
  </property>
</Properties>
</file>